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 " sheetId="1" r:id="rId5"/>
    <sheet state="visible" name="GENERAL PAYROLL" sheetId="2" r:id="rId6"/>
    <sheet state="visible" name="TXTLIST" sheetId="3" r:id="rId7"/>
    <sheet state="visible" name="CODE" sheetId="4" r:id="rId8"/>
    <sheet state="visible" name="CODE 2" sheetId="5" r:id="rId9"/>
    <sheet state="visible" name="PREMIUM" sheetId="6" r:id="rId10"/>
  </sheets>
  <definedNames>
    <definedName hidden="1" localSheetId="1" name="_xlnm._FilterDatabase">'GENERAL PAYROLL'!$AA$19:$AA$34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2">
      <text>
        <t xml:space="preserve">4</t>
      </text>
    </comment>
    <comment authorId="0" ref="U12">
      <text>
        <t xml:space="preserve">4
</t>
      </text>
    </comment>
    <comment authorId="0" ref="AP20">
      <text>
        <t xml:space="preserve">Dec 1-15, 2025  (Stop deductions Nov 16-30) 337.50</t>
      </text>
    </comment>
  </commentList>
</comments>
</file>

<file path=xl/sharedStrings.xml><?xml version="1.0" encoding="utf-8"?>
<sst xmlns="http://schemas.openxmlformats.org/spreadsheetml/2006/main" count="1187" uniqueCount="532">
  <si>
    <t xml:space="preserve">  </t>
  </si>
  <si>
    <t>JOB ORDER GENERAL PAYROLL</t>
  </si>
  <si>
    <t>For The Period of</t>
  </si>
  <si>
    <t xml:space="preserve"> </t>
  </si>
  <si>
    <t>02-16-28-2026</t>
  </si>
  <si>
    <t>No.</t>
  </si>
  <si>
    <t>ORS Number</t>
  </si>
  <si>
    <t>ORS Date</t>
  </si>
  <si>
    <t>Name</t>
  </si>
  <si>
    <t>Office</t>
  </si>
  <si>
    <t>Position</t>
  </si>
  <si>
    <t>Salary Grade</t>
  </si>
  <si>
    <t>FUND SOURCE</t>
  </si>
  <si>
    <t xml:space="preserve">1st QTR.
Work Schedule  - </t>
  </si>
  <si>
    <t>Monthly Rate</t>
  </si>
  <si>
    <t>Quincena</t>
  </si>
  <si>
    <t>Daily Rate</t>
  </si>
  <si>
    <t>Per Hour</t>
  </si>
  <si>
    <t>Per Minute</t>
  </si>
  <si>
    <t>Working Days</t>
  </si>
  <si>
    <t>Basic Salary</t>
  </si>
  <si>
    <t>02-01-15-2026</t>
  </si>
  <si>
    <t>TOTAL</t>
  </si>
  <si>
    <t>Total</t>
  </si>
  <si>
    <t>Other Deduction</t>
  </si>
  <si>
    <t>Gross Amount</t>
  </si>
  <si>
    <t>Withholding Tax</t>
  </si>
  <si>
    <t>Deductions</t>
  </si>
  <si>
    <t>Net Pay</t>
  </si>
  <si>
    <t>IN PESO</t>
  </si>
  <si>
    <t>Late / Under Time</t>
  </si>
  <si>
    <t>Clothing 
and Others</t>
  </si>
  <si>
    <t>Remarks</t>
  </si>
  <si>
    <t>EXPANDED</t>
  </si>
  <si>
    <t>PERCENTAGE</t>
  </si>
  <si>
    <t>Accommodation (Staff house)</t>
  </si>
  <si>
    <t>Water (Staff house)</t>
  </si>
  <si>
    <t>Electricity 
(Staff house)</t>
  </si>
  <si>
    <t>Repairs</t>
  </si>
  <si>
    <t>Time In</t>
  </si>
  <si>
    <t>Time Out</t>
  </si>
  <si>
    <t>Absent</t>
  </si>
  <si>
    <t>Hour</t>
  </si>
  <si>
    <t>Minute</t>
  </si>
  <si>
    <t>1</t>
  </si>
  <si>
    <t>4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</si>
  <si>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</si>
  <si>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</si>
  <si>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</si>
  <si>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</si>
  <si>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</si>
  <si>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</si>
  <si>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</si>
  <si>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</si>
  <si>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</si>
  <si>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</si>
  <si>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</si>
  <si>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</si>
  <si>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</si>
  <si>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</si>
  <si>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</si>
  <si>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</si>
  <si>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</si>
  <si>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</si>
  <si>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</si>
  <si>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</si>
  <si>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</si>
  <si>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</si>
  <si>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</si>
  <si>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</si>
  <si>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</si>
  <si>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36</t>
  </si>
  <si>
    <t>37</t>
  </si>
  <si>
    <t>38</t>
  </si>
  <si>
    <t>39</t>
  </si>
  <si>
    <t>40</t>
  </si>
  <si>
    <t>41</t>
  </si>
  <si>
    <t>42</t>
  </si>
  <si>
    <t>2026-01-0009</t>
  </si>
  <si>
    <t>ALBOROTO, JANET P.</t>
  </si>
  <si>
    <t>GH</t>
  </si>
  <si>
    <t>Administrative Asst. III</t>
  </si>
  <si>
    <t>REVOLVING FUND</t>
  </si>
  <si>
    <t>ok</t>
  </si>
  <si>
    <t>#REF!</t>
  </si>
  <si>
    <t>2026-01-0010</t>
  </si>
  <si>
    <t>ARENAS, DIANA ROSE A.</t>
  </si>
  <si>
    <t xml:space="preserve"> Administrative Asst. IV (Dormitory Assistant)</t>
  </si>
  <si>
    <t>BERNABE, JOHN MICHAEL A.</t>
  </si>
  <si>
    <t>2026-01-0002</t>
  </si>
  <si>
    <t>CANNU JR, ALFREDO O.</t>
  </si>
  <si>
    <t>Administrative Asst. III (Housekeeping Attendant)</t>
  </si>
  <si>
    <t>2026-01-0001</t>
  </si>
  <si>
    <t>CELOCIA, MERLITA O.</t>
  </si>
  <si>
    <t>CUBIL, JOCELYN R.</t>
  </si>
  <si>
    <t>2026-01-0006</t>
  </si>
  <si>
    <t xml:space="preserve">GULTIANO, HELEN D. </t>
  </si>
  <si>
    <t>2026-01-0007</t>
  </si>
  <si>
    <t>TORIO, CECIL P.</t>
  </si>
  <si>
    <t>2026-01-0008</t>
  </si>
  <si>
    <t>GASATAN, ENRICO JAN S.</t>
  </si>
  <si>
    <t>2026-01-0004</t>
  </si>
  <si>
    <t>JARABESE, LUIS E.</t>
  </si>
  <si>
    <t>2026-01-0011</t>
  </si>
  <si>
    <t>ACENO, ALYANNA MARIE</t>
  </si>
  <si>
    <t>Dormitory Manager I</t>
  </si>
  <si>
    <t>2026-01-0003</t>
  </si>
  <si>
    <t>BERNABE CHERRY MAY E.</t>
  </si>
  <si>
    <t>Administrative Asst. II (Reliever)</t>
  </si>
  <si>
    <t>2026-01-0005</t>
  </si>
  <si>
    <t>RIVAS, JOSEPH S.</t>
  </si>
  <si>
    <t>INFRA</t>
  </si>
  <si>
    <t>Electrician General Forman</t>
  </si>
  <si>
    <t>OK</t>
  </si>
  <si>
    <t>2026-01-0012</t>
  </si>
  <si>
    <t>ESTAPON, LESLIE DC.</t>
  </si>
  <si>
    <t>ACCTG.</t>
  </si>
  <si>
    <t>Administrative Asst. II</t>
  </si>
  <si>
    <t>Payroll</t>
  </si>
  <si>
    <t>2026-01-0013</t>
  </si>
  <si>
    <t>LOZANO, ADRIAN D.</t>
  </si>
  <si>
    <t>GENERAL PAYROLL</t>
  </si>
  <si>
    <t>Prepared by: Jonalyn T. Tolero</t>
  </si>
  <si>
    <t>We hereby acknowledge to have received from Valentina S. Cagumbay, Admin. Officer III, the sums herein specified opposite our respective names, being in full compensation of our</t>
  </si>
  <si>
    <t>services for the period of February 16-28, 2026</t>
  </si>
  <si>
    <t>Number of Days</t>
  </si>
  <si>
    <t>Salary per Day</t>
  </si>
  <si>
    <t>Half Month Salary</t>
  </si>
  <si>
    <t>Less</t>
  </si>
  <si>
    <t>add/less</t>
  </si>
  <si>
    <t>GROSS AMOUNT</t>
  </si>
  <si>
    <t>Total Net Received</t>
  </si>
  <si>
    <t>Absences</t>
  </si>
  <si>
    <t>Late/UT</t>
  </si>
  <si>
    <t>Absences/Late/UT</t>
  </si>
  <si>
    <t>Total
Absences/Late/UT</t>
  </si>
  <si>
    <t>Other Adjustment (Clothing - ATIEA Deductions)</t>
  </si>
  <si>
    <t>Accommodation for the Month of</t>
  </si>
  <si>
    <t>Water</t>
  </si>
  <si>
    <t>Electric</t>
  </si>
  <si>
    <t>February 1-15, 2026</t>
  </si>
  <si>
    <t>February 16-28, 2026</t>
  </si>
  <si>
    <t>ACCTG</t>
  </si>
  <si>
    <t>CERTIFIED: Services duty rendered as stated.</t>
  </si>
  <si>
    <t>APPROVED:</t>
  </si>
  <si>
    <t>MARISA O. GALGO</t>
  </si>
  <si>
    <t>REMELYN R. RECOTER, MNSA, CESO III</t>
  </si>
  <si>
    <t>AO V, HRMO, Admin Unit</t>
  </si>
  <si>
    <t>Director IV</t>
  </si>
  <si>
    <t>CERTIFIED: Supporting documents complete and proper and</t>
  </si>
  <si>
    <t>CERTIFIED: Each employee whose name appears above has been paid the amount</t>
  </si>
  <si>
    <t xml:space="preserve">               cash available in the amount of</t>
  </si>
  <si>
    <t xml:space="preserve">                      indicated opposite on his/her name.</t>
  </si>
  <si>
    <t>ALOBS No.</t>
  </si>
  <si>
    <t>Date:</t>
  </si>
  <si>
    <t>JBV No.</t>
  </si>
  <si>
    <t>GILLIAN ROSE L. SALUIB</t>
  </si>
  <si>
    <t>JOSEFINA M. DELOS SANTOS</t>
  </si>
  <si>
    <t>Accountant III, Head Finance Unit</t>
  </si>
  <si>
    <t xml:space="preserve"> AO I, Disbursing Officer</t>
  </si>
  <si>
    <t>Date</t>
  </si>
  <si>
    <t>services for the period of January 1-15, 2024</t>
  </si>
  <si>
    <t>Other Adjustment</t>
  </si>
  <si>
    <t>December 1-15, 2023</t>
  </si>
  <si>
    <t>December 16-31, 2023</t>
  </si>
  <si>
    <t>General Services (GSS)</t>
  </si>
  <si>
    <t/>
  </si>
  <si>
    <t>COA</t>
  </si>
  <si>
    <t>BAC</t>
  </si>
  <si>
    <t>Property Office</t>
  </si>
  <si>
    <t>AO V, HRMO-AFU-OD</t>
  </si>
  <si>
    <t>JOAN E. SINGSON</t>
  </si>
  <si>
    <t>VALENTINA S. CAGUMBAY</t>
  </si>
  <si>
    <t>Accountant III</t>
  </si>
  <si>
    <t>Disbursing Officer</t>
  </si>
  <si>
    <t>Records Office</t>
  </si>
  <si>
    <t>Human Resource Management Office (HRMO)</t>
  </si>
  <si>
    <t>Budget Office</t>
  </si>
  <si>
    <t>Accounting Office</t>
  </si>
  <si>
    <t>Internal Audit Unit (IAU)</t>
  </si>
  <si>
    <t>ISO</t>
  </si>
  <si>
    <t>TXTLIST FOR THE PERIOD OF</t>
  </si>
  <si>
    <t>NAME</t>
  </si>
  <si>
    <t>AMOUNT</t>
  </si>
  <si>
    <t>SERIES</t>
  </si>
  <si>
    <t>CODE</t>
  </si>
  <si>
    <t>NO.</t>
  </si>
  <si>
    <t>OFFICE</t>
  </si>
  <si>
    <t>POSITION</t>
  </si>
  <si>
    <t>AUSTRIA, CHRISTIAN JOCEF B.</t>
  </si>
  <si>
    <t>CDMD</t>
  </si>
  <si>
    <t>SALVANIA, DIANNE MARIE U.</t>
  </si>
  <si>
    <t>Development Mngt. Officer I</t>
  </si>
  <si>
    <t>MONTIEL, KRISTEL DIANNE A.</t>
  </si>
  <si>
    <t>KATIPUNAN, JERUSHA KYLE ANGELA M.</t>
  </si>
  <si>
    <t>ESMER, GLECY R.</t>
  </si>
  <si>
    <t>PPD</t>
  </si>
  <si>
    <t>AGUILAR, ROXETTE</t>
  </si>
  <si>
    <t>Planning Officer I</t>
  </si>
  <si>
    <t>ANTIPAS, ANDREA JANE M.</t>
  </si>
  <si>
    <t>ISD</t>
  </si>
  <si>
    <t>GABAO, JENNY ROSE B.</t>
  </si>
  <si>
    <t>Information Officer I</t>
  </si>
  <si>
    <t>LAMPAS, CHRISTIAN JOSEPH P</t>
  </si>
  <si>
    <t>Computer Maintenance Tech. I</t>
  </si>
  <si>
    <t>MANDANI, AVE M.</t>
  </si>
  <si>
    <t>Bookbinder III</t>
  </si>
  <si>
    <t>PERNIA, JONAS S.</t>
  </si>
  <si>
    <t>SAREFE, ANGELIA KAY N.</t>
  </si>
  <si>
    <t>BALANGATAN, JUN CHRISTOPHER C.</t>
  </si>
  <si>
    <t>Media Production Specialist I</t>
  </si>
  <si>
    <t>MAGOS, LIYANNE L.</t>
  </si>
  <si>
    <t>ADO</t>
  </si>
  <si>
    <t>DE GUZMAN, SWEET JESSABEL M.</t>
  </si>
  <si>
    <t>Information Officer II</t>
  </si>
  <si>
    <t>MARTIN, RENALYN J. II</t>
  </si>
  <si>
    <t>BGT.</t>
  </si>
  <si>
    <t>SALVA, IRENE U</t>
  </si>
  <si>
    <t>CRUZ, CLAIRE JOYCE B.</t>
  </si>
  <si>
    <t>BESOL, MAY C.</t>
  </si>
  <si>
    <t>PARDO, KHEVIN A.</t>
  </si>
  <si>
    <t>Administrative Asst. V</t>
  </si>
  <si>
    <t>BABAT, JUNE SHERYLL KAYE L.</t>
  </si>
  <si>
    <t>FERNANDEZ, YARI E.</t>
  </si>
  <si>
    <t>SALVANIA, JEFFREY</t>
  </si>
  <si>
    <t>LUCHANA, NENITA</t>
  </si>
  <si>
    <t>TUPARAN, DOMINIQUE P.</t>
  </si>
  <si>
    <t>HRM</t>
  </si>
  <si>
    <t>Training Specialist II</t>
  </si>
  <si>
    <t>TOLERO, JONALYN T.</t>
  </si>
  <si>
    <t>NEPOMUCENO, JHEY ANN M.</t>
  </si>
  <si>
    <t>IAU</t>
  </si>
  <si>
    <t>RABINO, MA.RUBEN ANA D.</t>
  </si>
  <si>
    <t xml:space="preserve">CAPONGCOL, MARY JANE </t>
  </si>
  <si>
    <t>RCRDS</t>
  </si>
  <si>
    <t>CUARTERON, JOSEN L.</t>
  </si>
  <si>
    <t>GSS</t>
  </si>
  <si>
    <t>Administrative Asst. I</t>
  </si>
  <si>
    <t>FLORES, JOPETER C.</t>
  </si>
  <si>
    <t>Administrative Asst. I (Driver/Driver Mechanic)</t>
  </si>
  <si>
    <t>CATUBAY, ELVIS JOHN L.</t>
  </si>
  <si>
    <t>MARCELO, FERDINAND S.</t>
  </si>
  <si>
    <t xml:space="preserve">TAPIADOR, JACKSON T. </t>
  </si>
  <si>
    <t>PERALTA, JONEL</t>
  </si>
  <si>
    <t>Civil Engineer II</t>
  </si>
  <si>
    <t>Electrician I</t>
  </si>
  <si>
    <t>EDORIA, CLEMENT PAUL P.</t>
  </si>
  <si>
    <t>Electrical Engineer II</t>
  </si>
  <si>
    <t>GOMEZ, SEVEN</t>
  </si>
  <si>
    <t>LORENA, SUSAN G</t>
  </si>
  <si>
    <t>MELCHOR, LYNDON G.</t>
  </si>
  <si>
    <t>ZAFRA, JOHN IAN M.</t>
  </si>
  <si>
    <t>GAGUCAS, MICHAEL B.</t>
  </si>
  <si>
    <t>SMS</t>
  </si>
  <si>
    <t>DE GUZMAN, JHOUSWELL LEE MELVIN B.</t>
  </si>
  <si>
    <t>AKUT, FILSAN G.</t>
  </si>
  <si>
    <t>CELOCIA, ROSELY-ANN G.</t>
  </si>
  <si>
    <t>DO</t>
  </si>
  <si>
    <t>BRUZON, ANGENNITTE F.</t>
  </si>
  <si>
    <t>PAD</t>
  </si>
  <si>
    <t>INTERNO, JUSTIN PAOLO D.</t>
  </si>
  <si>
    <t>Agriculturist II</t>
  </si>
  <si>
    <t>VELEZ, JOHN CARL ACE B.</t>
  </si>
  <si>
    <t>Development Management Officer II</t>
  </si>
  <si>
    <t>TURDA, HERSHEY M.</t>
  </si>
  <si>
    <t>BADILLO, ALBINO M.</t>
  </si>
  <si>
    <t>Administrative Aide VI (Gardener)</t>
  </si>
  <si>
    <t>BELO, JOSHUA G.</t>
  </si>
  <si>
    <t>ABCEDE, DIANNE P.</t>
  </si>
  <si>
    <t>Development Management Officer I</t>
  </si>
  <si>
    <t>MEJIA, JONNIEL</t>
  </si>
  <si>
    <t>Administrative Aide VI</t>
  </si>
  <si>
    <t>SALARY GRADE</t>
  </si>
  <si>
    <t>RATE</t>
  </si>
  <si>
    <t>Current</t>
  </si>
  <si>
    <t>,</t>
  </si>
  <si>
    <t>Partnership &amp; Accreditation Division (PAD)</t>
  </si>
  <si>
    <t>Policy and Planning Division (PPD)</t>
  </si>
  <si>
    <t>GAM SERIES</t>
  </si>
  <si>
    <t>PAYEE</t>
  </si>
  <si>
    <t>PAP</t>
  </si>
  <si>
    <t>Career Development and Management Division (CDMD)</t>
  </si>
  <si>
    <t>7th</t>
  </si>
  <si>
    <t>Information Service Division (ISD)</t>
  </si>
  <si>
    <t>02-101101-2023-01-000001</t>
  </si>
  <si>
    <t>ARLENE GEMINIANA S. NILO</t>
  </si>
  <si>
    <t>GMS</t>
  </si>
  <si>
    <t>Assistant Director Office</t>
  </si>
  <si>
    <t>Office of the Director</t>
  </si>
  <si>
    <t>02-101101-2023-01-000002</t>
  </si>
  <si>
    <t>PLDT</t>
  </si>
  <si>
    <t>02-101101-2023-01-000003</t>
  </si>
  <si>
    <t>02-101101-2023-01-000004</t>
  </si>
  <si>
    <t>REMELYN R. RECOTER</t>
  </si>
  <si>
    <t>02-101101-2023-01-000005</t>
  </si>
  <si>
    <t>ATI GUESTHOUSE REVOLVING FUND</t>
  </si>
  <si>
    <t>OTHER ESETS</t>
  </si>
  <si>
    <t>02-101101-2023-01-000006</t>
  </si>
  <si>
    <t>TJS CLEAR ART</t>
  </si>
  <si>
    <t>02-101101-2023-01-000007</t>
  </si>
  <si>
    <t>SWEET JESSABEL M. DE GUZMAN</t>
  </si>
  <si>
    <t>02-101101-2023-01-000008</t>
  </si>
  <si>
    <t>LIYANNE L. MAGOS</t>
  </si>
  <si>
    <t>02-101101-2023-01-000009</t>
  </si>
  <si>
    <t>ROSELY-ANN G. CELOCIA</t>
  </si>
  <si>
    <t>02-101101-2023-01-000010</t>
  </si>
  <si>
    <t>ANGENNITTE F. BRUZON</t>
  </si>
  <si>
    <t>02-101101-2023-01-000011</t>
  </si>
  <si>
    <t>MA. RUBEN ANA D. RUBINO</t>
  </si>
  <si>
    <t>02-101101-2023-01-000012</t>
  </si>
  <si>
    <t>JHEY ANN M. NEPOMUCENO</t>
  </si>
  <si>
    <t>02-101101-2023-01-000013</t>
  </si>
  <si>
    <t>JONEL PERALTA</t>
  </si>
  <si>
    <t>02-101101-2023-01-000014</t>
  </si>
  <si>
    <t>CLEMENT PAUL P. EDORIA</t>
  </si>
  <si>
    <t>02-101101-2023-01-000015</t>
  </si>
  <si>
    <t>JOSEPH S. RIVAS</t>
  </si>
  <si>
    <t>02-101101-2023-01-000016</t>
  </si>
  <si>
    <t>ELVIS JOHN L. CATUBAY</t>
  </si>
  <si>
    <t>02-101101-2023-01-000017</t>
  </si>
  <si>
    <t>JOPETER C. FLORES</t>
  </si>
  <si>
    <t>02-101101-2023-01-000018</t>
  </si>
  <si>
    <t>JOSEN L. CUARTERON</t>
  </si>
  <si>
    <t>02-101101-2023-01-000019</t>
  </si>
  <si>
    <t>JACKSON T. TAPIADOR</t>
  </si>
  <si>
    <t>02-101101-2023-01-000020</t>
  </si>
  <si>
    <t>FERDINAND D. MARCELO</t>
  </si>
  <si>
    <t>02-101101-2023-01-000021</t>
  </si>
  <si>
    <t>JHOUSWELL LEE MELVIN B. DE GUZMAN</t>
  </si>
  <si>
    <t>02-101101-2023-01-000022</t>
  </si>
  <si>
    <t>MICHAEL B. GAGUCAS</t>
  </si>
  <si>
    <t>02-101101-2023-01-000023</t>
  </si>
  <si>
    <t>MARY JANE CAPONGCOL</t>
  </si>
  <si>
    <t>02-101101-2023-01-000024</t>
  </si>
  <si>
    <t>JOHN IAN M. ZAFRA</t>
  </si>
  <si>
    <t>02-101101-2023-01-000025</t>
  </si>
  <si>
    <t>GLENN A. JUMUAD</t>
  </si>
  <si>
    <t>01-101101-2023-01-000026</t>
  </si>
  <si>
    <t>ATI PAYROLL FUND</t>
  </si>
  <si>
    <t>02-101101-2023-01-000027</t>
  </si>
  <si>
    <t>URDUJA SECURITY SERVICES, INC.</t>
  </si>
  <si>
    <t>02-101101-2023-01-000028</t>
  </si>
  <si>
    <t>JA CLEANWELL MAINTENANCE SERVICES, INC.</t>
  </si>
  <si>
    <t>02-101101-2023-01-000029</t>
  </si>
  <si>
    <t>MANILA WATER COMPANY, INC.</t>
  </si>
  <si>
    <t>01-104102-2023-01-000030</t>
  </si>
  <si>
    <t>GSIS</t>
  </si>
  <si>
    <t>01-101101-2023-01-000031</t>
  </si>
  <si>
    <t>01-101101-2023-01-000032</t>
  </si>
  <si>
    <t>HDMF</t>
  </si>
  <si>
    <t>01-101101-2023-01-000033</t>
  </si>
  <si>
    <t>PHIC</t>
  </si>
  <si>
    <t>02-101101-2023-01-000034</t>
  </si>
  <si>
    <t>HVCDP</t>
  </si>
  <si>
    <t>02-101101-2023-01-000035</t>
  </si>
  <si>
    <t>02-101101-2023-01-000036</t>
  </si>
  <si>
    <t>02-101101-2023-01-000037</t>
  </si>
  <si>
    <t>02-101101-2023-01-000038</t>
  </si>
  <si>
    <t>02-101101-2023-01-000039</t>
  </si>
  <si>
    <t>02-101101-2023-01-000040</t>
  </si>
  <si>
    <t>LIGHT ENERGY ENTERPRISE</t>
  </si>
  <si>
    <t>02-101101-2023-01-000041</t>
  </si>
  <si>
    <t>ROMERMART AUBIGNE PENAMORA</t>
  </si>
  <si>
    <t>02-101101-2023-01-000042</t>
  </si>
  <si>
    <t>LIAN JANELLE DR. VALENCIA</t>
  </si>
  <si>
    <t>02-101101-2023-01-000043</t>
  </si>
  <si>
    <t>HERSHEY M. TURDA</t>
  </si>
  <si>
    <t>CORN</t>
  </si>
  <si>
    <t>02-101101-2023-01-000044</t>
  </si>
  <si>
    <t>SMART COMMUNICATIONS, INC</t>
  </si>
  <si>
    <t>02-101101-2023-01-000045</t>
  </si>
  <si>
    <t>JONALYN T. TOLERO</t>
  </si>
  <si>
    <t>02-101101-2023-01-000046</t>
  </si>
  <si>
    <t>DOMINIQUE P. TUPARAN</t>
  </si>
  <si>
    <t>02-101101-2023-01-000047</t>
  </si>
  <si>
    <t>RENALYN J. MARTIN II</t>
  </si>
  <si>
    <t>02-101101-2023-01-000048</t>
  </si>
  <si>
    <t>IRENE U. SALVA</t>
  </si>
  <si>
    <t>02-101101-2023-01-000049</t>
  </si>
  <si>
    <t>JUNE SHERYLL KAYE L. BABAT</t>
  </si>
  <si>
    <t>RICE</t>
  </si>
  <si>
    <t>02-101101-2023-01-000050</t>
  </si>
  <si>
    <t>MAY C. BESOL</t>
  </si>
  <si>
    <t>02-101101-2023-01-000051</t>
  </si>
  <si>
    <t>CLAIRE JOYCE B. CRUZ</t>
  </si>
  <si>
    <t>02-101101-2023-01-000052</t>
  </si>
  <si>
    <t>YARI E. FERNANDEZ</t>
  </si>
  <si>
    <t>02-101101-2023-01-000053</t>
  </si>
  <si>
    <t>NENITA V. LUCHANA</t>
  </si>
  <si>
    <t>02-101101-2023-01-000054</t>
  </si>
  <si>
    <t>KHEVIN A. PARDO</t>
  </si>
  <si>
    <t>02-101101-2023-01-000055</t>
  </si>
  <si>
    <t>JEFFREY SALVANIA</t>
  </si>
  <si>
    <t>02-101101-2023-01-000056</t>
  </si>
  <si>
    <t>FILSAN G AKUT</t>
  </si>
  <si>
    <t>02-101101-2023-01-000057</t>
  </si>
  <si>
    <t>SUSAN G. LORENA</t>
  </si>
  <si>
    <t>02-101101-2023-01-000058</t>
  </si>
  <si>
    <t>LYNDON G. MELCHOR</t>
  </si>
  <si>
    <t>02-101101-2023-01-000059</t>
  </si>
  <si>
    <t>ROXETTE GELYN R. AGUILAR</t>
  </si>
  <si>
    <t>02-101101-2023-01-000060</t>
  </si>
  <si>
    <t>GLECY R. ESMER</t>
  </si>
  <si>
    <t>02-101101-2023-01-000061</t>
  </si>
  <si>
    <t>CHRISTIAN JOCEF B. AUSTRIA</t>
  </si>
  <si>
    <t>02-101101-2023-01-000062</t>
  </si>
  <si>
    <t>KRISTEL DIANNE A. MONTIEL</t>
  </si>
  <si>
    <t>02-101101-2023-01-000063</t>
  </si>
  <si>
    <t>JERUSHA KYLE ANGELA M. KATIPUNAN</t>
  </si>
  <si>
    <t>02-101101-2023-01-000064</t>
  </si>
  <si>
    <t>DIANNE MARIE U. SALVANIA</t>
  </si>
  <si>
    <t>02-101101-2023-01-000065</t>
  </si>
  <si>
    <t>DIANNE P. ABCEDE</t>
  </si>
  <si>
    <t>02-101101-2023-01-000066</t>
  </si>
  <si>
    <t>ALBINO M. BADILLO</t>
  </si>
  <si>
    <t>FPMA</t>
  </si>
  <si>
    <t>02-101101-2023-01-000067</t>
  </si>
  <si>
    <t>JOSHUA G BELO</t>
  </si>
  <si>
    <t>02-101101-2023-01-000068</t>
  </si>
  <si>
    <t>JUSTIN PAOLO D. INTERNO</t>
  </si>
  <si>
    <t>02-101101-2023-01-000069</t>
  </si>
  <si>
    <t>LUIS E JARABESE</t>
  </si>
  <si>
    <t>02-101101-2023-01-000070</t>
  </si>
  <si>
    <t>02-101101-2023-01-000071</t>
  </si>
  <si>
    <t>JOHN CARL ACE B. VELEZ</t>
  </si>
  <si>
    <t>02-101101-2023-01-000072</t>
  </si>
  <si>
    <t>ANDREA JANE M. ANTIPAS</t>
  </si>
  <si>
    <t>02-101101-2023-01-000073</t>
  </si>
  <si>
    <t>JUN CHRISTOPHER C. BALANGATAN</t>
  </si>
  <si>
    <t>02-101101-2023-01-000074</t>
  </si>
  <si>
    <t>JENNY ROSE B. GABAO</t>
  </si>
  <si>
    <t>02-101101-2023-01-000075</t>
  </si>
  <si>
    <t>CHRISTIAN JOSEPH P. LAMPAS</t>
  </si>
  <si>
    <t>02-101101-2023-01-000076</t>
  </si>
  <si>
    <t>AVE M. MANDANI</t>
  </si>
  <si>
    <t>02-101101-2023-01-000077</t>
  </si>
  <si>
    <t>JONAS PERNIA</t>
  </si>
  <si>
    <t>02-101101-2023-01-000078</t>
  </si>
  <si>
    <t>ANGELIA KAY N. SAREFE</t>
  </si>
  <si>
    <t>02-101101-2023-01-000079</t>
  </si>
  <si>
    <t>GOVERNMENT SERVICE INSURANCE SYSTEM</t>
  </si>
  <si>
    <t>02-101101-2023-01-000080</t>
  </si>
  <si>
    <t>02-101101-2023-01-000081</t>
  </si>
  <si>
    <t>02-101101-2023-01-000082</t>
  </si>
  <si>
    <t>CENTREX CORPORATION</t>
  </si>
  <si>
    <t>02-101101-2023-01-000083</t>
  </si>
  <si>
    <t>PUNO FOOD SERVICES</t>
  </si>
  <si>
    <t>02-101101-2023-01-000084</t>
  </si>
  <si>
    <t>TOYOTA QUEZON AVENUE, INC.</t>
  </si>
  <si>
    <t>02-101101-2023-01-000085</t>
  </si>
  <si>
    <t>E-COPY CORPORATION</t>
  </si>
  <si>
    <t>02-101101-2023-01-000086</t>
  </si>
  <si>
    <t>KING OF KINGS TRADING</t>
  </si>
  <si>
    <t>02-101101-2023-01-000087</t>
  </si>
  <si>
    <t>02-101101-2023-01-000088</t>
  </si>
  <si>
    <t>02-101101-2023-01-000089</t>
  </si>
  <si>
    <t>AZAFRAN CATERING SERVICES</t>
  </si>
  <si>
    <t>02-101101-2023-01-000090</t>
  </si>
  <si>
    <t>02-101101-2023-01-000091</t>
  </si>
  <si>
    <t>BASIL F. NUÑEZ</t>
  </si>
  <si>
    <t>02-101101-2023-01-000092</t>
  </si>
  <si>
    <t>02-101101-2023-01-000093</t>
  </si>
  <si>
    <t>CINDY C. ALFONSO</t>
  </si>
  <si>
    <t>02-101101-2023-01-000094</t>
  </si>
  <si>
    <t>GODRICK M. ESPEÑA</t>
  </si>
  <si>
    <t>02-101101-2023-01-000095</t>
  </si>
  <si>
    <t>BERNARD JAMES R. TANDANG</t>
  </si>
  <si>
    <t>02-101101-2023-01-000096</t>
  </si>
  <si>
    <t>RACHEL R. RAVAL</t>
  </si>
  <si>
    <t>02-101101-2023-01-000097</t>
  </si>
  <si>
    <t>ROYSON R. DELA CRUZ</t>
  </si>
  <si>
    <t>02-101101-2023-01-000098</t>
  </si>
  <si>
    <t>CHANDRA RACHEL C. PANOL</t>
  </si>
  <si>
    <t>02-101101-2023-01-000099</t>
  </si>
  <si>
    <t>JOSHUA G. ANINACION</t>
  </si>
  <si>
    <t>02-101101-2023-01-000100</t>
  </si>
  <si>
    <t>G. MARK ANTHONY C. ALFORQUE I</t>
  </si>
  <si>
    <t>02-101101-2023-01-000101</t>
  </si>
  <si>
    <t>02-101101-2023-01-000102</t>
  </si>
  <si>
    <t>MOO C. RODRIGUEZ</t>
  </si>
  <si>
    <t>02-101101-2023-01-000103</t>
  </si>
  <si>
    <t>REIN C. LAO</t>
  </si>
  <si>
    <t>02-101101-2023-01-000104</t>
  </si>
  <si>
    <t>KIM MAVERICK C. NARVAEZ</t>
  </si>
  <si>
    <t>02-101101-2023-01-000105</t>
  </si>
  <si>
    <t>ERICKA SHANE R. LABILLES</t>
  </si>
  <si>
    <t>02-101101-2023-01-000106</t>
  </si>
  <si>
    <t>LYKA B. MERCADER</t>
  </si>
  <si>
    <t>02-101101-2023-01-000107</t>
  </si>
  <si>
    <t>GAY RITCHEL GQ. DIANALA</t>
  </si>
  <si>
    <t>02-101101-2023-01-000108</t>
  </si>
  <si>
    <t>ARNEL R. BUNDA</t>
  </si>
  <si>
    <t>02-101101-2023-01-000109</t>
  </si>
  <si>
    <t>MARK NELLO B. ALVAREZ</t>
  </si>
  <si>
    <t>02-101101-2023-01-000110</t>
  </si>
  <si>
    <t>ROSE ANN P. LEONOR</t>
  </si>
  <si>
    <t>02-101101-2023-01-000111</t>
  </si>
  <si>
    <t>RENELLE JOY A. TABINAS</t>
  </si>
  <si>
    <t>02-101101-2023-01-000112</t>
  </si>
  <si>
    <t>02-101101-2023-01-000113</t>
  </si>
  <si>
    <t>02-101101-2023-01-000114</t>
  </si>
  <si>
    <t>EAST SHERPA MANAGEMENT TRAINING AND CONSULTING SERVICES</t>
  </si>
  <si>
    <t>02-101101-2023-01-000115</t>
  </si>
  <si>
    <t>COSTALES NATURE FARMS, INC.</t>
  </si>
  <si>
    <t>02-101101-2023-01-000116</t>
  </si>
  <si>
    <t>MERALCO</t>
  </si>
  <si>
    <t>02-101101-2023-01-000117</t>
  </si>
  <si>
    <t>HACIENDA GRACIA RESORT AND HOTEL</t>
  </si>
  <si>
    <t>AGRICULTURAL TRAINING INSTITUTE - CENTRAL OFFICE</t>
  </si>
  <si>
    <t>JOB ORDER 20% PREMIUM GENERAL PAYROLL</t>
  </si>
  <si>
    <t>ACTUAL GROSS SALARY RECEIVED</t>
  </si>
  <si>
    <t>FOR THE PERIOD OF JANUARY TO JUNE FY 2023</t>
  </si>
  <si>
    <t>Expanded Tax Exempt</t>
  </si>
  <si>
    <t>JANUARY</t>
  </si>
  <si>
    <t>FEBRUARY</t>
  </si>
  <si>
    <t>MARCH</t>
  </si>
  <si>
    <t>APRIL</t>
  </si>
  <si>
    <t>MAY</t>
  </si>
  <si>
    <t>JUNE</t>
  </si>
  <si>
    <t>20% PREMIUM</t>
  </si>
  <si>
    <t>NET RECEIVED</t>
  </si>
  <si>
    <t>1 - 15</t>
  </si>
  <si>
    <t>16 - 31</t>
  </si>
  <si>
    <t>1 - 31</t>
  </si>
  <si>
    <t>16 - 28</t>
  </si>
  <si>
    <t>1 - 28</t>
  </si>
  <si>
    <t>16 - 30</t>
  </si>
  <si>
    <t>JAN. TO JUNE</t>
  </si>
  <si>
    <t>9</t>
  </si>
  <si>
    <t>2024-10-86</t>
  </si>
  <si>
    <t>LEGEND:</t>
  </si>
  <si>
    <t>NO TAX EXEMPTION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</si>
</sst>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_-;\-* #,##0.00_-;_-* &quot;-&quot;??_-;_-@"/>
    <numFmt numFmtId="165" formatCode="h&quot;:&quot;mm&quot; &quot;AM/PM"/>
    <numFmt numFmtId="166" formatCode="mmm\ d\,\ yyyy"/>
    <numFmt numFmtId="167" formatCode="m/d/yyyy"/>
    <numFmt numFmtId="168" formatCode="#,##0.00;\(#,##0.00\)"/>
    <numFmt numFmtId="169" formatCode="yyyy\-mm\-dd"/>
  </numFmts>
  <fonts count="19">
    <font>
      <sz val="11.0"/>
      <color theme="1"/>
      <name val="Calibri"/>
      <scheme val="minor"/>
    </font>
    <font>
      <b/>
      <sz val="2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20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i/>
      <sz val="11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/>
    <font>
      <b/>
      <i/>
      <sz val="11.0"/>
      <color theme="1"/>
      <name val="Calibri"/>
    </font>
    <font>
      <b/>
      <sz val="8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2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8EAADB"/>
        <bgColor rgb="FF8EAADB"/>
      </patternFill>
    </fill>
    <fill>
      <patternFill patternType="solid">
        <fgColor rgb="FFFEF2CB"/>
        <bgColor rgb="FFFEF2CB"/>
      </patternFill>
    </fill>
    <fill>
      <patternFill patternType="solid">
        <fgColor rgb="FFF4CCCC"/>
        <bgColor rgb="FFF4CCCC"/>
      </patternFill>
    </fill>
    <fill>
      <patternFill patternType="solid">
        <fgColor rgb="FFC5E0B3"/>
        <bgColor rgb="FFC5E0B3"/>
      </patternFill>
    </fill>
    <fill>
      <patternFill patternType="solid">
        <fgColor rgb="FFCCCCFF"/>
        <bgColor rgb="FFCCCCFF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horizontal="left"/>
    </xf>
    <xf borderId="0" fillId="0" fontId="2" numFmtId="14" xfId="0" applyFont="1" applyNumberFormat="1"/>
    <xf borderId="0" fillId="0" fontId="3" numFmtId="0" xfId="0" applyAlignment="1" applyFont="1">
      <alignment horizontal="center"/>
    </xf>
    <xf borderId="0" fillId="0" fontId="2" numFmtId="164" xfId="0" applyFont="1" applyNumberFormat="1"/>
    <xf borderId="0" fillId="0" fontId="2" numFmtId="1" xfId="0" applyAlignment="1" applyFont="1" applyNumberFormat="1">
      <alignment horizontal="center"/>
    </xf>
    <xf borderId="0" fillId="0" fontId="2" numFmtId="2" xfId="0" applyFont="1" applyNumberForma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164" xfId="0" applyFont="1" applyNumberFormat="1"/>
    <xf borderId="1" fillId="2" fontId="8" numFmtId="0" xfId="0" applyAlignment="1" applyBorder="1" applyFill="1" applyFont="1">
      <alignment horizontal="center" vertical="center"/>
    </xf>
    <xf borderId="1" fillId="2" fontId="8" numFmtId="0" xfId="0" applyAlignment="1" applyBorder="1" applyFont="1">
      <alignment horizontal="left" vertical="center"/>
    </xf>
    <xf borderId="1" fillId="2" fontId="8" numFmtId="14" xfId="0" applyAlignment="1" applyBorder="1" applyFont="1" applyNumberFormat="1">
      <alignment horizontal="left" vertical="center"/>
    </xf>
    <xf borderId="2" fillId="2" fontId="8" numFmtId="14" xfId="0" applyAlignment="1" applyBorder="1" applyFont="1" applyNumberFormat="1">
      <alignment horizontal="center" vertical="center"/>
    </xf>
    <xf borderId="1" fillId="2" fontId="9" numFmtId="164" xfId="0" applyAlignment="1" applyBorder="1" applyFont="1" applyNumberFormat="1">
      <alignment horizontal="center" vertical="center"/>
    </xf>
    <xf borderId="1" fillId="2" fontId="9" numFmtId="164" xfId="0" applyAlignment="1" applyBorder="1" applyFont="1" applyNumberFormat="1">
      <alignment horizontal="center" shrinkToFit="0" vertical="center" wrapText="1"/>
    </xf>
    <xf borderId="3" fillId="2" fontId="9" numFmtId="164" xfId="0" applyAlignment="1" applyBorder="1" applyFont="1" applyNumberFormat="1">
      <alignment horizontal="center" shrinkToFit="0" vertical="center" wrapText="1"/>
    </xf>
    <xf borderId="4" fillId="0" fontId="10" numFmtId="0" xfId="0" applyBorder="1" applyFont="1"/>
    <xf borderId="1" fillId="2" fontId="8" numFmtId="164" xfId="0" applyAlignment="1" applyBorder="1" applyFont="1" applyNumberFormat="1">
      <alignment horizontal="center" vertical="center"/>
    </xf>
    <xf borderId="1" fillId="2" fontId="8" numFmtId="1" xfId="0" applyAlignment="1" applyBorder="1" applyFont="1" applyNumberFormat="1">
      <alignment horizontal="center" shrinkToFit="0" vertical="center" wrapText="1"/>
    </xf>
    <xf borderId="1" fillId="2" fontId="8" numFmtId="164" xfId="0" applyAlignment="1" applyBorder="1" applyFont="1" applyNumberFormat="1">
      <alignment horizontal="center" shrinkToFit="0" vertical="center" wrapText="1"/>
    </xf>
    <xf borderId="5" fillId="3" fontId="3" numFmtId="0" xfId="0" applyAlignment="1" applyBorder="1" applyFill="1" applyFont="1">
      <alignment horizontal="center" readingOrder="0"/>
    </xf>
    <xf borderId="6" fillId="0" fontId="10" numFmtId="0" xfId="0" applyBorder="1" applyFont="1"/>
    <xf borderId="7" fillId="0" fontId="10" numFmtId="0" xfId="0" applyBorder="1" applyFont="1"/>
    <xf borderId="5" fillId="3" fontId="3" numFmtId="0" xfId="0" applyAlignment="1" applyBorder="1" applyFont="1">
      <alignment horizontal="center"/>
    </xf>
    <xf borderId="5" fillId="4" fontId="3" numFmtId="0" xfId="0" applyAlignment="1" applyBorder="1" applyFill="1" applyFont="1">
      <alignment horizontal="center" readingOrder="0"/>
    </xf>
    <xf borderId="5" fillId="4" fontId="3" numFmtId="0" xfId="0" applyAlignment="1" applyBorder="1" applyFont="1">
      <alignment horizontal="center"/>
    </xf>
    <xf borderId="5" fillId="5" fontId="3" numFmtId="0" xfId="0" applyAlignment="1" applyBorder="1" applyFill="1" applyFont="1">
      <alignment horizontal="center"/>
    </xf>
    <xf borderId="5" fillId="6" fontId="3" numFmtId="164" xfId="0" applyAlignment="1" applyBorder="1" applyFill="1" applyFont="1" applyNumberFormat="1">
      <alignment horizontal="center"/>
    </xf>
    <xf borderId="5" fillId="7" fontId="3" numFmtId="164" xfId="0" applyAlignment="1" applyBorder="1" applyFill="1" applyFont="1" applyNumberFormat="1">
      <alignment horizontal="center" vertical="center"/>
    </xf>
    <xf borderId="5" fillId="2" fontId="8" numFmtId="164" xfId="0" applyAlignment="1" applyBorder="1" applyFont="1" applyNumberFormat="1">
      <alignment horizontal="center"/>
    </xf>
    <xf borderId="8" fillId="7" fontId="3" numFmtId="164" xfId="0" applyAlignment="1" applyBorder="1" applyFont="1" applyNumberFormat="1">
      <alignment vertical="center"/>
    </xf>
    <xf borderId="9" fillId="2" fontId="9" numFmtId="164" xfId="0" applyAlignment="1" applyBorder="1" applyFont="1" applyNumberFormat="1">
      <alignment horizontal="center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10" fillId="0" fontId="10" numFmtId="0" xfId="0" applyBorder="1" applyFont="1"/>
    <xf borderId="11" fillId="2" fontId="8" numFmtId="14" xfId="0" applyAlignment="1" applyBorder="1" applyFont="1" applyNumberFormat="1">
      <alignment horizontal="center" vertical="center"/>
    </xf>
    <xf borderId="12" fillId="0" fontId="10" numFmtId="0" xfId="0" applyBorder="1" applyFont="1"/>
    <xf borderId="13" fillId="0" fontId="10" numFmtId="0" xfId="0" applyBorder="1" applyFont="1"/>
    <xf borderId="8" fillId="3" fontId="11" numFmtId="164" xfId="0" applyAlignment="1" applyBorder="1" applyFont="1" applyNumberFormat="1">
      <alignment horizontal="center" vertical="center"/>
    </xf>
    <xf borderId="8" fillId="3" fontId="3" numFmtId="0" xfId="0" applyAlignment="1" applyBorder="1" applyFont="1">
      <alignment vertical="center"/>
    </xf>
    <xf borderId="5" fillId="3" fontId="3" numFmtId="164" xfId="0" applyAlignment="1" applyBorder="1" applyFont="1" applyNumberFormat="1">
      <alignment horizontal="center" vertical="center"/>
    </xf>
    <xf borderId="8" fillId="4" fontId="11" numFmtId="164" xfId="0" applyAlignment="1" applyBorder="1" applyFont="1" applyNumberFormat="1">
      <alignment horizontal="center" vertical="center"/>
    </xf>
    <xf borderId="8" fillId="4" fontId="3" numFmtId="0" xfId="0" applyAlignment="1" applyBorder="1" applyFont="1">
      <alignment vertical="center"/>
    </xf>
    <xf borderId="5" fillId="4" fontId="3" numFmtId="164" xfId="0" applyAlignment="1" applyBorder="1" applyFont="1" applyNumberFormat="1">
      <alignment horizontal="center" vertical="center"/>
    </xf>
    <xf borderId="8" fillId="5" fontId="11" numFmtId="0" xfId="0" applyAlignment="1" applyBorder="1" applyFont="1">
      <alignment horizontal="center" vertical="center"/>
    </xf>
    <xf borderId="8" fillId="5" fontId="3" numFmtId="0" xfId="0" applyAlignment="1" applyBorder="1" applyFont="1">
      <alignment vertical="center"/>
    </xf>
    <xf borderId="8" fillId="5" fontId="11" numFmtId="164" xfId="0" applyAlignment="1" applyBorder="1" applyFont="1" applyNumberFormat="1">
      <alignment horizontal="center" vertical="center"/>
    </xf>
    <xf borderId="5" fillId="5" fontId="3" numFmtId="164" xfId="0" applyAlignment="1" applyBorder="1" applyFont="1" applyNumberFormat="1">
      <alignment horizontal="center" vertical="center"/>
    </xf>
    <xf borderId="8" fillId="6" fontId="11" numFmtId="164" xfId="0" applyAlignment="1" applyBorder="1" applyFont="1" applyNumberFormat="1">
      <alignment horizontal="center" vertical="center"/>
    </xf>
    <xf borderId="5" fillId="6" fontId="3" numFmtId="164" xfId="0" applyAlignment="1" applyBorder="1" applyFont="1" applyNumberFormat="1">
      <alignment horizontal="center" vertical="center"/>
    </xf>
    <xf borderId="1" fillId="7" fontId="11" numFmtId="164" xfId="0" applyAlignment="1" applyBorder="1" applyFont="1" applyNumberFormat="1">
      <alignment horizontal="center" shrinkToFit="0" wrapText="1"/>
    </xf>
    <xf borderId="1" fillId="7" fontId="11" numFmtId="164" xfId="0" applyAlignment="1" applyBorder="1" applyFont="1" applyNumberFormat="1">
      <alignment horizontal="center" shrinkToFit="0" vertical="center" wrapText="1"/>
    </xf>
    <xf borderId="8" fillId="2" fontId="8" numFmtId="164" xfId="0" applyAlignment="1" applyBorder="1" applyFont="1" applyNumberFormat="1">
      <alignment horizontal="center"/>
    </xf>
    <xf borderId="8" fillId="2" fontId="9" numFmtId="164" xfId="0" applyAlignment="1" applyBorder="1" applyFont="1" applyNumberFormat="1">
      <alignment horizontal="center"/>
    </xf>
    <xf borderId="0" fillId="0" fontId="9" numFmtId="164" xfId="0" applyAlignment="1" applyFont="1" applyNumberFormat="1">
      <alignment horizontal="center"/>
    </xf>
    <xf borderId="14" fillId="0" fontId="10" numFmtId="0" xfId="0" applyBorder="1" applyFont="1"/>
    <xf borderId="15" fillId="2" fontId="8" numFmtId="14" xfId="0" applyAlignment="1" applyBorder="1" applyFont="1" applyNumberFormat="1">
      <alignment horizontal="center" vertical="center"/>
    </xf>
    <xf borderId="15" fillId="2" fontId="9" numFmtId="164" xfId="0" applyAlignment="1" applyBorder="1" applyFont="1" applyNumberFormat="1">
      <alignment horizontal="center" shrinkToFit="0" vertical="center" wrapText="1"/>
    </xf>
    <xf borderId="8" fillId="3" fontId="3" numFmtId="0" xfId="0" applyAlignment="1" applyBorder="1" applyFont="1">
      <alignment horizontal="center" vertical="center"/>
    </xf>
    <xf borderId="8" fillId="3" fontId="3" numFmtId="164" xfId="0" applyAlignment="1" applyBorder="1" applyFont="1" applyNumberFormat="1">
      <alignment horizontal="center" vertical="center"/>
    </xf>
    <xf borderId="8" fillId="4" fontId="3" numFmtId="0" xfId="0" applyAlignment="1" applyBorder="1" applyFont="1">
      <alignment horizontal="center" vertical="center"/>
    </xf>
    <xf borderId="8" fillId="4" fontId="3" numFmtId="164" xfId="0" applyAlignment="1" applyBorder="1" applyFont="1" applyNumberFormat="1">
      <alignment horizontal="center" vertical="center"/>
    </xf>
    <xf borderId="8" fillId="5" fontId="3" numFmtId="0" xfId="0" applyAlignment="1" applyBorder="1" applyFont="1">
      <alignment horizontal="center" vertical="center"/>
    </xf>
    <xf borderId="8" fillId="5" fontId="3" numFmtId="164" xfId="0" applyAlignment="1" applyBorder="1" applyFont="1" applyNumberFormat="1">
      <alignment horizontal="center" vertical="center"/>
    </xf>
    <xf borderId="8" fillId="6" fontId="3" numFmtId="164" xfId="0" applyAlignment="1" applyBorder="1" applyFont="1" applyNumberFormat="1">
      <alignment horizontal="center" vertical="center"/>
    </xf>
    <xf borderId="8" fillId="2" fontId="8" numFmtId="9" xfId="0" applyAlignment="1" applyBorder="1" applyFont="1" applyNumberFormat="1">
      <alignment horizontal="center"/>
    </xf>
    <xf borderId="8" fillId="2" fontId="9" numFmtId="9" xfId="0" applyAlignment="1" applyBorder="1" applyFont="1" applyNumberFormat="1">
      <alignment horizontal="center"/>
    </xf>
    <xf borderId="0" fillId="0" fontId="9" numFmtId="9" xfId="0" applyAlignment="1" applyFont="1" applyNumberFormat="1">
      <alignment horizontal="center"/>
    </xf>
    <xf quotePrefix="1" borderId="2" fillId="8" fontId="12" numFmtId="0" xfId="0" applyAlignment="1" applyBorder="1" applyFill="1" applyFont="1">
      <alignment horizontal="center" vertical="center"/>
    </xf>
    <xf borderId="2" fillId="8" fontId="12" numFmtId="0" xfId="0" applyAlignment="1" applyBorder="1" applyFont="1">
      <alignment horizontal="left" vertical="center"/>
    </xf>
    <xf borderId="8" fillId="8" fontId="12" numFmtId="0" xfId="0" applyAlignment="1" applyBorder="1" applyFont="1">
      <alignment horizontal="left" vertical="center"/>
    </xf>
    <xf borderId="2" fillId="8" fontId="12" numFmtId="0" xfId="0" applyAlignment="1" applyBorder="1" applyFont="1">
      <alignment horizontal="center" vertical="center"/>
    </xf>
    <xf borderId="2" fillId="5" fontId="12" numFmtId="0" xfId="0" applyAlignment="1" applyBorder="1" applyFont="1">
      <alignment horizontal="center" vertical="center"/>
    </xf>
    <xf borderId="9" fillId="8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8" fillId="0" fontId="13" numFmtId="0" xfId="0" applyAlignment="1" applyBorder="1" applyFont="1">
      <alignment horizontal="center"/>
    </xf>
    <xf borderId="8" fillId="0" fontId="14" numFmtId="0" xfId="0" applyAlignment="1" applyBorder="1" applyFont="1">
      <alignment horizontal="left" readingOrder="0"/>
    </xf>
    <xf borderId="16" fillId="0" fontId="14" numFmtId="14" xfId="0" applyAlignment="1" applyBorder="1" applyFont="1" applyNumberFormat="1">
      <alignment horizontal="left" readingOrder="0"/>
    </xf>
    <xf borderId="8" fillId="0" fontId="2" numFmtId="14" xfId="0" applyBorder="1" applyFont="1" applyNumberFormat="1"/>
    <xf borderId="8" fillId="0" fontId="2" numFmtId="0" xfId="0" applyBorder="1" applyFont="1"/>
    <xf borderId="8" fillId="0" fontId="3" numFmtId="0" xfId="0" applyAlignment="1" applyBorder="1" applyFont="1">
      <alignment horizontal="center"/>
    </xf>
    <xf borderId="8" fillId="0" fontId="2" numFmtId="3" xfId="0" applyAlignment="1" applyBorder="1" applyFont="1" applyNumberFormat="1">
      <alignment horizontal="center" vertical="center"/>
    </xf>
    <xf borderId="8" fillId="0" fontId="2" numFmtId="164" xfId="0" applyAlignment="1" applyBorder="1" applyFont="1" applyNumberFormat="1">
      <alignment horizontal="center"/>
    </xf>
    <xf borderId="8" fillId="0" fontId="2" numFmtId="165" xfId="0" applyBorder="1" applyFont="1" applyNumberFormat="1"/>
    <xf borderId="8" fillId="9" fontId="2" numFmtId="164" xfId="0" applyBorder="1" applyFill="1" applyFont="1" applyNumberFormat="1"/>
    <xf borderId="8" fillId="0" fontId="2" numFmtId="164" xfId="0" applyBorder="1" applyFont="1" applyNumberFormat="1"/>
    <xf borderId="8" fillId="0" fontId="2" numFmtId="1" xfId="0" applyAlignment="1" applyBorder="1" applyFont="1" applyNumberFormat="1">
      <alignment horizontal="center"/>
    </xf>
    <xf borderId="8" fillId="3" fontId="2" numFmtId="0" xfId="0" applyAlignment="1" applyBorder="1" applyFont="1">
      <alignment readingOrder="0"/>
    </xf>
    <xf borderId="8" fillId="3" fontId="2" numFmtId="164" xfId="0" applyAlignment="1" applyBorder="1" applyFont="1" applyNumberFormat="1">
      <alignment readingOrder="0"/>
    </xf>
    <xf borderId="8" fillId="3" fontId="2" numFmtId="164" xfId="0" applyBorder="1" applyFont="1" applyNumberFormat="1"/>
    <xf borderId="8" fillId="4" fontId="2" numFmtId="0" xfId="0" applyAlignment="1" applyBorder="1" applyFont="1">
      <alignment readingOrder="0"/>
    </xf>
    <xf borderId="8" fillId="4" fontId="2" numFmtId="164" xfId="0" applyBorder="1" applyFont="1" applyNumberFormat="1"/>
    <xf borderId="8" fillId="5" fontId="2" numFmtId="0" xfId="0" applyAlignment="1" applyBorder="1" applyFont="1">
      <alignment horizontal="right"/>
    </xf>
    <xf borderId="17" fillId="5" fontId="2" numFmtId="0" xfId="0" applyAlignment="1" applyBorder="1" applyFont="1">
      <alignment horizontal="right"/>
    </xf>
    <xf borderId="17" fillId="5" fontId="2" numFmtId="164" xfId="0" applyAlignment="1" applyBorder="1" applyFont="1" applyNumberFormat="1">
      <alignment horizontal="right"/>
    </xf>
    <xf borderId="8" fillId="6" fontId="2" numFmtId="164" xfId="0" applyBorder="1" applyFont="1" applyNumberFormat="1"/>
    <xf borderId="8" fillId="7" fontId="2" numFmtId="164" xfId="0" applyAlignment="1" applyBorder="1" applyFont="1" applyNumberFormat="1">
      <alignment readingOrder="0"/>
    </xf>
    <xf borderId="8" fillId="7" fontId="2" numFmtId="166" xfId="0" applyBorder="1" applyFont="1" applyNumberFormat="1"/>
    <xf borderId="8" fillId="7" fontId="2" numFmtId="164" xfId="0" applyBorder="1" applyFont="1" applyNumberFormat="1"/>
    <xf borderId="14" fillId="0" fontId="13" numFmtId="0" xfId="0" applyAlignment="1" applyBorder="1" applyFont="1">
      <alignment horizontal="center"/>
    </xf>
    <xf borderId="8" fillId="0" fontId="14" numFmtId="0" xfId="0" applyBorder="1" applyFont="1"/>
    <xf borderId="8" fillId="0" fontId="2" numFmtId="0" xfId="0" applyAlignment="1" applyBorder="1" applyFont="1">
      <alignment horizontal="left" readingOrder="0"/>
    </xf>
    <xf borderId="8" fillId="0" fontId="15" numFmtId="0" xfId="0" applyBorder="1" applyFont="1"/>
    <xf borderId="16" fillId="0" fontId="14" numFmtId="167" xfId="0" applyAlignment="1" applyBorder="1" applyFont="1" applyNumberFormat="1">
      <alignment horizontal="left" readingOrder="0"/>
    </xf>
    <xf borderId="7" fillId="0" fontId="14" numFmtId="167" xfId="0" applyAlignment="1" applyBorder="1" applyFont="1" applyNumberFormat="1">
      <alignment horizontal="left" readingOrder="0"/>
    </xf>
    <xf borderId="14" fillId="0" fontId="14" numFmtId="0" xfId="0" applyAlignment="1" applyBorder="1" applyFont="1">
      <alignment horizontal="left" readingOrder="0"/>
    </xf>
    <xf borderId="8" fillId="10" fontId="14" numFmtId="0" xfId="0" applyBorder="1" applyFill="1" applyFont="1"/>
    <xf borderId="9" fillId="11" fontId="14" numFmtId="0" xfId="0" applyAlignment="1" applyBorder="1" applyFill="1" applyFont="1">
      <alignment horizontal="left"/>
    </xf>
    <xf borderId="8" fillId="7" fontId="2" numFmtId="0" xfId="0" applyBorder="1" applyFont="1"/>
    <xf borderId="8" fillId="12" fontId="15" numFmtId="0" xfId="0" applyBorder="1" applyFill="1" applyFont="1"/>
    <xf borderId="8" fillId="0" fontId="2" numFmtId="3" xfId="0" applyAlignment="1" applyBorder="1" applyFont="1" applyNumberFormat="1">
      <alignment horizontal="center" readingOrder="0" vertical="center"/>
    </xf>
    <xf borderId="14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left" readingOrder="0"/>
    </xf>
    <xf borderId="16" fillId="0" fontId="2" numFmtId="14" xfId="0" applyAlignment="1" applyBorder="1" applyFont="1" applyNumberFormat="1">
      <alignment horizontal="left" readingOrder="0"/>
    </xf>
    <xf borderId="16" fillId="0" fontId="2" numFmtId="14" xfId="0" applyBorder="1" applyFont="1" applyNumberFormat="1"/>
    <xf borderId="8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readingOrder="0"/>
    </xf>
    <xf borderId="8" fillId="10" fontId="2" numFmtId="0" xfId="0" applyAlignment="1" applyBorder="1" applyFont="1">
      <alignment horizontal="left" readingOrder="0"/>
    </xf>
    <xf borderId="18" fillId="10" fontId="2" numFmtId="14" xfId="0" applyAlignment="1" applyBorder="1" applyFont="1" applyNumberFormat="1">
      <alignment horizontal="left" readingOrder="0"/>
    </xf>
    <xf borderId="18" fillId="10" fontId="2" numFmtId="14" xfId="0" applyBorder="1" applyFont="1" applyNumberFormat="1"/>
    <xf borderId="8" fillId="10" fontId="2" numFmtId="0" xfId="0" applyAlignment="1" applyBorder="1" applyFont="1">
      <alignment shrinkToFit="0" wrapText="1"/>
    </xf>
    <xf borderId="8" fillId="10" fontId="3" numFmtId="0" xfId="0" applyAlignment="1" applyBorder="1" applyFont="1">
      <alignment horizontal="center"/>
    </xf>
    <xf borderId="8" fillId="10" fontId="15" numFmtId="0" xfId="0" applyBorder="1" applyFont="1"/>
    <xf borderId="8" fillId="10" fontId="2" numFmtId="3" xfId="0" applyAlignment="1" applyBorder="1" applyFont="1" applyNumberFormat="1">
      <alignment horizontal="center"/>
    </xf>
    <xf borderId="8" fillId="10" fontId="2" numFmtId="164" xfId="0" applyAlignment="1" applyBorder="1" applyFont="1" applyNumberFormat="1">
      <alignment horizontal="center"/>
    </xf>
    <xf borderId="15" fillId="10" fontId="2" numFmtId="165" xfId="0" applyBorder="1" applyFont="1" applyNumberFormat="1"/>
    <xf borderId="18" fillId="10" fontId="2" numFmtId="165" xfId="0" applyBorder="1" applyFont="1" applyNumberFormat="1"/>
    <xf borderId="2" fillId="10" fontId="2" numFmtId="164" xfId="0" applyAlignment="1" applyBorder="1" applyFont="1" applyNumberFormat="1">
      <alignment horizontal="right"/>
    </xf>
    <xf borderId="8" fillId="10" fontId="2" numFmtId="164" xfId="0" applyAlignment="1" applyBorder="1" applyFont="1" applyNumberFormat="1">
      <alignment horizontal="right"/>
    </xf>
    <xf borderId="8" fillId="10" fontId="2" numFmtId="1" xfId="0" applyAlignment="1" applyBorder="1" applyFont="1" applyNumberFormat="1">
      <alignment horizontal="center"/>
    </xf>
    <xf borderId="7" fillId="0" fontId="2" numFmtId="167" xfId="0" applyAlignment="1" applyBorder="1" applyFont="1" applyNumberFormat="1">
      <alignment horizontal="left" readingOrder="0"/>
    </xf>
    <xf borderId="8" fillId="0" fontId="2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horizontal="center" vertical="bottom"/>
    </xf>
    <xf borderId="8" fillId="0" fontId="2" numFmtId="0" xfId="0" applyAlignment="1" applyBorder="1" applyFont="1">
      <alignment vertical="bottom"/>
    </xf>
    <xf borderId="8" fillId="0" fontId="2" numFmtId="3" xfId="0" applyAlignment="1" applyBorder="1" applyFont="1" applyNumberFormat="1">
      <alignment horizontal="center" readingOrder="0"/>
    </xf>
    <xf borderId="8" fillId="0" fontId="2" numFmtId="164" xfId="0" applyAlignment="1" applyBorder="1" applyFont="1" applyNumberFormat="1">
      <alignment horizontal="center" vertical="bottom"/>
    </xf>
    <xf borderId="14" fillId="0" fontId="2" numFmtId="165" xfId="0" applyAlignment="1" applyBorder="1" applyFont="1" applyNumberFormat="1">
      <alignment vertical="bottom"/>
    </xf>
    <xf borderId="16" fillId="0" fontId="2" numFmtId="165" xfId="0" applyAlignment="1" applyBorder="1" applyFont="1" applyNumberFormat="1">
      <alignment vertical="bottom"/>
    </xf>
    <xf borderId="2" fillId="9" fontId="2" numFmtId="164" xfId="0" applyAlignment="1" applyBorder="1" applyFont="1" applyNumberFormat="1">
      <alignment horizontal="right" vertical="bottom"/>
    </xf>
    <xf borderId="8" fillId="0" fontId="2" numFmtId="164" xfId="0" applyAlignment="1" applyBorder="1" applyFont="1" applyNumberFormat="1">
      <alignment horizontal="right" vertical="bottom"/>
    </xf>
    <xf borderId="1" fillId="0" fontId="2" numFmtId="1" xfId="0" applyAlignment="1" applyBorder="1" applyFont="1" applyNumberFormat="1">
      <alignment horizontal="center" vertical="bottom"/>
    </xf>
    <xf borderId="8" fillId="4" fontId="2" numFmtId="0" xfId="0" applyAlignment="1" applyBorder="1" applyFont="1">
      <alignment readingOrder="0" vertical="bottom"/>
    </xf>
    <xf borderId="8" fillId="4" fontId="2" numFmtId="164" xfId="0" applyAlignment="1" applyBorder="1" applyFont="1" applyNumberFormat="1">
      <alignment horizontal="right" vertical="bottom"/>
    </xf>
    <xf borderId="8" fillId="5" fontId="2" numFmtId="0" xfId="0" applyAlignment="1" applyBorder="1" applyFont="1">
      <alignment vertical="bottom"/>
    </xf>
    <xf borderId="8" fillId="5" fontId="2" numFmtId="164" xfId="0" applyAlignment="1" applyBorder="1" applyFont="1" applyNumberFormat="1">
      <alignment horizontal="right" vertical="bottom"/>
    </xf>
    <xf borderId="8" fillId="6" fontId="2" numFmtId="164" xfId="0" applyAlignment="1" applyBorder="1" applyFont="1" applyNumberFormat="1">
      <alignment horizontal="right" vertical="bottom"/>
    </xf>
    <xf borderId="8" fillId="7" fontId="2" numFmtId="164" xfId="0" applyAlignment="1" applyBorder="1" applyFont="1" applyNumberFormat="1">
      <alignment vertical="bottom"/>
    </xf>
    <xf borderId="8" fillId="0" fontId="2" numFmtId="164" xfId="0" applyAlignment="1" applyBorder="1" applyFont="1" applyNumberFormat="1">
      <alignment vertical="bottom"/>
    </xf>
    <xf borderId="8" fillId="0" fontId="2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readingOrder="0" vertical="bottom"/>
    </xf>
    <xf borderId="10" fillId="0" fontId="2" numFmtId="0" xfId="0" applyBorder="1" applyFont="1"/>
    <xf borderId="19" fillId="0" fontId="2" numFmtId="14" xfId="0" applyAlignment="1" applyBorder="1" applyFont="1" applyNumberFormat="1">
      <alignment horizontal="left"/>
    </xf>
    <xf borderId="8" fillId="0" fontId="2" numFmtId="0" xfId="0" applyAlignment="1" applyBorder="1" applyFont="1">
      <alignment horizontal="left"/>
    </xf>
    <xf borderId="1" fillId="0" fontId="2" numFmtId="14" xfId="0" applyBorder="1" applyFont="1" applyNumberForma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/>
    </xf>
    <xf borderId="1" fillId="0" fontId="2" numFmtId="164" xfId="0" applyBorder="1" applyFont="1" applyNumberFormat="1"/>
    <xf borderId="2" fillId="9" fontId="2" numFmtId="164" xfId="0" applyBorder="1" applyFont="1" applyNumberFormat="1"/>
    <xf borderId="1" fillId="0" fontId="2" numFmtId="1" xfId="0" applyAlignment="1" applyBorder="1" applyFont="1" applyNumberFormat="1">
      <alignment horizontal="center"/>
    </xf>
    <xf borderId="2" fillId="3" fontId="2" numFmtId="0" xfId="0" applyBorder="1" applyFont="1"/>
    <xf borderId="2" fillId="3" fontId="2" numFmtId="0" xfId="0" applyAlignment="1" applyBorder="1" applyFont="1">
      <alignment readingOrder="0"/>
    </xf>
    <xf borderId="2" fillId="4" fontId="2" numFmtId="0" xfId="0" applyBorder="1" applyFont="1"/>
    <xf borderId="2" fillId="5" fontId="2" numFmtId="0" xfId="0" applyBorder="1" applyFont="1"/>
    <xf borderId="20" fillId="5" fontId="2" numFmtId="0" xfId="0" applyBorder="1" applyFont="1"/>
    <xf borderId="17" fillId="5" fontId="2" numFmtId="164" xfId="0" applyBorder="1" applyFont="1" applyNumberFormat="1"/>
    <xf borderId="2" fillId="6" fontId="2" numFmtId="164" xfId="0" applyBorder="1" applyFont="1" applyNumberFormat="1"/>
    <xf borderId="2" fillId="7" fontId="2" numFmtId="164" xfId="0" applyBorder="1" applyFont="1" applyNumberFormat="1"/>
    <xf borderId="1" fillId="0" fontId="2" numFmtId="0" xfId="0" applyAlignment="1" applyBorder="1" applyFont="1">
      <alignment horizontal="left"/>
    </xf>
    <xf borderId="1" fillId="0" fontId="2" numFmtId="14" xfId="0" applyAlignment="1" applyBorder="1" applyFont="1" applyNumberFormat="1">
      <alignment horizontal="left"/>
    </xf>
    <xf borderId="8" fillId="5" fontId="2" numFmtId="164" xfId="0" applyBorder="1" applyFont="1" applyNumberFormat="1"/>
    <xf borderId="21" fillId="0" fontId="3" numFmtId="0" xfId="0" applyBorder="1" applyFont="1"/>
    <xf borderId="22" fillId="0" fontId="3" numFmtId="0" xfId="0" applyAlignment="1" applyBorder="1" applyFont="1">
      <alignment horizontal="left"/>
    </xf>
    <xf borderId="22" fillId="0" fontId="2" numFmtId="14" xfId="0" applyAlignment="1" applyBorder="1" applyFont="1" applyNumberFormat="1">
      <alignment horizontal="left"/>
    </xf>
    <xf borderId="22" fillId="0" fontId="2" numFmtId="14" xfId="0" applyBorder="1" applyFont="1" applyNumberFormat="1"/>
    <xf borderId="22" fillId="0" fontId="2" numFmtId="0" xfId="0" applyBorder="1" applyFont="1"/>
    <xf borderId="22" fillId="0" fontId="3" numFmtId="0" xfId="0" applyAlignment="1" applyBorder="1" applyFont="1">
      <alignment horizontal="center"/>
    </xf>
    <xf borderId="22" fillId="0" fontId="2" numFmtId="164" xfId="0" applyBorder="1" applyFont="1" applyNumberFormat="1"/>
    <xf borderId="22" fillId="0" fontId="2" numFmtId="1" xfId="0" applyAlignment="1" applyBorder="1" applyFont="1" applyNumberFormat="1">
      <alignment horizontal="center"/>
    </xf>
    <xf borderId="23" fillId="0" fontId="3" numFmtId="164" xfId="0" applyBorder="1" applyFont="1" applyNumberFormat="1"/>
    <xf borderId="22" fillId="3" fontId="3" numFmtId="0" xfId="0" applyBorder="1" applyFont="1"/>
    <xf borderId="22" fillId="3" fontId="3" numFmtId="164" xfId="0" applyBorder="1" applyFont="1" applyNumberFormat="1"/>
    <xf borderId="22" fillId="4" fontId="3" numFmtId="0" xfId="0" applyBorder="1" applyFont="1"/>
    <xf borderId="22" fillId="4" fontId="3" numFmtId="164" xfId="0" applyBorder="1" applyFont="1" applyNumberFormat="1"/>
    <xf borderId="22" fillId="5" fontId="3" numFmtId="0" xfId="0" applyBorder="1" applyFont="1"/>
    <xf borderId="22" fillId="5" fontId="3" numFmtId="164" xfId="0" applyBorder="1" applyFont="1" applyNumberFormat="1"/>
    <xf borderId="22" fillId="0" fontId="3" numFmtId="164" xfId="0" applyBorder="1" applyFont="1" applyNumberFormat="1"/>
    <xf borderId="24" fillId="0" fontId="3" numFmtId="164" xfId="0" applyBorder="1" applyFont="1" applyNumberFormat="1"/>
    <xf borderId="25" fillId="0" fontId="3" numFmtId="164" xfId="0" applyBorder="1" applyFont="1" applyNumberFormat="1"/>
    <xf borderId="0" fillId="0" fontId="3" numFmtId="164" xfId="0" applyFont="1" applyNumberFormat="1"/>
    <xf borderId="0" fillId="0" fontId="2" numFmtId="0" xfId="0" applyAlignment="1" applyFont="1">
      <alignment shrinkToFit="0" wrapText="1"/>
    </xf>
    <xf borderId="0" fillId="0" fontId="16" numFmtId="164" xfId="0" applyFont="1" applyNumberFormat="1"/>
    <xf borderId="0" fillId="0" fontId="2" numFmtId="164" xfId="0" applyAlignment="1" applyFont="1" applyNumberFormat="1">
      <alignment readingOrder="0"/>
    </xf>
    <xf borderId="0" fillId="0" fontId="17" numFmtId="0" xfId="0" applyFont="1"/>
    <xf borderId="26" fillId="0" fontId="17" numFmtId="0" xfId="0" applyAlignment="1" applyBorder="1" applyFont="1">
      <alignment readingOrder="0"/>
    </xf>
    <xf borderId="26" fillId="0" fontId="2" numFmtId="0" xfId="0" applyBorder="1" applyFont="1"/>
    <xf borderId="3" fillId="13" fontId="3" numFmtId="0" xfId="0" applyAlignment="1" applyBorder="1" applyFill="1" applyFont="1">
      <alignment horizontal="center" vertical="center"/>
    </xf>
    <xf borderId="1" fillId="13" fontId="3" numFmtId="0" xfId="0" applyAlignment="1" applyBorder="1" applyFont="1">
      <alignment horizontal="center" shrinkToFit="0" vertical="center" wrapText="1"/>
    </xf>
    <xf borderId="8" fillId="13" fontId="3" numFmtId="164" xfId="0" applyAlignment="1" applyBorder="1" applyFont="1" applyNumberFormat="1">
      <alignment horizontal="center" vertical="center"/>
    </xf>
    <xf borderId="27" fillId="0" fontId="10" numFmtId="0" xfId="0" applyBorder="1" applyFont="1"/>
    <xf borderId="19" fillId="0" fontId="10" numFmtId="0" xfId="0" applyBorder="1" applyFont="1"/>
    <xf borderId="1" fillId="13" fontId="3" numFmtId="164" xfId="0" applyAlignment="1" applyBorder="1" applyFont="1" applyNumberFormat="1">
      <alignment horizontal="center" shrinkToFit="0" vertical="center" wrapText="1"/>
    </xf>
    <xf borderId="5" fillId="13" fontId="3" numFmtId="164" xfId="0" applyAlignment="1" applyBorder="1" applyFont="1" applyNumberFormat="1">
      <alignment horizontal="center" vertical="center"/>
    </xf>
    <xf borderId="1" fillId="13" fontId="3" numFmtId="164" xfId="0" applyAlignment="1" applyBorder="1" applyFont="1" applyNumberFormat="1">
      <alignment horizontal="center" vertical="center"/>
    </xf>
    <xf borderId="8" fillId="13" fontId="3" numFmtId="164" xfId="0" applyAlignment="1" applyBorder="1" applyFont="1" applyNumberFormat="1">
      <alignment horizontal="center" readingOrder="0" shrinkToFit="0" vertical="center" wrapText="1"/>
    </xf>
    <xf borderId="8" fillId="13" fontId="3" numFmtId="164" xfId="0" applyAlignment="1" applyBorder="1" applyFont="1" applyNumberFormat="1">
      <alignment horizontal="center" shrinkToFit="0" vertical="center" wrapText="1"/>
    </xf>
    <xf borderId="28" fillId="0" fontId="10" numFmtId="0" xfId="0" applyBorder="1" applyFont="1"/>
    <xf borderId="16" fillId="0" fontId="10" numFmtId="0" xfId="0" applyBorder="1" applyFont="1"/>
    <xf borderId="5" fillId="13" fontId="3" numFmtId="164" xfId="0" applyAlignment="1" applyBorder="1" applyFont="1" applyNumberFormat="1">
      <alignment horizontal="center" readingOrder="0" vertical="bottom"/>
    </xf>
    <xf borderId="8" fillId="13" fontId="3" numFmtId="164" xfId="0" applyAlignment="1" applyBorder="1" applyFont="1" applyNumberFormat="1">
      <alignment horizontal="center"/>
    </xf>
    <xf borderId="5" fillId="13" fontId="3" numFmtId="164" xfId="0" applyAlignment="1" applyBorder="1" applyFont="1" applyNumberFormat="1">
      <alignment horizontal="center"/>
    </xf>
    <xf borderId="8" fillId="13" fontId="3" numFmtId="9" xfId="0" applyAlignment="1" applyBorder="1" applyFont="1" applyNumberFormat="1">
      <alignment horizontal="center" vertical="center"/>
    </xf>
    <xf borderId="8" fillId="13" fontId="3" numFmtId="9" xfId="0" applyAlignment="1" applyBorder="1" applyFont="1" applyNumberFormat="1">
      <alignment horizontal="center" shrinkToFit="0" vertical="center" wrapText="1"/>
    </xf>
    <xf borderId="8" fillId="0" fontId="3" numFmtId="0" xfId="0" applyBorder="1" applyFont="1"/>
    <xf borderId="8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horizontal="center"/>
    </xf>
    <xf borderId="8" fillId="0" fontId="3" numFmtId="0" xfId="0" applyAlignment="1" applyBorder="1" applyFont="1">
      <alignment vertical="center"/>
    </xf>
    <xf borderId="8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horizontal="center" vertical="center"/>
    </xf>
    <xf borderId="8" fillId="0" fontId="2" numFmtId="164" xfId="0" applyAlignment="1" applyBorder="1" applyFont="1" applyNumberFormat="1">
      <alignment vertical="center"/>
    </xf>
    <xf borderId="8" fillId="0" fontId="2" numFmtId="164" xfId="0" applyAlignment="1" applyBorder="1" applyFont="1" applyNumberFormat="1">
      <alignment horizontal="right" shrinkToFit="0" wrapText="1"/>
    </xf>
    <xf borderId="8" fillId="0" fontId="2" numFmtId="164" xfId="0" applyAlignment="1" applyBorder="1" applyFont="1" applyNumberFormat="1">
      <alignment shrinkToFit="0" vertical="center" wrapText="1"/>
    </xf>
    <xf borderId="0" fillId="0" fontId="2" numFmtId="0" xfId="0" applyFont="1"/>
    <xf borderId="8" fillId="10" fontId="3" numFmtId="0" xfId="0" applyAlignment="1" applyBorder="1" applyFont="1">
      <alignment vertical="center"/>
    </xf>
    <xf borderId="8" fillId="0" fontId="3" numFmtId="0" xfId="0" applyAlignment="1" applyBorder="1" applyFont="1">
      <alignment readingOrder="0" vertical="center"/>
    </xf>
    <xf borderId="8" fillId="0" fontId="2" numFmtId="0" xfId="0" applyAlignment="1" applyBorder="1" applyFont="1">
      <alignment readingOrder="0" shrinkToFit="0" vertical="center" wrapText="1"/>
    </xf>
    <xf borderId="8" fillId="0" fontId="2" numFmtId="164" xfId="0" applyAlignment="1" applyBorder="1" applyFont="1" applyNumberFormat="1">
      <alignment horizontal="right" shrinkToFit="0" vertical="center" wrapText="1"/>
    </xf>
    <xf borderId="8" fillId="0" fontId="2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/>
    </xf>
    <xf borderId="8" fillId="0" fontId="3" numFmtId="164" xfId="0" applyBorder="1" applyFont="1" applyNumberFormat="1"/>
    <xf borderId="3" fillId="0" fontId="2" numFmtId="0" xfId="0" applyBorder="1" applyFont="1"/>
    <xf borderId="29" fillId="0" fontId="2" numFmtId="0" xfId="0" applyBorder="1" applyFont="1"/>
    <xf borderId="29" fillId="0" fontId="2" numFmtId="0" xfId="0" applyAlignment="1" applyBorder="1" applyFont="1">
      <alignment shrinkToFit="0" wrapText="1"/>
    </xf>
    <xf borderId="29" fillId="0" fontId="2" numFmtId="164" xfId="0" applyBorder="1" applyFont="1" applyNumberFormat="1"/>
    <xf borderId="3" fillId="0" fontId="2" numFmtId="164" xfId="0" applyBorder="1" applyFont="1" applyNumberFormat="1"/>
    <xf borderId="4" fillId="0" fontId="2" numFmtId="164" xfId="0" applyBorder="1" applyFont="1" applyNumberFormat="1"/>
    <xf borderId="27" fillId="0" fontId="2" numFmtId="0" xfId="0" applyBorder="1" applyFont="1"/>
    <xf borderId="27" fillId="0" fontId="2" numFmtId="164" xfId="0" applyBorder="1" applyFont="1" applyNumberFormat="1"/>
    <xf borderId="19" fillId="0" fontId="2" numFmtId="164" xfId="0" applyBorder="1" applyFont="1" applyNumberFormat="1"/>
    <xf borderId="27" fillId="0" fontId="3" numFmtId="164" xfId="0" applyAlignment="1" applyBorder="1" applyFont="1" applyNumberFormat="1">
      <alignment horizontal="center"/>
    </xf>
    <xf borderId="28" fillId="0" fontId="2" numFmtId="0" xfId="0" applyBorder="1" applyFont="1"/>
    <xf borderId="26" fillId="0" fontId="2" numFmtId="0" xfId="0" applyAlignment="1" applyBorder="1" applyFont="1">
      <alignment horizontal="center"/>
    </xf>
    <xf borderId="26" fillId="0" fontId="10" numFmtId="0" xfId="0" applyBorder="1" applyFont="1"/>
    <xf borderId="26" fillId="0" fontId="2" numFmtId="164" xfId="0" applyBorder="1" applyFont="1" applyNumberFormat="1"/>
    <xf borderId="28" fillId="0" fontId="2" numFmtId="164" xfId="0" applyAlignment="1" applyBorder="1" applyFont="1" applyNumberFormat="1">
      <alignment horizontal="center"/>
    </xf>
    <xf borderId="16" fillId="0" fontId="2" numFmtId="164" xfId="0" applyBorder="1" applyFont="1" applyNumberFormat="1"/>
    <xf borderId="5" fillId="0" fontId="2" numFmtId="164" xfId="0" applyBorder="1" applyFont="1" applyNumberFormat="1"/>
    <xf borderId="27" fillId="0" fontId="2" numFmtId="164" xfId="0" applyAlignment="1" applyBorder="1" applyFont="1" applyNumberFormat="1">
      <alignment horizontal="left"/>
    </xf>
    <xf borderId="27" fillId="0" fontId="3" numFmtId="164" xfId="0" applyAlignment="1" applyBorder="1" applyFont="1" applyNumberFormat="1">
      <alignment horizontal="center" readingOrder="0"/>
    </xf>
    <xf borderId="28" fillId="0" fontId="2" numFmtId="164" xfId="0" applyAlignment="1" applyBorder="1" applyFont="1" applyNumberFormat="1">
      <alignment horizontal="center" readingOrder="0"/>
    </xf>
    <xf borderId="26" fillId="0" fontId="2" numFmtId="16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shrinkToFit="0" vertical="center" wrapText="1"/>
    </xf>
    <xf borderId="5" fillId="0" fontId="3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8" fillId="0" fontId="3" numFmtId="164" xfId="0" applyAlignment="1" applyBorder="1" applyFont="1" applyNumberFormat="1">
      <alignment horizontal="center" shrinkToFit="0" vertical="center" wrapText="1"/>
    </xf>
    <xf borderId="5" fillId="0" fontId="3" numFmtId="164" xfId="0" applyAlignment="1" applyBorder="1" applyFont="1" applyNumberFormat="1">
      <alignment horizontal="center"/>
    </xf>
    <xf borderId="7" fillId="0" fontId="3" numFmtId="164" xfId="0" applyAlignment="1" applyBorder="1" applyFont="1" applyNumberFormat="1">
      <alignment horizontal="center"/>
    </xf>
    <xf borderId="6" fillId="0" fontId="3" numFmtId="164" xfId="0" applyAlignment="1" applyBorder="1" applyFont="1" applyNumberFormat="1">
      <alignment horizontal="center"/>
    </xf>
    <xf borderId="7" fillId="0" fontId="3" numFmtId="164" xfId="0" applyAlignment="1" applyBorder="1" applyFont="1" applyNumberFormat="1">
      <alignment horizontal="center" vertical="center"/>
    </xf>
    <xf borderId="8" fillId="0" fontId="3" numFmtId="9" xfId="0" applyAlignment="1" applyBorder="1" applyFont="1" applyNumberFormat="1">
      <alignment horizontal="center" vertical="center"/>
    </xf>
    <xf borderId="8" fillId="0" fontId="3" numFmtId="9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left"/>
    </xf>
    <xf borderId="5" fillId="0" fontId="2" numFmtId="0" xfId="0" applyAlignment="1" applyBorder="1" applyFont="1">
      <alignment horizontal="center"/>
    </xf>
    <xf borderId="7" fillId="0" fontId="3" numFmtId="0" xfId="0" applyAlignment="1" applyBorder="1" applyFont="1">
      <alignment vertical="center"/>
    </xf>
    <xf borderId="0" fillId="0" fontId="18" numFmtId="0" xfId="0" applyAlignment="1" applyFont="1">
      <alignment horizontal="left"/>
    </xf>
    <xf borderId="0" fillId="0" fontId="18" numFmtId="167" xfId="0" applyAlignment="1" applyFont="1" applyNumberFormat="1">
      <alignment horizontal="center"/>
    </xf>
    <xf borderId="8" fillId="0" fontId="3" numFmtId="164" xfId="0" applyAlignment="1" applyBorder="1" applyFont="1" applyNumberFormat="1">
      <alignment horizontal="center"/>
    </xf>
    <xf borderId="0" fillId="0" fontId="3" numFmtId="0" xfId="0" applyFont="1"/>
    <xf borderId="9" fillId="14" fontId="3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9" fillId="14" fontId="2" numFmtId="0" xfId="0" applyBorder="1" applyFont="1"/>
    <xf borderId="0" fillId="0" fontId="3" numFmtId="168" xfId="0" applyAlignment="1" applyFont="1" applyNumberFormat="1">
      <alignment horizontal="center"/>
    </xf>
    <xf borderId="0" fillId="0" fontId="2" numFmtId="168" xfId="0" applyFont="1" applyNumberFormat="1"/>
    <xf borderId="0" fillId="0" fontId="2" numFmtId="0" xfId="0" applyAlignment="1" applyFont="1">
      <alignment horizontal="center" vertical="center"/>
    </xf>
    <xf borderId="0" fillId="0" fontId="18" numFmtId="0" xfId="0" applyFont="1"/>
    <xf borderId="1" fillId="2" fontId="8" numFmtId="14" xfId="0" applyAlignment="1" applyBorder="1" applyFont="1" applyNumberFormat="1">
      <alignment horizontal="center" vertical="center"/>
    </xf>
    <xf borderId="8" fillId="2" fontId="9" numFmtId="164" xfId="0" applyAlignment="1" applyBorder="1" applyFont="1" applyNumberFormat="1">
      <alignment horizontal="center" shrinkToFit="0" vertical="center" wrapText="1"/>
    </xf>
    <xf borderId="8" fillId="8" fontId="12" numFmtId="0" xfId="0" applyAlignment="1" applyBorder="1" applyFont="1">
      <alignment horizontal="center" vertical="center"/>
    </xf>
    <xf borderId="8" fillId="0" fontId="14" numFmtId="169" xfId="0" applyBorder="1" applyFont="1" applyNumberFormat="1"/>
    <xf borderId="8" fillId="0" fontId="14" numFmtId="14" xfId="0" applyBorder="1" applyFont="1" applyNumberFormat="1"/>
    <xf borderId="8" fillId="0" fontId="13" numFmtId="0" xfId="0" applyBorder="1" applyFont="1"/>
    <xf borderId="8" fillId="0" fontId="14" numFmtId="3" xfId="0" applyBorder="1" applyFont="1" applyNumberFormat="1"/>
    <xf borderId="8" fillId="0" fontId="14" numFmtId="164" xfId="0" applyBorder="1" applyFont="1" applyNumberFormat="1"/>
    <xf borderId="8" fillId="0" fontId="14" numFmtId="164" xfId="0" applyAlignment="1" applyBorder="1" applyFont="1" applyNumberFormat="1">
      <alignment horizontal="center"/>
    </xf>
    <xf borderId="19" fillId="0" fontId="3" numFmtId="0" xfId="0" applyAlignment="1" applyBorder="1" applyFont="1">
      <alignment horizontal="center"/>
    </xf>
    <xf borderId="10" fillId="0" fontId="14" numFmtId="14" xfId="0" applyBorder="1" applyFont="1" applyNumberFormat="1"/>
    <xf borderId="10" fillId="0" fontId="14" numFmtId="0" xfId="0" applyBorder="1" applyFont="1"/>
    <xf borderId="10" fillId="0" fontId="13" numFmtId="0" xfId="0" applyBorder="1" applyFont="1"/>
    <xf borderId="10" fillId="0" fontId="14" numFmtId="3" xfId="0" applyBorder="1" applyFont="1" applyNumberFormat="1"/>
    <xf borderId="10" fillId="0" fontId="14" numFmtId="164" xfId="0" applyBorder="1" applyFont="1" applyNumberFormat="1"/>
    <xf borderId="10" fillId="0" fontId="14" numFmtId="164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164" xfId="0" applyBorder="1" applyFont="1" applyNumberFormat="1"/>
    <xf borderId="22" fillId="0" fontId="3" numFmtId="0" xfId="0" applyBorder="1" applyFont="1"/>
    <xf borderId="23" fillId="0" fontId="2" numFmtId="164" xfId="0" applyBorder="1" applyFont="1" applyNumberFormat="1"/>
    <xf borderId="0" fillId="0" fontId="11" numFmtId="0" xfId="0" applyFont="1"/>
    <xf borderId="9" fillId="15" fontId="2" numFmtId="0" xfId="0" applyBorder="1" applyFill="1" applyFont="1"/>
    <xf borderId="9" fillId="16" fontId="2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38100</xdr:rowOff>
    </xdr:from>
    <xdr:ext cx="6067425" cy="102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8.0" topLeftCell="F9" activePane="bottomRight" state="frozen"/>
      <selection activeCell="F1" sqref="F1" pane="topRight"/>
      <selection activeCell="A9" sqref="A9" pane="bottomLeft"/>
      <selection activeCell="F9" sqref="F9" pane="bottomRight"/>
    </sheetView>
  </sheetViews>
  <sheetFormatPr customHeight="1" defaultColWidth="14.43" defaultRowHeight="15.0" outlineLevelCol="1"/>
  <cols>
    <col customWidth="1" min="1" max="1" width="5.29"/>
    <col customWidth="1" min="2" max="2" width="14.29"/>
    <col customWidth="1" min="3" max="4" width="13.57"/>
    <col customWidth="1" min="5" max="5" width="30.86"/>
    <col customWidth="1" min="6" max="6" width="8.0"/>
    <col customWidth="1" min="7" max="7" width="43.14"/>
    <col customWidth="1" min="8" max="10" width="16.71"/>
    <col customWidth="1" hidden="1" min="11" max="12" width="16.71"/>
    <col customWidth="1" min="13" max="13" width="16.71"/>
    <col customWidth="1" min="14" max="17" width="17.57"/>
    <col customWidth="1" min="18" max="18" width="8.57"/>
    <col customWidth="1" min="19" max="19" width="19.14"/>
    <col customWidth="1" min="20" max="22" width="9.14"/>
    <col customWidth="1" min="23" max="25" width="15.29"/>
    <col customWidth="1" min="26" max="28" width="9.14"/>
    <col customWidth="1" min="29" max="31" width="15.29"/>
    <col customWidth="1" hidden="1" min="32" max="37" width="15.29" outlineLevel="1"/>
    <col customWidth="1" min="38" max="40" width="15.29"/>
    <col customWidth="1" min="41" max="41" width="18.0"/>
    <col customWidth="1" min="42" max="42" width="18.57"/>
    <col customWidth="1" min="43" max="43" width="32.86"/>
    <col customWidth="1" min="44" max="44" width="18.71"/>
    <col customWidth="1" min="45" max="46" width="15.14"/>
    <col customWidth="1" min="47" max="74" width="18.57"/>
  </cols>
  <sheetData>
    <row r="1">
      <c r="A1" s="1" t="s">
        <v>0</v>
      </c>
      <c r="B1" s="2"/>
      <c r="C1" s="3"/>
      <c r="D1" s="4"/>
      <c r="F1" s="5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6"/>
      <c r="T1" s="8"/>
      <c r="U1" s="8"/>
      <c r="V1" s="8"/>
      <c r="W1" s="6"/>
      <c r="X1" s="6"/>
      <c r="Y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>
      <c r="A2" s="9" t="s">
        <v>1</v>
      </c>
      <c r="B2" s="2"/>
      <c r="C2" s="3"/>
      <c r="D2" s="4"/>
      <c r="F2" s="5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6"/>
      <c r="T2" s="8"/>
      <c r="U2" s="8"/>
      <c r="V2" s="8"/>
      <c r="W2" s="6"/>
      <c r="X2" s="6"/>
      <c r="Y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</row>
    <row r="3">
      <c r="A3" s="10" t="s">
        <v>2</v>
      </c>
      <c r="B3" s="2"/>
      <c r="C3" s="3"/>
      <c r="D3" s="4"/>
      <c r="F3" s="5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6"/>
      <c r="T3" s="8"/>
      <c r="U3" s="8"/>
      <c r="V3" s="8"/>
      <c r="W3" s="6"/>
      <c r="X3" s="6"/>
      <c r="Y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 t="s">
        <v>3</v>
      </c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</row>
    <row r="4">
      <c r="A4" s="11" t="s">
        <v>4</v>
      </c>
      <c r="B4" s="2"/>
      <c r="C4" s="3"/>
      <c r="D4" s="4"/>
      <c r="F4" s="5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6"/>
      <c r="T4" s="8"/>
      <c r="U4" s="8"/>
      <c r="V4" s="8"/>
      <c r="W4" s="6"/>
      <c r="X4" s="6"/>
      <c r="Y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</row>
    <row r="5">
      <c r="B5" s="2"/>
      <c r="C5" s="3"/>
      <c r="D5" s="4"/>
      <c r="F5" s="5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6"/>
      <c r="T5" s="8"/>
      <c r="U5" s="8"/>
      <c r="V5" s="8"/>
      <c r="W5" s="6"/>
      <c r="X5" s="6"/>
      <c r="Y5" s="6"/>
      <c r="AC5" s="6"/>
      <c r="AD5" s="6"/>
      <c r="AE5" s="6"/>
      <c r="AF5" s="12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</row>
    <row r="6" ht="14.25" customHeight="1">
      <c r="A6" s="13" t="s">
        <v>5</v>
      </c>
      <c r="B6" s="14" t="s">
        <v>6</v>
      </c>
      <c r="C6" s="15" t="s">
        <v>7</v>
      </c>
      <c r="D6" s="16"/>
      <c r="E6" s="13" t="s">
        <v>8</v>
      </c>
      <c r="F6" s="13" t="s">
        <v>9</v>
      </c>
      <c r="G6" s="13" t="s">
        <v>10</v>
      </c>
      <c r="H6" s="17" t="s">
        <v>11</v>
      </c>
      <c r="I6" s="17" t="s">
        <v>12</v>
      </c>
      <c r="J6" s="18"/>
      <c r="K6" s="19" t="s">
        <v>13</v>
      </c>
      <c r="L6" s="20"/>
      <c r="M6" s="21" t="s">
        <v>14</v>
      </c>
      <c r="N6" s="21" t="s">
        <v>15</v>
      </c>
      <c r="O6" s="21" t="s">
        <v>16</v>
      </c>
      <c r="P6" s="21" t="s">
        <v>17</v>
      </c>
      <c r="Q6" s="21" t="s">
        <v>18</v>
      </c>
      <c r="R6" s="22" t="s">
        <v>19</v>
      </c>
      <c r="S6" s="23" t="s">
        <v>20</v>
      </c>
      <c r="T6" s="24" t="s">
        <v>21</v>
      </c>
      <c r="U6" s="25"/>
      <c r="V6" s="26"/>
      <c r="W6" s="27" t="str">
        <f>T6</f>
        <v>02-01-15-2026</v>
      </c>
      <c r="X6" s="25"/>
      <c r="Y6" s="26"/>
      <c r="Z6" s="28" t="s">
        <v>4</v>
      </c>
      <c r="AA6" s="25"/>
      <c r="AB6" s="26"/>
      <c r="AC6" s="29" t="str">
        <f>Z6</f>
        <v>02-16-28-2026</v>
      </c>
      <c r="AD6" s="25"/>
      <c r="AE6" s="26"/>
      <c r="AF6" s="30"/>
      <c r="AG6" s="25"/>
      <c r="AH6" s="26"/>
      <c r="AI6" s="30" t="str">
        <f>AF6</f>
        <v/>
      </c>
      <c r="AJ6" s="25"/>
      <c r="AK6" s="26"/>
      <c r="AL6" s="31" t="s">
        <v>22</v>
      </c>
      <c r="AM6" s="25"/>
      <c r="AN6" s="26"/>
      <c r="AO6" s="21" t="s">
        <v>23</v>
      </c>
      <c r="AP6" s="32" t="s">
        <v>24</v>
      </c>
      <c r="AQ6" s="26"/>
      <c r="AR6" s="21" t="s">
        <v>25</v>
      </c>
      <c r="AS6" s="33" t="s">
        <v>26</v>
      </c>
      <c r="AT6" s="26"/>
      <c r="AU6" s="34" t="s">
        <v>27</v>
      </c>
      <c r="AV6" s="34"/>
      <c r="AW6" s="34"/>
      <c r="AX6" s="34"/>
      <c r="AY6" s="23" t="s">
        <v>28</v>
      </c>
      <c r="AZ6" s="35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</row>
    <row r="7" ht="14.25" customHeight="1">
      <c r="A7" s="37"/>
      <c r="B7" s="37"/>
      <c r="C7" s="37"/>
      <c r="D7" s="38"/>
      <c r="E7" s="37"/>
      <c r="F7" s="37"/>
      <c r="G7" s="37"/>
      <c r="H7" s="37"/>
      <c r="I7" s="37"/>
      <c r="J7" s="37"/>
      <c r="K7" s="39"/>
      <c r="L7" s="40"/>
      <c r="M7" s="37"/>
      <c r="N7" s="37"/>
      <c r="O7" s="37"/>
      <c r="P7" s="37"/>
      <c r="Q7" s="37"/>
      <c r="R7" s="37"/>
      <c r="S7" s="37"/>
      <c r="T7" s="41" t="s">
        <v>29</v>
      </c>
      <c r="U7" s="42" t="s">
        <v>30</v>
      </c>
      <c r="V7" s="42"/>
      <c r="W7" s="41" t="s">
        <v>29</v>
      </c>
      <c r="X7" s="43" t="s">
        <v>30</v>
      </c>
      <c r="Y7" s="26"/>
      <c r="Z7" s="44" t="s">
        <v>29</v>
      </c>
      <c r="AA7" s="45" t="s">
        <v>30</v>
      </c>
      <c r="AB7" s="45"/>
      <c r="AC7" s="44" t="s">
        <v>29</v>
      </c>
      <c r="AD7" s="46" t="s">
        <v>30</v>
      </c>
      <c r="AE7" s="26"/>
      <c r="AF7" s="47"/>
      <c r="AG7" s="48" t="s">
        <v>30</v>
      </c>
      <c r="AH7" s="48"/>
      <c r="AI7" s="49" t="s">
        <v>29</v>
      </c>
      <c r="AJ7" s="50" t="s">
        <v>30</v>
      </c>
      <c r="AK7" s="26"/>
      <c r="AL7" s="51" t="s">
        <v>29</v>
      </c>
      <c r="AM7" s="52" t="s">
        <v>30</v>
      </c>
      <c r="AN7" s="26"/>
      <c r="AO7" s="37"/>
      <c r="AP7" s="53" t="s">
        <v>31</v>
      </c>
      <c r="AQ7" s="54" t="s">
        <v>32</v>
      </c>
      <c r="AR7" s="37"/>
      <c r="AS7" s="55" t="s">
        <v>33</v>
      </c>
      <c r="AT7" s="55" t="s">
        <v>34</v>
      </c>
      <c r="AU7" s="54" t="s">
        <v>35</v>
      </c>
      <c r="AV7" s="54" t="s">
        <v>36</v>
      </c>
      <c r="AW7" s="54" t="s">
        <v>37</v>
      </c>
      <c r="AX7" s="54" t="s">
        <v>38</v>
      </c>
      <c r="AY7" s="37"/>
      <c r="AZ7" s="56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</row>
    <row r="8">
      <c r="A8" s="58"/>
      <c r="B8" s="58"/>
      <c r="C8" s="58"/>
      <c r="D8" s="59"/>
      <c r="E8" s="58"/>
      <c r="F8" s="58"/>
      <c r="G8" s="58"/>
      <c r="H8" s="58"/>
      <c r="I8" s="58"/>
      <c r="J8" s="58"/>
      <c r="K8" s="60" t="s">
        <v>39</v>
      </c>
      <c r="L8" s="60" t="s">
        <v>40</v>
      </c>
      <c r="M8" s="58"/>
      <c r="N8" s="58"/>
      <c r="O8" s="58"/>
      <c r="P8" s="58"/>
      <c r="Q8" s="58"/>
      <c r="R8" s="58"/>
      <c r="S8" s="58"/>
      <c r="T8" s="61" t="s">
        <v>41</v>
      </c>
      <c r="U8" s="61" t="s">
        <v>42</v>
      </c>
      <c r="V8" s="61" t="s">
        <v>43</v>
      </c>
      <c r="W8" s="62" t="s">
        <v>41</v>
      </c>
      <c r="X8" s="62" t="s">
        <v>42</v>
      </c>
      <c r="Y8" s="62" t="s">
        <v>43</v>
      </c>
      <c r="Z8" s="63" t="s">
        <v>41</v>
      </c>
      <c r="AA8" s="63" t="s">
        <v>42</v>
      </c>
      <c r="AB8" s="63" t="s">
        <v>43</v>
      </c>
      <c r="AC8" s="64" t="s">
        <v>41</v>
      </c>
      <c r="AD8" s="64" t="s">
        <v>42</v>
      </c>
      <c r="AE8" s="64" t="s">
        <v>43</v>
      </c>
      <c r="AF8" s="65" t="s">
        <v>41</v>
      </c>
      <c r="AG8" s="65" t="s">
        <v>42</v>
      </c>
      <c r="AH8" s="65" t="s">
        <v>43</v>
      </c>
      <c r="AI8" s="66" t="s">
        <v>41</v>
      </c>
      <c r="AJ8" s="66" t="s">
        <v>42</v>
      </c>
      <c r="AK8" s="66" t="s">
        <v>43</v>
      </c>
      <c r="AL8" s="67" t="s">
        <v>41</v>
      </c>
      <c r="AM8" s="67" t="s">
        <v>42</v>
      </c>
      <c r="AN8" s="67" t="s">
        <v>43</v>
      </c>
      <c r="AO8" s="58"/>
      <c r="AP8" s="58"/>
      <c r="AQ8" s="58"/>
      <c r="AR8" s="58"/>
      <c r="AS8" s="68">
        <v>0.02</v>
      </c>
      <c r="AT8" s="69">
        <v>0.0</v>
      </c>
      <c r="AU8" s="58"/>
      <c r="AV8" s="58"/>
      <c r="AW8" s="58"/>
      <c r="AX8" s="58"/>
      <c r="AY8" s="58"/>
      <c r="AZ8" s="69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</row>
    <row r="9" ht="18.0" customHeight="1">
      <c r="A9" s="71" t="s">
        <v>44</v>
      </c>
      <c r="B9" s="72">
        <v>2.0</v>
      </c>
      <c r="C9" s="73">
        <v>3.0</v>
      </c>
      <c r="D9" s="71" t="s">
        <v>45</v>
      </c>
      <c r="E9" s="74">
        <v>5.0</v>
      </c>
      <c r="F9" s="74">
        <v>6.0</v>
      </c>
      <c r="G9" s="74">
        <v>7.0</v>
      </c>
      <c r="H9" s="71" t="s">
        <v>46</v>
      </c>
      <c r="I9" s="74"/>
      <c r="J9" s="74"/>
      <c r="K9" s="74"/>
      <c r="L9" s="74" t="s">
        <v>47</v>
      </c>
      <c r="M9" s="74" t="s">
        <v>48</v>
      </c>
      <c r="N9" s="74" t="s">
        <v>49</v>
      </c>
      <c r="O9" s="74" t="s">
        <v>50</v>
      </c>
      <c r="P9" s="74" t="s">
        <v>51</v>
      </c>
      <c r="Q9" s="74" t="s">
        <v>52</v>
      </c>
      <c r="R9" s="74" t="s">
        <v>53</v>
      </c>
      <c r="S9" s="74" t="s">
        <v>54</v>
      </c>
      <c r="T9" s="74" t="s">
        <v>55</v>
      </c>
      <c r="U9" s="74" t="s">
        <v>56</v>
      </c>
      <c r="V9" s="74" t="s">
        <v>57</v>
      </c>
      <c r="W9" s="74" t="s">
        <v>58</v>
      </c>
      <c r="X9" s="74" t="s">
        <v>59</v>
      </c>
      <c r="Y9" s="74" t="s">
        <v>60</v>
      </c>
      <c r="Z9" s="74" t="s">
        <v>61</v>
      </c>
      <c r="AA9" s="74" t="s">
        <v>62</v>
      </c>
      <c r="AB9" s="74" t="s">
        <v>63</v>
      </c>
      <c r="AC9" s="74" t="s">
        <v>64</v>
      </c>
      <c r="AD9" s="74" t="s">
        <v>65</v>
      </c>
      <c r="AE9" s="74" t="s">
        <v>66</v>
      </c>
      <c r="AF9" s="75" t="s">
        <v>61</v>
      </c>
      <c r="AG9" s="75" t="s">
        <v>62</v>
      </c>
      <c r="AH9" s="75" t="s">
        <v>63</v>
      </c>
      <c r="AI9" s="75" t="s">
        <v>64</v>
      </c>
      <c r="AJ9" s="75" t="s">
        <v>65</v>
      </c>
      <c r="AK9" s="75" t="s">
        <v>66</v>
      </c>
      <c r="AL9" s="71" t="s">
        <v>67</v>
      </c>
      <c r="AM9" s="74" t="s">
        <v>68</v>
      </c>
      <c r="AN9" s="74" t="s">
        <v>69</v>
      </c>
      <c r="AO9" s="74" t="s">
        <v>70</v>
      </c>
      <c r="AP9" s="74"/>
      <c r="AQ9" s="74"/>
      <c r="AR9" s="74" t="s">
        <v>71</v>
      </c>
      <c r="AS9" s="74" t="s">
        <v>72</v>
      </c>
      <c r="AT9" s="74" t="s">
        <v>73</v>
      </c>
      <c r="AU9" s="74" t="s">
        <v>74</v>
      </c>
      <c r="AV9" s="74" t="s">
        <v>75</v>
      </c>
      <c r="AW9" s="74" t="s">
        <v>76</v>
      </c>
      <c r="AX9" s="74" t="s">
        <v>76</v>
      </c>
      <c r="AY9" s="74" t="s">
        <v>77</v>
      </c>
      <c r="AZ9" s="76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</row>
    <row r="10">
      <c r="A10" s="78">
        <v>1.0</v>
      </c>
      <c r="B10" s="79" t="s">
        <v>78</v>
      </c>
      <c r="C10" s="80">
        <v>46036.0</v>
      </c>
      <c r="D10" s="81"/>
      <c r="E10" s="82" t="s">
        <v>79</v>
      </c>
      <c r="F10" s="83" t="s">
        <v>80</v>
      </c>
      <c r="G10" s="82" t="s">
        <v>81</v>
      </c>
      <c r="H10" s="84">
        <v>9.0</v>
      </c>
      <c r="I10" s="85" t="s">
        <v>82</v>
      </c>
      <c r="J10" s="85" t="s">
        <v>83</v>
      </c>
      <c r="K10" s="86"/>
      <c r="L10" s="86"/>
      <c r="M10" s="87">
        <f>IFERROR(VLOOKUP($H10,'CODE 2'!$J:$K,2,FALSE)," ")</f>
        <v>21211</v>
      </c>
      <c r="N10" s="88">
        <f t="shared" ref="N10:N21" si="1">ROUND((M10/2),2)</f>
        <v>10605.5</v>
      </c>
      <c r="O10" s="88">
        <f t="shared" ref="O10:O21" si="2">M10/22</f>
        <v>964.1363636</v>
      </c>
      <c r="P10" s="88">
        <f t="shared" ref="P10:P21" si="3">O10/8</f>
        <v>120.5170455</v>
      </c>
      <c r="Q10" s="88">
        <f t="shared" ref="Q10:Q21" si="4">P10/60</f>
        <v>2.008617424</v>
      </c>
      <c r="R10" s="89">
        <v>11.0</v>
      </c>
      <c r="S10" s="88">
        <f t="shared" ref="S10:S21" si="5">ROUND((O10*R10),2)</f>
        <v>10605.5</v>
      </c>
      <c r="T10" s="90">
        <v>0.0</v>
      </c>
      <c r="U10" s="90">
        <v>0.0</v>
      </c>
      <c r="V10" s="90">
        <v>0.0</v>
      </c>
      <c r="W10" s="91">
        <v>0.0</v>
      </c>
      <c r="X10" s="92">
        <f t="shared" ref="X10:X11" si="6">ROUND(($P10*$U10),2)</f>
        <v>0</v>
      </c>
      <c r="Y10" s="92">
        <f t="shared" ref="Y10:Y11" si="7">ROUND(($Q10*$V10),2)</f>
        <v>0</v>
      </c>
      <c r="Z10" s="93"/>
      <c r="AA10" s="93"/>
      <c r="AB10" s="93"/>
      <c r="AC10" s="94">
        <f t="shared" ref="AC10:AC11" si="8">ROUND(($O10*$Z10),2)</f>
        <v>0</v>
      </c>
      <c r="AD10" s="94">
        <f t="shared" ref="AD10:AD11" si="9">ROUND(($P10*$AA10),2)</f>
        <v>0</v>
      </c>
      <c r="AE10" s="94">
        <f t="shared" ref="AE10:AE11" si="10">ROUND(($Q10*$AB10),2)</f>
        <v>0</v>
      </c>
      <c r="AF10" s="95"/>
      <c r="AG10" s="96"/>
      <c r="AH10" s="96"/>
      <c r="AI10" s="97">
        <f t="shared" ref="AI10:AI11" si="11">IFERROR(ROUND(($O10*$AF10),2)," ")</f>
        <v>0</v>
      </c>
      <c r="AJ10" s="97">
        <f t="shared" ref="AJ10:AJ11" si="12">IFERROR(ROUND(($P10*$AG10),2),"")</f>
        <v>0</v>
      </c>
      <c r="AK10" s="97">
        <f t="shared" ref="AK10:AK11" si="13">IFERROR(ROUND(($Q10*$AH10),2),"")</f>
        <v>0</v>
      </c>
      <c r="AL10" s="98">
        <f t="shared" ref="AL10:AL11" si="14">ROUND(($W10+$AC10+$AI10),2)</f>
        <v>0</v>
      </c>
      <c r="AM10" s="98">
        <f t="shared" ref="AM10:AM11" si="15">ROUND(($X10+$AD10+$AJ10),2)</f>
        <v>0</v>
      </c>
      <c r="AN10" s="98">
        <f t="shared" ref="AN10:AN11" si="16">ROUND(($Y10+$AE10+$AK10),2)</f>
        <v>0</v>
      </c>
      <c r="AO10" s="88">
        <f t="shared" ref="AO10:AO11" si="17">SUM(AL10:AN10)</f>
        <v>0</v>
      </c>
      <c r="AP10" s="99"/>
      <c r="AQ10" s="100"/>
      <c r="AR10" s="88">
        <f t="shared" ref="AR10:AR11" si="18">ROUND((S10-AO10-AP10),2)</f>
        <v>10605.5</v>
      </c>
      <c r="AS10" s="88"/>
      <c r="AT10" s="88">
        <f t="shared" ref="AT10:AT11" si="19">ROUND((AR10*$AT$8),2)</f>
        <v>0</v>
      </c>
      <c r="AU10" s="101"/>
      <c r="AV10" s="101"/>
      <c r="AW10" s="101"/>
      <c r="AX10" s="101"/>
      <c r="AY10" s="88">
        <f t="shared" ref="AY10:AY11" si="20">ROUND((AR10-AS10-AT10-AU10-AV10-AW10-AX10),2)</f>
        <v>10605.5</v>
      </c>
      <c r="AZ10" s="88" t="s">
        <v>84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</row>
    <row r="11">
      <c r="A11" s="102">
        <v>2.0</v>
      </c>
      <c r="B11" s="79" t="s">
        <v>85</v>
      </c>
      <c r="C11" s="80">
        <v>46036.0</v>
      </c>
      <c r="D11" s="81"/>
      <c r="E11" s="103" t="s">
        <v>86</v>
      </c>
      <c r="F11" s="83" t="s">
        <v>80</v>
      </c>
      <c r="G11" s="82" t="s">
        <v>87</v>
      </c>
      <c r="H11" s="84">
        <v>10.0</v>
      </c>
      <c r="I11" s="85" t="s">
        <v>82</v>
      </c>
      <c r="J11" s="85" t="s">
        <v>83</v>
      </c>
      <c r="K11" s="86"/>
      <c r="L11" s="86"/>
      <c r="M11" s="87">
        <f>IFERROR(VLOOKUP($H11,'CODE 2'!$J:$K,2,FALSE)," ")</f>
        <v>23176</v>
      </c>
      <c r="N11" s="88">
        <f t="shared" si="1"/>
        <v>11588</v>
      </c>
      <c r="O11" s="88">
        <f t="shared" si="2"/>
        <v>1053.454545</v>
      </c>
      <c r="P11" s="88">
        <f t="shared" si="3"/>
        <v>131.6818182</v>
      </c>
      <c r="Q11" s="88">
        <f t="shared" si="4"/>
        <v>2.19469697</v>
      </c>
      <c r="R11" s="89">
        <v>11.0</v>
      </c>
      <c r="S11" s="88">
        <f t="shared" si="5"/>
        <v>11588</v>
      </c>
      <c r="T11" s="90">
        <v>0.0</v>
      </c>
      <c r="U11" s="90">
        <v>0.0</v>
      </c>
      <c r="V11" s="90">
        <v>4.0</v>
      </c>
      <c r="W11" s="92">
        <v>0.0</v>
      </c>
      <c r="X11" s="92">
        <f t="shared" si="6"/>
        <v>0</v>
      </c>
      <c r="Y11" s="92">
        <f t="shared" si="7"/>
        <v>8.78</v>
      </c>
      <c r="Z11" s="93"/>
      <c r="AA11" s="93"/>
      <c r="AB11" s="93"/>
      <c r="AC11" s="94">
        <f t="shared" si="8"/>
        <v>0</v>
      </c>
      <c r="AD11" s="94">
        <f t="shared" si="9"/>
        <v>0</v>
      </c>
      <c r="AE11" s="94">
        <f t="shared" si="10"/>
        <v>0</v>
      </c>
      <c r="AF11" s="95"/>
      <c r="AG11" s="96"/>
      <c r="AH11" s="96"/>
      <c r="AI11" s="97">
        <f t="shared" si="11"/>
        <v>0</v>
      </c>
      <c r="AJ11" s="97">
        <f t="shared" si="12"/>
        <v>0</v>
      </c>
      <c r="AK11" s="97">
        <f t="shared" si="13"/>
        <v>0</v>
      </c>
      <c r="AL11" s="98">
        <f t="shared" si="14"/>
        <v>0</v>
      </c>
      <c r="AM11" s="98">
        <f t="shared" si="15"/>
        <v>0</v>
      </c>
      <c r="AN11" s="98">
        <f t="shared" si="16"/>
        <v>8.78</v>
      </c>
      <c r="AO11" s="88">
        <f t="shared" si="17"/>
        <v>8.78</v>
      </c>
      <c r="AP11" s="99"/>
      <c r="AQ11" s="101"/>
      <c r="AR11" s="88">
        <f t="shared" si="18"/>
        <v>11579.22</v>
      </c>
      <c r="AS11" s="88"/>
      <c r="AT11" s="88">
        <f t="shared" si="19"/>
        <v>0</v>
      </c>
      <c r="AU11" s="101"/>
      <c r="AV11" s="101"/>
      <c r="AW11" s="101"/>
      <c r="AX11" s="101"/>
      <c r="AY11" s="88">
        <f t="shared" si="20"/>
        <v>11579.22</v>
      </c>
      <c r="AZ11" s="88" t="s">
        <v>84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</row>
    <row r="12">
      <c r="A12" s="102">
        <v>3.0</v>
      </c>
      <c r="B12" s="104"/>
      <c r="C12" s="80"/>
      <c r="D12" s="81"/>
      <c r="E12" s="105" t="s">
        <v>88</v>
      </c>
      <c r="F12" s="83" t="s">
        <v>80</v>
      </c>
      <c r="G12" s="82" t="s">
        <v>81</v>
      </c>
      <c r="H12" s="84">
        <v>9.0</v>
      </c>
      <c r="I12" s="85" t="s">
        <v>82</v>
      </c>
      <c r="J12" s="85" t="s">
        <v>83</v>
      </c>
      <c r="K12" s="86"/>
      <c r="L12" s="86"/>
      <c r="M12" s="87">
        <f>IFERROR(VLOOKUP($H12,'CODE 2'!$J:$K,2,FALSE)," ")</f>
        <v>21211</v>
      </c>
      <c r="N12" s="88">
        <f t="shared" si="1"/>
        <v>10605.5</v>
      </c>
      <c r="O12" s="88">
        <f t="shared" si="2"/>
        <v>964.1363636</v>
      </c>
      <c r="P12" s="88">
        <f t="shared" si="3"/>
        <v>120.5170455</v>
      </c>
      <c r="Q12" s="88">
        <f t="shared" si="4"/>
        <v>2.008617424</v>
      </c>
      <c r="R12" s="89">
        <v>11.0</v>
      </c>
      <c r="S12" s="88">
        <f t="shared" si="5"/>
        <v>10605.5</v>
      </c>
      <c r="T12" s="90"/>
      <c r="U12" s="90"/>
      <c r="V12" s="90"/>
      <c r="W12" s="92"/>
      <c r="X12" s="92"/>
      <c r="Y12" s="92"/>
      <c r="Z12" s="93"/>
      <c r="AA12" s="93"/>
      <c r="AB12" s="93"/>
      <c r="AC12" s="94"/>
      <c r="AD12" s="94"/>
      <c r="AE12" s="94"/>
      <c r="AF12" s="95"/>
      <c r="AG12" s="96"/>
      <c r="AH12" s="96"/>
      <c r="AI12" s="97"/>
      <c r="AJ12" s="97"/>
      <c r="AK12" s="97"/>
      <c r="AL12" s="98"/>
      <c r="AM12" s="98"/>
      <c r="AN12" s="98"/>
      <c r="AO12" s="88"/>
      <c r="AP12" s="99"/>
      <c r="AQ12" s="101"/>
      <c r="AR12" s="88"/>
      <c r="AS12" s="88"/>
      <c r="AT12" s="88"/>
      <c r="AU12" s="101"/>
      <c r="AV12" s="101"/>
      <c r="AW12" s="101"/>
      <c r="AX12" s="101"/>
      <c r="AY12" s="88"/>
      <c r="AZ12" s="88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</row>
    <row r="13">
      <c r="A13" s="102">
        <v>4.0</v>
      </c>
      <c r="B13" s="104" t="s">
        <v>89</v>
      </c>
      <c r="C13" s="106">
        <v>46036.0</v>
      </c>
      <c r="D13" s="81"/>
      <c r="E13" s="82" t="s">
        <v>90</v>
      </c>
      <c r="F13" s="83" t="s">
        <v>80</v>
      </c>
      <c r="G13" s="82" t="s">
        <v>91</v>
      </c>
      <c r="H13" s="84">
        <v>9.0</v>
      </c>
      <c r="I13" s="85" t="s">
        <v>82</v>
      </c>
      <c r="J13" s="85" t="s">
        <v>83</v>
      </c>
      <c r="K13" s="86"/>
      <c r="L13" s="86"/>
      <c r="M13" s="87">
        <f>IFERROR(VLOOKUP($H13,'CODE 2'!$J:$K,2,FALSE)," ")</f>
        <v>21211</v>
      </c>
      <c r="N13" s="88">
        <f t="shared" si="1"/>
        <v>10605.5</v>
      </c>
      <c r="O13" s="88">
        <f t="shared" si="2"/>
        <v>964.1363636</v>
      </c>
      <c r="P13" s="88">
        <f t="shared" si="3"/>
        <v>120.5170455</v>
      </c>
      <c r="Q13" s="88">
        <f t="shared" si="4"/>
        <v>2.008617424</v>
      </c>
      <c r="R13" s="89">
        <v>11.0</v>
      </c>
      <c r="S13" s="88">
        <f t="shared" si="5"/>
        <v>10605.5</v>
      </c>
      <c r="T13" s="90">
        <v>0.0</v>
      </c>
      <c r="U13" s="90">
        <v>0.0</v>
      </c>
      <c r="V13" s="90">
        <v>14.0</v>
      </c>
      <c r="W13" s="92">
        <f t="shared" ref="W13:W24" si="21">ROUND(($O13*$T13),2)</f>
        <v>0</v>
      </c>
      <c r="X13" s="92">
        <f t="shared" ref="X13:X24" si="22">ROUND(($P13*$U13),2)</f>
        <v>0</v>
      </c>
      <c r="Y13" s="92">
        <f t="shared" ref="Y13:Y24" si="23">ROUND(($Q13*$V13),2)</f>
        <v>28.12</v>
      </c>
      <c r="Z13" s="93"/>
      <c r="AA13" s="93"/>
      <c r="AB13" s="93"/>
      <c r="AC13" s="94">
        <f t="shared" ref="AC13:AC22" si="24">ROUND(($O13*$Z13),2)</f>
        <v>0</v>
      </c>
      <c r="AD13" s="94">
        <f t="shared" ref="AD13:AD22" si="25">ROUND(($P13*$AA13),2)</f>
        <v>0</v>
      </c>
      <c r="AE13" s="94">
        <f t="shared" ref="AE13:AE22" si="26">ROUND(($Q13*$AB13),2)</f>
        <v>0</v>
      </c>
      <c r="AF13" s="95"/>
      <c r="AG13" s="96"/>
      <c r="AH13" s="96"/>
      <c r="AI13" s="97">
        <f t="shared" ref="AI13:AI21" si="27">IFERROR(ROUND(($O13*$AF13),2)," ")</f>
        <v>0</v>
      </c>
      <c r="AJ13" s="97">
        <f t="shared" ref="AJ13:AJ21" si="28">IFERROR(ROUND(($P13*$AG13),2),"")</f>
        <v>0</v>
      </c>
      <c r="AK13" s="97">
        <f t="shared" ref="AK13:AK21" si="29">IFERROR(ROUND(($Q13*$AH13),2),"")</f>
        <v>0</v>
      </c>
      <c r="AL13" s="98">
        <f t="shared" ref="AL13:AL22" si="30">ROUND(($W13+$AC13+$AI13),2)</f>
        <v>0</v>
      </c>
      <c r="AM13" s="98">
        <f t="shared" ref="AM13:AM22" si="31">ROUND(($X13+$AD13+$AJ13),2)</f>
        <v>0</v>
      </c>
      <c r="AN13" s="98">
        <f t="shared" ref="AN13:AN22" si="32">ROUND(($Y13+$AE13+$AK13),2)</f>
        <v>28.12</v>
      </c>
      <c r="AO13" s="88">
        <f t="shared" ref="AO13:AO24" si="33">SUM(AL13:AN13)</f>
        <v>28.12</v>
      </c>
      <c r="AP13" s="99"/>
      <c r="AQ13" s="101"/>
      <c r="AR13" s="88">
        <f t="shared" ref="AR13:AR14" si="34">ROUND((S13-AO13-AP13),2)</f>
        <v>10577.38</v>
      </c>
      <c r="AS13" s="88"/>
      <c r="AT13" s="88">
        <f t="shared" ref="AT13:AT20" si="35">ROUND((AR13*$AT$8),2)</f>
        <v>0</v>
      </c>
      <c r="AU13" s="101"/>
      <c r="AV13" s="101"/>
      <c r="AW13" s="101"/>
      <c r="AX13" s="101"/>
      <c r="AY13" s="88">
        <f t="shared" ref="AY13:AY14" si="36">ROUND((AR13-AS13-AT13-AU13-AV13-AW13-AX13),2)</f>
        <v>10577.38</v>
      </c>
      <c r="AZ13" s="88" t="s">
        <v>84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</row>
    <row r="14">
      <c r="A14" s="102">
        <v>5.0</v>
      </c>
      <c r="B14" s="79" t="s">
        <v>92</v>
      </c>
      <c r="C14" s="107">
        <v>46036.0</v>
      </c>
      <c r="D14" s="81"/>
      <c r="E14" s="103" t="s">
        <v>93</v>
      </c>
      <c r="F14" s="83" t="s">
        <v>80</v>
      </c>
      <c r="G14" s="82" t="s">
        <v>81</v>
      </c>
      <c r="H14" s="84">
        <v>9.0</v>
      </c>
      <c r="I14" s="85" t="s">
        <v>82</v>
      </c>
      <c r="J14" s="85" t="s">
        <v>83</v>
      </c>
      <c r="K14" s="86"/>
      <c r="L14" s="86"/>
      <c r="M14" s="87">
        <f>IFERROR(VLOOKUP($H14,'CODE 2'!$J:$K,2,FALSE)," ")</f>
        <v>21211</v>
      </c>
      <c r="N14" s="88">
        <f t="shared" si="1"/>
        <v>10605.5</v>
      </c>
      <c r="O14" s="88">
        <f t="shared" si="2"/>
        <v>964.1363636</v>
      </c>
      <c r="P14" s="88">
        <f t="shared" si="3"/>
        <v>120.5170455</v>
      </c>
      <c r="Q14" s="88">
        <f t="shared" si="4"/>
        <v>2.008617424</v>
      </c>
      <c r="R14" s="89">
        <v>11.0</v>
      </c>
      <c r="S14" s="88">
        <f t="shared" si="5"/>
        <v>10605.5</v>
      </c>
      <c r="T14" s="90">
        <v>0.0</v>
      </c>
      <c r="U14" s="90">
        <v>0.0</v>
      </c>
      <c r="V14" s="90">
        <v>0.0</v>
      </c>
      <c r="W14" s="92">
        <f t="shared" si="21"/>
        <v>0</v>
      </c>
      <c r="X14" s="92">
        <f t="shared" si="22"/>
        <v>0</v>
      </c>
      <c r="Y14" s="92">
        <f t="shared" si="23"/>
        <v>0</v>
      </c>
      <c r="Z14" s="93"/>
      <c r="AA14" s="93"/>
      <c r="AB14" s="93"/>
      <c r="AC14" s="94">
        <f t="shared" si="24"/>
        <v>0</v>
      </c>
      <c r="AD14" s="94">
        <f t="shared" si="25"/>
        <v>0</v>
      </c>
      <c r="AE14" s="94">
        <f t="shared" si="26"/>
        <v>0</v>
      </c>
      <c r="AF14" s="95"/>
      <c r="AG14" s="96"/>
      <c r="AH14" s="96"/>
      <c r="AI14" s="97">
        <f t="shared" si="27"/>
        <v>0</v>
      </c>
      <c r="AJ14" s="97">
        <f t="shared" si="28"/>
        <v>0</v>
      </c>
      <c r="AK14" s="97">
        <f t="shared" si="29"/>
        <v>0</v>
      </c>
      <c r="AL14" s="98">
        <f t="shared" si="30"/>
        <v>0</v>
      </c>
      <c r="AM14" s="98">
        <f t="shared" si="31"/>
        <v>0</v>
      </c>
      <c r="AN14" s="98">
        <f t="shared" si="32"/>
        <v>0</v>
      </c>
      <c r="AO14" s="88">
        <f t="shared" si="33"/>
        <v>0</v>
      </c>
      <c r="AP14" s="99"/>
      <c r="AQ14" s="101"/>
      <c r="AR14" s="88">
        <f t="shared" si="34"/>
        <v>10605.5</v>
      </c>
      <c r="AS14" s="88"/>
      <c r="AT14" s="88">
        <f t="shared" si="35"/>
        <v>0</v>
      </c>
      <c r="AU14" s="101"/>
      <c r="AV14" s="101"/>
      <c r="AW14" s="101"/>
      <c r="AX14" s="101"/>
      <c r="AY14" s="88">
        <f t="shared" si="36"/>
        <v>10605.5</v>
      </c>
      <c r="AZ14" s="88" t="s">
        <v>84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</row>
    <row r="15">
      <c r="A15" s="102">
        <v>6.0</v>
      </c>
      <c r="B15" s="108"/>
      <c r="C15" s="107"/>
      <c r="D15" s="81"/>
      <c r="E15" s="109" t="s">
        <v>94</v>
      </c>
      <c r="F15" s="83" t="s">
        <v>80</v>
      </c>
      <c r="G15" s="110" t="s">
        <v>81</v>
      </c>
      <c r="H15" s="84">
        <v>9.0</v>
      </c>
      <c r="I15" s="85" t="s">
        <v>82</v>
      </c>
      <c r="J15" s="85" t="s">
        <v>83</v>
      </c>
      <c r="K15" s="86"/>
      <c r="L15" s="86"/>
      <c r="M15" s="87">
        <f>IFERROR(VLOOKUP($H15,'CODE 2'!$J:$K,2,FALSE)," ")</f>
        <v>21211</v>
      </c>
      <c r="N15" s="88">
        <f t="shared" si="1"/>
        <v>10605.5</v>
      </c>
      <c r="O15" s="88">
        <f t="shared" si="2"/>
        <v>964.1363636</v>
      </c>
      <c r="P15" s="88">
        <f t="shared" si="3"/>
        <v>120.5170455</v>
      </c>
      <c r="Q15" s="88">
        <f t="shared" si="4"/>
        <v>2.008617424</v>
      </c>
      <c r="R15" s="89">
        <v>11.0</v>
      </c>
      <c r="S15" s="88">
        <f t="shared" si="5"/>
        <v>10605.5</v>
      </c>
      <c r="T15" s="90"/>
      <c r="U15" s="90"/>
      <c r="V15" s="90"/>
      <c r="W15" s="92">
        <f t="shared" si="21"/>
        <v>0</v>
      </c>
      <c r="X15" s="92">
        <f t="shared" si="22"/>
        <v>0</v>
      </c>
      <c r="Y15" s="92">
        <f t="shared" si="23"/>
        <v>0</v>
      </c>
      <c r="Z15" s="93"/>
      <c r="AA15" s="93"/>
      <c r="AB15" s="93"/>
      <c r="AC15" s="94">
        <f t="shared" si="24"/>
        <v>0</v>
      </c>
      <c r="AD15" s="94">
        <f t="shared" si="25"/>
        <v>0</v>
      </c>
      <c r="AE15" s="94">
        <f t="shared" si="26"/>
        <v>0</v>
      </c>
      <c r="AF15" s="95"/>
      <c r="AG15" s="96"/>
      <c r="AH15" s="96"/>
      <c r="AI15" s="97">
        <f t="shared" si="27"/>
        <v>0</v>
      </c>
      <c r="AJ15" s="97">
        <f t="shared" si="28"/>
        <v>0</v>
      </c>
      <c r="AK15" s="97">
        <f t="shared" si="29"/>
        <v>0</v>
      </c>
      <c r="AL15" s="98">
        <f t="shared" si="30"/>
        <v>0</v>
      </c>
      <c r="AM15" s="98">
        <f t="shared" si="31"/>
        <v>0</v>
      </c>
      <c r="AN15" s="98">
        <f t="shared" si="32"/>
        <v>0</v>
      </c>
      <c r="AO15" s="88">
        <f t="shared" si="33"/>
        <v>0</v>
      </c>
      <c r="AP15" s="99"/>
      <c r="AQ15" s="101"/>
      <c r="AR15" s="88"/>
      <c r="AS15" s="88"/>
      <c r="AT15" s="88">
        <f t="shared" si="35"/>
        <v>0</v>
      </c>
      <c r="AU15" s="101"/>
      <c r="AV15" s="101"/>
      <c r="AW15" s="101"/>
      <c r="AX15" s="101"/>
      <c r="AY15" s="88"/>
      <c r="AZ15" s="88" t="s">
        <v>84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</row>
    <row r="16">
      <c r="A16" s="102">
        <v>7.0</v>
      </c>
      <c r="B16" s="79" t="s">
        <v>95</v>
      </c>
      <c r="C16" s="107">
        <v>46036.0</v>
      </c>
      <c r="D16" s="81"/>
      <c r="E16" s="82" t="s">
        <v>96</v>
      </c>
      <c r="F16" s="83" t="s">
        <v>80</v>
      </c>
      <c r="G16" s="82" t="s">
        <v>81</v>
      </c>
      <c r="H16" s="84">
        <v>9.0</v>
      </c>
      <c r="I16" s="85" t="s">
        <v>82</v>
      </c>
      <c r="J16" s="85" t="s">
        <v>83</v>
      </c>
      <c r="K16" s="86"/>
      <c r="L16" s="86"/>
      <c r="M16" s="87">
        <f>IFERROR(VLOOKUP($H16,'CODE 2'!$J:$K,2,FALSE)," ")</f>
        <v>21211</v>
      </c>
      <c r="N16" s="88">
        <f t="shared" si="1"/>
        <v>10605.5</v>
      </c>
      <c r="O16" s="88">
        <f t="shared" si="2"/>
        <v>964.1363636</v>
      </c>
      <c r="P16" s="88">
        <f t="shared" si="3"/>
        <v>120.5170455</v>
      </c>
      <c r="Q16" s="88">
        <f t="shared" si="4"/>
        <v>2.008617424</v>
      </c>
      <c r="R16" s="89">
        <v>11.0</v>
      </c>
      <c r="S16" s="88">
        <f t="shared" si="5"/>
        <v>10605.5</v>
      </c>
      <c r="T16" s="90">
        <v>0.0</v>
      </c>
      <c r="U16" s="90">
        <v>0.0</v>
      </c>
      <c r="V16" s="90">
        <v>0.0</v>
      </c>
      <c r="W16" s="92">
        <f t="shared" si="21"/>
        <v>0</v>
      </c>
      <c r="X16" s="92">
        <f t="shared" si="22"/>
        <v>0</v>
      </c>
      <c r="Y16" s="92">
        <f t="shared" si="23"/>
        <v>0</v>
      </c>
      <c r="Z16" s="93"/>
      <c r="AA16" s="93"/>
      <c r="AB16" s="93"/>
      <c r="AC16" s="94">
        <f t="shared" si="24"/>
        <v>0</v>
      </c>
      <c r="AD16" s="94">
        <f t="shared" si="25"/>
        <v>0</v>
      </c>
      <c r="AE16" s="94">
        <f t="shared" si="26"/>
        <v>0</v>
      </c>
      <c r="AF16" s="95"/>
      <c r="AG16" s="96"/>
      <c r="AH16" s="96"/>
      <c r="AI16" s="97">
        <f t="shared" si="27"/>
        <v>0</v>
      </c>
      <c r="AJ16" s="97">
        <f t="shared" si="28"/>
        <v>0</v>
      </c>
      <c r="AK16" s="97">
        <f t="shared" si="29"/>
        <v>0</v>
      </c>
      <c r="AL16" s="98">
        <f t="shared" si="30"/>
        <v>0</v>
      </c>
      <c r="AM16" s="98">
        <f t="shared" si="31"/>
        <v>0</v>
      </c>
      <c r="AN16" s="98">
        <f t="shared" si="32"/>
        <v>0</v>
      </c>
      <c r="AO16" s="88">
        <f t="shared" si="33"/>
        <v>0</v>
      </c>
      <c r="AP16" s="99"/>
      <c r="AQ16" s="111"/>
      <c r="AR16" s="88">
        <f t="shared" ref="AR16:AR22" si="37">ROUND((S16-AO16-AP16),2)</f>
        <v>10605.5</v>
      </c>
      <c r="AS16" s="88"/>
      <c r="AT16" s="88">
        <f t="shared" si="35"/>
        <v>0</v>
      </c>
      <c r="AU16" s="101"/>
      <c r="AV16" s="101"/>
      <c r="AW16" s="101"/>
      <c r="AX16" s="101"/>
      <c r="AY16" s="88">
        <f t="shared" ref="AY16:AY22" si="38">ROUND((AR16-AS16-AT16-AU16-AV16-AW16-AX16),2)</f>
        <v>10605.5</v>
      </c>
      <c r="AZ16" s="88" t="s">
        <v>84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</row>
    <row r="17">
      <c r="A17" s="102">
        <v>8.0</v>
      </c>
      <c r="B17" s="108" t="s">
        <v>97</v>
      </c>
      <c r="C17" s="107">
        <v>46036.0</v>
      </c>
      <c r="D17" s="81"/>
      <c r="E17" s="103" t="s">
        <v>98</v>
      </c>
      <c r="F17" s="83" t="s">
        <v>80</v>
      </c>
      <c r="G17" s="82" t="s">
        <v>81</v>
      </c>
      <c r="H17" s="84">
        <v>9.0</v>
      </c>
      <c r="I17" s="85" t="s">
        <v>82</v>
      </c>
      <c r="J17" s="85" t="s">
        <v>83</v>
      </c>
      <c r="K17" s="86"/>
      <c r="L17" s="86"/>
      <c r="M17" s="87">
        <f>IFERROR(VLOOKUP($H17,'CODE 2'!$J:$K,2,FALSE)," ")</f>
        <v>21211</v>
      </c>
      <c r="N17" s="88">
        <f t="shared" si="1"/>
        <v>10605.5</v>
      </c>
      <c r="O17" s="88">
        <f t="shared" si="2"/>
        <v>964.1363636</v>
      </c>
      <c r="P17" s="88">
        <f t="shared" si="3"/>
        <v>120.5170455</v>
      </c>
      <c r="Q17" s="88">
        <f t="shared" si="4"/>
        <v>2.008617424</v>
      </c>
      <c r="R17" s="89">
        <v>11.0</v>
      </c>
      <c r="S17" s="88">
        <f t="shared" si="5"/>
        <v>10605.5</v>
      </c>
      <c r="T17" s="90">
        <v>0.0</v>
      </c>
      <c r="U17" s="90">
        <v>0.0</v>
      </c>
      <c r="V17" s="90">
        <v>45.0</v>
      </c>
      <c r="W17" s="92">
        <f t="shared" si="21"/>
        <v>0</v>
      </c>
      <c r="X17" s="92">
        <f t="shared" si="22"/>
        <v>0</v>
      </c>
      <c r="Y17" s="92">
        <f t="shared" si="23"/>
        <v>90.39</v>
      </c>
      <c r="Z17" s="93"/>
      <c r="AA17" s="93"/>
      <c r="AB17" s="93"/>
      <c r="AC17" s="94">
        <f t="shared" si="24"/>
        <v>0</v>
      </c>
      <c r="AD17" s="94">
        <f t="shared" si="25"/>
        <v>0</v>
      </c>
      <c r="AE17" s="94">
        <f t="shared" si="26"/>
        <v>0</v>
      </c>
      <c r="AF17" s="95"/>
      <c r="AG17" s="96"/>
      <c r="AH17" s="96"/>
      <c r="AI17" s="97">
        <f t="shared" si="27"/>
        <v>0</v>
      </c>
      <c r="AJ17" s="97">
        <f t="shared" si="28"/>
        <v>0</v>
      </c>
      <c r="AK17" s="97">
        <f t="shared" si="29"/>
        <v>0</v>
      </c>
      <c r="AL17" s="98">
        <f t="shared" si="30"/>
        <v>0</v>
      </c>
      <c r="AM17" s="98">
        <f t="shared" si="31"/>
        <v>0</v>
      </c>
      <c r="AN17" s="98">
        <f t="shared" si="32"/>
        <v>90.39</v>
      </c>
      <c r="AO17" s="88">
        <f t="shared" si="33"/>
        <v>90.39</v>
      </c>
      <c r="AP17" s="99"/>
      <c r="AQ17" s="101"/>
      <c r="AR17" s="88">
        <f t="shared" si="37"/>
        <v>10515.11</v>
      </c>
      <c r="AS17" s="88"/>
      <c r="AT17" s="88">
        <f t="shared" si="35"/>
        <v>0</v>
      </c>
      <c r="AU17" s="101"/>
      <c r="AV17" s="101"/>
      <c r="AW17" s="101"/>
      <c r="AX17" s="101"/>
      <c r="AY17" s="88">
        <f t="shared" si="38"/>
        <v>10515.11</v>
      </c>
      <c r="AZ17" s="88" t="s">
        <v>84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</row>
    <row r="18">
      <c r="A18" s="102">
        <v>9.0</v>
      </c>
      <c r="B18" s="108" t="s">
        <v>99</v>
      </c>
      <c r="C18" s="107">
        <v>46036.0</v>
      </c>
      <c r="D18" s="81"/>
      <c r="E18" s="103" t="s">
        <v>100</v>
      </c>
      <c r="F18" s="83" t="s">
        <v>80</v>
      </c>
      <c r="G18" s="82" t="s">
        <v>91</v>
      </c>
      <c r="H18" s="84">
        <v>9.0</v>
      </c>
      <c r="I18" s="85" t="s">
        <v>82</v>
      </c>
      <c r="J18" s="85" t="s">
        <v>83</v>
      </c>
      <c r="K18" s="86"/>
      <c r="L18" s="86"/>
      <c r="M18" s="87">
        <f>IFERROR(VLOOKUP($H18,'CODE 2'!$J:$K,2,FALSE)," ")</f>
        <v>21211</v>
      </c>
      <c r="N18" s="88">
        <f t="shared" si="1"/>
        <v>10605.5</v>
      </c>
      <c r="O18" s="88">
        <f t="shared" si="2"/>
        <v>964.1363636</v>
      </c>
      <c r="P18" s="88">
        <f t="shared" si="3"/>
        <v>120.5170455</v>
      </c>
      <c r="Q18" s="88">
        <f t="shared" si="4"/>
        <v>2.008617424</v>
      </c>
      <c r="R18" s="89">
        <v>11.0</v>
      </c>
      <c r="S18" s="88">
        <f t="shared" si="5"/>
        <v>10605.5</v>
      </c>
      <c r="T18" s="90">
        <v>0.0</v>
      </c>
      <c r="U18" s="90">
        <v>0.0</v>
      </c>
      <c r="V18" s="90">
        <v>0.0</v>
      </c>
      <c r="W18" s="92">
        <f t="shared" si="21"/>
        <v>0</v>
      </c>
      <c r="X18" s="92">
        <f t="shared" si="22"/>
        <v>0</v>
      </c>
      <c r="Y18" s="92">
        <f t="shared" si="23"/>
        <v>0</v>
      </c>
      <c r="Z18" s="93"/>
      <c r="AA18" s="93"/>
      <c r="AB18" s="93"/>
      <c r="AC18" s="94">
        <f t="shared" si="24"/>
        <v>0</v>
      </c>
      <c r="AD18" s="94">
        <f t="shared" si="25"/>
        <v>0</v>
      </c>
      <c r="AE18" s="94">
        <f t="shared" si="26"/>
        <v>0</v>
      </c>
      <c r="AF18" s="95"/>
      <c r="AG18" s="96"/>
      <c r="AH18" s="96"/>
      <c r="AI18" s="97">
        <f t="shared" si="27"/>
        <v>0</v>
      </c>
      <c r="AJ18" s="97">
        <f t="shared" si="28"/>
        <v>0</v>
      </c>
      <c r="AK18" s="97">
        <f t="shared" si="29"/>
        <v>0</v>
      </c>
      <c r="AL18" s="98">
        <f t="shared" si="30"/>
        <v>0</v>
      </c>
      <c r="AM18" s="98">
        <f t="shared" si="31"/>
        <v>0</v>
      </c>
      <c r="AN18" s="98">
        <f t="shared" si="32"/>
        <v>0</v>
      </c>
      <c r="AO18" s="88">
        <f t="shared" si="33"/>
        <v>0</v>
      </c>
      <c r="AP18" s="99"/>
      <c r="AQ18" s="101"/>
      <c r="AR18" s="88">
        <f t="shared" si="37"/>
        <v>10605.5</v>
      </c>
      <c r="AS18" s="88"/>
      <c r="AT18" s="88">
        <f t="shared" si="35"/>
        <v>0</v>
      </c>
      <c r="AU18" s="101"/>
      <c r="AV18" s="101"/>
      <c r="AW18" s="101"/>
      <c r="AX18" s="101"/>
      <c r="AY18" s="88">
        <f t="shared" si="38"/>
        <v>10605.5</v>
      </c>
      <c r="AZ18" s="88" t="s">
        <v>84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</row>
    <row r="19">
      <c r="A19" s="102">
        <v>10.0</v>
      </c>
      <c r="B19" s="108" t="s">
        <v>101</v>
      </c>
      <c r="C19" s="107">
        <v>46036.0</v>
      </c>
      <c r="D19" s="81"/>
      <c r="E19" s="112" t="s">
        <v>102</v>
      </c>
      <c r="F19" s="83" t="s">
        <v>80</v>
      </c>
      <c r="G19" s="82" t="s">
        <v>81</v>
      </c>
      <c r="H19" s="113">
        <v>9.0</v>
      </c>
      <c r="I19" s="85" t="s">
        <v>82</v>
      </c>
      <c r="J19" s="85" t="s">
        <v>83</v>
      </c>
      <c r="K19" s="86"/>
      <c r="L19" s="86"/>
      <c r="M19" s="87">
        <f>IFERROR(VLOOKUP($H19,'CODE 2'!$J:$K,2,FALSE)," ")</f>
        <v>21211</v>
      </c>
      <c r="N19" s="88">
        <f t="shared" si="1"/>
        <v>10605.5</v>
      </c>
      <c r="O19" s="88">
        <f t="shared" si="2"/>
        <v>964.1363636</v>
      </c>
      <c r="P19" s="88">
        <f t="shared" si="3"/>
        <v>120.5170455</v>
      </c>
      <c r="Q19" s="88">
        <f t="shared" si="4"/>
        <v>2.008617424</v>
      </c>
      <c r="R19" s="89">
        <v>11.0</v>
      </c>
      <c r="S19" s="88">
        <f t="shared" si="5"/>
        <v>10605.5</v>
      </c>
      <c r="T19" s="90">
        <v>0.0</v>
      </c>
      <c r="U19" s="90">
        <v>0.0</v>
      </c>
      <c r="V19" s="90">
        <v>0.0</v>
      </c>
      <c r="W19" s="92">
        <f t="shared" si="21"/>
        <v>0</v>
      </c>
      <c r="X19" s="92">
        <f t="shared" si="22"/>
        <v>0</v>
      </c>
      <c r="Y19" s="92">
        <f t="shared" si="23"/>
        <v>0</v>
      </c>
      <c r="Z19" s="93"/>
      <c r="AA19" s="93"/>
      <c r="AB19" s="93"/>
      <c r="AC19" s="94">
        <f t="shared" si="24"/>
        <v>0</v>
      </c>
      <c r="AD19" s="94">
        <f t="shared" si="25"/>
        <v>0</v>
      </c>
      <c r="AE19" s="94">
        <f t="shared" si="26"/>
        <v>0</v>
      </c>
      <c r="AF19" s="95"/>
      <c r="AG19" s="96"/>
      <c r="AH19" s="96"/>
      <c r="AI19" s="97">
        <f t="shared" si="27"/>
        <v>0</v>
      </c>
      <c r="AJ19" s="97">
        <f t="shared" si="28"/>
        <v>0</v>
      </c>
      <c r="AK19" s="97">
        <f t="shared" si="29"/>
        <v>0</v>
      </c>
      <c r="AL19" s="98">
        <f t="shared" si="30"/>
        <v>0</v>
      </c>
      <c r="AM19" s="98">
        <f t="shared" si="31"/>
        <v>0</v>
      </c>
      <c r="AN19" s="98">
        <f t="shared" si="32"/>
        <v>0</v>
      </c>
      <c r="AO19" s="88">
        <f t="shared" si="33"/>
        <v>0</v>
      </c>
      <c r="AP19" s="99"/>
      <c r="AQ19" s="101"/>
      <c r="AR19" s="88">
        <f t="shared" si="37"/>
        <v>10605.5</v>
      </c>
      <c r="AS19" s="88"/>
      <c r="AT19" s="88">
        <f t="shared" si="35"/>
        <v>0</v>
      </c>
      <c r="AU19" s="101"/>
      <c r="AV19" s="101"/>
      <c r="AW19" s="101"/>
      <c r="AX19" s="101"/>
      <c r="AY19" s="88">
        <f t="shared" si="38"/>
        <v>10605.5</v>
      </c>
      <c r="AZ19" s="88" t="s">
        <v>84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</row>
    <row r="20">
      <c r="A20" s="114">
        <v>11.0</v>
      </c>
      <c r="B20" s="115" t="s">
        <v>103</v>
      </c>
      <c r="C20" s="116">
        <v>46036.0</v>
      </c>
      <c r="D20" s="117"/>
      <c r="E20" s="118" t="s">
        <v>104</v>
      </c>
      <c r="F20" s="83" t="s">
        <v>80</v>
      </c>
      <c r="G20" s="119" t="s">
        <v>105</v>
      </c>
      <c r="H20" s="84">
        <v>9.0</v>
      </c>
      <c r="I20" s="85" t="s">
        <v>82</v>
      </c>
      <c r="J20" s="85" t="s">
        <v>83</v>
      </c>
      <c r="K20" s="86"/>
      <c r="L20" s="86"/>
      <c r="M20" s="87">
        <f>IFERROR(VLOOKUP($H20,'CODE 2'!$J:$K,2,FALSE)," ")</f>
        <v>21211</v>
      </c>
      <c r="N20" s="88">
        <f t="shared" si="1"/>
        <v>10605.5</v>
      </c>
      <c r="O20" s="88">
        <f t="shared" si="2"/>
        <v>964.1363636</v>
      </c>
      <c r="P20" s="88">
        <f t="shared" si="3"/>
        <v>120.5170455</v>
      </c>
      <c r="Q20" s="88">
        <f t="shared" si="4"/>
        <v>2.008617424</v>
      </c>
      <c r="R20" s="89">
        <v>11.0</v>
      </c>
      <c r="S20" s="88">
        <f t="shared" si="5"/>
        <v>10605.5</v>
      </c>
      <c r="T20" s="90">
        <v>0.0</v>
      </c>
      <c r="U20" s="90">
        <v>0.0</v>
      </c>
      <c r="V20" s="90">
        <v>0.0</v>
      </c>
      <c r="W20" s="92">
        <f t="shared" si="21"/>
        <v>0</v>
      </c>
      <c r="X20" s="92">
        <f t="shared" si="22"/>
        <v>0</v>
      </c>
      <c r="Y20" s="92">
        <f t="shared" si="23"/>
        <v>0</v>
      </c>
      <c r="Z20" s="93"/>
      <c r="AA20" s="93"/>
      <c r="AB20" s="93"/>
      <c r="AC20" s="94">
        <f t="shared" si="24"/>
        <v>0</v>
      </c>
      <c r="AD20" s="94">
        <f t="shared" si="25"/>
        <v>0</v>
      </c>
      <c r="AE20" s="94">
        <f t="shared" si="26"/>
        <v>0</v>
      </c>
      <c r="AF20" s="95"/>
      <c r="AG20" s="96"/>
      <c r="AH20" s="96"/>
      <c r="AI20" s="97">
        <f t="shared" si="27"/>
        <v>0</v>
      </c>
      <c r="AJ20" s="97">
        <f t="shared" si="28"/>
        <v>0</v>
      </c>
      <c r="AK20" s="97">
        <f t="shared" si="29"/>
        <v>0</v>
      </c>
      <c r="AL20" s="98">
        <f t="shared" si="30"/>
        <v>0</v>
      </c>
      <c r="AM20" s="98">
        <f t="shared" si="31"/>
        <v>0</v>
      </c>
      <c r="AN20" s="98">
        <f t="shared" si="32"/>
        <v>0</v>
      </c>
      <c r="AO20" s="88">
        <f t="shared" si="33"/>
        <v>0</v>
      </c>
      <c r="AP20" s="99"/>
      <c r="AQ20" s="101"/>
      <c r="AR20" s="88">
        <f t="shared" si="37"/>
        <v>10605.5</v>
      </c>
      <c r="AS20" s="88"/>
      <c r="AT20" s="88">
        <f t="shared" si="35"/>
        <v>0</v>
      </c>
      <c r="AU20" s="101"/>
      <c r="AV20" s="101"/>
      <c r="AW20" s="101"/>
      <c r="AX20" s="101"/>
      <c r="AY20" s="88">
        <f t="shared" si="38"/>
        <v>10605.5</v>
      </c>
      <c r="AZ20" s="88" t="s">
        <v>84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</row>
    <row r="21">
      <c r="A21" s="114">
        <v>12.0</v>
      </c>
      <c r="B21" s="115" t="s">
        <v>106</v>
      </c>
      <c r="C21" s="116">
        <v>46036.0</v>
      </c>
      <c r="D21" s="117"/>
      <c r="E21" s="118" t="s">
        <v>107</v>
      </c>
      <c r="F21" s="83" t="s">
        <v>80</v>
      </c>
      <c r="G21" s="119" t="s">
        <v>108</v>
      </c>
      <c r="H21" s="113">
        <v>8.0</v>
      </c>
      <c r="I21" s="85" t="s">
        <v>82</v>
      </c>
      <c r="J21" s="85" t="s">
        <v>83</v>
      </c>
      <c r="K21" s="86"/>
      <c r="L21" s="86"/>
      <c r="M21" s="87">
        <f>IFERROR(VLOOKUP($H21,'CODE 2'!$J:$K,2,FALSE)," ")</f>
        <v>19744</v>
      </c>
      <c r="N21" s="88">
        <f t="shared" si="1"/>
        <v>9872</v>
      </c>
      <c r="O21" s="88">
        <f t="shared" si="2"/>
        <v>897.4545455</v>
      </c>
      <c r="P21" s="88">
        <f t="shared" si="3"/>
        <v>112.1818182</v>
      </c>
      <c r="Q21" s="88">
        <f t="shared" si="4"/>
        <v>1.86969697</v>
      </c>
      <c r="R21" s="89">
        <v>11.0</v>
      </c>
      <c r="S21" s="88">
        <f t="shared" si="5"/>
        <v>9872</v>
      </c>
      <c r="T21" s="90">
        <v>0.0</v>
      </c>
      <c r="U21" s="90">
        <v>0.0</v>
      </c>
      <c r="V21" s="90">
        <v>0.0</v>
      </c>
      <c r="W21" s="92">
        <f t="shared" si="21"/>
        <v>0</v>
      </c>
      <c r="X21" s="92">
        <f t="shared" si="22"/>
        <v>0</v>
      </c>
      <c r="Y21" s="92">
        <f t="shared" si="23"/>
        <v>0</v>
      </c>
      <c r="Z21" s="93"/>
      <c r="AA21" s="93"/>
      <c r="AB21" s="93"/>
      <c r="AC21" s="94">
        <f t="shared" si="24"/>
        <v>0</v>
      </c>
      <c r="AD21" s="94">
        <f t="shared" si="25"/>
        <v>0</v>
      </c>
      <c r="AE21" s="94">
        <f t="shared" si="26"/>
        <v>0</v>
      </c>
      <c r="AF21" s="95"/>
      <c r="AG21" s="96"/>
      <c r="AH21" s="96"/>
      <c r="AI21" s="97">
        <f t="shared" si="27"/>
        <v>0</v>
      </c>
      <c r="AJ21" s="97">
        <f t="shared" si="28"/>
        <v>0</v>
      </c>
      <c r="AK21" s="97">
        <f t="shared" si="29"/>
        <v>0</v>
      </c>
      <c r="AL21" s="98">
        <f t="shared" si="30"/>
        <v>0</v>
      </c>
      <c r="AM21" s="98">
        <f t="shared" si="31"/>
        <v>0</v>
      </c>
      <c r="AN21" s="98">
        <f t="shared" si="32"/>
        <v>0</v>
      </c>
      <c r="AO21" s="88">
        <f t="shared" si="33"/>
        <v>0</v>
      </c>
      <c r="AP21" s="99"/>
      <c r="AQ21" s="99"/>
      <c r="AR21" s="88">
        <f t="shared" si="37"/>
        <v>9872</v>
      </c>
      <c r="AS21" s="88">
        <v>0.0</v>
      </c>
      <c r="AT21" s="88">
        <v>0.0</v>
      </c>
      <c r="AU21" s="101">
        <v>0.0</v>
      </c>
      <c r="AV21" s="101"/>
      <c r="AW21" s="101"/>
      <c r="AX21" s="101"/>
      <c r="AY21" s="88">
        <f t="shared" si="38"/>
        <v>9872</v>
      </c>
      <c r="AZ21" s="88" t="s">
        <v>84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</row>
    <row r="22">
      <c r="A22" s="114">
        <v>13.0</v>
      </c>
      <c r="B22" s="120" t="s">
        <v>109</v>
      </c>
      <c r="C22" s="121">
        <v>46036.0</v>
      </c>
      <c r="D22" s="122"/>
      <c r="E22" s="123" t="s">
        <v>110</v>
      </c>
      <c r="F22" s="124" t="s">
        <v>111</v>
      </c>
      <c r="G22" s="125" t="s">
        <v>112</v>
      </c>
      <c r="H22" s="126">
        <v>11.0</v>
      </c>
      <c r="I22" s="127" t="s">
        <v>82</v>
      </c>
      <c r="J22" s="127" t="s">
        <v>113</v>
      </c>
      <c r="K22" s="128"/>
      <c r="L22" s="129"/>
      <c r="M22" s="130">
        <f>IFERROR(VLOOKUP($H22,'CODE 2'!$J:$K,2,FALSE)," ")</f>
        <v>27000</v>
      </c>
      <c r="N22" s="131">
        <f>IFERROR(ROUND((M22/2),2),"")</f>
        <v>13500</v>
      </c>
      <c r="O22" s="131">
        <f>IFERROR((M22/22)," ")</f>
        <v>1227.272727</v>
      </c>
      <c r="P22" s="131">
        <f>IFERROR((O22/8),"")</f>
        <v>153.4090909</v>
      </c>
      <c r="Q22" s="131">
        <f>IFERROR((P22/60),"")</f>
        <v>2.556818182</v>
      </c>
      <c r="R22" s="132">
        <v>11.0</v>
      </c>
      <c r="S22" s="131">
        <f>IFERROR(ROUND((O22*R22),2)," ")</f>
        <v>13500</v>
      </c>
      <c r="T22" s="90">
        <v>0.0</v>
      </c>
      <c r="U22" s="90">
        <v>0.0</v>
      </c>
      <c r="V22" s="90">
        <v>3.0</v>
      </c>
      <c r="W22" s="92">
        <f t="shared" si="21"/>
        <v>0</v>
      </c>
      <c r="X22" s="92">
        <f t="shared" si="22"/>
        <v>0</v>
      </c>
      <c r="Y22" s="92">
        <f t="shared" si="23"/>
        <v>7.67</v>
      </c>
      <c r="Z22" s="93"/>
      <c r="AA22" s="93"/>
      <c r="AB22" s="93"/>
      <c r="AC22" s="94">
        <f t="shared" si="24"/>
        <v>0</v>
      </c>
      <c r="AD22" s="94">
        <f t="shared" si="25"/>
        <v>0</v>
      </c>
      <c r="AE22" s="94">
        <f t="shared" si="26"/>
        <v>0</v>
      </c>
      <c r="AF22" s="95"/>
      <c r="AG22" s="96"/>
      <c r="AH22" s="96"/>
      <c r="AI22" s="97"/>
      <c r="AJ22" s="97"/>
      <c r="AK22" s="97"/>
      <c r="AL22" s="98">
        <f t="shared" si="30"/>
        <v>0</v>
      </c>
      <c r="AM22" s="98">
        <f t="shared" si="31"/>
        <v>0</v>
      </c>
      <c r="AN22" s="98">
        <f t="shared" si="32"/>
        <v>7.67</v>
      </c>
      <c r="AO22" s="88">
        <f t="shared" si="33"/>
        <v>7.67</v>
      </c>
      <c r="AP22" s="99"/>
      <c r="AQ22" s="101"/>
      <c r="AR22" s="88">
        <f t="shared" si="37"/>
        <v>13492.33</v>
      </c>
      <c r="AS22" s="88"/>
      <c r="AT22" s="88"/>
      <c r="AU22" s="101"/>
      <c r="AV22" s="101"/>
      <c r="AW22" s="101"/>
      <c r="AX22" s="101"/>
      <c r="AY22" s="88">
        <f t="shared" si="38"/>
        <v>13492.33</v>
      </c>
      <c r="AZ22" s="88" t="s">
        <v>84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</row>
    <row r="23" ht="15.75" customHeight="1">
      <c r="A23" s="114">
        <v>14.0</v>
      </c>
      <c r="B23" s="104" t="s">
        <v>114</v>
      </c>
      <c r="C23" s="133">
        <v>46036.0</v>
      </c>
      <c r="D23" s="81"/>
      <c r="E23" s="134" t="s">
        <v>115</v>
      </c>
      <c r="F23" s="135" t="s">
        <v>116</v>
      </c>
      <c r="G23" s="136" t="s">
        <v>117</v>
      </c>
      <c r="H23" s="137">
        <v>8.0</v>
      </c>
      <c r="I23" s="85" t="s">
        <v>82</v>
      </c>
      <c r="J23" s="138" t="s">
        <v>113</v>
      </c>
      <c r="K23" s="139"/>
      <c r="L23" s="140"/>
      <c r="M23" s="141">
        <f>IFERROR(VLOOKUP($H23,'CODE 2'!$J:$K,2,FALSE)," ")</f>
        <v>19744</v>
      </c>
      <c r="N23" s="142">
        <f t="shared" ref="N23:N24" si="39">IFERROR(ROUND((M23/2),2),"")</f>
        <v>9872</v>
      </c>
      <c r="O23" s="142">
        <f t="shared" ref="O23:O24" si="40">IFERROR((M23/22)," ")</f>
        <v>897.4545455</v>
      </c>
      <c r="P23" s="142">
        <f t="shared" ref="P23:P24" si="41">IFERROR((O23/8),"")</f>
        <v>112.1818182</v>
      </c>
      <c r="Q23" s="142">
        <f t="shared" ref="Q23:Q24" si="42">IFERROR((P23/60),"")</f>
        <v>1.86969697</v>
      </c>
      <c r="R23" s="143">
        <v>11.0</v>
      </c>
      <c r="S23" s="142">
        <f t="shared" ref="S23:S24" si="43">IFERROR(ROUND((O23*R23),2)," ")</f>
        <v>9872</v>
      </c>
      <c r="T23" s="90">
        <v>0.0</v>
      </c>
      <c r="U23" s="90">
        <v>0.0</v>
      </c>
      <c r="V23" s="90">
        <v>18.0</v>
      </c>
      <c r="W23" s="92">
        <f t="shared" si="21"/>
        <v>0</v>
      </c>
      <c r="X23" s="92">
        <f t="shared" si="22"/>
        <v>0</v>
      </c>
      <c r="Y23" s="92">
        <f t="shared" si="23"/>
        <v>33.65</v>
      </c>
      <c r="Z23" s="144"/>
      <c r="AA23" s="144"/>
      <c r="AB23" s="144"/>
      <c r="AC23" s="145">
        <f t="shared" ref="AC23:AC24" si="44">IFERROR(ROUND(($O23*$Z23),2)," ")</f>
        <v>0</v>
      </c>
      <c r="AD23" s="145">
        <f t="shared" ref="AD23:AD24" si="45">IFERROR(ROUND(($P23*$AA23),2),"")</f>
        <v>0</v>
      </c>
      <c r="AE23" s="145">
        <f t="shared" ref="AE23:AE24" si="46">IFERROR(ROUND(($Q23*$AB23),2),"")</f>
        <v>0</v>
      </c>
      <c r="AF23" s="146"/>
      <c r="AG23" s="146"/>
      <c r="AH23" s="146"/>
      <c r="AI23" s="147">
        <f t="shared" ref="AI23:AI24" si="47">IFERROR(ROUND(($O23*$AF23),2)," ")</f>
        <v>0</v>
      </c>
      <c r="AJ23" s="147">
        <f t="shared" ref="AJ23:AJ24" si="48">IFERROR(ROUND(($P23*$AG23),2),"")</f>
        <v>0</v>
      </c>
      <c r="AK23" s="147">
        <f t="shared" ref="AK23:AK24" si="49">IFERROR(ROUND(($Q23*$AH23),2),"")</f>
        <v>0</v>
      </c>
      <c r="AL23" s="148">
        <f t="shared" ref="AL23:AL24" si="50">IFERROR(ROUND(($W23+$AC23+$AI23),2),"")</f>
        <v>0</v>
      </c>
      <c r="AM23" s="148">
        <f t="shared" ref="AM23:AM24" si="51">IFERROR(ROUND(($X23+$AD23+$AJ23),2),"")</f>
        <v>0</v>
      </c>
      <c r="AN23" s="148">
        <f t="shared" ref="AN23:AN24" si="52">IFERROR(ROUND(($Y23+$AE23+$AK23),2),"")</f>
        <v>33.65</v>
      </c>
      <c r="AO23" s="142">
        <f t="shared" si="33"/>
        <v>33.65</v>
      </c>
      <c r="AP23" s="149"/>
      <c r="AQ23" s="149"/>
      <c r="AR23" s="142">
        <f t="shared" ref="AR23:AR24" si="53">IFERROR(ROUND((S23-AO23-AP23),2),"")</f>
        <v>9838.35</v>
      </c>
      <c r="AS23" s="150"/>
      <c r="AT23" s="150"/>
      <c r="AU23" s="149"/>
      <c r="AV23" s="149"/>
      <c r="AW23" s="149"/>
      <c r="AX23" s="149"/>
      <c r="AY23" s="142">
        <f t="shared" ref="AY23:AY24" si="54">IFERROR(ROUND((AR23-AS23-AT23-AU23-AV23-AW23-AX23),2),"")</f>
        <v>9838.35</v>
      </c>
      <c r="AZ23" s="150" t="s">
        <v>118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</row>
    <row r="24" ht="15.75" customHeight="1">
      <c r="A24" s="114">
        <v>15.0</v>
      </c>
      <c r="B24" s="104" t="s">
        <v>119</v>
      </c>
      <c r="C24" s="133">
        <v>46036.0</v>
      </c>
      <c r="D24" s="81"/>
      <c r="E24" s="151" t="s">
        <v>120</v>
      </c>
      <c r="F24" s="152" t="s">
        <v>116</v>
      </c>
      <c r="G24" s="153" t="s">
        <v>117</v>
      </c>
      <c r="H24" s="137">
        <v>8.0</v>
      </c>
      <c r="I24" s="85" t="s">
        <v>82</v>
      </c>
      <c r="J24" s="138" t="s">
        <v>113</v>
      </c>
      <c r="K24" s="139"/>
      <c r="L24" s="140"/>
      <c r="M24" s="141">
        <f>IFERROR(VLOOKUP($H24,'CODE 2'!$J:$K,2,FALSE)," ")</f>
        <v>19744</v>
      </c>
      <c r="N24" s="142">
        <f t="shared" si="39"/>
        <v>9872</v>
      </c>
      <c r="O24" s="142">
        <f t="shared" si="40"/>
        <v>897.4545455</v>
      </c>
      <c r="P24" s="142">
        <f t="shared" si="41"/>
        <v>112.1818182</v>
      </c>
      <c r="Q24" s="142">
        <f t="shared" si="42"/>
        <v>1.86969697</v>
      </c>
      <c r="R24" s="143">
        <v>11.0</v>
      </c>
      <c r="S24" s="142">
        <f t="shared" si="43"/>
        <v>9872</v>
      </c>
      <c r="T24" s="90">
        <v>0.0</v>
      </c>
      <c r="U24" s="90">
        <v>0.0</v>
      </c>
      <c r="V24" s="90">
        <v>5.0</v>
      </c>
      <c r="W24" s="92">
        <f t="shared" si="21"/>
        <v>0</v>
      </c>
      <c r="X24" s="92">
        <f t="shared" si="22"/>
        <v>0</v>
      </c>
      <c r="Y24" s="92">
        <f t="shared" si="23"/>
        <v>9.35</v>
      </c>
      <c r="Z24" s="144"/>
      <c r="AA24" s="144"/>
      <c r="AB24" s="144"/>
      <c r="AC24" s="145">
        <f t="shared" si="44"/>
        <v>0</v>
      </c>
      <c r="AD24" s="145">
        <f t="shared" si="45"/>
        <v>0</v>
      </c>
      <c r="AE24" s="145">
        <f t="shared" si="46"/>
        <v>0</v>
      </c>
      <c r="AF24" s="146"/>
      <c r="AG24" s="146"/>
      <c r="AH24" s="146"/>
      <c r="AI24" s="147">
        <f t="shared" si="47"/>
        <v>0</v>
      </c>
      <c r="AJ24" s="147">
        <f t="shared" si="48"/>
        <v>0</v>
      </c>
      <c r="AK24" s="147">
        <f t="shared" si="49"/>
        <v>0</v>
      </c>
      <c r="AL24" s="148">
        <f t="shared" si="50"/>
        <v>0</v>
      </c>
      <c r="AM24" s="148">
        <f t="shared" si="51"/>
        <v>0</v>
      </c>
      <c r="AN24" s="148">
        <f t="shared" si="52"/>
        <v>9.35</v>
      </c>
      <c r="AO24" s="142">
        <f t="shared" si="33"/>
        <v>9.35</v>
      </c>
      <c r="AP24" s="149"/>
      <c r="AQ24" s="149"/>
      <c r="AR24" s="142">
        <f t="shared" si="53"/>
        <v>9862.65</v>
      </c>
      <c r="AS24" s="150"/>
      <c r="AT24" s="150"/>
      <c r="AU24" s="149"/>
      <c r="AV24" s="149"/>
      <c r="AW24" s="149"/>
      <c r="AX24" s="149"/>
      <c r="AY24" s="142">
        <f t="shared" si="54"/>
        <v>9862.65</v>
      </c>
      <c r="AZ24" s="150" t="s">
        <v>118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</row>
    <row r="25" ht="15.75" customHeight="1">
      <c r="A25" s="154"/>
      <c r="B25" s="155"/>
      <c r="C25" s="156"/>
      <c r="D25" s="157"/>
      <c r="E25" s="158"/>
      <c r="F25" s="159"/>
      <c r="G25" s="158"/>
      <c r="H25" s="160"/>
      <c r="I25" s="161"/>
      <c r="J25" s="161"/>
      <c r="K25" s="162"/>
      <c r="L25" s="88"/>
      <c r="M25" s="163"/>
      <c r="N25" s="162"/>
      <c r="O25" s="162"/>
      <c r="P25" s="162"/>
      <c r="Q25" s="162"/>
      <c r="R25" s="164"/>
      <c r="S25" s="162"/>
      <c r="T25" s="165"/>
      <c r="U25" s="166"/>
      <c r="V25" s="165"/>
      <c r="W25" s="92"/>
      <c r="X25" s="92"/>
      <c r="Y25" s="92"/>
      <c r="Z25" s="167"/>
      <c r="AA25" s="167"/>
      <c r="AB25" s="167"/>
      <c r="AC25" s="94"/>
      <c r="AD25" s="94"/>
      <c r="AE25" s="94"/>
      <c r="AF25" s="168"/>
      <c r="AG25" s="169"/>
      <c r="AH25" s="169"/>
      <c r="AI25" s="170"/>
      <c r="AJ25" s="170"/>
      <c r="AK25" s="170"/>
      <c r="AL25" s="171"/>
      <c r="AM25" s="171"/>
      <c r="AN25" s="171"/>
      <c r="AO25" s="88"/>
      <c r="AP25" s="172"/>
      <c r="AQ25" s="172"/>
      <c r="AR25" s="88"/>
      <c r="AS25" s="88"/>
      <c r="AT25" s="88"/>
      <c r="AU25" s="172"/>
      <c r="AV25" s="172"/>
      <c r="AW25" s="172"/>
      <c r="AX25" s="172"/>
      <c r="AY25" s="88"/>
      <c r="AZ25" s="88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</row>
    <row r="26" ht="15.75" customHeight="1">
      <c r="A26" s="83"/>
      <c r="B26" s="173"/>
      <c r="C26" s="174"/>
      <c r="D26" s="157"/>
      <c r="E26" s="158"/>
      <c r="F26" s="159"/>
      <c r="G26" s="158"/>
      <c r="H26" s="160"/>
      <c r="I26" s="161"/>
      <c r="J26" s="161"/>
      <c r="K26" s="162"/>
      <c r="L26" s="88"/>
      <c r="M26" s="163"/>
      <c r="N26" s="162"/>
      <c r="O26" s="162"/>
      <c r="P26" s="162"/>
      <c r="Q26" s="162"/>
      <c r="R26" s="164"/>
      <c r="S26" s="162"/>
      <c r="T26" s="165"/>
      <c r="U26" s="165"/>
      <c r="V26" s="165"/>
      <c r="W26" s="92"/>
      <c r="X26" s="92"/>
      <c r="Y26" s="92"/>
      <c r="Z26" s="167"/>
      <c r="AA26" s="167"/>
      <c r="AB26" s="167"/>
      <c r="AC26" s="94"/>
      <c r="AD26" s="94"/>
      <c r="AE26" s="94"/>
      <c r="AF26" s="168"/>
      <c r="AG26" s="168"/>
      <c r="AH26" s="168"/>
      <c r="AI26" s="175"/>
      <c r="AJ26" s="175"/>
      <c r="AK26" s="175"/>
      <c r="AL26" s="171"/>
      <c r="AM26" s="171"/>
      <c r="AN26" s="171"/>
      <c r="AO26" s="88"/>
      <c r="AP26" s="172"/>
      <c r="AQ26" s="172"/>
      <c r="AR26" s="88"/>
      <c r="AS26" s="88"/>
      <c r="AT26" s="88"/>
      <c r="AU26" s="172"/>
      <c r="AV26" s="172"/>
      <c r="AW26" s="172"/>
      <c r="AX26" s="172"/>
      <c r="AY26" s="88"/>
      <c r="AZ26" s="88" t="s">
        <v>84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</row>
    <row r="27" ht="15.75" customHeight="1">
      <c r="A27" s="176" t="s">
        <v>23</v>
      </c>
      <c r="B27" s="177"/>
      <c r="C27" s="178"/>
      <c r="D27" s="179"/>
      <c r="E27" s="180"/>
      <c r="F27" s="181"/>
      <c r="G27" s="180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3"/>
      <c r="S27" s="184">
        <f>SUM(S10:S26)</f>
        <v>160759</v>
      </c>
      <c r="T27" s="185"/>
      <c r="U27" s="185"/>
      <c r="V27" s="185"/>
      <c r="W27" s="186"/>
      <c r="X27" s="186"/>
      <c r="Y27" s="186"/>
      <c r="Z27" s="187"/>
      <c r="AA27" s="187"/>
      <c r="AB27" s="187"/>
      <c r="AC27" s="188"/>
      <c r="AD27" s="188"/>
      <c r="AE27" s="188"/>
      <c r="AF27" s="189"/>
      <c r="AG27" s="189"/>
      <c r="AH27" s="189"/>
      <c r="AI27" s="190"/>
      <c r="AJ27" s="190"/>
      <c r="AK27" s="190"/>
      <c r="AL27" s="184">
        <f t="shared" ref="AL27:AP27" si="55">SUM(AL10:AL26)</f>
        <v>0</v>
      </c>
      <c r="AM27" s="184">
        <f t="shared" si="55"/>
        <v>0</v>
      </c>
      <c r="AN27" s="184">
        <f t="shared" si="55"/>
        <v>177.96</v>
      </c>
      <c r="AO27" s="184">
        <f t="shared" si="55"/>
        <v>177.96</v>
      </c>
      <c r="AP27" s="184">
        <f t="shared" si="55"/>
        <v>0</v>
      </c>
      <c r="AQ27" s="191"/>
      <c r="AR27" s="184">
        <f t="shared" ref="AR27:AY27" si="56">SUM(AR10:AR26)</f>
        <v>139370.04</v>
      </c>
      <c r="AS27" s="184">
        <f t="shared" si="56"/>
        <v>0</v>
      </c>
      <c r="AT27" s="184">
        <f t="shared" si="56"/>
        <v>0</v>
      </c>
      <c r="AU27" s="184">
        <f t="shared" si="56"/>
        <v>0</v>
      </c>
      <c r="AV27" s="184">
        <f t="shared" si="56"/>
        <v>0</v>
      </c>
      <c r="AW27" s="184">
        <f t="shared" si="56"/>
        <v>0</v>
      </c>
      <c r="AX27" s="184">
        <f t="shared" si="56"/>
        <v>0</v>
      </c>
      <c r="AY27" s="192">
        <f t="shared" si="56"/>
        <v>139370.04</v>
      </c>
      <c r="AZ27" s="193"/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</row>
    <row r="28" ht="15.75" customHeight="1">
      <c r="B28" s="2"/>
      <c r="C28" s="3"/>
      <c r="D28" s="4"/>
      <c r="F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7"/>
      <c r="S28" s="6"/>
      <c r="T28" s="8"/>
      <c r="U28" s="8"/>
      <c r="V28" s="8"/>
      <c r="W28" s="6"/>
      <c r="X28" s="6"/>
      <c r="Y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</row>
    <row r="29" ht="15.75" customHeight="1">
      <c r="B29" s="2"/>
      <c r="C29" s="3"/>
      <c r="D29" s="4"/>
      <c r="F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7"/>
      <c r="S29" s="6"/>
      <c r="T29" s="8"/>
      <c r="U29" s="8"/>
      <c r="V29" s="8"/>
      <c r="W29" s="6"/>
      <c r="X29" s="6"/>
      <c r="Y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</row>
    <row r="30" ht="15.75" customHeight="1">
      <c r="B30" s="2"/>
      <c r="C30" s="3"/>
      <c r="D30" s="4"/>
      <c r="F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  <c r="S30" s="6"/>
      <c r="T30" s="8"/>
      <c r="U30" s="8"/>
      <c r="V30" s="8"/>
      <c r="W30" s="6"/>
      <c r="X30" s="6"/>
      <c r="Y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</row>
    <row r="31" ht="50.25" customHeight="1">
      <c r="B31" s="2"/>
      <c r="C31" s="3"/>
      <c r="D31" s="4"/>
      <c r="E31" s="195"/>
      <c r="F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  <c r="S31" s="6"/>
      <c r="T31" s="8"/>
      <c r="U31" s="8"/>
      <c r="V31" s="8"/>
      <c r="W31" s="6"/>
      <c r="X31" s="6"/>
      <c r="Y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</row>
    <row r="32" ht="15.75" customHeight="1">
      <c r="B32" s="2"/>
      <c r="C32" s="3"/>
      <c r="D32" s="4"/>
      <c r="F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7"/>
      <c r="S32" s="6"/>
      <c r="T32" s="8"/>
      <c r="U32" s="8"/>
      <c r="V32" s="8"/>
      <c r="W32" s="6"/>
      <c r="X32" s="6"/>
      <c r="Y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</row>
    <row r="33" ht="15.75" customHeight="1">
      <c r="B33" s="2"/>
      <c r="C33" s="3"/>
      <c r="D33" s="4"/>
      <c r="F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  <c r="S33" s="6"/>
      <c r="T33" s="8"/>
      <c r="U33" s="8"/>
      <c r="V33" s="8"/>
      <c r="W33" s="6"/>
      <c r="X33" s="6"/>
      <c r="Y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</row>
    <row r="34" ht="15.75" customHeight="1">
      <c r="B34" s="2"/>
      <c r="C34" s="3"/>
      <c r="D34" s="4"/>
      <c r="F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7"/>
      <c r="S34" s="6"/>
      <c r="T34" s="8"/>
      <c r="U34" s="8"/>
      <c r="V34" s="8"/>
      <c r="W34" s="6"/>
      <c r="X34" s="6"/>
      <c r="Y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</row>
    <row r="35" ht="15.75" customHeight="1">
      <c r="B35" s="2"/>
      <c r="C35" s="3"/>
      <c r="D35" s="4"/>
      <c r="F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  <c r="S35" s="6"/>
      <c r="T35" s="8"/>
      <c r="U35" s="8"/>
      <c r="V35" s="8"/>
      <c r="W35" s="6"/>
      <c r="X35" s="6"/>
      <c r="Y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</row>
    <row r="36" ht="15.75" customHeight="1">
      <c r="B36" s="2"/>
      <c r="C36" s="3"/>
      <c r="D36" s="4"/>
      <c r="F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7"/>
      <c r="S36" s="6"/>
      <c r="T36" s="8"/>
      <c r="U36" s="8"/>
      <c r="V36" s="8"/>
      <c r="W36" s="6"/>
      <c r="X36" s="6"/>
      <c r="Y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</row>
    <row r="37" ht="15.75" customHeight="1">
      <c r="B37" s="2"/>
      <c r="C37" s="3"/>
      <c r="D37" s="4"/>
      <c r="F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  <c r="S37" s="6"/>
      <c r="T37" s="8"/>
      <c r="U37" s="8"/>
      <c r="V37" s="8"/>
      <c r="W37" s="6"/>
      <c r="X37" s="6"/>
      <c r="Y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194"/>
      <c r="AV37" s="194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</row>
    <row r="38" ht="15.75" customHeight="1">
      <c r="B38" s="2"/>
      <c r="C38" s="3"/>
      <c r="D38" s="4"/>
      <c r="F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  <c r="S38" s="6"/>
      <c r="T38" s="8"/>
      <c r="U38" s="8"/>
      <c r="V38" s="8"/>
      <c r="W38" s="6"/>
      <c r="X38" s="6"/>
      <c r="Y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</row>
    <row r="39" ht="15.75" customHeight="1">
      <c r="B39" s="2"/>
      <c r="C39" s="3"/>
      <c r="D39" s="4"/>
      <c r="F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  <c r="S39" s="6"/>
      <c r="T39" s="8"/>
      <c r="U39" s="8"/>
      <c r="V39" s="8"/>
      <c r="W39" s="6"/>
      <c r="X39" s="6"/>
      <c r="Y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</row>
    <row r="40" ht="15.75" customHeight="1">
      <c r="B40" s="2"/>
      <c r="C40" s="3"/>
      <c r="D40" s="4"/>
      <c r="F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  <c r="S40" s="6"/>
      <c r="T40" s="8"/>
      <c r="U40" s="8"/>
      <c r="V40" s="8"/>
      <c r="W40" s="6"/>
      <c r="X40" s="6"/>
      <c r="Y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</row>
    <row r="41" ht="15.75" customHeight="1">
      <c r="B41" s="2"/>
      <c r="C41" s="3"/>
      <c r="D41" s="4"/>
      <c r="F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7"/>
      <c r="S41" s="6"/>
      <c r="T41" s="8"/>
      <c r="U41" s="8"/>
      <c r="V41" s="8"/>
      <c r="W41" s="6"/>
      <c r="X41" s="6"/>
      <c r="Y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</row>
    <row r="42" ht="15.75" customHeight="1">
      <c r="B42" s="2"/>
      <c r="C42" s="3"/>
      <c r="D42" s="4"/>
      <c r="F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  <c r="S42" s="6"/>
      <c r="T42" s="8"/>
      <c r="U42" s="8"/>
      <c r="V42" s="8"/>
      <c r="W42" s="6"/>
      <c r="X42" s="6"/>
      <c r="Y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</row>
    <row r="43" ht="15.75" customHeight="1">
      <c r="B43" s="2"/>
      <c r="C43" s="3"/>
      <c r="D43" s="4"/>
      <c r="F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  <c r="S43" s="6"/>
      <c r="T43" s="8"/>
      <c r="U43" s="8"/>
      <c r="V43" s="8"/>
      <c r="W43" s="6"/>
      <c r="X43" s="6"/>
      <c r="Y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</row>
    <row r="44" ht="15.75" customHeight="1">
      <c r="B44" s="2"/>
      <c r="C44" s="3"/>
      <c r="D44" s="4"/>
      <c r="F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  <c r="S44" s="6"/>
      <c r="T44" s="8"/>
      <c r="U44" s="8"/>
      <c r="V44" s="8"/>
      <c r="W44" s="6"/>
      <c r="X44" s="6"/>
      <c r="Y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</row>
    <row r="45" ht="15.75" customHeight="1">
      <c r="B45" s="2"/>
      <c r="C45" s="3"/>
      <c r="D45" s="4"/>
      <c r="F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  <c r="S45" s="6"/>
      <c r="T45" s="8"/>
      <c r="U45" s="8"/>
      <c r="V45" s="8"/>
      <c r="W45" s="6"/>
      <c r="X45" s="6"/>
      <c r="Y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</row>
    <row r="46" ht="15.75" customHeight="1">
      <c r="B46" s="2"/>
      <c r="C46" s="3"/>
      <c r="D46" s="4"/>
      <c r="F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7"/>
      <c r="S46" s="6"/>
      <c r="T46" s="8"/>
      <c r="U46" s="8"/>
      <c r="V46" s="8"/>
      <c r="W46" s="6"/>
      <c r="X46" s="6"/>
      <c r="Y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</row>
    <row r="47" ht="15.75" customHeight="1">
      <c r="B47" s="2"/>
      <c r="C47" s="3"/>
      <c r="D47" s="4"/>
      <c r="F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  <c r="S47" s="6"/>
      <c r="T47" s="8"/>
      <c r="U47" s="8"/>
      <c r="V47" s="8"/>
      <c r="W47" s="6"/>
      <c r="X47" s="6"/>
      <c r="Y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</row>
    <row r="48" ht="15.75" customHeight="1">
      <c r="B48" s="2"/>
      <c r="C48" s="3"/>
      <c r="D48" s="4"/>
      <c r="F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  <c r="S48" s="6"/>
      <c r="T48" s="8"/>
      <c r="U48" s="8"/>
      <c r="V48" s="8"/>
      <c r="W48" s="6"/>
      <c r="X48" s="6"/>
      <c r="Y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</row>
    <row r="49" ht="15.75" customHeight="1">
      <c r="B49" s="2"/>
      <c r="C49" s="3"/>
      <c r="D49" s="4"/>
      <c r="F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  <c r="S49" s="6"/>
      <c r="T49" s="8"/>
      <c r="U49" s="8"/>
      <c r="V49" s="8"/>
      <c r="W49" s="6"/>
      <c r="X49" s="6"/>
      <c r="Y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</row>
    <row r="50" ht="15.75" customHeight="1">
      <c r="B50" s="2"/>
      <c r="C50" s="3"/>
      <c r="D50" s="4"/>
      <c r="F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7"/>
      <c r="S50" s="6"/>
      <c r="T50" s="8"/>
      <c r="U50" s="8"/>
      <c r="V50" s="8"/>
      <c r="W50" s="6"/>
      <c r="X50" s="6"/>
      <c r="Y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</row>
    <row r="51" ht="15.75" customHeight="1">
      <c r="B51" s="2"/>
      <c r="C51" s="3"/>
      <c r="D51" s="4"/>
      <c r="F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  <c r="S51" s="6"/>
      <c r="T51" s="8"/>
      <c r="U51" s="8"/>
      <c r="V51" s="8"/>
      <c r="W51" s="6"/>
      <c r="X51" s="6"/>
      <c r="Y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</row>
    <row r="52" ht="15.75" customHeight="1">
      <c r="B52" s="2"/>
      <c r="C52" s="3"/>
      <c r="D52" s="4"/>
      <c r="F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7"/>
      <c r="S52" s="6"/>
      <c r="T52" s="8"/>
      <c r="U52" s="8"/>
      <c r="V52" s="8"/>
      <c r="W52" s="6"/>
      <c r="X52" s="6"/>
      <c r="Y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</row>
    <row r="53" ht="15.75" customHeight="1">
      <c r="B53" s="2"/>
      <c r="C53" s="3"/>
      <c r="D53" s="4"/>
      <c r="F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7"/>
      <c r="S53" s="6"/>
      <c r="T53" s="8"/>
      <c r="U53" s="8"/>
      <c r="V53" s="8"/>
      <c r="W53" s="6"/>
      <c r="X53" s="6"/>
      <c r="Y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</row>
    <row r="54" ht="15.75" customHeight="1">
      <c r="B54" s="2"/>
      <c r="C54" s="3"/>
      <c r="D54" s="4"/>
      <c r="F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7"/>
      <c r="S54" s="6"/>
      <c r="T54" s="8"/>
      <c r="U54" s="8"/>
      <c r="V54" s="8"/>
      <c r="W54" s="6"/>
      <c r="X54" s="6"/>
      <c r="Y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</row>
    <row r="55" ht="15.75" customHeight="1">
      <c r="B55" s="2"/>
      <c r="C55" s="3"/>
      <c r="D55" s="4"/>
      <c r="F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7"/>
      <c r="S55" s="6"/>
      <c r="T55" s="8"/>
      <c r="U55" s="8"/>
      <c r="V55" s="8"/>
      <c r="W55" s="6"/>
      <c r="X55" s="6"/>
      <c r="Y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</row>
    <row r="56" ht="15.75" customHeight="1">
      <c r="B56" s="2"/>
      <c r="C56" s="3"/>
      <c r="D56" s="4"/>
      <c r="F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7"/>
      <c r="S56" s="6"/>
      <c r="T56" s="8"/>
      <c r="U56" s="8"/>
      <c r="V56" s="8"/>
      <c r="W56" s="6"/>
      <c r="X56" s="6"/>
      <c r="Y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</row>
    <row r="57" ht="15.75" customHeight="1">
      <c r="B57" s="2"/>
      <c r="C57" s="3"/>
      <c r="D57" s="4"/>
      <c r="F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7"/>
      <c r="S57" s="6"/>
      <c r="T57" s="8"/>
      <c r="U57" s="8"/>
      <c r="V57" s="8"/>
      <c r="W57" s="6"/>
      <c r="X57" s="6"/>
      <c r="Y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</row>
    <row r="58" ht="15.75" customHeight="1">
      <c r="B58" s="2"/>
      <c r="C58" s="3"/>
      <c r="D58" s="4"/>
      <c r="F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  <c r="S58" s="6"/>
      <c r="T58" s="8"/>
      <c r="U58" s="8"/>
      <c r="V58" s="8"/>
      <c r="W58" s="6"/>
      <c r="X58" s="6"/>
      <c r="Y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</row>
    <row r="59" ht="15.75" customHeight="1">
      <c r="B59" s="2"/>
      <c r="C59" s="3"/>
      <c r="D59" s="4"/>
      <c r="F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  <c r="S59" s="6"/>
      <c r="T59" s="8"/>
      <c r="U59" s="8"/>
      <c r="V59" s="8"/>
      <c r="W59" s="6"/>
      <c r="X59" s="6"/>
      <c r="Y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</row>
    <row r="60" ht="15.75" customHeight="1">
      <c r="B60" s="2"/>
      <c r="C60" s="3"/>
      <c r="D60" s="4"/>
      <c r="F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  <c r="S60" s="6"/>
      <c r="T60" s="8"/>
      <c r="U60" s="8"/>
      <c r="V60" s="8"/>
      <c r="W60" s="6"/>
      <c r="X60" s="6"/>
      <c r="Y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</row>
    <row r="61" ht="15.75" customHeight="1">
      <c r="B61" s="2"/>
      <c r="C61" s="3"/>
      <c r="D61" s="4"/>
      <c r="F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  <c r="S61" s="6"/>
      <c r="T61" s="8"/>
      <c r="U61" s="8"/>
      <c r="V61" s="8"/>
      <c r="W61" s="6"/>
      <c r="X61" s="6"/>
      <c r="Y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</row>
    <row r="62" ht="15.75" customHeight="1">
      <c r="B62" s="2"/>
      <c r="C62" s="3"/>
      <c r="D62" s="4"/>
      <c r="F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  <c r="S62" s="6"/>
      <c r="T62" s="8"/>
      <c r="U62" s="8"/>
      <c r="V62" s="8"/>
      <c r="W62" s="6"/>
      <c r="X62" s="6"/>
      <c r="Y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</row>
    <row r="63" ht="15.75" customHeight="1">
      <c r="B63" s="2"/>
      <c r="C63" s="3"/>
      <c r="D63" s="4"/>
      <c r="F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  <c r="S63" s="6"/>
      <c r="T63" s="8"/>
      <c r="U63" s="8"/>
      <c r="V63" s="8"/>
      <c r="W63" s="6"/>
      <c r="X63" s="6"/>
      <c r="Y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</row>
    <row r="64" ht="15.75" customHeight="1">
      <c r="B64" s="2"/>
      <c r="C64" s="3"/>
      <c r="D64" s="4"/>
      <c r="F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  <c r="S64" s="6"/>
      <c r="T64" s="8"/>
      <c r="U64" s="8"/>
      <c r="V64" s="8"/>
      <c r="W64" s="6"/>
      <c r="X64" s="6"/>
      <c r="Y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</row>
    <row r="65" ht="15.75" customHeight="1">
      <c r="B65" s="2"/>
      <c r="C65" s="3"/>
      <c r="D65" s="4"/>
      <c r="F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  <c r="S65" s="6"/>
      <c r="T65" s="8"/>
      <c r="U65" s="8"/>
      <c r="V65" s="8"/>
      <c r="W65" s="6"/>
      <c r="X65" s="6"/>
      <c r="Y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</row>
    <row r="66" ht="15.75" customHeight="1">
      <c r="B66" s="2"/>
      <c r="C66" s="3"/>
      <c r="D66" s="4"/>
      <c r="F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  <c r="S66" s="6"/>
      <c r="T66" s="8"/>
      <c r="U66" s="8"/>
      <c r="V66" s="8"/>
      <c r="W66" s="6"/>
      <c r="X66" s="6"/>
      <c r="Y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</row>
    <row r="67" ht="15.75" customHeight="1">
      <c r="B67" s="2"/>
      <c r="C67" s="3"/>
      <c r="D67" s="4"/>
      <c r="F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7"/>
      <c r="S67" s="6"/>
      <c r="T67" s="8"/>
      <c r="U67" s="8"/>
      <c r="V67" s="8"/>
      <c r="W67" s="6"/>
      <c r="X67" s="6"/>
      <c r="Y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</row>
    <row r="68" ht="15.75" customHeight="1">
      <c r="B68" s="2"/>
      <c r="C68" s="3"/>
      <c r="D68" s="4"/>
      <c r="F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  <c r="S68" s="6"/>
      <c r="T68" s="8"/>
      <c r="U68" s="8"/>
      <c r="V68" s="8"/>
      <c r="W68" s="6"/>
      <c r="X68" s="6"/>
      <c r="Y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</row>
    <row r="69" ht="15.75" customHeight="1">
      <c r="B69" s="2"/>
      <c r="C69" s="3"/>
      <c r="D69" s="4"/>
      <c r="F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  <c r="S69" s="6"/>
      <c r="T69" s="8"/>
      <c r="U69" s="8"/>
      <c r="V69" s="8"/>
      <c r="W69" s="6"/>
      <c r="X69" s="6"/>
      <c r="Y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</row>
    <row r="70" ht="15.75" customHeight="1">
      <c r="B70" s="2"/>
      <c r="C70" s="3"/>
      <c r="D70" s="4"/>
      <c r="F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7"/>
      <c r="S70" s="6"/>
      <c r="T70" s="8"/>
      <c r="U70" s="8"/>
      <c r="V70" s="8"/>
      <c r="W70" s="6"/>
      <c r="X70" s="6"/>
      <c r="Y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</row>
    <row r="71" ht="15.75" customHeight="1">
      <c r="B71" s="2"/>
      <c r="C71" s="3"/>
      <c r="D71" s="4"/>
      <c r="F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7"/>
      <c r="S71" s="6"/>
      <c r="T71" s="8"/>
      <c r="U71" s="8"/>
      <c r="V71" s="8"/>
      <c r="W71" s="6"/>
      <c r="X71" s="6"/>
      <c r="Y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</row>
    <row r="72" ht="15.75" customHeight="1">
      <c r="B72" s="2"/>
      <c r="C72" s="3"/>
      <c r="D72" s="4"/>
      <c r="F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  <c r="S72" s="6"/>
      <c r="T72" s="8"/>
      <c r="U72" s="8"/>
      <c r="V72" s="8"/>
      <c r="W72" s="6"/>
      <c r="X72" s="6"/>
      <c r="Y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</row>
    <row r="73" ht="15.75" customHeight="1">
      <c r="B73" s="2"/>
      <c r="C73" s="3"/>
      <c r="D73" s="4"/>
      <c r="F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7"/>
      <c r="S73" s="6"/>
      <c r="T73" s="8"/>
      <c r="U73" s="8"/>
      <c r="V73" s="8"/>
      <c r="W73" s="6"/>
      <c r="X73" s="6"/>
      <c r="Y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</row>
    <row r="74" ht="15.75" customHeight="1">
      <c r="B74" s="2"/>
      <c r="C74" s="3"/>
      <c r="D74" s="4"/>
      <c r="F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  <c r="S74" s="6"/>
      <c r="T74" s="8"/>
      <c r="U74" s="8"/>
      <c r="V74" s="8"/>
      <c r="W74" s="6"/>
      <c r="X74" s="6"/>
      <c r="Y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</row>
    <row r="75" ht="15.75" customHeight="1">
      <c r="B75" s="2"/>
      <c r="C75" s="3"/>
      <c r="D75" s="4"/>
      <c r="F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7"/>
      <c r="S75" s="6"/>
      <c r="T75" s="8"/>
      <c r="U75" s="8"/>
      <c r="V75" s="8"/>
      <c r="W75" s="6"/>
      <c r="X75" s="6"/>
      <c r="Y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</row>
    <row r="76" ht="15.75" customHeight="1">
      <c r="B76" s="2"/>
      <c r="C76" s="3"/>
      <c r="D76" s="4"/>
      <c r="F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  <c r="S76" s="6"/>
      <c r="T76" s="8"/>
      <c r="U76" s="8"/>
      <c r="V76" s="8"/>
      <c r="W76" s="6"/>
      <c r="X76" s="6"/>
      <c r="Y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</row>
    <row r="77" ht="15.75" customHeight="1">
      <c r="B77" s="2"/>
      <c r="C77" s="3"/>
      <c r="D77" s="4"/>
      <c r="F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7"/>
      <c r="S77" s="6"/>
      <c r="T77" s="8"/>
      <c r="U77" s="8"/>
      <c r="V77" s="8"/>
      <c r="W77" s="6"/>
      <c r="X77" s="6"/>
      <c r="Y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</row>
    <row r="78" ht="15.75" customHeight="1">
      <c r="B78" s="2"/>
      <c r="C78" s="3"/>
      <c r="D78" s="4"/>
      <c r="F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7"/>
      <c r="S78" s="6"/>
      <c r="T78" s="8"/>
      <c r="U78" s="8"/>
      <c r="V78" s="8"/>
      <c r="W78" s="6"/>
      <c r="X78" s="6"/>
      <c r="Y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</row>
    <row r="79" ht="15.75" customHeight="1">
      <c r="B79" s="2"/>
      <c r="C79" s="3"/>
      <c r="D79" s="4"/>
      <c r="F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7"/>
      <c r="S79" s="6"/>
      <c r="T79" s="8"/>
      <c r="U79" s="8"/>
      <c r="V79" s="8"/>
      <c r="W79" s="6"/>
      <c r="X79" s="6"/>
      <c r="Y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</row>
    <row r="80" ht="15.75" customHeight="1">
      <c r="B80" s="2"/>
      <c r="C80" s="3"/>
      <c r="D80" s="4"/>
      <c r="F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7"/>
      <c r="S80" s="6"/>
      <c r="T80" s="8"/>
      <c r="U80" s="8"/>
      <c r="V80" s="8"/>
      <c r="W80" s="6"/>
      <c r="X80" s="6"/>
      <c r="Y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</row>
    <row r="81" ht="15.75" customHeight="1">
      <c r="B81" s="2"/>
      <c r="C81" s="3"/>
      <c r="D81" s="4"/>
      <c r="F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7"/>
      <c r="S81" s="6"/>
      <c r="T81" s="8"/>
      <c r="U81" s="8"/>
      <c r="V81" s="8"/>
      <c r="W81" s="6"/>
      <c r="X81" s="6"/>
      <c r="Y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</row>
    <row r="82" ht="15.75" customHeight="1">
      <c r="B82" s="2"/>
      <c r="C82" s="3"/>
      <c r="D82" s="4"/>
      <c r="F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7"/>
      <c r="S82" s="6"/>
      <c r="T82" s="8"/>
      <c r="U82" s="8"/>
      <c r="V82" s="8"/>
      <c r="W82" s="6"/>
      <c r="X82" s="6"/>
      <c r="Y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</row>
    <row r="83" ht="15.75" customHeight="1">
      <c r="B83" s="2"/>
      <c r="C83" s="3"/>
      <c r="D83" s="4"/>
      <c r="F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7"/>
      <c r="S83" s="6"/>
      <c r="T83" s="8"/>
      <c r="U83" s="8"/>
      <c r="V83" s="8"/>
      <c r="W83" s="6"/>
      <c r="X83" s="6"/>
      <c r="Y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</row>
    <row r="84" ht="15.75" customHeight="1">
      <c r="B84" s="2"/>
      <c r="C84" s="3"/>
      <c r="D84" s="4"/>
      <c r="F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7"/>
      <c r="S84" s="6"/>
      <c r="T84" s="8"/>
      <c r="U84" s="8"/>
      <c r="V84" s="8"/>
      <c r="W84" s="6"/>
      <c r="X84" s="6"/>
      <c r="Y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</row>
    <row r="85" ht="15.75" customHeight="1">
      <c r="B85" s="2"/>
      <c r="C85" s="3"/>
      <c r="D85" s="4"/>
      <c r="F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7"/>
      <c r="S85" s="6"/>
      <c r="T85" s="8"/>
      <c r="U85" s="8"/>
      <c r="V85" s="8"/>
      <c r="W85" s="6"/>
      <c r="X85" s="6"/>
      <c r="Y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</row>
    <row r="86" ht="15.75" customHeight="1">
      <c r="B86" s="2"/>
      <c r="C86" s="3"/>
      <c r="D86" s="4"/>
      <c r="F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  <c r="S86" s="6"/>
      <c r="T86" s="8"/>
      <c r="U86" s="8"/>
      <c r="V86" s="8"/>
      <c r="W86" s="6"/>
      <c r="X86" s="6"/>
      <c r="Y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</row>
    <row r="87" ht="15.75" customHeight="1">
      <c r="B87" s="2"/>
      <c r="C87" s="3"/>
      <c r="D87" s="4"/>
      <c r="F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  <c r="S87" s="6"/>
      <c r="T87" s="8"/>
      <c r="U87" s="8"/>
      <c r="V87" s="8"/>
      <c r="W87" s="6"/>
      <c r="X87" s="6"/>
      <c r="Y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</row>
    <row r="88" ht="15.75" customHeight="1">
      <c r="B88" s="2"/>
      <c r="C88" s="3"/>
      <c r="D88" s="4"/>
      <c r="F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7"/>
      <c r="S88" s="6"/>
      <c r="T88" s="8"/>
      <c r="U88" s="8"/>
      <c r="V88" s="8"/>
      <c r="W88" s="6"/>
      <c r="X88" s="6"/>
      <c r="Y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</row>
    <row r="89" ht="15.75" customHeight="1">
      <c r="B89" s="2"/>
      <c r="C89" s="3"/>
      <c r="D89" s="4"/>
      <c r="F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7"/>
      <c r="S89" s="6"/>
      <c r="T89" s="8"/>
      <c r="U89" s="8"/>
      <c r="V89" s="8"/>
      <c r="W89" s="6"/>
      <c r="X89" s="6"/>
      <c r="Y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</row>
    <row r="90" ht="15.75" customHeight="1">
      <c r="B90" s="2"/>
      <c r="C90" s="3"/>
      <c r="D90" s="4"/>
      <c r="F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7"/>
      <c r="S90" s="6"/>
      <c r="T90" s="8"/>
      <c r="U90" s="8"/>
      <c r="V90" s="8"/>
      <c r="W90" s="6"/>
      <c r="X90" s="6"/>
      <c r="Y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</row>
    <row r="91" ht="15.75" customHeight="1">
      <c r="B91" s="2"/>
      <c r="C91" s="3"/>
      <c r="D91" s="4"/>
      <c r="F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7"/>
      <c r="S91" s="6"/>
      <c r="T91" s="8"/>
      <c r="U91" s="8"/>
      <c r="V91" s="8"/>
      <c r="W91" s="6"/>
      <c r="X91" s="6"/>
      <c r="Y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</row>
    <row r="92" ht="15.75" customHeight="1">
      <c r="B92" s="2"/>
      <c r="C92" s="3"/>
      <c r="D92" s="4"/>
      <c r="F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7"/>
      <c r="S92" s="6"/>
      <c r="T92" s="8"/>
      <c r="U92" s="8"/>
      <c r="V92" s="8"/>
      <c r="W92" s="6"/>
      <c r="X92" s="6"/>
      <c r="Y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</row>
    <row r="93" ht="15.75" customHeight="1">
      <c r="B93" s="2"/>
      <c r="C93" s="3"/>
      <c r="D93" s="4"/>
      <c r="F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7"/>
      <c r="S93" s="6"/>
      <c r="T93" s="8"/>
      <c r="U93" s="8"/>
      <c r="V93" s="8"/>
      <c r="W93" s="6"/>
      <c r="X93" s="6"/>
      <c r="Y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</row>
    <row r="94" ht="15.75" customHeight="1">
      <c r="B94" s="2"/>
      <c r="C94" s="3"/>
      <c r="D94" s="4"/>
      <c r="F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7"/>
      <c r="S94" s="6"/>
      <c r="T94" s="8"/>
      <c r="U94" s="8"/>
      <c r="V94" s="8"/>
      <c r="W94" s="6"/>
      <c r="X94" s="6"/>
      <c r="Y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</row>
    <row r="95" ht="15.75" customHeight="1">
      <c r="B95" s="2"/>
      <c r="C95" s="3"/>
      <c r="D95" s="4"/>
      <c r="F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7"/>
      <c r="S95" s="6"/>
      <c r="T95" s="8"/>
      <c r="U95" s="8"/>
      <c r="V95" s="8"/>
      <c r="W95" s="6"/>
      <c r="X95" s="6"/>
      <c r="Y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</row>
    <row r="96" ht="15.75" customHeight="1">
      <c r="B96" s="2"/>
      <c r="C96" s="3"/>
      <c r="D96" s="4"/>
      <c r="F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7"/>
      <c r="S96" s="6"/>
      <c r="T96" s="8"/>
      <c r="U96" s="8"/>
      <c r="V96" s="8"/>
      <c r="W96" s="6"/>
      <c r="X96" s="6"/>
      <c r="Y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</row>
    <row r="97" ht="15.75" customHeight="1">
      <c r="B97" s="2"/>
      <c r="C97" s="3"/>
      <c r="D97" s="4"/>
      <c r="F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7"/>
      <c r="S97" s="6"/>
      <c r="T97" s="8"/>
      <c r="U97" s="8"/>
      <c r="V97" s="8"/>
      <c r="W97" s="6"/>
      <c r="X97" s="6"/>
      <c r="Y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</row>
    <row r="98" ht="15.75" customHeight="1">
      <c r="B98" s="2"/>
      <c r="C98" s="3"/>
      <c r="D98" s="4"/>
      <c r="F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  <c r="S98" s="6"/>
      <c r="T98" s="8"/>
      <c r="U98" s="8"/>
      <c r="V98" s="8"/>
      <c r="W98" s="6"/>
      <c r="X98" s="6"/>
      <c r="Y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</row>
    <row r="99" ht="15.75" customHeight="1">
      <c r="B99" s="2"/>
      <c r="C99" s="3"/>
      <c r="D99" s="4"/>
      <c r="F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7"/>
      <c r="S99" s="6"/>
      <c r="T99" s="8"/>
      <c r="U99" s="8"/>
      <c r="V99" s="8"/>
      <c r="W99" s="6"/>
      <c r="X99" s="6"/>
      <c r="Y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</row>
    <row r="100" ht="15.75" customHeight="1">
      <c r="B100" s="2"/>
      <c r="C100" s="3"/>
      <c r="D100" s="4"/>
      <c r="F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7"/>
      <c r="S100" s="6"/>
      <c r="T100" s="8"/>
      <c r="U100" s="8"/>
      <c r="V100" s="8"/>
      <c r="W100" s="6"/>
      <c r="X100" s="6"/>
      <c r="Y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</row>
    <row r="101" ht="15.75" customHeight="1">
      <c r="B101" s="2"/>
      <c r="C101" s="3"/>
      <c r="D101" s="4"/>
      <c r="F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7"/>
      <c r="S101" s="6"/>
      <c r="T101" s="8"/>
      <c r="U101" s="8"/>
      <c r="V101" s="8"/>
      <c r="W101" s="6"/>
      <c r="X101" s="6"/>
      <c r="Y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</row>
    <row r="102" ht="15.75" customHeight="1">
      <c r="B102" s="2"/>
      <c r="C102" s="3"/>
      <c r="D102" s="4"/>
      <c r="F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/>
      <c r="S102" s="6"/>
      <c r="T102" s="8"/>
      <c r="U102" s="8"/>
      <c r="V102" s="8"/>
      <c r="W102" s="6"/>
      <c r="X102" s="6"/>
      <c r="Y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</row>
    <row r="103" ht="15.75" customHeight="1">
      <c r="B103" s="2"/>
      <c r="C103" s="3"/>
      <c r="D103" s="4"/>
      <c r="F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7"/>
      <c r="S103" s="6"/>
      <c r="T103" s="8"/>
      <c r="U103" s="8"/>
      <c r="V103" s="8"/>
      <c r="W103" s="6"/>
      <c r="X103" s="6"/>
      <c r="Y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</row>
    <row r="104" ht="15.75" customHeight="1">
      <c r="B104" s="2"/>
      <c r="C104" s="3"/>
      <c r="D104" s="4"/>
      <c r="F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7"/>
      <c r="S104" s="6"/>
      <c r="T104" s="8"/>
      <c r="U104" s="8"/>
      <c r="V104" s="8"/>
      <c r="W104" s="6"/>
      <c r="X104" s="6"/>
      <c r="Y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</row>
    <row r="105" ht="15.75" customHeight="1">
      <c r="B105" s="2"/>
      <c r="C105" s="3"/>
      <c r="D105" s="4"/>
      <c r="F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7"/>
      <c r="S105" s="6"/>
      <c r="T105" s="8"/>
      <c r="U105" s="8"/>
      <c r="V105" s="8"/>
      <c r="W105" s="6"/>
      <c r="X105" s="6"/>
      <c r="Y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</row>
    <row r="106" ht="15.75" customHeight="1">
      <c r="B106" s="2"/>
      <c r="C106" s="3"/>
      <c r="D106" s="4"/>
      <c r="F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"/>
      <c r="S106" s="6"/>
      <c r="T106" s="8"/>
      <c r="U106" s="8"/>
      <c r="V106" s="8"/>
      <c r="W106" s="6"/>
      <c r="X106" s="6"/>
      <c r="Y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</row>
    <row r="107" ht="15.75" customHeight="1">
      <c r="B107" s="2"/>
      <c r="C107" s="3"/>
      <c r="D107" s="4"/>
      <c r="F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  <c r="S107" s="6"/>
      <c r="T107" s="8"/>
      <c r="U107" s="8"/>
      <c r="V107" s="8"/>
      <c r="W107" s="6"/>
      <c r="X107" s="6"/>
      <c r="Y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</row>
    <row r="108" ht="15.75" customHeight="1">
      <c r="B108" s="2"/>
      <c r="C108" s="3"/>
      <c r="D108" s="4"/>
      <c r="F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/>
      <c r="S108" s="6"/>
      <c r="T108" s="8"/>
      <c r="U108" s="8"/>
      <c r="V108" s="8"/>
      <c r="W108" s="6"/>
      <c r="X108" s="6"/>
      <c r="Y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</row>
    <row r="109" ht="15.75" customHeight="1">
      <c r="B109" s="2"/>
      <c r="C109" s="3"/>
      <c r="D109" s="4"/>
      <c r="F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7"/>
      <c r="S109" s="6"/>
      <c r="T109" s="8"/>
      <c r="U109" s="8"/>
      <c r="V109" s="8"/>
      <c r="W109" s="6"/>
      <c r="X109" s="6"/>
      <c r="Y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</row>
    <row r="110" ht="15.75" customHeight="1">
      <c r="B110" s="2"/>
      <c r="C110" s="3"/>
      <c r="D110" s="4"/>
      <c r="F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/>
      <c r="S110" s="6"/>
      <c r="T110" s="8"/>
      <c r="U110" s="8"/>
      <c r="V110" s="8"/>
      <c r="W110" s="6"/>
      <c r="X110" s="6"/>
      <c r="Y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</row>
    <row r="111" ht="15.75" customHeight="1">
      <c r="B111" s="2"/>
      <c r="C111" s="3"/>
      <c r="D111" s="4"/>
      <c r="F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7"/>
      <c r="S111" s="6"/>
      <c r="T111" s="8"/>
      <c r="U111" s="8"/>
      <c r="V111" s="8"/>
      <c r="W111" s="6"/>
      <c r="X111" s="6"/>
      <c r="Y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</row>
    <row r="112" ht="15.75" customHeight="1">
      <c r="B112" s="2"/>
      <c r="C112" s="3"/>
      <c r="D112" s="4"/>
      <c r="F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7"/>
      <c r="S112" s="6"/>
      <c r="T112" s="8"/>
      <c r="U112" s="8"/>
      <c r="V112" s="8"/>
      <c r="W112" s="6"/>
      <c r="X112" s="6"/>
      <c r="Y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</row>
    <row r="113" ht="15.75" customHeight="1">
      <c r="B113" s="2"/>
      <c r="C113" s="3"/>
      <c r="D113" s="4"/>
      <c r="F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7"/>
      <c r="S113" s="6"/>
      <c r="T113" s="8"/>
      <c r="U113" s="8"/>
      <c r="V113" s="8"/>
      <c r="W113" s="6"/>
      <c r="X113" s="6"/>
      <c r="Y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</row>
    <row r="114" ht="15.75" customHeight="1">
      <c r="B114" s="2"/>
      <c r="C114" s="3"/>
      <c r="D114" s="4"/>
      <c r="F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7"/>
      <c r="S114" s="6"/>
      <c r="T114" s="8"/>
      <c r="U114" s="8"/>
      <c r="V114" s="8"/>
      <c r="W114" s="6"/>
      <c r="X114" s="6"/>
      <c r="Y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</row>
    <row r="115" ht="15.75" customHeight="1">
      <c r="B115" s="2"/>
      <c r="C115" s="3"/>
      <c r="D115" s="4"/>
      <c r="F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7"/>
      <c r="S115" s="6"/>
      <c r="T115" s="8"/>
      <c r="U115" s="8"/>
      <c r="V115" s="8"/>
      <c r="W115" s="6"/>
      <c r="X115" s="6"/>
      <c r="Y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</row>
    <row r="116" ht="15.75" customHeight="1">
      <c r="B116" s="2"/>
      <c r="C116" s="3"/>
      <c r="D116" s="4"/>
      <c r="F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  <c r="S116" s="6"/>
      <c r="T116" s="8"/>
      <c r="U116" s="8"/>
      <c r="V116" s="8"/>
      <c r="W116" s="6"/>
      <c r="X116" s="6"/>
      <c r="Y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</row>
    <row r="117" ht="15.75" customHeight="1">
      <c r="B117" s="2"/>
      <c r="C117" s="3"/>
      <c r="D117" s="4"/>
      <c r="F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7"/>
      <c r="S117" s="6"/>
      <c r="T117" s="8"/>
      <c r="U117" s="8"/>
      <c r="V117" s="8"/>
      <c r="W117" s="6"/>
      <c r="X117" s="6"/>
      <c r="Y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</row>
    <row r="118" ht="15.75" customHeight="1">
      <c r="B118" s="2"/>
      <c r="C118" s="3"/>
      <c r="D118" s="4"/>
      <c r="F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7"/>
      <c r="S118" s="6"/>
      <c r="T118" s="8"/>
      <c r="U118" s="8"/>
      <c r="V118" s="8"/>
      <c r="W118" s="6"/>
      <c r="X118" s="6"/>
      <c r="Y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</row>
    <row r="119" ht="15.75" customHeight="1">
      <c r="B119" s="2"/>
      <c r="C119" s="3"/>
      <c r="D119" s="4"/>
      <c r="F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7"/>
      <c r="S119" s="6"/>
      <c r="T119" s="8"/>
      <c r="U119" s="8"/>
      <c r="V119" s="8"/>
      <c r="W119" s="6"/>
      <c r="X119" s="6"/>
      <c r="Y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</row>
    <row r="120" ht="15.75" customHeight="1">
      <c r="B120" s="2"/>
      <c r="C120" s="3"/>
      <c r="D120" s="4"/>
      <c r="F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7"/>
      <c r="S120" s="6"/>
      <c r="T120" s="8"/>
      <c r="U120" s="8"/>
      <c r="V120" s="8"/>
      <c r="W120" s="6"/>
      <c r="X120" s="6"/>
      <c r="Y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</row>
    <row r="121" ht="15.75" customHeight="1">
      <c r="B121" s="2"/>
      <c r="C121" s="3"/>
      <c r="D121" s="4"/>
      <c r="F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/>
      <c r="S121" s="6"/>
      <c r="T121" s="8"/>
      <c r="U121" s="8"/>
      <c r="V121" s="8"/>
      <c r="W121" s="6"/>
      <c r="X121" s="6"/>
      <c r="Y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</row>
    <row r="122" ht="15.75" customHeight="1">
      <c r="B122" s="2"/>
      <c r="C122" s="3"/>
      <c r="D122" s="4"/>
      <c r="F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  <c r="S122" s="6"/>
      <c r="T122" s="8"/>
      <c r="U122" s="8"/>
      <c r="V122" s="8"/>
      <c r="W122" s="6"/>
      <c r="X122" s="6"/>
      <c r="Y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</row>
    <row r="123" ht="15.75" customHeight="1">
      <c r="B123" s="2"/>
      <c r="C123" s="3"/>
      <c r="D123" s="4"/>
      <c r="F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/>
      <c r="S123" s="6"/>
      <c r="T123" s="8"/>
      <c r="U123" s="8"/>
      <c r="V123" s="8"/>
      <c r="W123" s="6"/>
      <c r="X123" s="6"/>
      <c r="Y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</row>
    <row r="124" ht="15.75" customHeight="1">
      <c r="B124" s="2"/>
      <c r="C124" s="3"/>
      <c r="D124" s="4"/>
      <c r="F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  <c r="S124" s="6"/>
      <c r="T124" s="8"/>
      <c r="U124" s="8"/>
      <c r="V124" s="8"/>
      <c r="W124" s="6"/>
      <c r="X124" s="6"/>
      <c r="Y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</row>
    <row r="125" ht="15.75" customHeight="1">
      <c r="B125" s="2"/>
      <c r="C125" s="3"/>
      <c r="D125" s="4"/>
      <c r="F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  <c r="S125" s="6"/>
      <c r="T125" s="8"/>
      <c r="U125" s="8"/>
      <c r="V125" s="8"/>
      <c r="W125" s="6"/>
      <c r="X125" s="6"/>
      <c r="Y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</row>
    <row r="126" ht="15.75" customHeight="1">
      <c r="B126" s="2"/>
      <c r="C126" s="3"/>
      <c r="D126" s="4"/>
      <c r="F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  <c r="S126" s="6"/>
      <c r="T126" s="8"/>
      <c r="U126" s="8"/>
      <c r="V126" s="8"/>
      <c r="W126" s="6"/>
      <c r="X126" s="6"/>
      <c r="Y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</row>
    <row r="127" ht="15.75" customHeight="1">
      <c r="B127" s="2"/>
      <c r="C127" s="3"/>
      <c r="D127" s="4"/>
      <c r="F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  <c r="S127" s="6"/>
      <c r="T127" s="8"/>
      <c r="U127" s="8"/>
      <c r="V127" s="8"/>
      <c r="W127" s="6"/>
      <c r="X127" s="6"/>
      <c r="Y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</row>
    <row r="128" ht="15.75" customHeight="1">
      <c r="B128" s="2"/>
      <c r="C128" s="3"/>
      <c r="D128" s="4"/>
      <c r="F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  <c r="S128" s="6"/>
      <c r="T128" s="8"/>
      <c r="U128" s="8"/>
      <c r="V128" s="8"/>
      <c r="W128" s="6"/>
      <c r="X128" s="6"/>
      <c r="Y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</row>
    <row r="129" ht="15.75" customHeight="1">
      <c r="B129" s="2"/>
      <c r="C129" s="3"/>
      <c r="D129" s="4"/>
      <c r="F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  <c r="S129" s="6"/>
      <c r="T129" s="8"/>
      <c r="U129" s="8"/>
      <c r="V129" s="8"/>
      <c r="W129" s="6"/>
      <c r="X129" s="6"/>
      <c r="Y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</row>
    <row r="130" ht="15.75" customHeight="1">
      <c r="B130" s="2"/>
      <c r="C130" s="3"/>
      <c r="D130" s="4"/>
      <c r="F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  <c r="S130" s="6"/>
      <c r="T130" s="8"/>
      <c r="U130" s="8"/>
      <c r="V130" s="8"/>
      <c r="W130" s="6"/>
      <c r="X130" s="6"/>
      <c r="Y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</row>
    <row r="131" ht="15.75" customHeight="1">
      <c r="B131" s="2"/>
      <c r="C131" s="3"/>
      <c r="D131" s="4"/>
      <c r="F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  <c r="S131" s="6"/>
      <c r="T131" s="8"/>
      <c r="U131" s="8"/>
      <c r="V131" s="8"/>
      <c r="W131" s="6"/>
      <c r="X131" s="6"/>
      <c r="Y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</row>
    <row r="132" ht="15.75" customHeight="1">
      <c r="B132" s="2"/>
      <c r="C132" s="3"/>
      <c r="D132" s="4"/>
      <c r="F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  <c r="S132" s="6"/>
      <c r="T132" s="8"/>
      <c r="U132" s="8"/>
      <c r="V132" s="8"/>
      <c r="W132" s="6"/>
      <c r="X132" s="6"/>
      <c r="Y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</row>
    <row r="133" ht="15.75" customHeight="1">
      <c r="B133" s="2"/>
      <c r="C133" s="3"/>
      <c r="D133" s="4"/>
      <c r="F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  <c r="S133" s="6"/>
      <c r="T133" s="8"/>
      <c r="U133" s="8"/>
      <c r="V133" s="8"/>
      <c r="W133" s="6"/>
      <c r="X133" s="6"/>
      <c r="Y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</row>
    <row r="134" ht="15.75" customHeight="1">
      <c r="B134" s="2"/>
      <c r="C134" s="3"/>
      <c r="D134" s="4"/>
      <c r="F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7"/>
      <c r="S134" s="6"/>
      <c r="T134" s="8"/>
      <c r="U134" s="8"/>
      <c r="V134" s="8"/>
      <c r="W134" s="6"/>
      <c r="X134" s="6"/>
      <c r="Y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</row>
    <row r="135" ht="15.75" customHeight="1">
      <c r="B135" s="2"/>
      <c r="C135" s="3"/>
      <c r="D135" s="4"/>
      <c r="F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/>
      <c r="S135" s="6"/>
      <c r="T135" s="8"/>
      <c r="U135" s="8"/>
      <c r="V135" s="8"/>
      <c r="W135" s="6"/>
      <c r="X135" s="6"/>
      <c r="Y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</row>
    <row r="136" ht="15.75" customHeight="1">
      <c r="B136" s="2"/>
      <c r="C136" s="3"/>
      <c r="D136" s="4"/>
      <c r="F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7"/>
      <c r="S136" s="6"/>
      <c r="T136" s="8"/>
      <c r="U136" s="8"/>
      <c r="V136" s="8"/>
      <c r="W136" s="6"/>
      <c r="X136" s="6"/>
      <c r="Y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</row>
    <row r="137" ht="15.75" customHeight="1">
      <c r="B137" s="2"/>
      <c r="C137" s="3"/>
      <c r="D137" s="4"/>
      <c r="F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7"/>
      <c r="S137" s="6"/>
      <c r="T137" s="8"/>
      <c r="U137" s="8"/>
      <c r="V137" s="8"/>
      <c r="W137" s="6"/>
      <c r="X137" s="6"/>
      <c r="Y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</row>
    <row r="138" ht="15.75" customHeight="1">
      <c r="B138" s="2"/>
      <c r="C138" s="3"/>
      <c r="D138" s="4"/>
      <c r="F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/>
      <c r="S138" s="6"/>
      <c r="T138" s="8"/>
      <c r="U138" s="8"/>
      <c r="V138" s="8"/>
      <c r="W138" s="6"/>
      <c r="X138" s="6"/>
      <c r="Y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</row>
    <row r="139" ht="15.75" customHeight="1">
      <c r="B139" s="2"/>
      <c r="C139" s="3"/>
      <c r="D139" s="4"/>
      <c r="F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7"/>
      <c r="S139" s="6"/>
      <c r="T139" s="8"/>
      <c r="U139" s="8"/>
      <c r="V139" s="8"/>
      <c r="W139" s="6"/>
      <c r="X139" s="6"/>
      <c r="Y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</row>
    <row r="140" ht="15.75" customHeight="1">
      <c r="B140" s="2"/>
      <c r="C140" s="3"/>
      <c r="D140" s="4"/>
      <c r="F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/>
      <c r="S140" s="6"/>
      <c r="T140" s="8"/>
      <c r="U140" s="8"/>
      <c r="V140" s="8"/>
      <c r="W140" s="6"/>
      <c r="X140" s="6"/>
      <c r="Y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</row>
    <row r="141" ht="15.75" customHeight="1">
      <c r="B141" s="2"/>
      <c r="C141" s="3"/>
      <c r="D141" s="4"/>
      <c r="F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/>
      <c r="S141" s="6"/>
      <c r="T141" s="8"/>
      <c r="U141" s="8"/>
      <c r="V141" s="8"/>
      <c r="W141" s="6"/>
      <c r="X141" s="6"/>
      <c r="Y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</row>
    <row r="142" ht="15.75" customHeight="1">
      <c r="B142" s="2"/>
      <c r="C142" s="3"/>
      <c r="D142" s="4"/>
      <c r="F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7"/>
      <c r="S142" s="6"/>
      <c r="T142" s="8"/>
      <c r="U142" s="8"/>
      <c r="V142" s="8"/>
      <c r="W142" s="6"/>
      <c r="X142" s="6"/>
      <c r="Y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</row>
    <row r="143" ht="15.75" customHeight="1">
      <c r="B143" s="2"/>
      <c r="C143" s="3"/>
      <c r="D143" s="4"/>
      <c r="F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/>
      <c r="S143" s="6"/>
      <c r="T143" s="8"/>
      <c r="U143" s="8"/>
      <c r="V143" s="8"/>
      <c r="W143" s="6"/>
      <c r="X143" s="6"/>
      <c r="Y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</row>
    <row r="144" ht="15.75" customHeight="1">
      <c r="B144" s="2"/>
      <c r="C144" s="3"/>
      <c r="D144" s="4"/>
      <c r="F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7"/>
      <c r="S144" s="6"/>
      <c r="T144" s="8"/>
      <c r="U144" s="8"/>
      <c r="V144" s="8"/>
      <c r="W144" s="6"/>
      <c r="X144" s="6"/>
      <c r="Y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</row>
    <row r="145" ht="15.75" customHeight="1">
      <c r="B145" s="2"/>
      <c r="C145" s="3"/>
      <c r="D145" s="4"/>
      <c r="F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7"/>
      <c r="S145" s="6"/>
      <c r="T145" s="8"/>
      <c r="U145" s="8"/>
      <c r="V145" s="8"/>
      <c r="W145" s="6"/>
      <c r="X145" s="6"/>
      <c r="Y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</row>
    <row r="146" ht="15.75" customHeight="1">
      <c r="B146" s="2"/>
      <c r="C146" s="3"/>
      <c r="D146" s="4"/>
      <c r="F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7"/>
      <c r="S146" s="6"/>
      <c r="T146" s="8"/>
      <c r="U146" s="8"/>
      <c r="V146" s="8"/>
      <c r="W146" s="6"/>
      <c r="X146" s="6"/>
      <c r="Y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</row>
    <row r="147" ht="15.75" customHeight="1">
      <c r="B147" s="2"/>
      <c r="C147" s="3"/>
      <c r="D147" s="4"/>
      <c r="F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7"/>
      <c r="S147" s="6"/>
      <c r="T147" s="8"/>
      <c r="U147" s="8"/>
      <c r="V147" s="8"/>
      <c r="W147" s="6"/>
      <c r="X147" s="6"/>
      <c r="Y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</row>
    <row r="148" ht="15.75" customHeight="1">
      <c r="B148" s="2"/>
      <c r="C148" s="3"/>
      <c r="D148" s="4"/>
      <c r="F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7"/>
      <c r="S148" s="6"/>
      <c r="T148" s="8"/>
      <c r="U148" s="8"/>
      <c r="V148" s="8"/>
      <c r="W148" s="6"/>
      <c r="X148" s="6"/>
      <c r="Y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</row>
    <row r="149" ht="15.75" customHeight="1">
      <c r="B149" s="2"/>
      <c r="C149" s="3"/>
      <c r="D149" s="4"/>
      <c r="F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7"/>
      <c r="S149" s="6"/>
      <c r="T149" s="8"/>
      <c r="U149" s="8"/>
      <c r="V149" s="8"/>
      <c r="W149" s="6"/>
      <c r="X149" s="6"/>
      <c r="Y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</row>
    <row r="150" ht="15.75" customHeight="1">
      <c r="B150" s="2"/>
      <c r="C150" s="3"/>
      <c r="D150" s="4"/>
      <c r="F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7"/>
      <c r="S150" s="6"/>
      <c r="T150" s="8"/>
      <c r="U150" s="8"/>
      <c r="V150" s="8"/>
      <c r="W150" s="6"/>
      <c r="X150" s="6"/>
      <c r="Y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</row>
    <row r="151" ht="15.75" customHeight="1">
      <c r="B151" s="2"/>
      <c r="C151" s="3"/>
      <c r="D151" s="4"/>
      <c r="F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/>
      <c r="S151" s="6"/>
      <c r="T151" s="8"/>
      <c r="U151" s="8"/>
      <c r="V151" s="8"/>
      <c r="W151" s="6"/>
      <c r="X151" s="6"/>
      <c r="Y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</row>
    <row r="152" ht="15.75" customHeight="1">
      <c r="B152" s="2"/>
      <c r="C152" s="3"/>
      <c r="D152" s="4"/>
      <c r="F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7"/>
      <c r="S152" s="6"/>
      <c r="T152" s="8"/>
      <c r="U152" s="8"/>
      <c r="V152" s="8"/>
      <c r="W152" s="6"/>
      <c r="X152" s="6"/>
      <c r="Y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</row>
    <row r="153" ht="15.75" customHeight="1">
      <c r="B153" s="2"/>
      <c r="C153" s="3"/>
      <c r="D153" s="4"/>
      <c r="F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7"/>
      <c r="S153" s="6"/>
      <c r="T153" s="8"/>
      <c r="U153" s="8"/>
      <c r="V153" s="8"/>
      <c r="W153" s="6"/>
      <c r="X153" s="6"/>
      <c r="Y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</row>
    <row r="154" ht="15.75" customHeight="1">
      <c r="B154" s="2"/>
      <c r="C154" s="3"/>
      <c r="D154" s="4"/>
      <c r="F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/>
      <c r="S154" s="6"/>
      <c r="T154" s="8"/>
      <c r="U154" s="8"/>
      <c r="V154" s="8"/>
      <c r="W154" s="6"/>
      <c r="X154" s="6"/>
      <c r="Y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</row>
    <row r="155" ht="15.75" customHeight="1">
      <c r="B155" s="2"/>
      <c r="C155" s="3"/>
      <c r="D155" s="4"/>
      <c r="F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7"/>
      <c r="S155" s="6"/>
      <c r="T155" s="8"/>
      <c r="U155" s="8"/>
      <c r="V155" s="8"/>
      <c r="W155" s="6"/>
      <c r="X155" s="6"/>
      <c r="Y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</row>
    <row r="156" ht="15.75" customHeight="1">
      <c r="B156" s="2"/>
      <c r="C156" s="3"/>
      <c r="D156" s="4"/>
      <c r="F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7"/>
      <c r="S156" s="6"/>
      <c r="T156" s="8"/>
      <c r="U156" s="8"/>
      <c r="V156" s="8"/>
      <c r="W156" s="6"/>
      <c r="X156" s="6"/>
      <c r="Y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</row>
    <row r="157" ht="15.75" customHeight="1">
      <c r="B157" s="2"/>
      <c r="C157" s="3"/>
      <c r="D157" s="4"/>
      <c r="F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7"/>
      <c r="S157" s="6"/>
      <c r="T157" s="8"/>
      <c r="U157" s="8"/>
      <c r="V157" s="8"/>
      <c r="W157" s="6"/>
      <c r="X157" s="6"/>
      <c r="Y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</row>
    <row r="158" ht="15.75" customHeight="1">
      <c r="B158" s="2"/>
      <c r="C158" s="3"/>
      <c r="D158" s="4"/>
      <c r="F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/>
      <c r="S158" s="6"/>
      <c r="T158" s="8"/>
      <c r="U158" s="8"/>
      <c r="V158" s="8"/>
      <c r="W158" s="6"/>
      <c r="X158" s="6"/>
      <c r="Y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</row>
    <row r="159" ht="15.75" customHeight="1">
      <c r="B159" s="2"/>
      <c r="C159" s="3"/>
      <c r="D159" s="4"/>
      <c r="F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/>
      <c r="S159" s="6"/>
      <c r="T159" s="8"/>
      <c r="U159" s="8"/>
      <c r="V159" s="8"/>
      <c r="W159" s="6"/>
      <c r="X159" s="6"/>
      <c r="Y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</row>
    <row r="160" ht="15.75" customHeight="1">
      <c r="B160" s="2"/>
      <c r="C160" s="3"/>
      <c r="D160" s="4"/>
      <c r="F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7"/>
      <c r="S160" s="6"/>
      <c r="T160" s="8"/>
      <c r="U160" s="8"/>
      <c r="V160" s="8"/>
      <c r="W160" s="6"/>
      <c r="X160" s="6"/>
      <c r="Y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</row>
    <row r="161" ht="15.75" customHeight="1">
      <c r="B161" s="2"/>
      <c r="C161" s="3"/>
      <c r="D161" s="4"/>
      <c r="F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/>
      <c r="S161" s="6"/>
      <c r="T161" s="8"/>
      <c r="U161" s="8"/>
      <c r="V161" s="8"/>
      <c r="W161" s="6"/>
      <c r="X161" s="6"/>
      <c r="Y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</row>
    <row r="162" ht="15.75" customHeight="1">
      <c r="B162" s="2"/>
      <c r="C162" s="3"/>
      <c r="D162" s="4"/>
      <c r="F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/>
      <c r="S162" s="6"/>
      <c r="T162" s="8"/>
      <c r="U162" s="8"/>
      <c r="V162" s="8"/>
      <c r="W162" s="6"/>
      <c r="X162" s="6"/>
      <c r="Y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</row>
    <row r="163" ht="15.75" customHeight="1">
      <c r="B163" s="2"/>
      <c r="C163" s="3"/>
      <c r="D163" s="4"/>
      <c r="F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/>
      <c r="S163" s="6"/>
      <c r="T163" s="8"/>
      <c r="U163" s="8"/>
      <c r="V163" s="8"/>
      <c r="W163" s="6"/>
      <c r="X163" s="6"/>
      <c r="Y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</row>
    <row r="164" ht="15.75" customHeight="1">
      <c r="B164" s="2"/>
      <c r="C164" s="3"/>
      <c r="D164" s="4"/>
      <c r="F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/>
      <c r="S164" s="6"/>
      <c r="T164" s="8"/>
      <c r="U164" s="8"/>
      <c r="V164" s="8"/>
      <c r="W164" s="6"/>
      <c r="X164" s="6"/>
      <c r="Y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</row>
    <row r="165" ht="15.75" customHeight="1">
      <c r="B165" s="2"/>
      <c r="C165" s="3"/>
      <c r="D165" s="4"/>
      <c r="F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/>
      <c r="S165" s="6"/>
      <c r="T165" s="8"/>
      <c r="U165" s="8"/>
      <c r="V165" s="8"/>
      <c r="W165" s="6"/>
      <c r="X165" s="6"/>
      <c r="Y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</row>
    <row r="166" ht="15.75" customHeight="1">
      <c r="B166" s="2"/>
      <c r="C166" s="3"/>
      <c r="D166" s="4"/>
      <c r="F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7"/>
      <c r="S166" s="6"/>
      <c r="T166" s="8"/>
      <c r="U166" s="8"/>
      <c r="V166" s="8"/>
      <c r="W166" s="6"/>
      <c r="X166" s="6"/>
      <c r="Y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</row>
    <row r="167" ht="15.75" customHeight="1">
      <c r="B167" s="2"/>
      <c r="C167" s="3"/>
      <c r="D167" s="4"/>
      <c r="F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7"/>
      <c r="S167" s="6"/>
      <c r="T167" s="8"/>
      <c r="U167" s="8"/>
      <c r="V167" s="8"/>
      <c r="W167" s="6"/>
      <c r="X167" s="6"/>
      <c r="Y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</row>
    <row r="168" ht="15.75" customHeight="1">
      <c r="B168" s="2"/>
      <c r="C168" s="3"/>
      <c r="D168" s="4"/>
      <c r="F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7"/>
      <c r="S168" s="6"/>
      <c r="T168" s="8"/>
      <c r="U168" s="8"/>
      <c r="V168" s="8"/>
      <c r="W168" s="6"/>
      <c r="X168" s="6"/>
      <c r="Y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</row>
    <row r="169" ht="15.75" customHeight="1">
      <c r="B169" s="2"/>
      <c r="C169" s="3"/>
      <c r="D169" s="4"/>
      <c r="F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7"/>
      <c r="S169" s="6"/>
      <c r="T169" s="8"/>
      <c r="U169" s="8"/>
      <c r="V169" s="8"/>
      <c r="W169" s="6"/>
      <c r="X169" s="6"/>
      <c r="Y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</row>
    <row r="170" ht="15.75" customHeight="1">
      <c r="B170" s="2"/>
      <c r="C170" s="3"/>
      <c r="D170" s="4"/>
      <c r="F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7"/>
      <c r="S170" s="6"/>
      <c r="T170" s="8"/>
      <c r="U170" s="8"/>
      <c r="V170" s="8"/>
      <c r="W170" s="6"/>
      <c r="X170" s="6"/>
      <c r="Y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</row>
    <row r="171" ht="15.75" customHeight="1">
      <c r="B171" s="2"/>
      <c r="C171" s="3"/>
      <c r="D171" s="4"/>
      <c r="F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7"/>
      <c r="S171" s="6"/>
      <c r="T171" s="8"/>
      <c r="U171" s="8"/>
      <c r="V171" s="8"/>
      <c r="W171" s="6"/>
      <c r="X171" s="6"/>
      <c r="Y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</row>
    <row r="172" ht="15.75" customHeight="1">
      <c r="B172" s="2"/>
      <c r="C172" s="3"/>
      <c r="D172" s="4"/>
      <c r="F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7"/>
      <c r="S172" s="6"/>
      <c r="T172" s="8"/>
      <c r="U172" s="8"/>
      <c r="V172" s="8"/>
      <c r="W172" s="6"/>
      <c r="X172" s="6"/>
      <c r="Y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</row>
    <row r="173" ht="15.75" customHeight="1">
      <c r="B173" s="2"/>
      <c r="C173" s="3"/>
      <c r="D173" s="4"/>
      <c r="F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7"/>
      <c r="S173" s="6"/>
      <c r="T173" s="8"/>
      <c r="U173" s="8"/>
      <c r="V173" s="8"/>
      <c r="W173" s="6"/>
      <c r="X173" s="6"/>
      <c r="Y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</row>
    <row r="174" ht="15.75" customHeight="1">
      <c r="B174" s="2"/>
      <c r="C174" s="3"/>
      <c r="D174" s="4"/>
      <c r="F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7"/>
      <c r="S174" s="6"/>
      <c r="T174" s="8"/>
      <c r="U174" s="8"/>
      <c r="V174" s="8"/>
      <c r="W174" s="6"/>
      <c r="X174" s="6"/>
      <c r="Y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</row>
    <row r="175" ht="15.75" customHeight="1">
      <c r="B175" s="2"/>
      <c r="C175" s="3"/>
      <c r="D175" s="4"/>
      <c r="F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7"/>
      <c r="S175" s="6"/>
      <c r="T175" s="8"/>
      <c r="U175" s="8"/>
      <c r="V175" s="8"/>
      <c r="W175" s="6"/>
      <c r="X175" s="6"/>
      <c r="Y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</row>
    <row r="176" ht="15.75" customHeight="1">
      <c r="B176" s="2"/>
      <c r="C176" s="3"/>
      <c r="D176" s="4"/>
      <c r="F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7"/>
      <c r="S176" s="6"/>
      <c r="T176" s="8"/>
      <c r="U176" s="8"/>
      <c r="V176" s="8"/>
      <c r="W176" s="6"/>
      <c r="X176" s="6"/>
      <c r="Y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</row>
    <row r="177" ht="15.75" customHeight="1">
      <c r="B177" s="2"/>
      <c r="C177" s="3"/>
      <c r="D177" s="4"/>
      <c r="F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7"/>
      <c r="S177" s="6"/>
      <c r="T177" s="8"/>
      <c r="U177" s="8"/>
      <c r="V177" s="8"/>
      <c r="W177" s="6"/>
      <c r="X177" s="6"/>
      <c r="Y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</row>
    <row r="178" ht="15.75" customHeight="1">
      <c r="B178" s="2"/>
      <c r="C178" s="3"/>
      <c r="D178" s="4"/>
      <c r="F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7"/>
      <c r="S178" s="6"/>
      <c r="T178" s="8"/>
      <c r="U178" s="8"/>
      <c r="V178" s="8"/>
      <c r="W178" s="6"/>
      <c r="X178" s="6"/>
      <c r="Y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</row>
    <row r="179" ht="15.75" customHeight="1">
      <c r="B179" s="2"/>
      <c r="C179" s="3"/>
      <c r="D179" s="4"/>
      <c r="F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7"/>
      <c r="S179" s="6"/>
      <c r="T179" s="8"/>
      <c r="U179" s="8"/>
      <c r="V179" s="8"/>
      <c r="W179" s="6"/>
      <c r="X179" s="6"/>
      <c r="Y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</row>
    <row r="180" ht="15.75" customHeight="1">
      <c r="B180" s="2"/>
      <c r="C180" s="3"/>
      <c r="D180" s="4"/>
      <c r="F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/>
      <c r="S180" s="6"/>
      <c r="T180" s="8"/>
      <c r="U180" s="8"/>
      <c r="V180" s="8"/>
      <c r="W180" s="6"/>
      <c r="X180" s="6"/>
      <c r="Y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</row>
    <row r="181" ht="15.75" customHeight="1">
      <c r="B181" s="2"/>
      <c r="C181" s="3"/>
      <c r="D181" s="4"/>
      <c r="F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7"/>
      <c r="S181" s="6"/>
      <c r="T181" s="8"/>
      <c r="U181" s="8"/>
      <c r="V181" s="8"/>
      <c r="W181" s="6"/>
      <c r="X181" s="6"/>
      <c r="Y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</row>
    <row r="182" ht="15.75" customHeight="1">
      <c r="B182" s="2"/>
      <c r="C182" s="3"/>
      <c r="D182" s="4"/>
      <c r="F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/>
      <c r="S182" s="6"/>
      <c r="T182" s="8"/>
      <c r="U182" s="8"/>
      <c r="V182" s="8"/>
      <c r="W182" s="6"/>
      <c r="X182" s="6"/>
      <c r="Y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</row>
    <row r="183" ht="15.75" customHeight="1">
      <c r="B183" s="2"/>
      <c r="C183" s="3"/>
      <c r="D183" s="4"/>
      <c r="F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/>
      <c r="S183" s="6"/>
      <c r="T183" s="8"/>
      <c r="U183" s="8"/>
      <c r="V183" s="8"/>
      <c r="W183" s="6"/>
      <c r="X183" s="6"/>
      <c r="Y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</row>
    <row r="184" ht="15.75" customHeight="1">
      <c r="B184" s="2"/>
      <c r="C184" s="3"/>
      <c r="D184" s="4"/>
      <c r="F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/>
      <c r="S184" s="6"/>
      <c r="T184" s="8"/>
      <c r="U184" s="8"/>
      <c r="V184" s="8"/>
      <c r="W184" s="6"/>
      <c r="X184" s="6"/>
      <c r="Y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</row>
    <row r="185" ht="15.75" customHeight="1">
      <c r="B185" s="2"/>
      <c r="C185" s="3"/>
      <c r="D185" s="4"/>
      <c r="F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/>
      <c r="S185" s="6"/>
      <c r="T185" s="8"/>
      <c r="U185" s="8"/>
      <c r="V185" s="8"/>
      <c r="W185" s="6"/>
      <c r="X185" s="6"/>
      <c r="Y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</row>
    <row r="186" ht="15.75" customHeight="1">
      <c r="B186" s="2"/>
      <c r="C186" s="3"/>
      <c r="D186" s="4"/>
      <c r="F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7"/>
      <c r="S186" s="6"/>
      <c r="T186" s="8"/>
      <c r="U186" s="8"/>
      <c r="V186" s="8"/>
      <c r="W186" s="6"/>
      <c r="X186" s="6"/>
      <c r="Y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</row>
    <row r="187" ht="15.75" customHeight="1">
      <c r="B187" s="2"/>
      <c r="C187" s="3"/>
      <c r="D187" s="4"/>
      <c r="F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7"/>
      <c r="S187" s="6"/>
      <c r="T187" s="8"/>
      <c r="U187" s="8"/>
      <c r="V187" s="8"/>
      <c r="W187" s="6"/>
      <c r="X187" s="6"/>
      <c r="Y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</row>
    <row r="188" ht="15.75" customHeight="1">
      <c r="B188" s="2"/>
      <c r="C188" s="3"/>
      <c r="D188" s="4"/>
      <c r="F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/>
      <c r="S188" s="6"/>
      <c r="T188" s="8"/>
      <c r="U188" s="8"/>
      <c r="V188" s="8"/>
      <c r="W188" s="6"/>
      <c r="X188" s="6"/>
      <c r="Y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</row>
    <row r="189" ht="15.75" customHeight="1">
      <c r="B189" s="2"/>
      <c r="C189" s="3"/>
      <c r="D189" s="4"/>
      <c r="F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7"/>
      <c r="S189" s="6"/>
      <c r="T189" s="8"/>
      <c r="U189" s="8"/>
      <c r="V189" s="8"/>
      <c r="W189" s="6"/>
      <c r="X189" s="6"/>
      <c r="Y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</row>
    <row r="190" ht="15.75" customHeight="1">
      <c r="B190" s="2"/>
      <c r="C190" s="3"/>
      <c r="D190" s="4"/>
      <c r="F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7"/>
      <c r="S190" s="6"/>
      <c r="T190" s="8"/>
      <c r="U190" s="8"/>
      <c r="V190" s="8"/>
      <c r="W190" s="6"/>
      <c r="X190" s="6"/>
      <c r="Y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</row>
    <row r="191" ht="15.75" customHeight="1">
      <c r="B191" s="2"/>
      <c r="C191" s="3"/>
      <c r="D191" s="4"/>
      <c r="F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7"/>
      <c r="S191" s="6"/>
      <c r="T191" s="8"/>
      <c r="U191" s="8"/>
      <c r="V191" s="8"/>
      <c r="W191" s="6"/>
      <c r="X191" s="6"/>
      <c r="Y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</row>
    <row r="192" ht="15.75" customHeight="1">
      <c r="B192" s="2"/>
      <c r="C192" s="3"/>
      <c r="D192" s="4"/>
      <c r="F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7"/>
      <c r="S192" s="6"/>
      <c r="T192" s="8"/>
      <c r="U192" s="8"/>
      <c r="V192" s="8"/>
      <c r="W192" s="6"/>
      <c r="X192" s="6"/>
      <c r="Y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</row>
    <row r="193" ht="15.75" customHeight="1">
      <c r="B193" s="2"/>
      <c r="C193" s="3"/>
      <c r="D193" s="4"/>
      <c r="F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/>
      <c r="S193" s="6"/>
      <c r="T193" s="8"/>
      <c r="U193" s="8"/>
      <c r="V193" s="8"/>
      <c r="W193" s="6"/>
      <c r="X193" s="6"/>
      <c r="Y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</row>
    <row r="194" ht="15.75" customHeight="1">
      <c r="B194" s="2"/>
      <c r="C194" s="3"/>
      <c r="D194" s="4"/>
      <c r="F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/>
      <c r="S194" s="6"/>
      <c r="T194" s="8"/>
      <c r="U194" s="8"/>
      <c r="V194" s="8"/>
      <c r="W194" s="6"/>
      <c r="X194" s="6"/>
      <c r="Y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</row>
    <row r="195" ht="15.75" customHeight="1">
      <c r="B195" s="2"/>
      <c r="C195" s="3"/>
      <c r="D195" s="4"/>
      <c r="F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/>
      <c r="S195" s="6"/>
      <c r="T195" s="8"/>
      <c r="U195" s="8"/>
      <c r="V195" s="8"/>
      <c r="W195" s="6"/>
      <c r="X195" s="6"/>
      <c r="Y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</row>
    <row r="196" ht="15.75" customHeight="1">
      <c r="B196" s="2"/>
      <c r="C196" s="3"/>
      <c r="D196" s="4"/>
      <c r="F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/>
      <c r="S196" s="6"/>
      <c r="T196" s="8"/>
      <c r="U196" s="8"/>
      <c r="V196" s="8"/>
      <c r="W196" s="6"/>
      <c r="X196" s="6"/>
      <c r="Y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</row>
    <row r="197" ht="15.75" customHeight="1">
      <c r="B197" s="2"/>
      <c r="C197" s="3"/>
      <c r="D197" s="4"/>
      <c r="F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/>
      <c r="S197" s="6"/>
      <c r="T197" s="8"/>
      <c r="U197" s="8"/>
      <c r="V197" s="8"/>
      <c r="W197" s="6"/>
      <c r="X197" s="6"/>
      <c r="Y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</row>
    <row r="198" ht="15.75" customHeight="1">
      <c r="B198" s="2"/>
      <c r="C198" s="3"/>
      <c r="D198" s="4"/>
      <c r="F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/>
      <c r="S198" s="6"/>
      <c r="T198" s="8"/>
      <c r="U198" s="8"/>
      <c r="V198" s="8"/>
      <c r="W198" s="6"/>
      <c r="X198" s="6"/>
      <c r="Y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</row>
    <row r="199" ht="15.75" customHeight="1">
      <c r="B199" s="2"/>
      <c r="C199" s="3"/>
      <c r="D199" s="4"/>
      <c r="F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/>
      <c r="S199" s="6"/>
      <c r="T199" s="8"/>
      <c r="U199" s="8"/>
      <c r="V199" s="8"/>
      <c r="W199" s="6"/>
      <c r="X199" s="6"/>
      <c r="Y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</row>
    <row r="200" ht="15.75" customHeight="1">
      <c r="B200" s="2"/>
      <c r="C200" s="3"/>
      <c r="D200" s="4"/>
      <c r="F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/>
      <c r="S200" s="6"/>
      <c r="T200" s="8"/>
      <c r="U200" s="8"/>
      <c r="V200" s="8"/>
      <c r="W200" s="6"/>
      <c r="X200" s="6"/>
      <c r="Y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</row>
    <row r="201" ht="15.75" customHeight="1">
      <c r="B201" s="2"/>
      <c r="C201" s="3"/>
      <c r="D201" s="4"/>
      <c r="F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/>
      <c r="S201" s="6"/>
      <c r="T201" s="8"/>
      <c r="U201" s="8"/>
      <c r="V201" s="8"/>
      <c r="W201" s="6"/>
      <c r="X201" s="6"/>
      <c r="Y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</row>
    <row r="202" ht="15.75" customHeight="1">
      <c r="B202" s="2"/>
      <c r="C202" s="3"/>
      <c r="D202" s="4"/>
      <c r="F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/>
      <c r="S202" s="6"/>
      <c r="T202" s="8"/>
      <c r="U202" s="8"/>
      <c r="V202" s="8"/>
      <c r="W202" s="6"/>
      <c r="X202" s="6"/>
      <c r="Y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</row>
    <row r="203" ht="15.75" customHeight="1">
      <c r="B203" s="2"/>
      <c r="C203" s="3"/>
      <c r="D203" s="4"/>
      <c r="F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/>
      <c r="S203" s="6"/>
      <c r="T203" s="8"/>
      <c r="U203" s="8"/>
      <c r="V203" s="8"/>
      <c r="W203" s="6"/>
      <c r="X203" s="6"/>
      <c r="Y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</row>
    <row r="204" ht="15.75" customHeight="1">
      <c r="B204" s="2"/>
      <c r="C204" s="3"/>
      <c r="D204" s="4"/>
      <c r="F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/>
      <c r="S204" s="6"/>
      <c r="T204" s="8"/>
      <c r="U204" s="8"/>
      <c r="V204" s="8"/>
      <c r="W204" s="6"/>
      <c r="X204" s="6"/>
      <c r="Y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</row>
    <row r="205" ht="15.75" customHeight="1">
      <c r="B205" s="2"/>
      <c r="C205" s="3"/>
      <c r="D205" s="4"/>
      <c r="F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/>
      <c r="S205" s="6"/>
      <c r="T205" s="8"/>
      <c r="U205" s="8"/>
      <c r="V205" s="8"/>
      <c r="W205" s="6"/>
      <c r="X205" s="6"/>
      <c r="Y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</row>
    <row r="206" ht="15.75" customHeight="1">
      <c r="B206" s="2"/>
      <c r="C206" s="3"/>
      <c r="D206" s="4"/>
      <c r="F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7"/>
      <c r="S206" s="6"/>
      <c r="T206" s="8"/>
      <c r="U206" s="8"/>
      <c r="V206" s="8"/>
      <c r="W206" s="6"/>
      <c r="X206" s="6"/>
      <c r="Y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</row>
    <row r="207" ht="15.75" customHeight="1">
      <c r="B207" s="2"/>
      <c r="C207" s="3"/>
      <c r="D207" s="4"/>
      <c r="F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7"/>
      <c r="S207" s="6"/>
      <c r="T207" s="8"/>
      <c r="U207" s="8"/>
      <c r="V207" s="8"/>
      <c r="W207" s="6"/>
      <c r="X207" s="6"/>
      <c r="Y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</row>
    <row r="208" ht="15.75" customHeight="1">
      <c r="B208" s="2"/>
      <c r="C208" s="3"/>
      <c r="D208" s="4"/>
      <c r="F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7"/>
      <c r="S208" s="6"/>
      <c r="T208" s="8"/>
      <c r="U208" s="8"/>
      <c r="V208" s="8"/>
      <c r="W208" s="6"/>
      <c r="X208" s="6"/>
      <c r="Y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</row>
    <row r="209" ht="15.75" customHeight="1">
      <c r="B209" s="2"/>
      <c r="C209" s="3"/>
      <c r="D209" s="4"/>
      <c r="F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/>
      <c r="S209" s="6"/>
      <c r="T209" s="8"/>
      <c r="U209" s="8"/>
      <c r="V209" s="8"/>
      <c r="W209" s="6"/>
      <c r="X209" s="6"/>
      <c r="Y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</row>
    <row r="210" ht="15.75" customHeight="1">
      <c r="B210" s="2"/>
      <c r="C210" s="3"/>
      <c r="D210" s="4"/>
      <c r="F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7"/>
      <c r="S210" s="6"/>
      <c r="T210" s="8"/>
      <c r="U210" s="8"/>
      <c r="V210" s="8"/>
      <c r="W210" s="6"/>
      <c r="X210" s="6"/>
      <c r="Y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</row>
    <row r="211" ht="15.75" customHeight="1">
      <c r="B211" s="2"/>
      <c r="C211" s="3"/>
      <c r="D211" s="4"/>
      <c r="F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/>
      <c r="S211" s="6"/>
      <c r="T211" s="8"/>
      <c r="U211" s="8"/>
      <c r="V211" s="8"/>
      <c r="W211" s="6"/>
      <c r="X211" s="6"/>
      <c r="Y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</row>
    <row r="212" ht="15.75" customHeight="1">
      <c r="B212" s="2"/>
      <c r="C212" s="3"/>
      <c r="D212" s="4"/>
      <c r="F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7"/>
      <c r="S212" s="6"/>
      <c r="T212" s="8"/>
      <c r="U212" s="8"/>
      <c r="V212" s="8"/>
      <c r="W212" s="6"/>
      <c r="X212" s="6"/>
      <c r="Y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</row>
    <row r="213" ht="15.75" customHeight="1">
      <c r="B213" s="2"/>
      <c r="C213" s="3"/>
      <c r="D213" s="4"/>
      <c r="F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7"/>
      <c r="S213" s="6"/>
      <c r="T213" s="8"/>
      <c r="U213" s="8"/>
      <c r="V213" s="8"/>
      <c r="W213" s="6"/>
      <c r="X213" s="6"/>
      <c r="Y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</row>
    <row r="214" ht="15.75" customHeight="1">
      <c r="B214" s="2"/>
      <c r="C214" s="3"/>
      <c r="D214" s="4"/>
      <c r="F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7"/>
      <c r="S214" s="6"/>
      <c r="T214" s="8"/>
      <c r="U214" s="8"/>
      <c r="V214" s="8"/>
      <c r="W214" s="6"/>
      <c r="X214" s="6"/>
      <c r="Y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</row>
    <row r="215" ht="15.75" customHeight="1">
      <c r="B215" s="2"/>
      <c r="C215" s="3"/>
      <c r="D215" s="4"/>
      <c r="F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7"/>
      <c r="S215" s="6"/>
      <c r="T215" s="8"/>
      <c r="U215" s="8"/>
      <c r="V215" s="8"/>
      <c r="W215" s="6"/>
      <c r="X215" s="6"/>
      <c r="Y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</row>
    <row r="216" ht="15.75" customHeight="1">
      <c r="B216" s="2"/>
      <c r="C216" s="3"/>
      <c r="D216" s="4"/>
      <c r="F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/>
      <c r="S216" s="6"/>
      <c r="T216" s="8"/>
      <c r="U216" s="8"/>
      <c r="V216" s="8"/>
      <c r="W216" s="6"/>
      <c r="X216" s="6"/>
      <c r="Y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</row>
    <row r="217" ht="15.75" customHeight="1">
      <c r="B217" s="2"/>
      <c r="C217" s="3"/>
      <c r="D217" s="4"/>
      <c r="F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7"/>
      <c r="S217" s="6"/>
      <c r="T217" s="8"/>
      <c r="U217" s="8"/>
      <c r="V217" s="8"/>
      <c r="W217" s="6"/>
      <c r="X217" s="6"/>
      <c r="Y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</row>
    <row r="218" ht="15.75" customHeight="1">
      <c r="B218" s="2"/>
      <c r="C218" s="3"/>
      <c r="D218" s="4"/>
      <c r="F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7"/>
      <c r="S218" s="6"/>
      <c r="T218" s="8"/>
      <c r="U218" s="8"/>
      <c r="V218" s="8"/>
      <c r="W218" s="6"/>
      <c r="X218" s="6"/>
      <c r="Y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</row>
    <row r="219" ht="15.75" customHeight="1">
      <c r="B219" s="2"/>
      <c r="C219" s="3"/>
      <c r="D219" s="4"/>
      <c r="F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7"/>
      <c r="S219" s="6"/>
      <c r="T219" s="8"/>
      <c r="U219" s="8"/>
      <c r="V219" s="8"/>
      <c r="W219" s="6"/>
      <c r="X219" s="6"/>
      <c r="Y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</row>
    <row r="220" ht="15.75" customHeight="1">
      <c r="B220" s="2"/>
      <c r="C220" s="3"/>
      <c r="D220" s="4"/>
      <c r="F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7"/>
      <c r="S220" s="6"/>
      <c r="T220" s="8"/>
      <c r="U220" s="8"/>
      <c r="V220" s="8"/>
      <c r="W220" s="6"/>
      <c r="X220" s="6"/>
      <c r="Y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</row>
    <row r="221" ht="15.75" customHeight="1">
      <c r="B221" s="2"/>
      <c r="C221" s="3"/>
      <c r="D221" s="4"/>
      <c r="F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7"/>
      <c r="S221" s="6"/>
      <c r="T221" s="8"/>
      <c r="U221" s="8"/>
      <c r="V221" s="8"/>
      <c r="W221" s="6"/>
      <c r="X221" s="6"/>
      <c r="Y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</row>
    <row r="222" ht="15.75" customHeight="1">
      <c r="B222" s="2"/>
      <c r="C222" s="3"/>
      <c r="D222" s="4"/>
      <c r="F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7"/>
      <c r="S222" s="6"/>
      <c r="T222" s="8"/>
      <c r="U222" s="8"/>
      <c r="V222" s="8"/>
      <c r="W222" s="6"/>
      <c r="X222" s="6"/>
      <c r="Y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</row>
    <row r="223" ht="15.75" customHeight="1">
      <c r="B223" s="2"/>
      <c r="C223" s="3"/>
      <c r="D223" s="4"/>
      <c r="F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/>
      <c r="S223" s="6"/>
      <c r="T223" s="8"/>
      <c r="U223" s="8"/>
      <c r="V223" s="8"/>
      <c r="W223" s="6"/>
      <c r="X223" s="6"/>
      <c r="Y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</row>
    <row r="224" ht="15.75" customHeight="1">
      <c r="B224" s="2"/>
      <c r="C224" s="3"/>
      <c r="D224" s="4"/>
      <c r="F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/>
      <c r="S224" s="6"/>
      <c r="T224" s="8"/>
      <c r="U224" s="8"/>
      <c r="V224" s="8"/>
      <c r="W224" s="6"/>
      <c r="X224" s="6"/>
      <c r="Y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</row>
    <row r="225" ht="15.75" customHeight="1">
      <c r="B225" s="2"/>
      <c r="C225" s="3"/>
      <c r="D225" s="4"/>
      <c r="F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/>
      <c r="S225" s="6"/>
      <c r="T225" s="8"/>
      <c r="U225" s="8"/>
      <c r="V225" s="8"/>
      <c r="W225" s="6"/>
      <c r="X225" s="6"/>
      <c r="Y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</row>
    <row r="226" ht="15.75" customHeight="1">
      <c r="B226" s="2"/>
      <c r="C226" s="3"/>
      <c r="D226" s="4"/>
      <c r="F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/>
      <c r="S226" s="6"/>
      <c r="T226" s="8"/>
      <c r="U226" s="8"/>
      <c r="V226" s="8"/>
      <c r="W226" s="6"/>
      <c r="X226" s="6"/>
      <c r="Y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</row>
    <row r="227" ht="15.75" customHeight="1">
      <c r="B227" s="2"/>
      <c r="C227" s="3"/>
      <c r="D227" s="4"/>
      <c r="F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7"/>
      <c r="S227" s="6"/>
      <c r="T227" s="8"/>
      <c r="U227" s="8"/>
      <c r="V227" s="8"/>
      <c r="W227" s="6"/>
      <c r="X227" s="6"/>
      <c r="Y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9">
    <mergeCell ref="AS6:AT6"/>
    <mergeCell ref="AU7:AU8"/>
    <mergeCell ref="AF6:AH6"/>
    <mergeCell ref="AL6:AN6"/>
    <mergeCell ref="AP6:AQ6"/>
    <mergeCell ref="AR6:AR8"/>
    <mergeCell ref="AY6:AY8"/>
    <mergeCell ref="AM7:AN7"/>
    <mergeCell ref="AQ7:AQ8"/>
    <mergeCell ref="AX7:AX8"/>
    <mergeCell ref="A6:A8"/>
    <mergeCell ref="B6:B8"/>
    <mergeCell ref="C6:C8"/>
    <mergeCell ref="E6:E8"/>
    <mergeCell ref="F6:F8"/>
    <mergeCell ref="G6:G8"/>
    <mergeCell ref="H6:H8"/>
    <mergeCell ref="I6:I8"/>
    <mergeCell ref="J6:J8"/>
    <mergeCell ref="K6:L7"/>
    <mergeCell ref="M6:M8"/>
    <mergeCell ref="N6:N8"/>
    <mergeCell ref="O6:O8"/>
    <mergeCell ref="P6:P8"/>
    <mergeCell ref="AC6:AE6"/>
    <mergeCell ref="AD7:AE7"/>
    <mergeCell ref="Q6:Q8"/>
    <mergeCell ref="R6:R8"/>
    <mergeCell ref="S6:S8"/>
    <mergeCell ref="T6:V6"/>
    <mergeCell ref="W6:Y6"/>
    <mergeCell ref="Z6:AB6"/>
    <mergeCell ref="X7:Y7"/>
    <mergeCell ref="AI6:AK6"/>
    <mergeCell ref="AJ7:AK7"/>
    <mergeCell ref="AO6:AO8"/>
    <mergeCell ref="AP7:AP8"/>
    <mergeCell ref="AV7:AV8"/>
    <mergeCell ref="AW7:AW8"/>
  </mergeCells>
  <conditionalFormatting sqref="T10:V26 AP10:AP26">
    <cfRule type="cellIs" dxfId="0" priority="1" operator="greaterThan">
      <formula>0</formula>
    </cfRule>
  </conditionalFormatting>
  <conditionalFormatting sqref="Z10:AB26 AF10:AH26">
    <cfRule type="cellIs" dxfId="0" priority="2" operator="greaterThan">
      <formula>0</formula>
    </cfRule>
  </conditionalFormatting>
  <dataValidations>
    <dataValidation type="list" allowBlank="1" sqref="AZ23:AZ24">
      <formula1>"Payroll,Voucher"</formula1>
    </dataValidation>
  </dataValidations>
  <printOptions/>
  <pageMargins bottom="0.75" footer="0.0" header="0.0" left="0.7" right="0.7" top="0.75"/>
  <pageSetup paperSize="9" orientation="portrait"/>
  <colBreaks count="2" manualBreakCount="2">
    <brk id="4" man="1"/>
    <brk id="9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.0"/>
    <col customWidth="1" min="2" max="2" width="43.0"/>
    <col customWidth="1" min="3" max="3" width="20.57"/>
    <col customWidth="1" min="4" max="5" width="8.71"/>
    <col customWidth="1" min="6" max="6" width="11.57"/>
    <col customWidth="1" min="7" max="7" width="18.71"/>
    <col customWidth="1" min="8" max="9" width="17.57" outlineLevel="1"/>
    <col customWidth="1" min="10" max="10" width="21.29"/>
    <col customWidth="1" min="11" max="12" width="17.57" outlineLevel="1"/>
    <col customWidth="1" min="13" max="13" width="22.43"/>
    <col customWidth="1" hidden="1" min="14" max="15" width="17.57" outlineLevel="1"/>
    <col customWidth="1" min="16" max="18" width="22.43"/>
    <col customWidth="1" min="19" max="19" width="20.0"/>
    <col customWidth="1" min="20" max="21" width="14.86"/>
    <col customWidth="1" min="22" max="25" width="17.86"/>
    <col customWidth="1" min="26" max="26" width="17.71"/>
    <col customWidth="1" min="27" max="27" width="8.71"/>
  </cols>
  <sheetData>
    <row r="1">
      <c r="C1" s="19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C2" s="195"/>
      <c r="F2" s="6"/>
      <c r="G2" s="19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C3" s="19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C4" s="19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C5" s="195"/>
      <c r="F5" s="6"/>
      <c r="G5" s="6"/>
      <c r="H5" s="6"/>
      <c r="I5" s="6"/>
      <c r="J5" s="19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C6" s="19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C7" s="195"/>
      <c r="F7" s="6"/>
      <c r="G7" s="6"/>
      <c r="H7" s="6"/>
      <c r="I7" s="6"/>
      <c r="J7" s="197" t="s">
        <v>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C8" s="19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B9" s="196" t="s">
        <v>121</v>
      </c>
      <c r="C9" s="19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B10" s="198"/>
      <c r="C10" s="19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B11" s="198" t="s">
        <v>122</v>
      </c>
      <c r="C11" s="19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B12" s="198"/>
      <c r="C12" s="19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198" t="s">
        <v>123</v>
      </c>
      <c r="C13" s="19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B14" s="199" t="s">
        <v>124</v>
      </c>
      <c r="C14" s="20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201" t="s">
        <v>8</v>
      </c>
      <c r="B15" s="20"/>
      <c r="C15" s="202" t="s">
        <v>10</v>
      </c>
      <c r="D15" s="202" t="s">
        <v>9</v>
      </c>
      <c r="E15" s="202" t="s">
        <v>125</v>
      </c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0" customHeight="1">
      <c r="A16" s="204"/>
      <c r="B16" s="205"/>
      <c r="C16" s="37"/>
      <c r="D16" s="37"/>
      <c r="E16" s="37"/>
      <c r="F16" s="206" t="s">
        <v>126</v>
      </c>
      <c r="G16" s="206" t="s">
        <v>127</v>
      </c>
      <c r="H16" s="207" t="s">
        <v>128</v>
      </c>
      <c r="I16" s="26"/>
      <c r="J16" s="203"/>
      <c r="K16" s="207" t="s">
        <v>128</v>
      </c>
      <c r="L16" s="26"/>
      <c r="M16" s="203"/>
      <c r="N16" s="207" t="s">
        <v>128</v>
      </c>
      <c r="O16" s="26"/>
      <c r="P16" s="203"/>
      <c r="Q16" s="203"/>
      <c r="R16" s="203" t="s">
        <v>129</v>
      </c>
      <c r="S16" s="208" t="s">
        <v>130</v>
      </c>
      <c r="T16" s="207" t="s">
        <v>128</v>
      </c>
      <c r="U16" s="26"/>
      <c r="V16" s="203" t="s">
        <v>128</v>
      </c>
      <c r="W16" s="203"/>
      <c r="X16" s="203"/>
      <c r="Y16" s="203"/>
      <c r="Z16" s="206" t="s">
        <v>131</v>
      </c>
    </row>
    <row r="17" ht="45.0" customHeight="1">
      <c r="A17" s="204"/>
      <c r="B17" s="205"/>
      <c r="C17" s="37"/>
      <c r="D17" s="37"/>
      <c r="E17" s="37"/>
      <c r="F17" s="37"/>
      <c r="G17" s="37"/>
      <c r="H17" s="203" t="s">
        <v>132</v>
      </c>
      <c r="I17" s="203" t="s">
        <v>133</v>
      </c>
      <c r="J17" s="203" t="str">
        <f>H17&amp;"/"&amp;I17</f>
        <v>Absences/Late/UT</v>
      </c>
      <c r="K17" s="203" t="s">
        <v>132</v>
      </c>
      <c r="L17" s="203" t="s">
        <v>133</v>
      </c>
      <c r="M17" s="203" t="s">
        <v>134</v>
      </c>
      <c r="N17" s="203" t="s">
        <v>132</v>
      </c>
      <c r="O17" s="203" t="s">
        <v>133</v>
      </c>
      <c r="P17" s="203" t="s">
        <v>134</v>
      </c>
      <c r="Q17" s="203" t="s">
        <v>135</v>
      </c>
      <c r="R17" s="209" t="s">
        <v>136</v>
      </c>
      <c r="S17" s="58"/>
      <c r="T17" s="207" t="s">
        <v>26</v>
      </c>
      <c r="U17" s="26"/>
      <c r="V17" s="210" t="s">
        <v>137</v>
      </c>
      <c r="W17" s="210" t="s">
        <v>138</v>
      </c>
      <c r="X17" s="210" t="s">
        <v>139</v>
      </c>
      <c r="Y17" s="210" t="s">
        <v>38</v>
      </c>
      <c r="Z17" s="37"/>
    </row>
    <row r="18">
      <c r="A18" s="211"/>
      <c r="B18" s="212"/>
      <c r="C18" s="58"/>
      <c r="D18" s="58"/>
      <c r="E18" s="58"/>
      <c r="F18" s="58"/>
      <c r="G18" s="58"/>
      <c r="H18" s="213" t="s">
        <v>140</v>
      </c>
      <c r="I18" s="26"/>
      <c r="J18" s="214" t="str">
        <f>H18</f>
        <v>February 1-15, 2026</v>
      </c>
      <c r="K18" s="213" t="s">
        <v>141</v>
      </c>
      <c r="L18" s="26"/>
      <c r="M18" s="214" t="str">
        <f>K18</f>
        <v>February 16-28, 2026</v>
      </c>
      <c r="N18" s="215"/>
      <c r="O18" s="26"/>
      <c r="P18" s="203" t="str">
        <f>N18</f>
        <v/>
      </c>
      <c r="Q18" s="203"/>
      <c r="R18" s="203"/>
      <c r="S18" s="203"/>
      <c r="T18" s="216">
        <v>0.02</v>
      </c>
      <c r="U18" s="217">
        <v>0.03</v>
      </c>
      <c r="V18" s="203"/>
      <c r="W18" s="203"/>
      <c r="X18" s="203"/>
      <c r="Y18" s="203"/>
      <c r="Z18" s="58"/>
    </row>
    <row r="19">
      <c r="A19" s="218"/>
      <c r="B19" s="82"/>
      <c r="C19" s="219"/>
      <c r="D19" s="82"/>
      <c r="E19" s="82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220">
        <f t="shared" ref="A20:A32" si="1">IF(B20="","",COUNTA($B$20:B20))</f>
        <v>1</v>
      </c>
      <c r="B20" s="221" t="s">
        <v>79</v>
      </c>
      <c r="C20" s="222" t="s">
        <v>81</v>
      </c>
      <c r="D20" s="222" t="s">
        <v>80</v>
      </c>
      <c r="E20" s="223">
        <v>11.0</v>
      </c>
      <c r="F20" s="224">
        <f>VLOOKUP($B20,'MASTER DATA '!$E:$O,11,FALSE)</f>
        <v>964.1363636</v>
      </c>
      <c r="G20" s="224">
        <f>VLOOKUP($B20,'MASTER DATA '!$E:$N,10,FALSE)</f>
        <v>10605.5</v>
      </c>
      <c r="H20" s="225">
        <f>SUMIF('MASTER DATA '!$E:$E,$B20,'MASTER DATA '!$W:$W)</f>
        <v>0</v>
      </c>
      <c r="I20" s="225">
        <f>SUMIF('MASTER DATA '!$E:$E,$B20,'MASTER DATA '!$X:$X)+SUMIF('MASTER DATA '!$E:$E,$B20,'MASTER DATA '!$Y:$Y)</f>
        <v>0</v>
      </c>
      <c r="J20" s="226">
        <f t="shared" ref="J20:J34" si="2">SUM(H20:I20)</f>
        <v>0</v>
      </c>
      <c r="K20" s="225">
        <f>SUMIF('MASTER DATA '!$E:$E,$B20,'MASTER DATA '!$AC:$AC)</f>
        <v>0</v>
      </c>
      <c r="L20" s="225">
        <f>SUMIF('MASTER DATA '!$E:$E,$B20,'MASTER DATA '!$AD:$AD)+SUMIF('MASTER DATA '!$E:$E,$B20,'MASTER DATA '!$AE:$AE)</f>
        <v>0</v>
      </c>
      <c r="M20" s="226">
        <f t="shared" ref="M20:M34" si="3">SUM(K20:L20)</f>
        <v>0</v>
      </c>
      <c r="N20" s="225">
        <f>SUMIF('MASTER DATA '!$E:$E,$B20,'MASTER DATA '!$AI:$AI)</f>
        <v>0</v>
      </c>
      <c r="O20" s="225">
        <f>SUMIF('MASTER DATA '!$E:$E,$B20,'MASTER DATA '!$AJ:$AJ)+SUMIF('MASTER DATA '!$E:$E,$B20,'MASTER DATA '!$AK:$AK)</f>
        <v>0</v>
      </c>
      <c r="P20" s="226">
        <f t="shared" ref="P20:P34" si="4">SUM(N20:O20)</f>
        <v>0</v>
      </c>
      <c r="Q20" s="225">
        <f>SUMIF('MASTER DATA '!$E:$E,$B20,'MASTER DATA '!$AO:$AO)</f>
        <v>0</v>
      </c>
      <c r="R20" s="225">
        <f>SUMIF('MASTER DATA '!$E:$E,$B20,'MASTER DATA '!$AP:$AP)</f>
        <v>0</v>
      </c>
      <c r="S20" s="225">
        <f>SUMIF('MASTER DATA '!$E:$E,$B20,'MASTER DATA '!$AR:$AR)</f>
        <v>10605.5</v>
      </c>
      <c r="T20" s="225">
        <f>SUMIF('MASTER DATA '!$E:$E,$B20,'MASTER DATA '!$AS:$AS)</f>
        <v>0</v>
      </c>
      <c r="U20" s="225">
        <f>SUMIF('MASTER DATA '!$E:$E,$B20,'MASTER DATA '!$AT:$AT)</f>
        <v>0</v>
      </c>
      <c r="V20" s="225">
        <f>SUMIF('MASTER DATA '!$E:$E,$B20,'MASTER DATA '!$AU:$AU)</f>
        <v>0</v>
      </c>
      <c r="W20" s="225">
        <f>SUMIF('MASTER DATA '!$E:$E,$B20,'MASTER DATA '!$AV:$AV)</f>
        <v>0</v>
      </c>
      <c r="X20" s="225">
        <f>SUMIF('MASTER DATA '!$E:$E,$B20,'MASTER DATA '!$AW:$AW)</f>
        <v>0</v>
      </c>
      <c r="Y20" s="225">
        <f>SUMIF('MASTER DATA '!$E:$E,$B20,'MASTER DATA '!$AX:$AX)</f>
        <v>0</v>
      </c>
      <c r="Z20" s="225">
        <f>SUMIF('MASTER DATA '!$E:$E,$B20,'MASTER DATA '!$AY:$AY)</f>
        <v>10605.5</v>
      </c>
      <c r="AA20" s="227" t="str">
        <f t="shared" ref="AA20:AA32" si="5">IF(B20&gt;=1,"SHOW","HIDE")</f>
        <v>SHOW</v>
      </c>
    </row>
    <row r="21" ht="15.75" customHeight="1">
      <c r="A21" s="220">
        <f t="shared" si="1"/>
        <v>2</v>
      </c>
      <c r="B21" s="221" t="s">
        <v>86</v>
      </c>
      <c r="C21" s="222" t="s">
        <v>87</v>
      </c>
      <c r="D21" s="222" t="s">
        <v>80</v>
      </c>
      <c r="E21" s="223">
        <v>11.0</v>
      </c>
      <c r="F21" s="224">
        <f>VLOOKUP($B21,'MASTER DATA '!$E:$O,11,FALSE)</f>
        <v>1053.454545</v>
      </c>
      <c r="G21" s="224">
        <f>VLOOKUP($B21,'MASTER DATA '!$E:$N,10,FALSE)</f>
        <v>11588</v>
      </c>
      <c r="H21" s="225">
        <f>SUMIF('MASTER DATA '!$E:$E,$B21,'MASTER DATA '!$W:$W)</f>
        <v>0</v>
      </c>
      <c r="I21" s="225">
        <f>SUMIF('MASTER DATA '!$E:$E,$B21,'MASTER DATA '!$X:$X)+SUMIF('MASTER DATA '!$E:$E,$B21,'MASTER DATA '!$Y:$Y)</f>
        <v>8.78</v>
      </c>
      <c r="J21" s="226">
        <f t="shared" si="2"/>
        <v>8.78</v>
      </c>
      <c r="K21" s="225">
        <f>SUMIF('MASTER DATA '!$E:$E,$B21,'MASTER DATA '!$AC:$AC)</f>
        <v>0</v>
      </c>
      <c r="L21" s="225">
        <f>SUMIF('MASTER DATA '!$E:$E,$B21,'MASTER DATA '!$AD:$AD)+SUMIF('MASTER DATA '!$E:$E,$B21,'MASTER DATA '!$AE:$AE)</f>
        <v>0</v>
      </c>
      <c r="M21" s="226">
        <f t="shared" si="3"/>
        <v>0</v>
      </c>
      <c r="N21" s="225">
        <f>SUMIF('MASTER DATA '!$E:$E,$B21,'MASTER DATA '!$AI:$AI)</f>
        <v>0</v>
      </c>
      <c r="O21" s="225">
        <f>SUMIF('MASTER DATA '!$E:$E,$B21,'MASTER DATA '!$AJ:$AJ)+SUMIF('MASTER DATA '!$E:$E,$B21,'MASTER DATA '!$AK:$AK)</f>
        <v>0</v>
      </c>
      <c r="P21" s="226">
        <f t="shared" si="4"/>
        <v>0</v>
      </c>
      <c r="Q21" s="225">
        <f>SUMIF('MASTER DATA '!$E:$E,$B21,'MASTER DATA '!$AO:$AO)</f>
        <v>8.78</v>
      </c>
      <c r="R21" s="225">
        <f>SUMIF('MASTER DATA '!$E:$E,$B21,'MASTER DATA '!$AP:$AP)</f>
        <v>0</v>
      </c>
      <c r="S21" s="225">
        <f>SUMIF('MASTER DATA '!$E:$E,$B21,'MASTER DATA '!$AR:$AR)</f>
        <v>11579.22</v>
      </c>
      <c r="T21" s="225">
        <f>SUMIF('MASTER DATA '!$E:$E,$B21,'MASTER DATA '!$AS:$AS)</f>
        <v>0</v>
      </c>
      <c r="U21" s="225">
        <f>SUMIF('MASTER DATA '!$E:$E,$B21,'MASTER DATA '!$AT:$AT)</f>
        <v>0</v>
      </c>
      <c r="V21" s="225">
        <f>SUMIF('MASTER DATA '!$E:$E,$B21,'MASTER DATA '!$AU:$AU)</f>
        <v>0</v>
      </c>
      <c r="W21" s="225">
        <f>SUMIF('MASTER DATA '!$E:$E,$B21,'MASTER DATA '!$AV:$AV)</f>
        <v>0</v>
      </c>
      <c r="X21" s="225">
        <f>SUMIF('MASTER DATA '!$E:$E,$B21,'MASTER DATA '!$AW:$AW)</f>
        <v>0</v>
      </c>
      <c r="Y21" s="225">
        <f>SUMIF('MASTER DATA '!$E:$E,$B21,'MASTER DATA '!$AX:$AX)</f>
        <v>0</v>
      </c>
      <c r="Z21" s="225">
        <f>SUMIF('MASTER DATA '!$E:$E,$B21,'MASTER DATA '!$AY:$AY)</f>
        <v>11579.22</v>
      </c>
      <c r="AA21" s="227" t="str">
        <f t="shared" si="5"/>
        <v>SHOW</v>
      </c>
    </row>
    <row r="22" ht="15.75" customHeight="1">
      <c r="A22" s="220">
        <f t="shared" si="1"/>
        <v>3</v>
      </c>
      <c r="B22" s="221" t="s">
        <v>88</v>
      </c>
      <c r="C22" s="222" t="s">
        <v>81</v>
      </c>
      <c r="D22" s="222" t="s">
        <v>80</v>
      </c>
      <c r="E22" s="223">
        <v>11.0</v>
      </c>
      <c r="F22" s="224">
        <f>VLOOKUP($B22,'MASTER DATA '!$E:$O,11,FALSE)</f>
        <v>964.1363636</v>
      </c>
      <c r="G22" s="224">
        <f>VLOOKUP($B22,'MASTER DATA '!$E:$N,10,FALSE)</f>
        <v>10605.5</v>
      </c>
      <c r="H22" s="225">
        <f>SUMIF('MASTER DATA '!$E:$E,$B22,'MASTER DATA '!$W:$W)</f>
        <v>0</v>
      </c>
      <c r="I22" s="225">
        <f>SUMIF('MASTER DATA '!$E:$E,$B22,'MASTER DATA '!$X:$X)+SUMIF('MASTER DATA '!$E:$E,$B22,'MASTER DATA '!$Y:$Y)</f>
        <v>0</v>
      </c>
      <c r="J22" s="226">
        <f t="shared" si="2"/>
        <v>0</v>
      </c>
      <c r="K22" s="225">
        <f>SUMIF('MASTER DATA '!$E:$E,$B22,'MASTER DATA '!$AC:$AC)</f>
        <v>0</v>
      </c>
      <c r="L22" s="225">
        <f>SUMIF('MASTER DATA '!$E:$E,$B22,'MASTER DATA '!$AD:$AD)+SUMIF('MASTER DATA '!$E:$E,$B22,'MASTER DATA '!$AE:$AE)</f>
        <v>0</v>
      </c>
      <c r="M22" s="226">
        <f t="shared" si="3"/>
        <v>0</v>
      </c>
      <c r="N22" s="225">
        <f>SUMIF('MASTER DATA '!$E:$E,$B22,'MASTER DATA '!$AI:$AI)</f>
        <v>0</v>
      </c>
      <c r="O22" s="225">
        <f>SUMIF('MASTER DATA '!$E:$E,$B22,'MASTER DATA '!$AJ:$AJ)+SUMIF('MASTER DATA '!$E:$E,$B22,'MASTER DATA '!$AK:$AK)</f>
        <v>0</v>
      </c>
      <c r="P22" s="226">
        <f t="shared" si="4"/>
        <v>0</v>
      </c>
      <c r="Q22" s="225">
        <f>SUMIF('MASTER DATA '!$E:$E,$B22,'MASTER DATA '!$AO:$AO)</f>
        <v>0</v>
      </c>
      <c r="R22" s="225">
        <f>SUMIF('MASTER DATA '!$E:$E,$B22,'MASTER DATA '!$AP:$AP)</f>
        <v>0</v>
      </c>
      <c r="S22" s="225">
        <f>SUMIF('MASTER DATA '!$E:$E,$B22,'MASTER DATA '!$AR:$AR)</f>
        <v>0</v>
      </c>
      <c r="T22" s="225">
        <f>SUMIF('MASTER DATA '!$E:$E,$B22,'MASTER DATA '!$AS:$AS)</f>
        <v>0</v>
      </c>
      <c r="U22" s="225">
        <f>SUMIF('MASTER DATA '!$E:$E,$B22,'MASTER DATA '!$AT:$AT)</f>
        <v>0</v>
      </c>
      <c r="V22" s="225">
        <f>SUMIF('MASTER DATA '!$E:$E,$B22,'MASTER DATA '!$AU:$AU)</f>
        <v>0</v>
      </c>
      <c r="W22" s="225">
        <f>SUMIF('MASTER DATA '!$E:$E,$B22,'MASTER DATA '!$AV:$AV)</f>
        <v>0</v>
      </c>
      <c r="X22" s="225">
        <f>SUMIF('MASTER DATA '!$E:$E,$B22,'MASTER DATA '!$AW:$AW)</f>
        <v>0</v>
      </c>
      <c r="Y22" s="225">
        <f>SUMIF('MASTER DATA '!$E:$E,$B22,'MASTER DATA '!$AX:$AX)</f>
        <v>0</v>
      </c>
      <c r="Z22" s="225">
        <f>SUMIF('MASTER DATA '!$E:$E,$B22,'MASTER DATA '!$AY:$AY)</f>
        <v>0</v>
      </c>
      <c r="AA22" s="227" t="str">
        <f t="shared" si="5"/>
        <v>SHOW</v>
      </c>
    </row>
    <row r="23" ht="15.75" customHeight="1">
      <c r="A23" s="220">
        <f t="shared" si="1"/>
        <v>4</v>
      </c>
      <c r="B23" s="221" t="s">
        <v>90</v>
      </c>
      <c r="C23" s="222" t="s">
        <v>91</v>
      </c>
      <c r="D23" s="222" t="s">
        <v>80</v>
      </c>
      <c r="E23" s="223">
        <v>11.0</v>
      </c>
      <c r="F23" s="224">
        <f>VLOOKUP($B23,'MASTER DATA '!$E:$O,11,FALSE)</f>
        <v>964.1363636</v>
      </c>
      <c r="G23" s="224">
        <f>VLOOKUP($B23,'MASTER DATA '!$E:$N,10,FALSE)</f>
        <v>10605.5</v>
      </c>
      <c r="H23" s="225">
        <f>SUMIF('MASTER DATA '!$E:$E,$B23,'MASTER DATA '!$W:$W)</f>
        <v>0</v>
      </c>
      <c r="I23" s="225">
        <f>SUMIF('MASTER DATA '!$E:$E,$B23,'MASTER DATA '!$X:$X)+SUMIF('MASTER DATA '!$E:$E,$B23,'MASTER DATA '!$Y:$Y)</f>
        <v>28.12</v>
      </c>
      <c r="J23" s="226">
        <f t="shared" si="2"/>
        <v>28.12</v>
      </c>
      <c r="K23" s="225">
        <f>SUMIF('MASTER DATA '!$E:$E,$B23,'MASTER DATA '!$AC:$AC)</f>
        <v>0</v>
      </c>
      <c r="L23" s="225">
        <f>SUMIF('MASTER DATA '!$E:$E,$B23,'MASTER DATA '!$AD:$AD)+SUMIF('MASTER DATA '!$E:$E,$B23,'MASTER DATA '!$AE:$AE)</f>
        <v>0</v>
      </c>
      <c r="M23" s="226">
        <f t="shared" si="3"/>
        <v>0</v>
      </c>
      <c r="N23" s="225">
        <f>SUMIF('MASTER DATA '!$E:$E,$B23,'MASTER DATA '!$AI:$AI)</f>
        <v>0</v>
      </c>
      <c r="O23" s="225">
        <f>SUMIF('MASTER DATA '!$E:$E,$B23,'MASTER DATA '!$AJ:$AJ)+SUMIF('MASTER DATA '!$E:$E,$B23,'MASTER DATA '!$AK:$AK)</f>
        <v>0</v>
      </c>
      <c r="P23" s="226">
        <f t="shared" si="4"/>
        <v>0</v>
      </c>
      <c r="Q23" s="225">
        <f>SUMIF('MASTER DATA '!$E:$E,$B23,'MASTER DATA '!$AO:$AO)</f>
        <v>28.12</v>
      </c>
      <c r="R23" s="225">
        <f>SUMIF('MASTER DATA '!$E:$E,$B23,'MASTER DATA '!$AP:$AP)</f>
        <v>0</v>
      </c>
      <c r="S23" s="225">
        <f>SUMIF('MASTER DATA '!$E:$E,$B23,'MASTER DATA '!$AR:$AR)</f>
        <v>10577.38</v>
      </c>
      <c r="T23" s="225">
        <f>SUMIF('MASTER DATA '!$E:$E,$B23,'MASTER DATA '!$AS:$AS)</f>
        <v>0</v>
      </c>
      <c r="U23" s="225">
        <f>SUMIF('MASTER DATA '!$E:$E,$B23,'MASTER DATA '!$AT:$AT)</f>
        <v>0</v>
      </c>
      <c r="V23" s="225">
        <f>SUMIF('MASTER DATA '!$E:$E,$B23,'MASTER DATA '!$AU:$AU)</f>
        <v>0</v>
      </c>
      <c r="W23" s="225">
        <f>SUMIF('MASTER DATA '!$E:$E,$B23,'MASTER DATA '!$AV:$AV)</f>
        <v>0</v>
      </c>
      <c r="X23" s="225">
        <f>SUMIF('MASTER DATA '!$E:$E,$B23,'MASTER DATA '!$AW:$AW)</f>
        <v>0</v>
      </c>
      <c r="Y23" s="225">
        <f>SUMIF('MASTER DATA '!$E:$E,$B23,'MASTER DATA '!$AX:$AX)</f>
        <v>0</v>
      </c>
      <c r="Z23" s="225">
        <f>SUMIF('MASTER DATA '!$E:$E,$B23,'MASTER DATA '!$AY:$AY)</f>
        <v>10577.38</v>
      </c>
      <c r="AA23" s="227" t="str">
        <f t="shared" si="5"/>
        <v>SHOW</v>
      </c>
    </row>
    <row r="24" ht="15.75" customHeight="1">
      <c r="A24" s="220">
        <f t="shared" si="1"/>
        <v>5</v>
      </c>
      <c r="B24" s="221" t="s">
        <v>93</v>
      </c>
      <c r="C24" s="222" t="s">
        <v>81</v>
      </c>
      <c r="D24" s="222" t="s">
        <v>80</v>
      </c>
      <c r="E24" s="223">
        <v>11.0</v>
      </c>
      <c r="F24" s="224">
        <f>VLOOKUP($B24,'MASTER DATA '!$E:$O,11,FALSE)</f>
        <v>964.1363636</v>
      </c>
      <c r="G24" s="224">
        <f>VLOOKUP($B24,'MASTER DATA '!$E:$N,10,FALSE)</f>
        <v>10605.5</v>
      </c>
      <c r="H24" s="225">
        <f>SUMIF('MASTER DATA '!$E:$E,$B24,'MASTER DATA '!$W:$W)</f>
        <v>0</v>
      </c>
      <c r="I24" s="225">
        <f>SUMIF('MASTER DATA '!$E:$E,$B24,'MASTER DATA '!$X:$X)+SUMIF('MASTER DATA '!$E:$E,$B24,'MASTER DATA '!$Y:$Y)</f>
        <v>0</v>
      </c>
      <c r="J24" s="226">
        <f t="shared" si="2"/>
        <v>0</v>
      </c>
      <c r="K24" s="225">
        <f>SUMIF('MASTER DATA '!$E:$E,$B24,'MASTER DATA '!$AC:$AC)</f>
        <v>0</v>
      </c>
      <c r="L24" s="225">
        <f>SUMIF('MASTER DATA '!$E:$E,$B24,'MASTER DATA '!$AD:$AD)+SUMIF('MASTER DATA '!$E:$E,$B24,'MASTER DATA '!$AE:$AE)</f>
        <v>0</v>
      </c>
      <c r="M24" s="226">
        <f t="shared" si="3"/>
        <v>0</v>
      </c>
      <c r="N24" s="225">
        <f>SUMIF('MASTER DATA '!$E:$E,$B24,'MASTER DATA '!$AI:$AI)</f>
        <v>0</v>
      </c>
      <c r="O24" s="225">
        <f>SUMIF('MASTER DATA '!$E:$E,$B24,'MASTER DATA '!$AJ:$AJ)+SUMIF('MASTER DATA '!$E:$E,$B24,'MASTER DATA '!$AK:$AK)</f>
        <v>0</v>
      </c>
      <c r="P24" s="226">
        <f t="shared" si="4"/>
        <v>0</v>
      </c>
      <c r="Q24" s="225">
        <f>SUMIF('MASTER DATA '!$E:$E,$B24,'MASTER DATA '!$AO:$AO)</f>
        <v>0</v>
      </c>
      <c r="R24" s="225">
        <f>SUMIF('MASTER DATA '!$E:$E,$B24,'MASTER DATA '!$AP:$AP)</f>
        <v>0</v>
      </c>
      <c r="S24" s="225">
        <f>SUMIF('MASTER DATA '!$E:$E,$B24,'MASTER DATA '!$AR:$AR)</f>
        <v>10605.5</v>
      </c>
      <c r="T24" s="225">
        <f>SUMIF('MASTER DATA '!$E:$E,$B24,'MASTER DATA '!$AS:$AS)</f>
        <v>0</v>
      </c>
      <c r="U24" s="225">
        <f>SUMIF('MASTER DATA '!$E:$E,$B24,'MASTER DATA '!$AT:$AT)</f>
        <v>0</v>
      </c>
      <c r="V24" s="225">
        <f>SUMIF('MASTER DATA '!$E:$E,$B24,'MASTER DATA '!$AU:$AU)</f>
        <v>0</v>
      </c>
      <c r="W24" s="225">
        <f>SUMIF('MASTER DATA '!$E:$E,$B24,'MASTER DATA '!$AV:$AV)</f>
        <v>0</v>
      </c>
      <c r="X24" s="225">
        <f>SUMIF('MASTER DATA '!$E:$E,$B24,'MASTER DATA '!$AW:$AW)</f>
        <v>0</v>
      </c>
      <c r="Y24" s="225">
        <f>SUMIF('MASTER DATA '!$E:$E,$B24,'MASTER DATA '!$AX:$AX)</f>
        <v>0</v>
      </c>
      <c r="Z24" s="225">
        <f>SUMIF('MASTER DATA '!$E:$E,$B24,'MASTER DATA '!$AY:$AY)</f>
        <v>10605.5</v>
      </c>
      <c r="AA24" s="227" t="str">
        <f t="shared" si="5"/>
        <v>SHOW</v>
      </c>
    </row>
    <row r="25" ht="15.75" customHeight="1">
      <c r="A25" s="220">
        <f t="shared" si="1"/>
        <v>6</v>
      </c>
      <c r="B25" s="228" t="s">
        <v>94</v>
      </c>
      <c r="C25" s="222" t="s">
        <v>81</v>
      </c>
      <c r="D25" s="222" t="s">
        <v>80</v>
      </c>
      <c r="E25" s="223">
        <v>11.0</v>
      </c>
      <c r="F25" s="224">
        <f>VLOOKUP($B25,'MASTER DATA '!$E:$O,11,FALSE)</f>
        <v>964.1363636</v>
      </c>
      <c r="G25" s="224">
        <f>VLOOKUP($B25,'MASTER DATA '!$E:$N,10,FALSE)</f>
        <v>10605.5</v>
      </c>
      <c r="H25" s="225">
        <f>SUMIF('MASTER DATA '!$E:$E,$B25,'MASTER DATA '!$W:$W)</f>
        <v>0</v>
      </c>
      <c r="I25" s="225">
        <f>SUMIF('MASTER DATA '!$E:$E,$B25,'MASTER DATA '!$X:$X)+SUMIF('MASTER DATA '!$E:$E,$B25,'MASTER DATA '!$Y:$Y)</f>
        <v>0</v>
      </c>
      <c r="J25" s="226">
        <f t="shared" si="2"/>
        <v>0</v>
      </c>
      <c r="K25" s="225">
        <f>SUMIF('MASTER DATA '!$E:$E,$B25,'MASTER DATA '!$AC:$AC)</f>
        <v>0</v>
      </c>
      <c r="L25" s="225">
        <f>SUMIF('MASTER DATA '!$E:$E,$B25,'MASTER DATA '!$AD:$AD)+SUMIF('MASTER DATA '!$E:$E,$B25,'MASTER DATA '!$AE:$AE)</f>
        <v>0</v>
      </c>
      <c r="M25" s="226">
        <f t="shared" si="3"/>
        <v>0</v>
      </c>
      <c r="N25" s="225">
        <f>SUMIF('MASTER DATA '!$E:$E,$B25,'MASTER DATA '!$AI:$AI)</f>
        <v>0</v>
      </c>
      <c r="O25" s="225">
        <f>SUMIF('MASTER DATA '!$E:$E,$B25,'MASTER DATA '!$AJ:$AJ)+SUMIF('MASTER DATA '!$E:$E,$B25,'MASTER DATA '!$AK:$AK)</f>
        <v>0</v>
      </c>
      <c r="P25" s="226">
        <f t="shared" si="4"/>
        <v>0</v>
      </c>
      <c r="Q25" s="225">
        <f>SUMIF('MASTER DATA '!$E:$E,$B25,'MASTER DATA '!$AO:$AO)</f>
        <v>0</v>
      </c>
      <c r="R25" s="225">
        <f>SUMIF('MASTER DATA '!$E:$E,$B25,'MASTER DATA '!$AP:$AP)</f>
        <v>0</v>
      </c>
      <c r="S25" s="225">
        <f>SUMIF('MASTER DATA '!$E:$E,$B25,'MASTER DATA '!$AR:$AR)</f>
        <v>0</v>
      </c>
      <c r="T25" s="225">
        <f>SUMIF('MASTER DATA '!$E:$E,$B25,'MASTER DATA '!$AS:$AS)</f>
        <v>0</v>
      </c>
      <c r="U25" s="225">
        <f>SUMIF('MASTER DATA '!$E:$E,$B25,'MASTER DATA '!$AT:$AT)</f>
        <v>0</v>
      </c>
      <c r="V25" s="225">
        <f>SUMIF('MASTER DATA '!$E:$E,$B25,'MASTER DATA '!$AU:$AU)</f>
        <v>0</v>
      </c>
      <c r="W25" s="225">
        <f>SUMIF('MASTER DATA '!$E:$E,$B25,'MASTER DATA '!$AV:$AV)</f>
        <v>0</v>
      </c>
      <c r="X25" s="225">
        <f>SUMIF('MASTER DATA '!$E:$E,$B25,'MASTER DATA '!$AW:$AW)</f>
        <v>0</v>
      </c>
      <c r="Y25" s="225">
        <f>SUMIF('MASTER DATA '!$E:$E,$B25,'MASTER DATA '!$AX:$AX)</f>
        <v>0</v>
      </c>
      <c r="Z25" s="225">
        <f>SUMIF('MASTER DATA '!$E:$E,$B25,'MASTER DATA '!$AY:$AY)</f>
        <v>0</v>
      </c>
      <c r="AA25" s="227" t="str">
        <f t="shared" si="5"/>
        <v>SHOW</v>
      </c>
    </row>
    <row r="26" ht="15.75" customHeight="1">
      <c r="A26" s="220">
        <f t="shared" si="1"/>
        <v>7</v>
      </c>
      <c r="B26" s="221" t="s">
        <v>96</v>
      </c>
      <c r="C26" s="222" t="s">
        <v>81</v>
      </c>
      <c r="D26" s="222" t="s">
        <v>80</v>
      </c>
      <c r="E26" s="223">
        <v>11.0</v>
      </c>
      <c r="F26" s="224">
        <f>VLOOKUP($B26,'MASTER DATA '!$E:$O,11,FALSE)</f>
        <v>964.1363636</v>
      </c>
      <c r="G26" s="224">
        <f>VLOOKUP($B26,'MASTER DATA '!$E:$N,10,FALSE)</f>
        <v>10605.5</v>
      </c>
      <c r="H26" s="225">
        <f>SUMIF('MASTER DATA '!$E:$E,$B26,'MASTER DATA '!$W:$W)</f>
        <v>0</v>
      </c>
      <c r="I26" s="225">
        <f>SUMIF('MASTER DATA '!$E:$E,$B26,'MASTER DATA '!$X:$X)+SUMIF('MASTER DATA '!$E:$E,$B26,'MASTER DATA '!$Y:$Y)</f>
        <v>0</v>
      </c>
      <c r="J26" s="226">
        <f t="shared" si="2"/>
        <v>0</v>
      </c>
      <c r="K26" s="225">
        <f>SUMIF('MASTER DATA '!$E:$E,$B26,'MASTER DATA '!$AC:$AC)</f>
        <v>0</v>
      </c>
      <c r="L26" s="225">
        <f>SUMIF('MASTER DATA '!$E:$E,$B26,'MASTER DATA '!$AD:$AD)+SUMIF('MASTER DATA '!$E:$E,$B26,'MASTER DATA '!$AE:$AE)</f>
        <v>0</v>
      </c>
      <c r="M26" s="226">
        <f t="shared" si="3"/>
        <v>0</v>
      </c>
      <c r="N26" s="225">
        <f>SUMIF('MASTER DATA '!$E:$E,$B26,'MASTER DATA '!$AI:$AI)</f>
        <v>0</v>
      </c>
      <c r="O26" s="225">
        <f>SUMIF('MASTER DATA '!$E:$E,$B26,'MASTER DATA '!$AJ:$AJ)+SUMIF('MASTER DATA '!$E:$E,$B26,'MASTER DATA '!$AK:$AK)</f>
        <v>0</v>
      </c>
      <c r="P26" s="226">
        <f t="shared" si="4"/>
        <v>0</v>
      </c>
      <c r="Q26" s="225">
        <f>SUMIF('MASTER DATA '!$E:$E,$B26,'MASTER DATA '!$AO:$AO)</f>
        <v>0</v>
      </c>
      <c r="R26" s="225">
        <f>SUMIF('MASTER DATA '!$E:$E,$B26,'MASTER DATA '!$AP:$AP)</f>
        <v>0</v>
      </c>
      <c r="S26" s="225">
        <f>SUMIF('MASTER DATA '!$E:$E,$B26,'MASTER DATA '!$AR:$AR)</f>
        <v>10605.5</v>
      </c>
      <c r="T26" s="225">
        <f>SUMIF('MASTER DATA '!$E:$E,$B26,'MASTER DATA '!$AS:$AS)</f>
        <v>0</v>
      </c>
      <c r="U26" s="225">
        <f>SUMIF('MASTER DATA '!$E:$E,$B26,'MASTER DATA '!$AT:$AT)</f>
        <v>0</v>
      </c>
      <c r="V26" s="225">
        <f>SUMIF('MASTER DATA '!$E:$E,$B26,'MASTER DATA '!$AU:$AU)</f>
        <v>0</v>
      </c>
      <c r="W26" s="225">
        <f>SUMIF('MASTER DATA '!$E:$E,$B26,'MASTER DATA '!$AV:$AV)</f>
        <v>0</v>
      </c>
      <c r="X26" s="225">
        <f>SUMIF('MASTER DATA '!$E:$E,$B26,'MASTER DATA '!$AW:$AW)</f>
        <v>0</v>
      </c>
      <c r="Y26" s="225">
        <f>SUMIF('MASTER DATA '!$E:$E,$B26,'MASTER DATA '!$AX:$AX)</f>
        <v>0</v>
      </c>
      <c r="Z26" s="225">
        <f>SUMIF('MASTER DATA '!$E:$E,$B26,'MASTER DATA '!$AY:$AY)</f>
        <v>10605.5</v>
      </c>
      <c r="AA26" s="227" t="str">
        <f t="shared" si="5"/>
        <v>SHOW</v>
      </c>
    </row>
    <row r="27" ht="15.75" customHeight="1">
      <c r="A27" s="220">
        <f t="shared" si="1"/>
        <v>8</v>
      </c>
      <c r="B27" s="221" t="s">
        <v>98</v>
      </c>
      <c r="C27" s="222" t="s">
        <v>81</v>
      </c>
      <c r="D27" s="222" t="s">
        <v>80</v>
      </c>
      <c r="E27" s="223">
        <v>11.0</v>
      </c>
      <c r="F27" s="224">
        <f>VLOOKUP($B27,'MASTER DATA '!$E:$O,11,FALSE)</f>
        <v>964.1363636</v>
      </c>
      <c r="G27" s="224">
        <f>VLOOKUP($B27,'MASTER DATA '!$E:$N,10,FALSE)</f>
        <v>10605.5</v>
      </c>
      <c r="H27" s="225">
        <f>SUMIF('MASTER DATA '!$E:$E,$B27,'MASTER DATA '!$W:$W)</f>
        <v>0</v>
      </c>
      <c r="I27" s="225">
        <f>SUMIF('MASTER DATA '!$E:$E,$B27,'MASTER DATA '!$X:$X)+SUMIF('MASTER DATA '!$E:$E,$B27,'MASTER DATA '!$Y:$Y)</f>
        <v>90.39</v>
      </c>
      <c r="J27" s="226">
        <f t="shared" si="2"/>
        <v>90.39</v>
      </c>
      <c r="K27" s="225">
        <f>SUMIF('MASTER DATA '!$E:$E,$B27,'MASTER DATA '!$AC:$AC)</f>
        <v>0</v>
      </c>
      <c r="L27" s="225">
        <f>SUMIF('MASTER DATA '!$E:$E,$B27,'MASTER DATA '!$AD:$AD)+SUMIF('MASTER DATA '!$E:$E,$B27,'MASTER DATA '!$AE:$AE)</f>
        <v>0</v>
      </c>
      <c r="M27" s="226">
        <f t="shared" si="3"/>
        <v>0</v>
      </c>
      <c r="N27" s="225">
        <f>SUMIF('MASTER DATA '!$E:$E,$B27,'MASTER DATA '!$AI:$AI)</f>
        <v>0</v>
      </c>
      <c r="O27" s="225">
        <f>SUMIF('MASTER DATA '!$E:$E,$B27,'MASTER DATA '!$AJ:$AJ)+SUMIF('MASTER DATA '!$E:$E,$B27,'MASTER DATA '!$AK:$AK)</f>
        <v>0</v>
      </c>
      <c r="P27" s="226">
        <f t="shared" si="4"/>
        <v>0</v>
      </c>
      <c r="Q27" s="225">
        <f>SUMIF('MASTER DATA '!$E:$E,$B27,'MASTER DATA '!$AO:$AO)</f>
        <v>90.39</v>
      </c>
      <c r="R27" s="225">
        <f>SUMIF('MASTER DATA '!$E:$E,$B27,'MASTER DATA '!$AP:$AP)</f>
        <v>0</v>
      </c>
      <c r="S27" s="225">
        <f>SUMIF('MASTER DATA '!$E:$E,$B27,'MASTER DATA '!$AR:$AR)</f>
        <v>10515.11</v>
      </c>
      <c r="T27" s="225">
        <f>SUMIF('MASTER DATA '!$E:$E,$B27,'MASTER DATA '!$AS:$AS)</f>
        <v>0</v>
      </c>
      <c r="U27" s="225">
        <f>SUMIF('MASTER DATA '!$E:$E,$B27,'MASTER DATA '!$AT:$AT)</f>
        <v>0</v>
      </c>
      <c r="V27" s="225">
        <f>SUMIF('MASTER DATA '!$E:$E,$B27,'MASTER DATA '!$AU:$AU)</f>
        <v>0</v>
      </c>
      <c r="W27" s="225">
        <f>SUMIF('MASTER DATA '!$E:$E,$B27,'MASTER DATA '!$AV:$AV)</f>
        <v>0</v>
      </c>
      <c r="X27" s="225">
        <f>SUMIF('MASTER DATA '!$E:$E,$B27,'MASTER DATA '!$AW:$AW)</f>
        <v>0</v>
      </c>
      <c r="Y27" s="225">
        <f>SUMIF('MASTER DATA '!$E:$E,$B27,'MASTER DATA '!$AX:$AX)</f>
        <v>0</v>
      </c>
      <c r="Z27" s="225">
        <f>SUMIF('MASTER DATA '!$E:$E,$B27,'MASTER DATA '!$AY:$AY)</f>
        <v>10515.11</v>
      </c>
      <c r="AA27" s="227" t="str">
        <f t="shared" si="5"/>
        <v>SHOW</v>
      </c>
    </row>
    <row r="28" ht="15.75" customHeight="1">
      <c r="A28" s="220">
        <f t="shared" si="1"/>
        <v>9</v>
      </c>
      <c r="B28" s="221" t="s">
        <v>100</v>
      </c>
      <c r="C28" s="222" t="s">
        <v>91</v>
      </c>
      <c r="D28" s="222" t="s">
        <v>80</v>
      </c>
      <c r="E28" s="223">
        <v>11.0</v>
      </c>
      <c r="F28" s="224">
        <f>VLOOKUP($B28,'MASTER DATA '!$E:$O,11,FALSE)</f>
        <v>964.1363636</v>
      </c>
      <c r="G28" s="224">
        <f>VLOOKUP($B28,'MASTER DATA '!$E:$N,10,FALSE)</f>
        <v>10605.5</v>
      </c>
      <c r="H28" s="225">
        <f>SUMIF('MASTER DATA '!$E:$E,$B28,'MASTER DATA '!$W:$W)</f>
        <v>0</v>
      </c>
      <c r="I28" s="225">
        <f>SUMIF('MASTER DATA '!$E:$E,$B28,'MASTER DATA '!$X:$X)+SUMIF('MASTER DATA '!$E:$E,$B28,'MASTER DATA '!$Y:$Y)</f>
        <v>0</v>
      </c>
      <c r="J28" s="226">
        <f t="shared" si="2"/>
        <v>0</v>
      </c>
      <c r="K28" s="225">
        <f>SUMIF('MASTER DATA '!$E:$E,$B28,'MASTER DATA '!$AC:$AC)</f>
        <v>0</v>
      </c>
      <c r="L28" s="225">
        <f>SUMIF('MASTER DATA '!$E:$E,$B28,'MASTER DATA '!$AD:$AD)+SUMIF('MASTER DATA '!$E:$E,$B28,'MASTER DATA '!$AE:$AE)</f>
        <v>0</v>
      </c>
      <c r="M28" s="226">
        <f t="shared" si="3"/>
        <v>0</v>
      </c>
      <c r="N28" s="225">
        <f>SUMIF('MASTER DATA '!$E:$E,$B28,'MASTER DATA '!$AI:$AI)</f>
        <v>0</v>
      </c>
      <c r="O28" s="225">
        <f>SUMIF('MASTER DATA '!$E:$E,$B28,'MASTER DATA '!$AJ:$AJ)+SUMIF('MASTER DATA '!$E:$E,$B28,'MASTER DATA '!$AK:$AK)</f>
        <v>0</v>
      </c>
      <c r="P28" s="226">
        <f t="shared" si="4"/>
        <v>0</v>
      </c>
      <c r="Q28" s="225">
        <f>SUMIF('MASTER DATA '!$E:$E,$B28,'MASTER DATA '!$AO:$AO)</f>
        <v>0</v>
      </c>
      <c r="R28" s="225">
        <f>SUMIF('MASTER DATA '!$E:$E,$B28,'MASTER DATA '!$AP:$AP)</f>
        <v>0</v>
      </c>
      <c r="S28" s="225">
        <f>SUMIF('MASTER DATA '!$E:$E,$B28,'MASTER DATA '!$AR:$AR)</f>
        <v>10605.5</v>
      </c>
      <c r="T28" s="225">
        <f>SUMIF('MASTER DATA '!$E:$E,$B28,'MASTER DATA '!$AS:$AS)</f>
        <v>0</v>
      </c>
      <c r="U28" s="225">
        <f>SUMIF('MASTER DATA '!$E:$E,$B28,'MASTER DATA '!$AT:$AT)</f>
        <v>0</v>
      </c>
      <c r="V28" s="225">
        <f>SUMIF('MASTER DATA '!$E:$E,$B28,'MASTER DATA '!$AU:$AU)</f>
        <v>0</v>
      </c>
      <c r="W28" s="225">
        <f>SUMIF('MASTER DATA '!$E:$E,$B28,'MASTER DATA '!$AV:$AV)</f>
        <v>0</v>
      </c>
      <c r="X28" s="225">
        <f>SUMIF('MASTER DATA '!$E:$E,$B28,'MASTER DATA '!$AW:$AW)</f>
        <v>0</v>
      </c>
      <c r="Y28" s="225">
        <f>SUMIF('MASTER DATA '!$E:$E,$B28,'MASTER DATA '!$AX:$AX)</f>
        <v>0</v>
      </c>
      <c r="Z28" s="225">
        <f>SUMIF('MASTER DATA '!$E:$E,$B28,'MASTER DATA '!$AY:$AY)</f>
        <v>10605.5</v>
      </c>
      <c r="AA28" s="227" t="str">
        <f t="shared" si="5"/>
        <v>SHOW</v>
      </c>
    </row>
    <row r="29" ht="15.75" customHeight="1">
      <c r="A29" s="220">
        <f t="shared" si="1"/>
        <v>10</v>
      </c>
      <c r="B29" s="221" t="s">
        <v>102</v>
      </c>
      <c r="C29" s="222" t="s">
        <v>117</v>
      </c>
      <c r="D29" s="222" t="s">
        <v>80</v>
      </c>
      <c r="E29" s="223">
        <v>11.0</v>
      </c>
      <c r="F29" s="224">
        <f>VLOOKUP($B29,'MASTER DATA '!$E:$O,11,FALSE)</f>
        <v>964.1363636</v>
      </c>
      <c r="G29" s="224">
        <f>VLOOKUP($B29,'MASTER DATA '!$E:$N,10,FALSE)</f>
        <v>10605.5</v>
      </c>
      <c r="H29" s="225">
        <f>SUMIF('MASTER DATA '!$E:$E,$B29,'MASTER DATA '!$W:$W)</f>
        <v>0</v>
      </c>
      <c r="I29" s="225">
        <f>SUMIF('MASTER DATA '!$E:$E,$B29,'MASTER DATA '!$X:$X)+SUMIF('MASTER DATA '!$E:$E,$B29,'MASTER DATA '!$Y:$Y)</f>
        <v>0</v>
      </c>
      <c r="J29" s="226">
        <f t="shared" si="2"/>
        <v>0</v>
      </c>
      <c r="K29" s="225">
        <f>SUMIF('MASTER DATA '!$E:$E,$B29,'MASTER DATA '!$AC:$AC)</f>
        <v>0</v>
      </c>
      <c r="L29" s="225">
        <f>SUMIF('MASTER DATA '!$E:$E,$B29,'MASTER DATA '!$AD:$AD)+SUMIF('MASTER DATA '!$E:$E,$B29,'MASTER DATA '!$AE:$AE)</f>
        <v>0</v>
      </c>
      <c r="M29" s="226">
        <f t="shared" si="3"/>
        <v>0</v>
      </c>
      <c r="N29" s="225">
        <f>SUMIF('MASTER DATA '!$E:$E,$B29,'MASTER DATA '!$AI:$AI)</f>
        <v>0</v>
      </c>
      <c r="O29" s="225">
        <f>SUMIF('MASTER DATA '!$E:$E,$B29,'MASTER DATA '!$AJ:$AJ)+SUMIF('MASTER DATA '!$E:$E,$B29,'MASTER DATA '!$AK:$AK)</f>
        <v>0</v>
      </c>
      <c r="P29" s="226">
        <f t="shared" si="4"/>
        <v>0</v>
      </c>
      <c r="Q29" s="225">
        <f>SUMIF('MASTER DATA '!$E:$E,$B29,'MASTER DATA '!$AO:$AO)</f>
        <v>0</v>
      </c>
      <c r="R29" s="225">
        <f>SUMIF('MASTER DATA '!$E:$E,$B29,'MASTER DATA '!$AP:$AP)</f>
        <v>0</v>
      </c>
      <c r="S29" s="225">
        <f>SUMIF('MASTER DATA '!$E:$E,$B29,'MASTER DATA '!$AR:$AR)</f>
        <v>10605.5</v>
      </c>
      <c r="T29" s="225">
        <f>SUMIF('MASTER DATA '!$E:$E,$B29,'MASTER DATA '!$AS:$AS)</f>
        <v>0</v>
      </c>
      <c r="U29" s="225">
        <f>SUMIF('MASTER DATA '!$E:$E,$B29,'MASTER DATA '!$AT:$AT)</f>
        <v>0</v>
      </c>
      <c r="V29" s="225">
        <f>SUMIF('MASTER DATA '!$E:$E,$B29,'MASTER DATA '!$AU:$AU)</f>
        <v>0</v>
      </c>
      <c r="W29" s="225">
        <f>SUMIF('MASTER DATA '!$E:$E,$B29,'MASTER DATA '!$AV:$AV)</f>
        <v>0</v>
      </c>
      <c r="X29" s="225">
        <f>SUMIF('MASTER DATA '!$E:$E,$B29,'MASTER DATA '!$AW:$AW)</f>
        <v>0</v>
      </c>
      <c r="Y29" s="225">
        <f>SUMIF('MASTER DATA '!$E:$E,$B29,'MASTER DATA '!$AX:$AX)</f>
        <v>0</v>
      </c>
      <c r="Z29" s="225">
        <f>SUMIF('MASTER DATA '!$E:$E,$B29,'MASTER DATA '!$AY:$AY)</f>
        <v>10605.5</v>
      </c>
      <c r="AA29" s="227" t="str">
        <f t="shared" si="5"/>
        <v>SHOW</v>
      </c>
    </row>
    <row r="30" ht="36.75" customHeight="1">
      <c r="A30" s="220">
        <f t="shared" si="1"/>
        <v>11</v>
      </c>
      <c r="B30" s="229" t="s">
        <v>104</v>
      </c>
      <c r="C30" s="230" t="s">
        <v>105</v>
      </c>
      <c r="D30" s="222" t="s">
        <v>80</v>
      </c>
      <c r="E30" s="223">
        <v>11.0</v>
      </c>
      <c r="F30" s="224">
        <f>VLOOKUP($B30,'MASTER DATA '!$E:$O,11,FALSE)</f>
        <v>964.1363636</v>
      </c>
      <c r="G30" s="224">
        <f>VLOOKUP($B30,'MASTER DATA '!$E:$N,10,FALSE)</f>
        <v>10605.5</v>
      </c>
      <c r="H30" s="225">
        <f>SUMIF('MASTER DATA '!$E:$E,$B30,'MASTER DATA '!$W:$W)</f>
        <v>0</v>
      </c>
      <c r="I30" s="225">
        <f>SUMIF('MASTER DATA '!$E:$E,$B30,'MASTER DATA '!$X:$X)+SUMIF('MASTER DATA '!$E:$E,$B30,'MASTER DATA '!$Y:$Y)</f>
        <v>0</v>
      </c>
      <c r="J30" s="226">
        <f t="shared" si="2"/>
        <v>0</v>
      </c>
      <c r="K30" s="225">
        <f>SUMIF('MASTER DATA '!$E:$E,$B30,'MASTER DATA '!$AC:$AC)</f>
        <v>0</v>
      </c>
      <c r="L30" s="225">
        <f>SUMIF('MASTER DATA '!$E:$E,$B30,'MASTER DATA '!$AD:$AD)+SUMIF('MASTER DATA '!$E:$E,$B30,'MASTER DATA '!$AE:$AE)</f>
        <v>0</v>
      </c>
      <c r="M30" s="226">
        <f t="shared" si="3"/>
        <v>0</v>
      </c>
      <c r="N30" s="225">
        <f>SUMIF('MASTER DATA '!$E:$E,$B30,'MASTER DATA '!$AI:$AI)</f>
        <v>0</v>
      </c>
      <c r="O30" s="225">
        <f>SUMIF('MASTER DATA '!$E:$E,$B30,'MASTER DATA '!$AJ:$AJ)+SUMIF('MASTER DATA '!$E:$E,$B30,'MASTER DATA '!$AK:$AK)</f>
        <v>0</v>
      </c>
      <c r="P30" s="226">
        <f t="shared" si="4"/>
        <v>0</v>
      </c>
      <c r="Q30" s="225">
        <f>SUMIF('MASTER DATA '!$E:$E,$B30,'MASTER DATA '!$AO:$AO)</f>
        <v>0</v>
      </c>
      <c r="R30" s="225">
        <f>SUMIF('MASTER DATA '!$E:$E,$B30,'MASTER DATA '!$AP:$AP)</f>
        <v>0</v>
      </c>
      <c r="S30" s="225">
        <f>SUMIF('MASTER DATA '!$E:$E,$B30,'MASTER DATA '!$AR:$AR)</f>
        <v>10605.5</v>
      </c>
      <c r="T30" s="225">
        <f>SUMIF('MASTER DATA '!$E:$E,$B30,'MASTER DATA '!$AS:$AS)</f>
        <v>0</v>
      </c>
      <c r="U30" s="225">
        <f>SUMIF('MASTER DATA '!$E:$E,$B30,'MASTER DATA '!$AT:$AT)</f>
        <v>0</v>
      </c>
      <c r="V30" s="225">
        <f>SUMIF('MASTER DATA '!$E:$E,$B30,'MASTER DATA '!$AU:$AU)</f>
        <v>0</v>
      </c>
      <c r="W30" s="225">
        <f>SUMIF('MASTER DATA '!$E:$E,$B30,'MASTER DATA '!$AV:$AV)</f>
        <v>0</v>
      </c>
      <c r="X30" s="225">
        <f>SUMIF('MASTER DATA '!$E:$E,$B30,'MASTER DATA '!$AW:$AW)</f>
        <v>0</v>
      </c>
      <c r="Y30" s="225">
        <f>SUMIF('MASTER DATA '!$E:$E,$B30,'MASTER DATA '!$AX:$AX)</f>
        <v>0</v>
      </c>
      <c r="Z30" s="225">
        <f>SUMIF('MASTER DATA '!$E:$E,$B30,'MASTER DATA '!$AY:$AY)</f>
        <v>10605.5</v>
      </c>
      <c r="AA30" s="227" t="str">
        <f t="shared" si="5"/>
        <v>SHOW</v>
      </c>
    </row>
    <row r="31" ht="36.75" customHeight="1">
      <c r="A31" s="220">
        <f t="shared" si="1"/>
        <v>12</v>
      </c>
      <c r="B31" s="229" t="s">
        <v>107</v>
      </c>
      <c r="C31" s="222" t="s">
        <v>117</v>
      </c>
      <c r="D31" s="222" t="s">
        <v>80</v>
      </c>
      <c r="E31" s="223">
        <v>11.0</v>
      </c>
      <c r="F31" s="224">
        <f>VLOOKUP($B31,'MASTER DATA '!$E:$O,11,FALSE)</f>
        <v>897.4545455</v>
      </c>
      <c r="G31" s="224">
        <f>VLOOKUP($B31,'MASTER DATA '!$E:$N,10,FALSE)</f>
        <v>9872</v>
      </c>
      <c r="H31" s="225">
        <f>SUMIF('MASTER DATA '!$E:$E,$B31,'MASTER DATA '!$W:$W)</f>
        <v>0</v>
      </c>
      <c r="I31" s="225">
        <f>SUMIF('MASTER DATA '!$E:$E,$B31,'MASTER DATA '!$X:$X)+SUMIF('MASTER DATA '!$E:$E,$B31,'MASTER DATA '!$Y:$Y)</f>
        <v>0</v>
      </c>
      <c r="J31" s="226">
        <f t="shared" si="2"/>
        <v>0</v>
      </c>
      <c r="K31" s="225">
        <f>SUMIF('MASTER DATA '!$E:$E,$B31,'MASTER DATA '!$AC:$AC)</f>
        <v>0</v>
      </c>
      <c r="L31" s="225">
        <f>SUMIF('MASTER DATA '!$E:$E,$B31,'MASTER DATA '!$AD:$AD)+SUMIF('MASTER DATA '!$E:$E,$B31,'MASTER DATA '!$AE:$AE)</f>
        <v>0</v>
      </c>
      <c r="M31" s="226">
        <f t="shared" si="3"/>
        <v>0</v>
      </c>
      <c r="N31" s="225">
        <f>SUMIF('MASTER DATA '!$E:$E,$B31,'MASTER DATA '!$AI:$AI)</f>
        <v>0</v>
      </c>
      <c r="O31" s="225">
        <f>SUMIF('MASTER DATA '!$E:$E,$B31,'MASTER DATA '!$AJ:$AJ)+SUMIF('MASTER DATA '!$E:$E,$B31,'MASTER DATA '!$AK:$AK)</f>
        <v>0</v>
      </c>
      <c r="P31" s="226">
        <f t="shared" si="4"/>
        <v>0</v>
      </c>
      <c r="Q31" s="225">
        <f>SUMIF('MASTER DATA '!$E:$E,$B31,'MASTER DATA '!$AO:$AO)</f>
        <v>0</v>
      </c>
      <c r="R31" s="225">
        <f>SUMIF('MASTER DATA '!$E:$E,$B31,'MASTER DATA '!$AP:$AP)</f>
        <v>0</v>
      </c>
      <c r="S31" s="225">
        <f>SUMIF('MASTER DATA '!$E:$E,$B31,'MASTER DATA '!$AR:$AR)</f>
        <v>9872</v>
      </c>
      <c r="T31" s="225">
        <f>SUMIF('MASTER DATA '!$E:$E,$B31,'MASTER DATA '!$AS:$AS)</f>
        <v>0</v>
      </c>
      <c r="U31" s="225">
        <f>SUMIF('MASTER DATA '!$E:$E,$B31,'MASTER DATA '!$AT:$AT)</f>
        <v>0</v>
      </c>
      <c r="V31" s="225">
        <f>SUMIF('MASTER DATA '!$E:$E,$B31,'MASTER DATA '!$AU:$AU)</f>
        <v>0</v>
      </c>
      <c r="W31" s="225">
        <f>SUMIF('MASTER DATA '!$E:$E,$B31,'MASTER DATA '!$AV:$AV)</f>
        <v>0</v>
      </c>
      <c r="X31" s="225">
        <f>SUMIF('MASTER DATA '!$E:$E,$B31,'MASTER DATA '!$AW:$AW)</f>
        <v>0</v>
      </c>
      <c r="Y31" s="225">
        <f>SUMIF('MASTER DATA '!$E:$E,$B31,'MASTER DATA '!$AX:$AX)</f>
        <v>0</v>
      </c>
      <c r="Z31" s="225">
        <f>SUMIF('MASTER DATA '!$E:$E,$B31,'MASTER DATA '!$AY:$AY)</f>
        <v>9872</v>
      </c>
      <c r="AA31" s="227" t="str">
        <f t="shared" si="5"/>
        <v>SHOW</v>
      </c>
    </row>
    <row r="32" ht="36.75" customHeight="1">
      <c r="A32" s="220">
        <f t="shared" si="1"/>
        <v>13</v>
      </c>
      <c r="B32" s="218" t="s">
        <v>110</v>
      </c>
      <c r="C32" s="222" t="s">
        <v>112</v>
      </c>
      <c r="D32" s="222" t="s">
        <v>111</v>
      </c>
      <c r="E32" s="223">
        <v>11.0</v>
      </c>
      <c r="F32" s="224">
        <f>VLOOKUP($B32,'MASTER DATA '!$E:$O,11,FALSE)</f>
        <v>1227.272727</v>
      </c>
      <c r="G32" s="224">
        <f>VLOOKUP($B32,'MASTER DATA '!$E:$N,10,FALSE)</f>
        <v>13500</v>
      </c>
      <c r="H32" s="225">
        <f>SUMIF('MASTER DATA '!$E:$E,$B32,'MASTER DATA '!$W:$W)</f>
        <v>0</v>
      </c>
      <c r="I32" s="231">
        <f>SUMIF('MASTER DATA '!$E:$E,$B32,'MASTER DATA '!$X:$X)+SUMIF('MASTER DATA '!$E:$E,$B32,'MASTER DATA '!$Y:$Y)</f>
        <v>7.67</v>
      </c>
      <c r="J32" s="226">
        <f t="shared" si="2"/>
        <v>7.67</v>
      </c>
      <c r="K32" s="225">
        <f>SUMIF('MASTER DATA '!$E:$E,$B32,'MASTER DATA '!$AC:$AC)</f>
        <v>0</v>
      </c>
      <c r="L32" s="225">
        <f>SUMIF('MASTER DATA '!$E:$E,$B32,'MASTER DATA '!$AD:$AD)+SUMIF('MASTER DATA '!$E:$E,$B32,'MASTER DATA '!$AE:$AE)</f>
        <v>0</v>
      </c>
      <c r="M32" s="226">
        <f t="shared" si="3"/>
        <v>0</v>
      </c>
      <c r="N32" s="225">
        <f>SUMIF('MASTER DATA '!$E:$E,$B32,'MASTER DATA '!$AI:$AI)</f>
        <v>0</v>
      </c>
      <c r="O32" s="225">
        <f>SUMIF('MASTER DATA '!$E:$E,$B32,'MASTER DATA '!$AJ:$AJ)+SUMIF('MASTER DATA '!$E:$E,$B32,'MASTER DATA '!$AK:$AK)</f>
        <v>0</v>
      </c>
      <c r="P32" s="226">
        <f t="shared" si="4"/>
        <v>0</v>
      </c>
      <c r="Q32" s="225">
        <f>SUMIF('MASTER DATA '!$E:$E,$B32,'MASTER DATA '!$AO:$AO)</f>
        <v>7.67</v>
      </c>
      <c r="R32" s="225">
        <f>SUMIF('MASTER DATA '!$E:$E,$B32,'MASTER DATA '!$AP:$AP)</f>
        <v>0</v>
      </c>
      <c r="S32" s="225">
        <f>SUMIF('MASTER DATA '!$E:$E,$B32,'MASTER DATA '!$AR:$AR)</f>
        <v>13492.33</v>
      </c>
      <c r="T32" s="225">
        <f>SUMIF('MASTER DATA '!$E:$E,$B32,'MASTER DATA '!$AS:$AS)</f>
        <v>0</v>
      </c>
      <c r="U32" s="225">
        <f>SUMIF('MASTER DATA '!$E:$E,$B32,'MASTER DATA '!$AT:$AT)</f>
        <v>0</v>
      </c>
      <c r="V32" s="225">
        <f>SUMIF('MASTER DATA '!$E:$E,$B32,'MASTER DATA '!$AU:$AU)</f>
        <v>0</v>
      </c>
      <c r="W32" s="225">
        <f>SUMIF('MASTER DATA '!$E:$E,$B32,'MASTER DATA '!$AV:$AV)</f>
        <v>0</v>
      </c>
      <c r="X32" s="225">
        <f>SUMIF('MASTER DATA '!$E:$E,$B32,'MASTER DATA '!$AW:$AW)</f>
        <v>0</v>
      </c>
      <c r="Y32" s="225">
        <f>SUMIF('MASTER DATA '!$E:$E,$B32,'MASTER DATA '!$AX:$AX)</f>
        <v>0</v>
      </c>
      <c r="Z32" s="225">
        <f>SUMIF('MASTER DATA '!$E:$E,$B32,'MASTER DATA '!$AY:$AY)</f>
        <v>13492.33</v>
      </c>
      <c r="AA32" s="227" t="str">
        <f t="shared" si="5"/>
        <v>SHOW</v>
      </c>
    </row>
    <row r="33" ht="15.75" customHeight="1">
      <c r="A33" s="232">
        <v>14.0</v>
      </c>
      <c r="B33" s="218" t="s">
        <v>115</v>
      </c>
      <c r="C33" s="222" t="s">
        <v>117</v>
      </c>
      <c r="D33" s="230" t="s">
        <v>142</v>
      </c>
      <c r="E33" s="223">
        <v>11.0</v>
      </c>
      <c r="F33" s="224">
        <f>VLOOKUP($B33,'MASTER DATA '!$E:$O,11,FALSE)</f>
        <v>897.4545455</v>
      </c>
      <c r="G33" s="224">
        <f>VLOOKUP($B33,'MASTER DATA '!$E:$N,10,FALSE)</f>
        <v>9872</v>
      </c>
      <c r="H33" s="225">
        <f>SUMIF('MASTER DATA '!$E:$E,$B33,'MASTER DATA '!$W:$W)</f>
        <v>0</v>
      </c>
      <c r="I33" s="231">
        <f>SUMIF('MASTER DATA '!$E:$E,$B33,'MASTER DATA '!$X:$X)+SUMIF('MASTER DATA '!$E:$E,$B33,'MASTER DATA '!$Y:$Y)</f>
        <v>33.65</v>
      </c>
      <c r="J33" s="226">
        <f t="shared" si="2"/>
        <v>33.65</v>
      </c>
      <c r="K33" s="225">
        <f>SUMIF('MASTER DATA '!$E:$E,$B33,'MASTER DATA '!$AC:$AC)</f>
        <v>0</v>
      </c>
      <c r="L33" s="225">
        <f>SUMIF('MASTER DATA '!$E:$E,$B33,'MASTER DATA '!$AD:$AD)+SUMIF('MASTER DATA '!$E:$E,$B33,'MASTER DATA '!$AE:$AE)</f>
        <v>0</v>
      </c>
      <c r="M33" s="226">
        <f t="shared" si="3"/>
        <v>0</v>
      </c>
      <c r="N33" s="225">
        <f>SUMIF('MASTER DATA '!$E:$E,$B33,'MASTER DATA '!$AI:$AI)</f>
        <v>0</v>
      </c>
      <c r="O33" s="225">
        <f>SUMIF('MASTER DATA '!$E:$E,$B33,'MASTER DATA '!$AJ:$AJ)+SUMIF('MASTER DATA '!$E:$E,$B33,'MASTER DATA '!$AK:$AK)</f>
        <v>0</v>
      </c>
      <c r="P33" s="226">
        <f t="shared" si="4"/>
        <v>0</v>
      </c>
      <c r="Q33" s="225">
        <f>SUMIF('MASTER DATA '!$E:$E,$B33,'MASTER DATA '!$AO:$AO)</f>
        <v>33.65</v>
      </c>
      <c r="R33" s="225">
        <f>SUMIF('MASTER DATA '!$E:$E,$B33,'MASTER DATA '!$AP:$AP)</f>
        <v>0</v>
      </c>
      <c r="S33" s="225">
        <f>SUMIF('MASTER DATA '!$E:$E,$B33,'MASTER DATA '!$AR:$AR)</f>
        <v>9838.35</v>
      </c>
      <c r="T33" s="225">
        <f>SUMIF('MASTER DATA '!$E:$E,$B33,'MASTER DATA '!$AS:$AS)</f>
        <v>0</v>
      </c>
      <c r="U33" s="225">
        <f>SUMIF('MASTER DATA '!$E:$E,$B33,'MASTER DATA '!$AT:$AT)</f>
        <v>0</v>
      </c>
      <c r="V33" s="225">
        <f>SUMIF('MASTER DATA '!$E:$E,$B33,'MASTER DATA '!$AU:$AU)</f>
        <v>0</v>
      </c>
      <c r="W33" s="225">
        <f>SUMIF('MASTER DATA '!$E:$E,$B33,'MASTER DATA '!$AV:$AV)</f>
        <v>0</v>
      </c>
      <c r="X33" s="225">
        <f>SUMIF('MASTER DATA '!$E:$E,$B33,'MASTER DATA '!$AW:$AW)</f>
        <v>0</v>
      </c>
      <c r="Y33" s="225">
        <f>SUMIF('MASTER DATA '!$E:$E,$B33,'MASTER DATA '!$AX:$AX)</f>
        <v>0</v>
      </c>
      <c r="Z33" s="225">
        <f>SUMIF('MASTER DATA '!$E:$E,$B33,'MASTER DATA '!$AY:$AY)</f>
        <v>9838.35</v>
      </c>
      <c r="AA33" s="227"/>
    </row>
    <row r="34" ht="15.75" customHeight="1">
      <c r="A34" s="232">
        <v>15.0</v>
      </c>
      <c r="B34" s="233" t="s">
        <v>120</v>
      </c>
      <c r="C34" s="222" t="s">
        <v>117</v>
      </c>
      <c r="D34" s="230" t="s">
        <v>142</v>
      </c>
      <c r="E34" s="223">
        <v>11.0</v>
      </c>
      <c r="F34" s="224">
        <f>VLOOKUP($B34,'MASTER DATA '!$E:$O,11,FALSE)</f>
        <v>897.4545455</v>
      </c>
      <c r="G34" s="224">
        <f>VLOOKUP($B34,'MASTER DATA '!$E:$N,10,FALSE)</f>
        <v>9872</v>
      </c>
      <c r="H34" s="225">
        <f>SUMIF('MASTER DATA '!$E:$E,$B34,'MASTER DATA '!$W:$W)</f>
        <v>0</v>
      </c>
      <c r="I34" s="231">
        <f>SUMIF('MASTER DATA '!$E:$E,$B34,'MASTER DATA '!$X:$X)+SUMIF('MASTER DATA '!$E:$E,$B34,'MASTER DATA '!$Y:$Y)</f>
        <v>9.35</v>
      </c>
      <c r="J34" s="226">
        <f t="shared" si="2"/>
        <v>9.35</v>
      </c>
      <c r="K34" s="225">
        <f>SUMIF('MASTER DATA '!$E:$E,$B34,'MASTER DATA '!$AC:$AC)</f>
        <v>0</v>
      </c>
      <c r="L34" s="225">
        <f>SUMIF('MASTER DATA '!$E:$E,$B34,'MASTER DATA '!$AD:$AD)+SUMIF('MASTER DATA '!$E:$E,$B34,'MASTER DATA '!$AE:$AE)</f>
        <v>0</v>
      </c>
      <c r="M34" s="226">
        <f t="shared" si="3"/>
        <v>0</v>
      </c>
      <c r="N34" s="225">
        <f>SUMIF('MASTER DATA '!$E:$E,$B34,'MASTER DATA '!$AI:$AI)</f>
        <v>0</v>
      </c>
      <c r="O34" s="225">
        <f>SUMIF('MASTER DATA '!$E:$E,$B34,'MASTER DATA '!$AJ:$AJ)+SUMIF('MASTER DATA '!$E:$E,$B34,'MASTER DATA '!$AK:$AK)</f>
        <v>0</v>
      </c>
      <c r="P34" s="226">
        <f t="shared" si="4"/>
        <v>0</v>
      </c>
      <c r="Q34" s="225">
        <f>SUMIF('MASTER DATA '!$E:$E,$B34,'MASTER DATA '!$AO:$AO)</f>
        <v>9.35</v>
      </c>
      <c r="R34" s="225">
        <f>SUMIF('MASTER DATA '!$E:$E,$B34,'MASTER DATA '!$AP:$AP)</f>
        <v>0</v>
      </c>
      <c r="S34" s="225">
        <f>SUMIF('MASTER DATA '!$E:$E,$B34,'MASTER DATA '!$AR:$AR)</f>
        <v>9862.65</v>
      </c>
      <c r="T34" s="225">
        <f>SUMIF('MASTER DATA '!$E:$E,$B34,'MASTER DATA '!$AS:$AS)</f>
        <v>0</v>
      </c>
      <c r="U34" s="225">
        <f>SUMIF('MASTER DATA '!$E:$E,$B34,'MASTER DATA '!$AT:$AT)</f>
        <v>0</v>
      </c>
      <c r="V34" s="225">
        <f>SUMIF('MASTER DATA '!$E:$E,$B34,'MASTER DATA '!$AU:$AU)</f>
        <v>0</v>
      </c>
      <c r="W34" s="225">
        <f>SUMIF('MASTER DATA '!$E:$E,$B34,'MASTER DATA '!$AV:$AV)</f>
        <v>0</v>
      </c>
      <c r="X34" s="225">
        <f>SUMIF('MASTER DATA '!$E:$E,$B34,'MASTER DATA '!$AW:$AW)</f>
        <v>0</v>
      </c>
      <c r="Y34" s="225">
        <f>SUMIF('MASTER DATA '!$E:$E,$B34,'MASTER DATA '!$AX:$AX)</f>
        <v>0</v>
      </c>
      <c r="Z34" s="225">
        <f>SUMIF('MASTER DATA '!$E:$E,$B34,'MASTER DATA '!$AY:$AY)</f>
        <v>9862.65</v>
      </c>
      <c r="AA34" s="227"/>
    </row>
    <row r="35" ht="15.75" customHeight="1">
      <c r="A35" s="218"/>
      <c r="B35" s="82"/>
      <c r="C35" s="219"/>
      <c r="D35" s="82"/>
      <c r="E35" s="82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</row>
    <row r="36" ht="15.75" customHeight="1">
      <c r="A36" s="218" t="s">
        <v>23</v>
      </c>
      <c r="B36" s="82"/>
      <c r="C36" s="219"/>
      <c r="D36" s="82"/>
      <c r="E36" s="82"/>
      <c r="F36" s="234"/>
      <c r="G36" s="234">
        <f t="shared" ref="G36:M36" si="6">SUM(G20:G34)</f>
        <v>160759</v>
      </c>
      <c r="H36" s="234">
        <f t="shared" si="6"/>
        <v>0</v>
      </c>
      <c r="I36" s="234">
        <f t="shared" si="6"/>
        <v>177.96</v>
      </c>
      <c r="J36" s="234">
        <f t="shared" si="6"/>
        <v>177.96</v>
      </c>
      <c r="K36" s="234">
        <f t="shared" si="6"/>
        <v>0</v>
      </c>
      <c r="L36" s="234">
        <f t="shared" si="6"/>
        <v>0</v>
      </c>
      <c r="M36" s="234">
        <f t="shared" si="6"/>
        <v>0</v>
      </c>
      <c r="N36" s="234">
        <f t="shared" ref="N36:O36" si="7">SUM(N20:N29)</f>
        <v>0</v>
      </c>
      <c r="O36" s="234">
        <f t="shared" si="7"/>
        <v>0</v>
      </c>
      <c r="P36" s="234">
        <f t="shared" ref="P36:Z36" si="8">SUM(P20:P34)</f>
        <v>0</v>
      </c>
      <c r="Q36" s="234">
        <f t="shared" si="8"/>
        <v>177.96</v>
      </c>
      <c r="R36" s="234">
        <f t="shared" si="8"/>
        <v>0</v>
      </c>
      <c r="S36" s="234">
        <f t="shared" si="8"/>
        <v>139370.04</v>
      </c>
      <c r="T36" s="234">
        <f t="shared" si="8"/>
        <v>0</v>
      </c>
      <c r="U36" s="234">
        <f t="shared" si="8"/>
        <v>0</v>
      </c>
      <c r="V36" s="234">
        <f t="shared" si="8"/>
        <v>0</v>
      </c>
      <c r="W36" s="234">
        <f t="shared" si="8"/>
        <v>0</v>
      </c>
      <c r="X36" s="234">
        <f t="shared" si="8"/>
        <v>0</v>
      </c>
      <c r="Y36" s="234">
        <f t="shared" si="8"/>
        <v>0</v>
      </c>
      <c r="Z36" s="234">
        <f t="shared" si="8"/>
        <v>139370.04</v>
      </c>
    </row>
    <row r="37" ht="15.75" customHeight="1">
      <c r="A37" s="235"/>
      <c r="B37" s="236"/>
      <c r="C37" s="237"/>
      <c r="D37" s="236"/>
      <c r="E37" s="236"/>
      <c r="F37" s="238"/>
      <c r="G37" s="239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40"/>
    </row>
    <row r="38" ht="15.75" customHeight="1">
      <c r="A38" s="241" t="s">
        <v>143</v>
      </c>
      <c r="C38" s="195"/>
      <c r="F38" s="6"/>
      <c r="G38" s="242" t="s">
        <v>144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243"/>
    </row>
    <row r="39" ht="15.75" customHeight="1">
      <c r="A39" s="241"/>
      <c r="C39" s="195"/>
      <c r="F39" s="6"/>
      <c r="G39" s="24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243"/>
    </row>
    <row r="40" ht="15.75" customHeight="1">
      <c r="A40" s="241"/>
      <c r="C40" s="195"/>
      <c r="F40" s="6"/>
      <c r="G40" s="24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243"/>
    </row>
    <row r="41" ht="15.75" customHeight="1">
      <c r="A41" s="241"/>
      <c r="B41" s="5" t="s">
        <v>145</v>
      </c>
      <c r="F41" s="6"/>
      <c r="G41" s="244" t="s">
        <v>146</v>
      </c>
      <c r="N41" s="194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243"/>
    </row>
    <row r="42" ht="15.75" customHeight="1">
      <c r="A42" s="245"/>
      <c r="B42" s="246" t="s">
        <v>147</v>
      </c>
      <c r="C42" s="247"/>
      <c r="D42" s="247"/>
      <c r="E42" s="247"/>
      <c r="F42" s="248"/>
      <c r="G42" s="249" t="s">
        <v>148</v>
      </c>
      <c r="H42" s="247"/>
      <c r="I42" s="247"/>
      <c r="J42" s="247"/>
      <c r="K42" s="247"/>
      <c r="L42" s="247"/>
      <c r="M42" s="247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50"/>
    </row>
    <row r="43" ht="15.75" customHeight="1">
      <c r="A43" s="235" t="s">
        <v>149</v>
      </c>
      <c r="B43" s="236"/>
      <c r="C43" s="237"/>
      <c r="D43" s="236"/>
      <c r="E43" s="236"/>
      <c r="F43" s="238"/>
      <c r="G43" s="239" t="s">
        <v>150</v>
      </c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40"/>
      <c r="V43" s="251"/>
      <c r="W43" s="25"/>
      <c r="X43" s="25"/>
      <c r="Y43" s="25"/>
      <c r="Z43" s="26"/>
    </row>
    <row r="44" ht="15.75" customHeight="1">
      <c r="A44" s="241"/>
      <c r="B44" s="227" t="s">
        <v>151</v>
      </c>
      <c r="C44" s="195"/>
      <c r="F44" s="6"/>
      <c r="G44" s="252" t="s">
        <v>152</v>
      </c>
      <c r="L44" s="6"/>
      <c r="M44" s="6"/>
      <c r="O44" s="6"/>
      <c r="P44" s="6"/>
      <c r="Q44" s="6"/>
      <c r="R44" s="6"/>
      <c r="S44" s="6"/>
      <c r="T44" s="6"/>
      <c r="U44" s="243"/>
      <c r="V44" s="251" t="s">
        <v>153</v>
      </c>
      <c r="W44" s="25"/>
      <c r="X44" s="25"/>
      <c r="Y44" s="25"/>
      <c r="Z44" s="26"/>
    </row>
    <row r="45" ht="15.75" customHeight="1">
      <c r="A45" s="241"/>
      <c r="C45" s="195"/>
      <c r="F45" s="6"/>
      <c r="G45" s="242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243"/>
      <c r="V45" s="251" t="s">
        <v>154</v>
      </c>
      <c r="W45" s="25"/>
      <c r="X45" s="25"/>
      <c r="Y45" s="25"/>
      <c r="Z45" s="26"/>
    </row>
    <row r="46" ht="15.75" customHeight="1">
      <c r="A46" s="241"/>
      <c r="C46" s="195"/>
      <c r="F46" s="6"/>
      <c r="G46" s="242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243"/>
      <c r="V46" s="251" t="s">
        <v>155</v>
      </c>
      <c r="W46" s="25"/>
      <c r="X46" s="25"/>
      <c r="Y46" s="25"/>
      <c r="Z46" s="26"/>
    </row>
    <row r="47" ht="15.75" customHeight="1">
      <c r="A47" s="241"/>
      <c r="B47" s="5" t="s">
        <v>156</v>
      </c>
      <c r="F47" s="6"/>
      <c r="G47" s="253" t="s">
        <v>157</v>
      </c>
      <c r="N47" s="194"/>
      <c r="O47" s="6"/>
      <c r="P47" s="6"/>
      <c r="Q47" s="6"/>
      <c r="R47" s="6"/>
      <c r="S47" s="248"/>
      <c r="T47" s="247"/>
      <c r="U47" s="212"/>
      <c r="V47" s="251" t="s">
        <v>154</v>
      </c>
      <c r="W47" s="25"/>
      <c r="X47" s="25"/>
      <c r="Y47" s="25"/>
      <c r="Z47" s="26"/>
    </row>
    <row r="48" ht="15.75" customHeight="1">
      <c r="A48" s="245"/>
      <c r="B48" s="246" t="s">
        <v>158</v>
      </c>
      <c r="C48" s="247"/>
      <c r="D48" s="247"/>
      <c r="E48" s="247"/>
      <c r="F48" s="248"/>
      <c r="G48" s="254" t="s">
        <v>159</v>
      </c>
      <c r="H48" s="247"/>
      <c r="I48" s="247"/>
      <c r="J48" s="247"/>
      <c r="K48" s="247"/>
      <c r="L48" s="247"/>
      <c r="M48" s="247"/>
      <c r="N48" s="248"/>
      <c r="O48" s="248"/>
      <c r="P48" s="248"/>
      <c r="Q48" s="248"/>
      <c r="R48" s="248"/>
      <c r="S48" s="255" t="s">
        <v>160</v>
      </c>
      <c r="T48" s="247"/>
      <c r="U48" s="212"/>
      <c r="V48" s="251"/>
      <c r="W48" s="25"/>
      <c r="X48" s="25"/>
      <c r="Y48" s="25"/>
      <c r="Z48" s="26"/>
    </row>
    <row r="49" ht="15.75" customHeight="1">
      <c r="C49" s="19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C50" s="19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hidden="1" customHeight="1">
      <c r="C51" s="19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hidden="1" customHeight="1">
      <c r="C52" s="19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hidden="1" customHeight="1">
      <c r="C53" s="195"/>
      <c r="F53" s="6"/>
      <c r="G53" s="194" t="s">
        <v>121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hidden="1" customHeight="1">
      <c r="C54" s="19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hidden="1" customHeight="1">
      <c r="C55" s="19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hidden="1" customHeight="1">
      <c r="C56" s="19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hidden="1" customHeight="1">
      <c r="B57" s="227" t="s">
        <v>122</v>
      </c>
      <c r="C57" s="19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hidden="1" customHeight="1">
      <c r="C58" s="19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hidden="1" customHeight="1">
      <c r="C59" s="19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hidden="1" customHeight="1">
      <c r="B60" s="227" t="s">
        <v>123</v>
      </c>
      <c r="C60" s="19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hidden="1" customHeight="1">
      <c r="B61" s="200" t="s">
        <v>161</v>
      </c>
      <c r="C61" s="20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hidden="1" customHeight="1">
      <c r="A62" s="256" t="s">
        <v>8</v>
      </c>
      <c r="B62" s="20"/>
      <c r="C62" s="257" t="s">
        <v>10</v>
      </c>
      <c r="D62" s="258"/>
      <c r="E62" s="257" t="s">
        <v>125</v>
      </c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</row>
    <row r="63" ht="15.75" hidden="1" customHeight="1">
      <c r="A63" s="204"/>
      <c r="B63" s="205"/>
      <c r="C63" s="37"/>
      <c r="D63" s="258"/>
      <c r="E63" s="37"/>
      <c r="F63" s="260" t="s">
        <v>126</v>
      </c>
      <c r="G63" s="260" t="s">
        <v>127</v>
      </c>
      <c r="H63" s="261" t="s">
        <v>128</v>
      </c>
      <c r="I63" s="26"/>
      <c r="J63" s="259"/>
      <c r="K63" s="261" t="s">
        <v>128</v>
      </c>
      <c r="L63" s="26"/>
      <c r="M63" s="259"/>
      <c r="N63" s="261" t="s">
        <v>128</v>
      </c>
      <c r="O63" s="26"/>
      <c r="P63" s="259"/>
      <c r="Q63" s="259"/>
      <c r="R63" s="259" t="s">
        <v>129</v>
      </c>
      <c r="S63" s="262" t="s">
        <v>23</v>
      </c>
      <c r="T63" s="261" t="s">
        <v>128</v>
      </c>
      <c r="U63" s="26"/>
      <c r="V63" s="259" t="s">
        <v>128</v>
      </c>
      <c r="W63" s="259"/>
      <c r="X63" s="259"/>
      <c r="Y63" s="259"/>
      <c r="Z63" s="260" t="s">
        <v>131</v>
      </c>
    </row>
    <row r="64" ht="15.75" hidden="1" customHeight="1">
      <c r="A64" s="204"/>
      <c r="B64" s="205"/>
      <c r="C64" s="37"/>
      <c r="D64" s="258"/>
      <c r="E64" s="37"/>
      <c r="F64" s="37"/>
      <c r="G64" s="37"/>
      <c r="H64" s="259" t="s">
        <v>132</v>
      </c>
      <c r="I64" s="259" t="s">
        <v>133</v>
      </c>
      <c r="J64" s="259"/>
      <c r="K64" s="259" t="s">
        <v>132</v>
      </c>
      <c r="L64" s="259" t="s">
        <v>133</v>
      </c>
      <c r="M64" s="259"/>
      <c r="N64" s="259" t="s">
        <v>132</v>
      </c>
      <c r="O64" s="259" t="s">
        <v>133</v>
      </c>
      <c r="P64" s="259"/>
      <c r="Q64" s="259"/>
      <c r="R64" s="259" t="s">
        <v>162</v>
      </c>
      <c r="S64" s="58"/>
      <c r="T64" s="261" t="s">
        <v>26</v>
      </c>
      <c r="U64" s="26"/>
      <c r="V64" s="263" t="s">
        <v>137</v>
      </c>
      <c r="W64" s="263" t="s">
        <v>138</v>
      </c>
      <c r="X64" s="263" t="s">
        <v>139</v>
      </c>
      <c r="Y64" s="263" t="s">
        <v>38</v>
      </c>
      <c r="Z64" s="37"/>
    </row>
    <row r="65" ht="15.75" hidden="1" customHeight="1">
      <c r="A65" s="211"/>
      <c r="B65" s="212"/>
      <c r="C65" s="58"/>
      <c r="D65" s="258"/>
      <c r="E65" s="58"/>
      <c r="F65" s="58"/>
      <c r="G65" s="58"/>
      <c r="H65" s="264" t="s">
        <v>163</v>
      </c>
      <c r="I65" s="26"/>
      <c r="J65" s="265"/>
      <c r="K65" s="266" t="s">
        <v>164</v>
      </c>
      <c r="L65" s="26"/>
      <c r="M65" s="267"/>
      <c r="N65" s="266" t="s">
        <v>164</v>
      </c>
      <c r="O65" s="26"/>
      <c r="P65" s="267"/>
      <c r="Q65" s="267"/>
      <c r="R65" s="259"/>
      <c r="S65" s="259"/>
      <c r="T65" s="268">
        <v>0.02</v>
      </c>
      <c r="U65" s="269">
        <v>0.03</v>
      </c>
      <c r="V65" s="259"/>
      <c r="W65" s="259"/>
      <c r="X65" s="259"/>
      <c r="Y65" s="259"/>
      <c r="Z65" s="58"/>
    </row>
    <row r="66" ht="15.75" hidden="1" customHeight="1">
      <c r="A66" s="218" t="s">
        <v>165</v>
      </c>
      <c r="B66" s="82"/>
      <c r="C66" s="219"/>
      <c r="D66" s="82"/>
      <c r="E66" s="82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ht="15.75" hidden="1" customHeight="1">
      <c r="A67" s="220">
        <v>1.0</v>
      </c>
      <c r="B67" s="221" t="str">
        <f>IFERROR(VLOOKUP(#REF!,CODE!$B:$D,3,FALSE)," ")</f>
        <v> </v>
      </c>
      <c r="C67" s="219" t="s">
        <v>166</v>
      </c>
      <c r="D67" s="223"/>
      <c r="E67" s="223">
        <v>11.0</v>
      </c>
      <c r="F67" s="226" t="str">
        <f>SUMIF('[1]MASTER DATA'!$E:$E,'GENERAL PAYROLL'!$B67,'[1]MASTER DATA'!$O:$O)</f>
        <v>#N/A</v>
      </c>
      <c r="G67" s="224" t="str">
        <f>SUMIF('[1]MASTER DATA'!$E:$E,'GENERAL PAYROLL'!$B67,'[1]MASTER DATA'!$N:$N)</f>
        <v>#N/A</v>
      </c>
      <c r="H67" s="226" t="str">
        <f>SUMIF('[1]MASTER DATA'!$E:$E,'GENERAL PAYROLL'!$B67,'[1]MASTER DATA'!$W:$W)</f>
        <v>#N/A</v>
      </c>
      <c r="I67" s="226" t="str">
        <f>SUMIF('[1]MASTER DATA'!$E:$E,'GENERAL PAYROLL'!$B67,'[1]MASTER DATA'!$X:$X)+SUMIF('[1]MASTER DATA'!$E:$E,'GENERAL PAYROLL'!$B67,'[1]MASTER DATA'!$Y:$Y)</f>
        <v>#N/A</v>
      </c>
      <c r="J67" s="226"/>
      <c r="K67" s="226" t="str">
        <f>SUMIF('[1]MASTER DATA'!$E:$E,'GENERAL PAYROLL'!$B67,'[1]MASTER DATA'!$AC:$AC)</f>
        <v>#N/A</v>
      </c>
      <c r="L67" s="226" t="str">
        <f>SUMIF('[1]MASTER DATA'!$E:$E,'GENERAL PAYROLL'!$B67,'[1]MASTER DATA'!$AD:$AD)+SUMIF('[1]MASTER DATA'!$E:$E,'GENERAL PAYROLL'!$B67,'[1]MASTER DATA'!$AE:$AE)</f>
        <v>#N/A</v>
      </c>
      <c r="M67" s="226"/>
      <c r="N67" s="226" t="str">
        <f>SUMIF('[1]MASTER DATA'!$E:$E,'GENERAL PAYROLL'!$B67,'[1]MASTER DATA'!$AC:$AC)</f>
        <v>#N/A</v>
      </c>
      <c r="O67" s="226" t="str">
        <f>SUMIF('[1]MASTER DATA'!$E:$E,'GENERAL PAYROLL'!$B67,'[1]MASTER DATA'!$AD:$AD)+SUMIF('[1]MASTER DATA'!$E:$E,'GENERAL PAYROLL'!$B67,'[1]MASTER DATA'!$AE:$AE)</f>
        <v>#N/A</v>
      </c>
      <c r="P67" s="226"/>
      <c r="Q67" s="226"/>
      <c r="R67" s="226" t="str">
        <f>SUMIF('[1]MASTER DATA'!$E:$E,'GENERAL PAYROLL'!$B67,'[1]MASTER DATA'!$AP:$AP)</f>
        <v>#N/A</v>
      </c>
      <c r="S67" s="224" t="str">
        <f>SUMIF('[1]MASTER DATA'!$E:$E,'GENERAL PAYROLL'!$B67,'[1]MASTER DATA'!$AR:$AR)</f>
        <v>#N/A</v>
      </c>
      <c r="T67" s="226" t="str">
        <f>SUMIF('[1]MASTER DATA'!$E:$E,'GENERAL PAYROLL'!$B67,'[1]MASTER DATA'!$AS:$AS)</f>
        <v>#N/A</v>
      </c>
      <c r="U67" s="226" t="str">
        <f>SUMIF('[1]MASTER DATA'!$E:$E,'GENERAL PAYROLL'!$B67,'[1]MASTER DATA'!$AT:$AT)</f>
        <v>#N/A</v>
      </c>
      <c r="V67" s="226" t="str">
        <f>SUMIF('[1]MASTER DATA'!$E:$E,'GENERAL PAYROLL'!$B67,'[1]MASTER DATA'!$AU:$AU)</f>
        <v>#N/A</v>
      </c>
      <c r="W67" s="226" t="str">
        <f>SUMIF('[1]MASTER DATA'!$E:$E,'GENERAL PAYROLL'!$B67,'[1]MASTER DATA'!$AV:$AV)</f>
        <v>#N/A</v>
      </c>
      <c r="X67" s="226" t="str">
        <f>SUMIF('[1]MASTER DATA'!$E:$E,'GENERAL PAYROLL'!$B67,'[1]MASTER DATA'!$AW:$AW)</f>
        <v>#N/A</v>
      </c>
      <c r="Y67" s="226" t="str">
        <f>SUMIF('[1]MASTER DATA'!$E:$E,'GENERAL PAYROLL'!$B67,'[1]MASTER DATA'!$AX:$AX)</f>
        <v>#N/A</v>
      </c>
      <c r="Z67" s="224" t="str">
        <f>SUMIF('[1]MASTER DATA'!$E:$E,'GENERAL PAYROLL'!$B67,'[1]MASTER DATA'!$AY:$AY)</f>
        <v>#N/A</v>
      </c>
    </row>
    <row r="68" ht="15.75" hidden="1" customHeight="1">
      <c r="A68" s="220">
        <v>2.0</v>
      </c>
      <c r="B68" s="221" t="str">
        <f>IFERROR(VLOOKUP(#REF!,CODE!$B:$D,3,FALSE)," ")</f>
        <v> </v>
      </c>
      <c r="C68" s="219" t="s">
        <v>166</v>
      </c>
      <c r="D68" s="223"/>
      <c r="E68" s="223">
        <v>11.0</v>
      </c>
      <c r="F68" s="226" t="str">
        <f>SUMIF('[1]MASTER DATA'!$E:$E,'GENERAL PAYROLL'!$B68,'[1]MASTER DATA'!$O:$O)</f>
        <v>#N/A</v>
      </c>
      <c r="G68" s="224" t="str">
        <f>SUMIF('[1]MASTER DATA'!$E:$E,'GENERAL PAYROLL'!$B68,'[1]MASTER DATA'!$N:$N)</f>
        <v>#N/A</v>
      </c>
      <c r="H68" s="226" t="str">
        <f>SUMIF('[1]MASTER DATA'!$E:$E,'GENERAL PAYROLL'!$B68,'[1]MASTER DATA'!$W:$W)</f>
        <v>#N/A</v>
      </c>
      <c r="I68" s="226" t="str">
        <f>SUMIF('[1]MASTER DATA'!$E:$E,'GENERAL PAYROLL'!$B68,'[1]MASTER DATA'!$X:$X)+SUMIF('[1]MASTER DATA'!$E:$E,'GENERAL PAYROLL'!$B68,'[1]MASTER DATA'!$Y:$Y)</f>
        <v>#N/A</v>
      </c>
      <c r="J68" s="226"/>
      <c r="K68" s="226" t="str">
        <f>SUMIF('[1]MASTER DATA'!$E:$E,'GENERAL PAYROLL'!$B68,'[1]MASTER DATA'!$AC:$AC)</f>
        <v>#N/A</v>
      </c>
      <c r="L68" s="226" t="str">
        <f>SUMIF('[1]MASTER DATA'!$E:$E,'GENERAL PAYROLL'!$B68,'[1]MASTER DATA'!$AD:$AD)+SUMIF('[1]MASTER DATA'!$E:$E,'GENERAL PAYROLL'!$B68,'[1]MASTER DATA'!$AE:$AE)</f>
        <v>#N/A</v>
      </c>
      <c r="M68" s="226"/>
      <c r="N68" s="226" t="str">
        <f>SUMIF('[1]MASTER DATA'!$E:$E,'GENERAL PAYROLL'!$B68,'[1]MASTER DATA'!$AC:$AC)</f>
        <v>#N/A</v>
      </c>
      <c r="O68" s="226" t="str">
        <f>SUMIF('[1]MASTER DATA'!$E:$E,'GENERAL PAYROLL'!$B68,'[1]MASTER DATA'!$AD:$AD)+SUMIF('[1]MASTER DATA'!$E:$E,'GENERAL PAYROLL'!$B68,'[1]MASTER DATA'!$AE:$AE)</f>
        <v>#N/A</v>
      </c>
      <c r="P68" s="226"/>
      <c r="Q68" s="226"/>
      <c r="R68" s="226" t="str">
        <f>SUMIF('[1]MASTER DATA'!$E:$E,'GENERAL PAYROLL'!$B68,'[1]MASTER DATA'!$AP:$AP)</f>
        <v>#N/A</v>
      </c>
      <c r="S68" s="224" t="str">
        <f>SUMIF('[1]MASTER DATA'!$E:$E,'GENERAL PAYROLL'!$B68,'[1]MASTER DATA'!$AR:$AR)</f>
        <v>#N/A</v>
      </c>
      <c r="T68" s="226" t="str">
        <f>SUMIF('[1]MASTER DATA'!$E:$E,'GENERAL PAYROLL'!$B68,'[1]MASTER DATA'!$AS:$AS)</f>
        <v>#N/A</v>
      </c>
      <c r="U68" s="226" t="str">
        <f>SUMIF('[1]MASTER DATA'!$E:$E,'GENERAL PAYROLL'!$B68,'[1]MASTER DATA'!$AT:$AT)</f>
        <v>#N/A</v>
      </c>
      <c r="V68" s="226" t="str">
        <f>SUMIF('[1]MASTER DATA'!$E:$E,'GENERAL PAYROLL'!$B68,'[1]MASTER DATA'!$AU:$AU)</f>
        <v>#N/A</v>
      </c>
      <c r="W68" s="226" t="str">
        <f>SUMIF('[1]MASTER DATA'!$E:$E,'GENERAL PAYROLL'!$B68,'[1]MASTER DATA'!$AV:$AV)</f>
        <v>#N/A</v>
      </c>
      <c r="X68" s="226" t="str">
        <f>SUMIF('[1]MASTER DATA'!$E:$E,'GENERAL PAYROLL'!$B68,'[1]MASTER DATA'!$AW:$AW)</f>
        <v>#N/A</v>
      </c>
      <c r="Y68" s="226" t="str">
        <f>SUMIF('[1]MASTER DATA'!$E:$E,'GENERAL PAYROLL'!$B68,'[1]MASTER DATA'!$AX:$AX)</f>
        <v>#N/A</v>
      </c>
      <c r="Z68" s="224" t="str">
        <f>SUMIF('[1]MASTER DATA'!$E:$E,'GENERAL PAYROLL'!$B68,'[1]MASTER DATA'!$AY:$AY)</f>
        <v>#N/A</v>
      </c>
    </row>
    <row r="69" ht="15.75" hidden="1" customHeight="1">
      <c r="A69" s="220">
        <v>3.0</v>
      </c>
      <c r="B69" s="221" t="str">
        <f>IFERROR(VLOOKUP(#REF!,CODE!$B:$D,3,FALSE)," ")</f>
        <v> </v>
      </c>
      <c r="C69" s="219" t="s">
        <v>166</v>
      </c>
      <c r="D69" s="223"/>
      <c r="E69" s="223">
        <v>11.0</v>
      </c>
      <c r="F69" s="226" t="str">
        <f>SUMIF('[1]MASTER DATA'!$E:$E,'GENERAL PAYROLL'!$B69,'[1]MASTER DATA'!$O:$O)</f>
        <v>#N/A</v>
      </c>
      <c r="G69" s="224" t="str">
        <f>SUMIF('[1]MASTER DATA'!$E:$E,'GENERAL PAYROLL'!$B69,'[1]MASTER DATA'!$N:$N)</f>
        <v>#N/A</v>
      </c>
      <c r="H69" s="226" t="str">
        <f>SUMIF('[1]MASTER DATA'!$E:$E,'GENERAL PAYROLL'!$B69,'[1]MASTER DATA'!$W:$W)</f>
        <v>#N/A</v>
      </c>
      <c r="I69" s="226" t="str">
        <f>SUMIF('[1]MASTER DATA'!$E:$E,'GENERAL PAYROLL'!$B69,'[1]MASTER DATA'!$X:$X)+SUMIF('[1]MASTER DATA'!$E:$E,'GENERAL PAYROLL'!$B69,'[1]MASTER DATA'!$Y:$Y)</f>
        <v>#N/A</v>
      </c>
      <c r="J69" s="226"/>
      <c r="K69" s="226" t="str">
        <f>SUMIF('[1]MASTER DATA'!$E:$E,'GENERAL PAYROLL'!$B69,'[1]MASTER DATA'!$AC:$AC)</f>
        <v>#N/A</v>
      </c>
      <c r="L69" s="226" t="str">
        <f>SUMIF('[1]MASTER DATA'!$E:$E,'GENERAL PAYROLL'!$B69,'[1]MASTER DATA'!$AD:$AD)+SUMIF('[1]MASTER DATA'!$E:$E,'GENERAL PAYROLL'!$B69,'[1]MASTER DATA'!$AE:$AE)</f>
        <v>#N/A</v>
      </c>
      <c r="M69" s="226"/>
      <c r="N69" s="226" t="str">
        <f>SUMIF('[1]MASTER DATA'!$E:$E,'GENERAL PAYROLL'!$B69,'[1]MASTER DATA'!$AC:$AC)</f>
        <v>#N/A</v>
      </c>
      <c r="O69" s="226" t="str">
        <f>SUMIF('[1]MASTER DATA'!$E:$E,'GENERAL PAYROLL'!$B69,'[1]MASTER DATA'!$AD:$AD)+SUMIF('[1]MASTER DATA'!$E:$E,'GENERAL PAYROLL'!$B69,'[1]MASTER DATA'!$AE:$AE)</f>
        <v>#N/A</v>
      </c>
      <c r="P69" s="226"/>
      <c r="Q69" s="226"/>
      <c r="R69" s="226" t="str">
        <f>SUMIF('[1]MASTER DATA'!$E:$E,'GENERAL PAYROLL'!$B69,'[1]MASTER DATA'!$AP:$AP)</f>
        <v>#N/A</v>
      </c>
      <c r="S69" s="224" t="str">
        <f>SUMIF('[1]MASTER DATA'!$E:$E,'GENERAL PAYROLL'!$B69,'[1]MASTER DATA'!$AR:$AR)</f>
        <v>#N/A</v>
      </c>
      <c r="T69" s="226" t="str">
        <f>SUMIF('[1]MASTER DATA'!$E:$E,'GENERAL PAYROLL'!$B69,'[1]MASTER DATA'!$AS:$AS)</f>
        <v>#N/A</v>
      </c>
      <c r="U69" s="226" t="str">
        <f>SUMIF('[1]MASTER DATA'!$E:$E,'GENERAL PAYROLL'!$B69,'[1]MASTER DATA'!$AT:$AT)</f>
        <v>#N/A</v>
      </c>
      <c r="V69" s="226" t="str">
        <f>SUMIF('[1]MASTER DATA'!$E:$E,'GENERAL PAYROLL'!$B69,'[1]MASTER DATA'!$AU:$AU)</f>
        <v>#N/A</v>
      </c>
      <c r="W69" s="226" t="str">
        <f>SUMIF('[1]MASTER DATA'!$E:$E,'GENERAL PAYROLL'!$B69,'[1]MASTER DATA'!$AV:$AV)</f>
        <v>#N/A</v>
      </c>
      <c r="X69" s="226" t="str">
        <f>SUMIF('[1]MASTER DATA'!$E:$E,'GENERAL PAYROLL'!$B69,'[1]MASTER DATA'!$AW:$AW)</f>
        <v>#N/A</v>
      </c>
      <c r="Y69" s="226" t="str">
        <f>SUMIF('[1]MASTER DATA'!$E:$E,'GENERAL PAYROLL'!$B69,'[1]MASTER DATA'!$AX:$AX)</f>
        <v>#N/A</v>
      </c>
      <c r="Z69" s="224" t="str">
        <f>SUMIF('[1]MASTER DATA'!$E:$E,'GENERAL PAYROLL'!$B69,'[1]MASTER DATA'!$AY:$AY)</f>
        <v>#N/A</v>
      </c>
    </row>
    <row r="70" ht="15.75" hidden="1" customHeight="1">
      <c r="A70" s="220">
        <v>4.0</v>
      </c>
      <c r="B70" s="221" t="str">
        <f>IFERROR(VLOOKUP(#REF!,CODE!$B:$D,3,FALSE)," ")</f>
        <v> </v>
      </c>
      <c r="C70" s="219" t="s">
        <v>166</v>
      </c>
      <c r="D70" s="223"/>
      <c r="E70" s="223">
        <v>11.0</v>
      </c>
      <c r="F70" s="226" t="str">
        <f>SUMIF('[1]MASTER DATA'!$E:$E,'GENERAL PAYROLL'!$B70,'[1]MASTER DATA'!$O:$O)</f>
        <v>#N/A</v>
      </c>
      <c r="G70" s="224" t="str">
        <f>SUMIF('[1]MASTER DATA'!$E:$E,'GENERAL PAYROLL'!$B70,'[1]MASTER DATA'!$N:$N)</f>
        <v>#N/A</v>
      </c>
      <c r="H70" s="226" t="str">
        <f>SUMIF('[1]MASTER DATA'!$E:$E,'GENERAL PAYROLL'!$B70,'[1]MASTER DATA'!$W:$W)</f>
        <v>#N/A</v>
      </c>
      <c r="I70" s="226" t="str">
        <f>SUMIF('[1]MASTER DATA'!$E:$E,'GENERAL PAYROLL'!$B70,'[1]MASTER DATA'!$X:$X)+SUMIF('[1]MASTER DATA'!$E:$E,'GENERAL PAYROLL'!$B70,'[1]MASTER DATA'!$Y:$Y)</f>
        <v>#N/A</v>
      </c>
      <c r="J70" s="226"/>
      <c r="K70" s="226" t="str">
        <f>SUMIF('[1]MASTER DATA'!$E:$E,'GENERAL PAYROLL'!$B70,'[1]MASTER DATA'!$AC:$AC)</f>
        <v>#N/A</v>
      </c>
      <c r="L70" s="226" t="str">
        <f>SUMIF('[1]MASTER DATA'!$E:$E,'GENERAL PAYROLL'!$B70,'[1]MASTER DATA'!$AD:$AD)+SUMIF('[1]MASTER DATA'!$E:$E,'GENERAL PAYROLL'!$B70,'[1]MASTER DATA'!$AE:$AE)</f>
        <v>#N/A</v>
      </c>
      <c r="M70" s="226"/>
      <c r="N70" s="226" t="str">
        <f>SUMIF('[1]MASTER DATA'!$E:$E,'GENERAL PAYROLL'!$B70,'[1]MASTER DATA'!$AC:$AC)</f>
        <v>#N/A</v>
      </c>
      <c r="O70" s="226" t="str">
        <f>SUMIF('[1]MASTER DATA'!$E:$E,'GENERAL PAYROLL'!$B70,'[1]MASTER DATA'!$AD:$AD)+SUMIF('[1]MASTER DATA'!$E:$E,'GENERAL PAYROLL'!$B70,'[1]MASTER DATA'!$AE:$AE)</f>
        <v>#N/A</v>
      </c>
      <c r="P70" s="226"/>
      <c r="Q70" s="226"/>
      <c r="R70" s="226" t="str">
        <f>SUMIF('[1]MASTER DATA'!$E:$E,'GENERAL PAYROLL'!$B70,'[1]MASTER DATA'!$AP:$AP)</f>
        <v>#N/A</v>
      </c>
      <c r="S70" s="224" t="str">
        <f>SUMIF('[1]MASTER DATA'!$E:$E,'GENERAL PAYROLL'!$B70,'[1]MASTER DATA'!$AR:$AR)</f>
        <v>#N/A</v>
      </c>
      <c r="T70" s="226" t="str">
        <f>SUMIF('[1]MASTER DATA'!$E:$E,'GENERAL PAYROLL'!$B70,'[1]MASTER DATA'!$AS:$AS)</f>
        <v>#N/A</v>
      </c>
      <c r="U70" s="226" t="str">
        <f>SUMIF('[1]MASTER DATA'!$E:$E,'GENERAL PAYROLL'!$B70,'[1]MASTER DATA'!$AT:$AT)</f>
        <v>#N/A</v>
      </c>
      <c r="V70" s="226" t="str">
        <f>SUMIF('[1]MASTER DATA'!$E:$E,'GENERAL PAYROLL'!$B70,'[1]MASTER DATA'!$AU:$AU)</f>
        <v>#N/A</v>
      </c>
      <c r="W70" s="226" t="str">
        <f>SUMIF('[1]MASTER DATA'!$E:$E,'GENERAL PAYROLL'!$B70,'[1]MASTER DATA'!$AV:$AV)</f>
        <v>#N/A</v>
      </c>
      <c r="X70" s="226" t="str">
        <f>SUMIF('[1]MASTER DATA'!$E:$E,'GENERAL PAYROLL'!$B70,'[1]MASTER DATA'!$AW:$AW)</f>
        <v>#N/A</v>
      </c>
      <c r="Y70" s="226" t="str">
        <f>SUMIF('[1]MASTER DATA'!$E:$E,'GENERAL PAYROLL'!$B70,'[1]MASTER DATA'!$AX:$AX)</f>
        <v>#N/A</v>
      </c>
      <c r="Z70" s="224" t="str">
        <f>SUMIF('[1]MASTER DATA'!$E:$E,'GENERAL PAYROLL'!$B70,'[1]MASTER DATA'!$AY:$AY)</f>
        <v>#N/A</v>
      </c>
    </row>
    <row r="71" ht="15.75" hidden="1" customHeight="1">
      <c r="A71" s="220">
        <v>5.0</v>
      </c>
      <c r="B71" s="221" t="str">
        <f>IFERROR(VLOOKUP(#REF!,CODE!$B:$D,3,FALSE)," ")</f>
        <v> </v>
      </c>
      <c r="C71" s="219" t="s">
        <v>166</v>
      </c>
      <c r="D71" s="223"/>
      <c r="E71" s="223">
        <v>11.0</v>
      </c>
      <c r="F71" s="226" t="str">
        <f>SUMIF('[1]MASTER DATA'!$E:$E,'GENERAL PAYROLL'!$B71,'[1]MASTER DATA'!$O:$O)</f>
        <v>#N/A</v>
      </c>
      <c r="G71" s="224" t="str">
        <f>SUMIF('[1]MASTER DATA'!$E:$E,'GENERAL PAYROLL'!$B71,'[1]MASTER DATA'!$N:$N)</f>
        <v>#N/A</v>
      </c>
      <c r="H71" s="226" t="str">
        <f>SUMIF('[1]MASTER DATA'!$E:$E,'GENERAL PAYROLL'!$B71,'[1]MASTER DATA'!$W:$W)</f>
        <v>#N/A</v>
      </c>
      <c r="I71" s="226" t="str">
        <f>SUMIF('[1]MASTER DATA'!$E:$E,'GENERAL PAYROLL'!$B71,'[1]MASTER DATA'!$X:$X)+SUMIF('[1]MASTER DATA'!$E:$E,'GENERAL PAYROLL'!$B71,'[1]MASTER DATA'!$Y:$Y)</f>
        <v>#N/A</v>
      </c>
      <c r="J71" s="226"/>
      <c r="K71" s="226" t="str">
        <f>SUMIF('[1]MASTER DATA'!$E:$E,'GENERAL PAYROLL'!$B71,'[1]MASTER DATA'!$AC:$AC)</f>
        <v>#N/A</v>
      </c>
      <c r="L71" s="226" t="str">
        <f>SUMIF('[1]MASTER DATA'!$E:$E,'GENERAL PAYROLL'!$B71,'[1]MASTER DATA'!$AD:$AD)+SUMIF('[1]MASTER DATA'!$E:$E,'GENERAL PAYROLL'!$B71,'[1]MASTER DATA'!$AE:$AE)</f>
        <v>#N/A</v>
      </c>
      <c r="M71" s="226"/>
      <c r="N71" s="226" t="str">
        <f>SUMIF('[1]MASTER DATA'!$E:$E,'GENERAL PAYROLL'!$B71,'[1]MASTER DATA'!$AC:$AC)</f>
        <v>#N/A</v>
      </c>
      <c r="O71" s="226" t="str">
        <f>SUMIF('[1]MASTER DATA'!$E:$E,'GENERAL PAYROLL'!$B71,'[1]MASTER DATA'!$AD:$AD)+SUMIF('[1]MASTER DATA'!$E:$E,'GENERAL PAYROLL'!$B71,'[1]MASTER DATA'!$AE:$AE)</f>
        <v>#N/A</v>
      </c>
      <c r="P71" s="226"/>
      <c r="Q71" s="226"/>
      <c r="R71" s="226" t="str">
        <f>SUMIF('[1]MASTER DATA'!$E:$E,'GENERAL PAYROLL'!$B71,'[1]MASTER DATA'!$AP:$AP)</f>
        <v>#N/A</v>
      </c>
      <c r="S71" s="224" t="str">
        <f>SUMIF('[1]MASTER DATA'!$E:$E,'GENERAL PAYROLL'!$B71,'[1]MASTER DATA'!$AR:$AR)</f>
        <v>#N/A</v>
      </c>
      <c r="T71" s="226" t="str">
        <f>SUMIF('[1]MASTER DATA'!$E:$E,'GENERAL PAYROLL'!$B71,'[1]MASTER DATA'!$AS:$AS)</f>
        <v>#N/A</v>
      </c>
      <c r="U71" s="226" t="str">
        <f>SUMIF('[1]MASTER DATA'!$E:$E,'GENERAL PAYROLL'!$B71,'[1]MASTER DATA'!$AT:$AT)</f>
        <v>#N/A</v>
      </c>
      <c r="V71" s="226" t="str">
        <f>SUMIF('[1]MASTER DATA'!$E:$E,'GENERAL PAYROLL'!$B71,'[1]MASTER DATA'!$AU:$AU)</f>
        <v>#N/A</v>
      </c>
      <c r="W71" s="226" t="str">
        <f>SUMIF('[1]MASTER DATA'!$E:$E,'GENERAL PAYROLL'!$B71,'[1]MASTER DATA'!$AV:$AV)</f>
        <v>#N/A</v>
      </c>
      <c r="X71" s="226" t="str">
        <f>SUMIF('[1]MASTER DATA'!$E:$E,'GENERAL PAYROLL'!$B71,'[1]MASTER DATA'!$AW:$AW)</f>
        <v>#N/A</v>
      </c>
      <c r="Y71" s="226" t="str">
        <f>SUMIF('[1]MASTER DATA'!$E:$E,'GENERAL PAYROLL'!$B71,'[1]MASTER DATA'!$AX:$AX)</f>
        <v>#N/A</v>
      </c>
      <c r="Z71" s="224" t="str">
        <f>SUMIF('[1]MASTER DATA'!$E:$E,'GENERAL PAYROLL'!$B71,'[1]MASTER DATA'!$AY:$AY)</f>
        <v>#N/A</v>
      </c>
    </row>
    <row r="72" ht="15.75" hidden="1" customHeight="1">
      <c r="A72" s="220"/>
      <c r="B72" s="221" t="str">
        <f>IFERROR(VLOOKUP(#REF!,CODE!$B:$D,3,FALSE)," ")</f>
        <v> </v>
      </c>
      <c r="C72" s="219" t="s">
        <v>166</v>
      </c>
      <c r="D72" s="223"/>
      <c r="E72" s="223">
        <v>11.0</v>
      </c>
      <c r="F72" s="226" t="str">
        <f>SUMIF('[1]MASTER DATA'!$E:$E,'GENERAL PAYROLL'!$B72,'[1]MASTER DATA'!$O:$O)</f>
        <v>#N/A</v>
      </c>
      <c r="G72" s="224" t="str">
        <f>SUMIF('[1]MASTER DATA'!$E:$E,'GENERAL PAYROLL'!$B72,'[1]MASTER DATA'!$N:$N)</f>
        <v>#N/A</v>
      </c>
      <c r="H72" s="226" t="str">
        <f>SUMIF('[1]MASTER DATA'!$E:$E,'GENERAL PAYROLL'!$B72,'[1]MASTER DATA'!$W:$W)</f>
        <v>#N/A</v>
      </c>
      <c r="I72" s="226" t="str">
        <f>SUMIF('[1]MASTER DATA'!$E:$E,'GENERAL PAYROLL'!$B72,'[1]MASTER DATA'!$X:$X)+SUMIF('[1]MASTER DATA'!$E:$E,'GENERAL PAYROLL'!$B72,'[1]MASTER DATA'!$Y:$Y)</f>
        <v>#N/A</v>
      </c>
      <c r="J72" s="226"/>
      <c r="K72" s="226" t="str">
        <f>SUMIF('[1]MASTER DATA'!$E:$E,'GENERAL PAYROLL'!$B72,'[1]MASTER DATA'!$AC:$AC)</f>
        <v>#N/A</v>
      </c>
      <c r="L72" s="226" t="str">
        <f>SUMIF('[1]MASTER DATA'!$E:$E,'GENERAL PAYROLL'!$B72,'[1]MASTER DATA'!$AD:$AD)+SUMIF('[1]MASTER DATA'!$E:$E,'GENERAL PAYROLL'!$B72,'[1]MASTER DATA'!$AE:$AE)</f>
        <v>#N/A</v>
      </c>
      <c r="M72" s="226"/>
      <c r="N72" s="226" t="str">
        <f>SUMIF('[1]MASTER DATA'!$E:$E,'GENERAL PAYROLL'!$B72,'[1]MASTER DATA'!$AC:$AC)</f>
        <v>#N/A</v>
      </c>
      <c r="O72" s="226" t="str">
        <f>SUMIF('[1]MASTER DATA'!$E:$E,'GENERAL PAYROLL'!$B72,'[1]MASTER DATA'!$AD:$AD)+SUMIF('[1]MASTER DATA'!$E:$E,'GENERAL PAYROLL'!$B72,'[1]MASTER DATA'!$AE:$AE)</f>
        <v>#N/A</v>
      </c>
      <c r="P72" s="226"/>
      <c r="Q72" s="226"/>
      <c r="R72" s="226" t="str">
        <f>SUMIF('[1]MASTER DATA'!$E:$E,'GENERAL PAYROLL'!$B72,'[1]MASTER DATA'!$AP:$AP)</f>
        <v>#N/A</v>
      </c>
      <c r="S72" s="224" t="str">
        <f>SUMIF('[1]MASTER DATA'!$E:$E,'GENERAL PAYROLL'!$B72,'[1]MASTER DATA'!$AR:$AR)</f>
        <v>#N/A</v>
      </c>
      <c r="T72" s="224" t="str">
        <f>SUMIF('[1]MASTER DATA'!$E:$E,'GENERAL PAYROLL'!$B72,'[1]MASTER DATA'!$AS:$AS)</f>
        <v>#N/A</v>
      </c>
      <c r="U72" s="224" t="str">
        <f>SUMIF('[1]MASTER DATA'!$E:$E,'GENERAL PAYROLL'!$B72,'[1]MASTER DATA'!$AT:$AT)</f>
        <v>#N/A</v>
      </c>
      <c r="V72" s="226" t="str">
        <f>SUMIF('[1]MASTER DATA'!$E:$E,'GENERAL PAYROLL'!$B72,'[1]MASTER DATA'!$AU:$AU)</f>
        <v>#N/A</v>
      </c>
      <c r="W72" s="226" t="str">
        <f>SUMIF('[1]MASTER DATA'!$E:$E,'GENERAL PAYROLL'!$B72,'[1]MASTER DATA'!$AV:$AV)</f>
        <v>#N/A</v>
      </c>
      <c r="X72" s="226" t="str">
        <f>SUMIF('[1]MASTER DATA'!$E:$E,'GENERAL PAYROLL'!$B72,'[1]MASTER DATA'!$AW:$AW)</f>
        <v>#N/A</v>
      </c>
      <c r="Y72" s="226" t="str">
        <f>SUMIF('[1]MASTER DATA'!$E:$E,'GENERAL PAYROLL'!$B72,'[1]MASTER DATA'!$AX:$AX)</f>
        <v>#N/A</v>
      </c>
      <c r="Z72" s="224" t="str">
        <f>SUMIF('[1]MASTER DATA'!$E:$E,'GENERAL PAYROLL'!$B72,'[1]MASTER DATA'!$AY:$AY)</f>
        <v>#N/A</v>
      </c>
    </row>
    <row r="73" ht="15.75" hidden="1" customHeight="1">
      <c r="A73" s="270" t="s">
        <v>111</v>
      </c>
      <c r="B73" s="26"/>
      <c r="C73" s="219"/>
      <c r="D73" s="223"/>
      <c r="E73" s="223"/>
      <c r="F73" s="226"/>
      <c r="G73" s="224"/>
      <c r="H73" s="226"/>
      <c r="I73" s="226"/>
      <c r="J73" s="226"/>
      <c r="K73" s="226"/>
      <c r="L73" s="224"/>
      <c r="M73" s="224"/>
      <c r="N73" s="226"/>
      <c r="O73" s="224"/>
      <c r="P73" s="224"/>
      <c r="Q73" s="224"/>
      <c r="R73" s="224"/>
      <c r="S73" s="224"/>
      <c r="T73" s="226"/>
      <c r="U73" s="224"/>
      <c r="V73" s="82"/>
      <c r="W73" s="82"/>
      <c r="X73" s="226"/>
      <c r="Y73" s="82"/>
      <c r="Z73" s="82"/>
    </row>
    <row r="74" ht="15.75" hidden="1" customHeight="1">
      <c r="A74" s="220">
        <v>1.0</v>
      </c>
      <c r="B74" s="221" t="str">
        <f>IFERROR(VLOOKUP(#REF!,CODE!$B:$D,3,FALSE)," ")</f>
        <v> </v>
      </c>
      <c r="C74" s="219" t="s">
        <v>166</v>
      </c>
      <c r="D74" s="223"/>
      <c r="E74" s="223">
        <v>11.0</v>
      </c>
      <c r="F74" s="226" t="str">
        <f>SUMIF('[1]MASTER DATA'!$E:$E,'GENERAL PAYROLL'!$B74,'[1]MASTER DATA'!$O:$O)</f>
        <v>#N/A</v>
      </c>
      <c r="G74" s="224" t="str">
        <f>SUMIF('[1]MASTER DATA'!$E:$E,'GENERAL PAYROLL'!$B74,'[1]MASTER DATA'!$N:$N)</f>
        <v>#N/A</v>
      </c>
      <c r="H74" s="226" t="str">
        <f>SUMIF('[1]MASTER DATA'!$E:$E,'GENERAL PAYROLL'!$B74,'[1]MASTER DATA'!$W:$W)</f>
        <v>#N/A</v>
      </c>
      <c r="I74" s="226" t="str">
        <f>SUMIF('[1]MASTER DATA'!$E:$E,'GENERAL PAYROLL'!$B74,'[1]MASTER DATA'!$X:$X)+SUMIF('[1]MASTER DATA'!$E:$E,'GENERAL PAYROLL'!$B74,'[1]MASTER DATA'!$Y:$Y)</f>
        <v>#N/A</v>
      </c>
      <c r="J74" s="226"/>
      <c r="K74" s="226" t="str">
        <f>SUMIF('[1]MASTER DATA'!$E:$E,'GENERAL PAYROLL'!$B74,'[1]MASTER DATA'!$AC:$AC)</f>
        <v>#N/A</v>
      </c>
      <c r="L74" s="226" t="str">
        <f>SUMIF('[1]MASTER DATA'!$E:$E,'GENERAL PAYROLL'!$B74,'[1]MASTER DATA'!$AD:$AD)+SUMIF('[1]MASTER DATA'!$E:$E,'GENERAL PAYROLL'!$B74,'[1]MASTER DATA'!$AE:$AE)</f>
        <v>#N/A</v>
      </c>
      <c r="M74" s="226"/>
      <c r="N74" s="226" t="str">
        <f>SUMIF('[1]MASTER DATA'!$E:$E,'GENERAL PAYROLL'!$B74,'[1]MASTER DATA'!$AC:$AC)</f>
        <v>#N/A</v>
      </c>
      <c r="O74" s="226" t="str">
        <f>SUMIF('[1]MASTER DATA'!$E:$E,'GENERAL PAYROLL'!$B74,'[1]MASTER DATA'!$AD:$AD)+SUMIF('[1]MASTER DATA'!$E:$E,'GENERAL PAYROLL'!$B74,'[1]MASTER DATA'!$AE:$AE)</f>
        <v>#N/A</v>
      </c>
      <c r="P74" s="226"/>
      <c r="Q74" s="226"/>
      <c r="R74" s="226" t="str">
        <f>SUMIF('[1]MASTER DATA'!$E:$E,'GENERAL PAYROLL'!$B74,'[1]MASTER DATA'!$AP:$AP)</f>
        <v>#N/A</v>
      </c>
      <c r="S74" s="224" t="str">
        <f>SUMIF('[1]MASTER DATA'!$E:$E,'GENERAL PAYROLL'!$B74,'[1]MASTER DATA'!$AR:$AR)</f>
        <v>#N/A</v>
      </c>
      <c r="T74" s="226" t="str">
        <f>SUMIF('[1]MASTER DATA'!$E:$E,'GENERAL PAYROLL'!$B74,'[1]MASTER DATA'!$AS:$AS)</f>
        <v>#N/A</v>
      </c>
      <c r="U74" s="226" t="str">
        <f>SUMIF('[1]MASTER DATA'!$E:$E,'GENERAL PAYROLL'!$B74,'[1]MASTER DATA'!$AT:$AT)</f>
        <v>#N/A</v>
      </c>
      <c r="V74" s="226" t="str">
        <f>SUMIF('[1]MASTER DATA'!$E:$E,'GENERAL PAYROLL'!$B74,'[1]MASTER DATA'!$AU:$AU)</f>
        <v>#N/A</v>
      </c>
      <c r="W74" s="226" t="str">
        <f>SUMIF('[1]MASTER DATA'!$E:$E,'GENERAL PAYROLL'!$B74,'[1]MASTER DATA'!$AV:$AV)</f>
        <v>#N/A</v>
      </c>
      <c r="X74" s="226" t="str">
        <f>SUMIF('[1]MASTER DATA'!$E:$E,'GENERAL PAYROLL'!$B74,'[1]MASTER DATA'!$AW:$AW)</f>
        <v>#N/A</v>
      </c>
      <c r="Y74" s="226" t="str">
        <f>SUMIF('[1]MASTER DATA'!$E:$E,'GENERAL PAYROLL'!$B74,'[1]MASTER DATA'!$AX:$AX)</f>
        <v>#N/A</v>
      </c>
      <c r="Z74" s="224" t="str">
        <f>SUMIF('[1]MASTER DATA'!$E:$E,'GENERAL PAYROLL'!$B74,'[1]MASTER DATA'!$AY:$AY)</f>
        <v>#N/A</v>
      </c>
    </row>
    <row r="75" ht="15.75" hidden="1" customHeight="1">
      <c r="A75" s="220">
        <v>2.0</v>
      </c>
      <c r="B75" s="221" t="str">
        <f>IFERROR(VLOOKUP(#REF!,CODE!$B:$D,3,FALSE)," ")</f>
        <v> </v>
      </c>
      <c r="C75" s="219" t="s">
        <v>166</v>
      </c>
      <c r="D75" s="223"/>
      <c r="E75" s="223">
        <v>11.0</v>
      </c>
      <c r="F75" s="226" t="str">
        <f>SUMIF('[1]MASTER DATA'!$E:$E,'GENERAL PAYROLL'!$B75,'[1]MASTER DATA'!$O:$O)</f>
        <v>#N/A</v>
      </c>
      <c r="G75" s="224" t="str">
        <f>SUMIF('[1]MASTER DATA'!$E:$E,'GENERAL PAYROLL'!$B75,'[1]MASTER DATA'!$N:$N)</f>
        <v>#N/A</v>
      </c>
      <c r="H75" s="226" t="str">
        <f>SUMIF('[1]MASTER DATA'!$E:$E,'GENERAL PAYROLL'!$B75,'[1]MASTER DATA'!$W:$W)</f>
        <v>#N/A</v>
      </c>
      <c r="I75" s="226" t="str">
        <f>SUMIF('[1]MASTER DATA'!$E:$E,'GENERAL PAYROLL'!$B75,'[1]MASTER DATA'!$X:$X)+SUMIF('[1]MASTER DATA'!$E:$E,'GENERAL PAYROLL'!$B75,'[1]MASTER DATA'!$Y:$Y)</f>
        <v>#N/A</v>
      </c>
      <c r="J75" s="226"/>
      <c r="K75" s="226" t="str">
        <f>SUMIF('[1]MASTER DATA'!$E:$E,'GENERAL PAYROLL'!$B75,'[1]MASTER DATA'!$AC:$AC)</f>
        <v>#N/A</v>
      </c>
      <c r="L75" s="226" t="str">
        <f>SUMIF('[1]MASTER DATA'!$E:$E,'GENERAL PAYROLL'!$B75,'[1]MASTER DATA'!$AD:$AD)+SUMIF('[1]MASTER DATA'!$E:$E,'GENERAL PAYROLL'!$B75,'[1]MASTER DATA'!$AE:$AE)</f>
        <v>#N/A</v>
      </c>
      <c r="M75" s="226"/>
      <c r="N75" s="226" t="str">
        <f>SUMIF('[1]MASTER DATA'!$E:$E,'GENERAL PAYROLL'!$B75,'[1]MASTER DATA'!$AC:$AC)</f>
        <v>#N/A</v>
      </c>
      <c r="O75" s="226" t="str">
        <f>SUMIF('[1]MASTER DATA'!$E:$E,'GENERAL PAYROLL'!$B75,'[1]MASTER DATA'!$AD:$AD)+SUMIF('[1]MASTER DATA'!$E:$E,'GENERAL PAYROLL'!$B75,'[1]MASTER DATA'!$AE:$AE)</f>
        <v>#N/A</v>
      </c>
      <c r="P75" s="226"/>
      <c r="Q75" s="226"/>
      <c r="R75" s="226" t="str">
        <f>SUMIF('[1]MASTER DATA'!$E:$E,'GENERAL PAYROLL'!$B75,'[1]MASTER DATA'!$AP:$AP)</f>
        <v>#N/A</v>
      </c>
      <c r="S75" s="224" t="str">
        <f>SUMIF('[1]MASTER DATA'!$E:$E,'GENERAL PAYROLL'!$B75,'[1]MASTER DATA'!$AR:$AR)</f>
        <v>#N/A</v>
      </c>
      <c r="T75" s="226" t="str">
        <f>SUMIF('[1]MASTER DATA'!$E:$E,'GENERAL PAYROLL'!$B75,'[1]MASTER DATA'!$AS:$AS)</f>
        <v>#N/A</v>
      </c>
      <c r="U75" s="226" t="str">
        <f>SUMIF('[1]MASTER DATA'!$E:$E,'GENERAL PAYROLL'!$B75,'[1]MASTER DATA'!$AT:$AT)</f>
        <v>#N/A</v>
      </c>
      <c r="V75" s="226" t="str">
        <f>SUMIF('[1]MASTER DATA'!$E:$E,'GENERAL PAYROLL'!$B75,'[1]MASTER DATA'!$AU:$AU)</f>
        <v>#N/A</v>
      </c>
      <c r="W75" s="226" t="str">
        <f>SUMIF('[1]MASTER DATA'!$E:$E,'GENERAL PAYROLL'!$B75,'[1]MASTER DATA'!$AV:$AV)</f>
        <v>#N/A</v>
      </c>
      <c r="X75" s="226" t="str">
        <f>SUMIF('[1]MASTER DATA'!$E:$E,'GENERAL PAYROLL'!$B75,'[1]MASTER DATA'!$AW:$AW)</f>
        <v>#N/A</v>
      </c>
      <c r="Y75" s="226" t="str">
        <f>SUMIF('[1]MASTER DATA'!$E:$E,'GENERAL PAYROLL'!$B75,'[1]MASTER DATA'!$AX:$AX)</f>
        <v>#N/A</v>
      </c>
      <c r="Z75" s="224" t="str">
        <f>SUMIF('[1]MASTER DATA'!$E:$E,'GENERAL PAYROLL'!$B75,'[1]MASTER DATA'!$AY:$AY)</f>
        <v>#N/A</v>
      </c>
    </row>
    <row r="76" ht="15.75" hidden="1" customHeight="1">
      <c r="A76" s="220">
        <v>3.0</v>
      </c>
      <c r="B76" s="221" t="str">
        <f>IFERROR(VLOOKUP(#REF!,CODE!$B:$D,3,FALSE)," ")</f>
        <v> </v>
      </c>
      <c r="C76" s="219" t="s">
        <v>166</v>
      </c>
      <c r="D76" s="223"/>
      <c r="E76" s="223">
        <v>11.0</v>
      </c>
      <c r="F76" s="226" t="str">
        <f>SUMIF('[1]MASTER DATA'!$E:$E,'GENERAL PAYROLL'!$B76,'[1]MASTER DATA'!$O:$O)</f>
        <v>#N/A</v>
      </c>
      <c r="G76" s="224" t="str">
        <f>SUMIF('[1]MASTER DATA'!$E:$E,'GENERAL PAYROLL'!$B76,'[1]MASTER DATA'!$N:$N)</f>
        <v>#N/A</v>
      </c>
      <c r="H76" s="226" t="str">
        <f>SUMIF('[1]MASTER DATA'!$E:$E,'GENERAL PAYROLL'!$B76,'[1]MASTER DATA'!$W:$W)</f>
        <v>#N/A</v>
      </c>
      <c r="I76" s="226" t="str">
        <f>SUMIF('[1]MASTER DATA'!$E:$E,'GENERAL PAYROLL'!$B76,'[1]MASTER DATA'!$X:$X)+SUMIF('[1]MASTER DATA'!$E:$E,'GENERAL PAYROLL'!$B76,'[1]MASTER DATA'!$Y:$Y)</f>
        <v>#N/A</v>
      </c>
      <c r="J76" s="226"/>
      <c r="K76" s="226" t="str">
        <f>SUMIF('[1]MASTER DATA'!$E:$E,'GENERAL PAYROLL'!$B76,'[1]MASTER DATA'!$AC:$AC)</f>
        <v>#N/A</v>
      </c>
      <c r="L76" s="226" t="str">
        <f>SUMIF('[1]MASTER DATA'!$E:$E,'GENERAL PAYROLL'!$B76,'[1]MASTER DATA'!$AD:$AD)+SUMIF('[1]MASTER DATA'!$E:$E,'GENERAL PAYROLL'!$B76,'[1]MASTER DATA'!$AE:$AE)</f>
        <v>#N/A</v>
      </c>
      <c r="M76" s="226"/>
      <c r="N76" s="226" t="str">
        <f>SUMIF('[1]MASTER DATA'!$E:$E,'GENERAL PAYROLL'!$B76,'[1]MASTER DATA'!$AC:$AC)</f>
        <v>#N/A</v>
      </c>
      <c r="O76" s="226" t="str">
        <f>SUMIF('[1]MASTER DATA'!$E:$E,'GENERAL PAYROLL'!$B76,'[1]MASTER DATA'!$AD:$AD)+SUMIF('[1]MASTER DATA'!$E:$E,'GENERAL PAYROLL'!$B76,'[1]MASTER DATA'!$AE:$AE)</f>
        <v>#N/A</v>
      </c>
      <c r="P76" s="226"/>
      <c r="Q76" s="226"/>
      <c r="R76" s="226" t="str">
        <f>SUMIF('[1]MASTER DATA'!$E:$E,'GENERAL PAYROLL'!$B76,'[1]MASTER DATA'!$AP:$AP)</f>
        <v>#N/A</v>
      </c>
      <c r="S76" s="224" t="str">
        <f>SUMIF('[1]MASTER DATA'!$E:$E,'GENERAL PAYROLL'!$B76,'[1]MASTER DATA'!$AR:$AR)</f>
        <v>#N/A</v>
      </c>
      <c r="T76" s="226" t="str">
        <f>SUMIF('[1]MASTER DATA'!$E:$E,'GENERAL PAYROLL'!$B76,'[1]MASTER DATA'!$AS:$AS)</f>
        <v>#N/A</v>
      </c>
      <c r="U76" s="226" t="str">
        <f>SUMIF('[1]MASTER DATA'!$E:$E,'GENERAL PAYROLL'!$B76,'[1]MASTER DATA'!$AT:$AT)</f>
        <v>#N/A</v>
      </c>
      <c r="V76" s="226" t="str">
        <f>SUMIF('[1]MASTER DATA'!$E:$E,'GENERAL PAYROLL'!$B76,'[1]MASTER DATA'!$AU:$AU)</f>
        <v>#N/A</v>
      </c>
      <c r="W76" s="226" t="str">
        <f>SUMIF('[1]MASTER DATA'!$E:$E,'GENERAL PAYROLL'!$B76,'[1]MASTER DATA'!$AV:$AV)</f>
        <v>#N/A</v>
      </c>
      <c r="X76" s="226" t="str">
        <f>SUMIF('[1]MASTER DATA'!$E:$E,'GENERAL PAYROLL'!$B76,'[1]MASTER DATA'!$AW:$AW)</f>
        <v>#N/A</v>
      </c>
      <c r="Y76" s="226" t="str">
        <f>SUMIF('[1]MASTER DATA'!$E:$E,'GENERAL PAYROLL'!$B76,'[1]MASTER DATA'!$AX:$AX)</f>
        <v>#N/A</v>
      </c>
      <c r="Z76" s="224" t="str">
        <f>SUMIF('[1]MASTER DATA'!$E:$E,'GENERAL PAYROLL'!$B76,'[1]MASTER DATA'!$AY:$AY)</f>
        <v>#N/A</v>
      </c>
    </row>
    <row r="77" ht="15.75" hidden="1" customHeight="1">
      <c r="A77" s="271"/>
      <c r="B77" s="272"/>
      <c r="C77" s="219"/>
      <c r="D77" s="223"/>
      <c r="E77" s="223"/>
      <c r="F77" s="226"/>
      <c r="G77" s="224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4"/>
      <c r="T77" s="224"/>
      <c r="U77" s="224"/>
      <c r="V77" s="226"/>
      <c r="W77" s="226"/>
      <c r="X77" s="226"/>
      <c r="Y77" s="226"/>
      <c r="Z77" s="224"/>
    </row>
    <row r="78" ht="22.5" hidden="1" customHeight="1">
      <c r="A78" s="270" t="s">
        <v>167</v>
      </c>
      <c r="B78" s="26"/>
      <c r="C78" s="219"/>
      <c r="D78" s="223"/>
      <c r="E78" s="223"/>
      <c r="F78" s="226"/>
      <c r="G78" s="224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4"/>
      <c r="T78" s="224"/>
      <c r="U78" s="224"/>
      <c r="V78" s="226"/>
      <c r="W78" s="226"/>
      <c r="X78" s="226"/>
      <c r="Y78" s="226"/>
      <c r="Z78" s="224"/>
    </row>
    <row r="79" ht="15.75" hidden="1" customHeight="1">
      <c r="A79" s="220">
        <v>1.0</v>
      </c>
      <c r="B79" s="221" t="str">
        <f>IFERROR(VLOOKUP(#REF!,CODE!$B:$D,3,FALSE)," ")</f>
        <v> </v>
      </c>
      <c r="C79" s="219" t="s">
        <v>166</v>
      </c>
      <c r="D79" s="223"/>
      <c r="E79" s="223">
        <v>11.0</v>
      </c>
      <c r="F79" s="226" t="str">
        <f>SUMIF('[1]MASTER DATA'!$E:$E,'GENERAL PAYROLL'!$B79,'[1]MASTER DATA'!$O:$O)</f>
        <v>#N/A</v>
      </c>
      <c r="G79" s="224" t="str">
        <f>SUMIF('[1]MASTER DATA'!$E:$E,'GENERAL PAYROLL'!$B79,'[1]MASTER DATA'!$N:$N)</f>
        <v>#N/A</v>
      </c>
      <c r="H79" s="226" t="str">
        <f>SUMIF('[1]MASTER DATA'!$E:$E,'GENERAL PAYROLL'!$B79,'[1]MASTER DATA'!$W:$W)</f>
        <v>#N/A</v>
      </c>
      <c r="I79" s="226" t="str">
        <f>SUMIF('[1]MASTER DATA'!$E:$E,'GENERAL PAYROLL'!$B79,'[1]MASTER DATA'!$X:$X)+SUMIF('[1]MASTER DATA'!$E:$E,'GENERAL PAYROLL'!$B79,'[1]MASTER DATA'!$Y:$Y)</f>
        <v>#N/A</v>
      </c>
      <c r="J79" s="226"/>
      <c r="K79" s="226" t="str">
        <f>SUMIF('[1]MASTER DATA'!$E:$E,'GENERAL PAYROLL'!$B79,'[1]MASTER DATA'!$AC:$AC)</f>
        <v>#N/A</v>
      </c>
      <c r="L79" s="226" t="str">
        <f>SUMIF('[1]MASTER DATA'!$E:$E,'GENERAL PAYROLL'!$B79,'[1]MASTER DATA'!$AD:$AD)+SUMIF('[1]MASTER DATA'!$E:$E,'GENERAL PAYROLL'!$B79,'[1]MASTER DATA'!$AE:$AE)</f>
        <v>#N/A</v>
      </c>
      <c r="M79" s="226"/>
      <c r="N79" s="226" t="str">
        <f>SUMIF('[1]MASTER DATA'!$E:$E,'GENERAL PAYROLL'!$B79,'[1]MASTER DATA'!$AC:$AC)</f>
        <v>#N/A</v>
      </c>
      <c r="O79" s="226" t="str">
        <f>SUMIF('[1]MASTER DATA'!$E:$E,'GENERAL PAYROLL'!$B79,'[1]MASTER DATA'!$AD:$AD)+SUMIF('[1]MASTER DATA'!$E:$E,'GENERAL PAYROLL'!$B79,'[1]MASTER DATA'!$AE:$AE)</f>
        <v>#N/A</v>
      </c>
      <c r="P79" s="226"/>
      <c r="Q79" s="226"/>
      <c r="R79" s="226" t="str">
        <f>SUMIF('[1]MASTER DATA'!$E:$E,'GENERAL PAYROLL'!$B79,'[1]MASTER DATA'!$AP:$AP)</f>
        <v>#N/A</v>
      </c>
      <c r="S79" s="224" t="str">
        <f>SUMIF('[1]MASTER DATA'!$E:$E,'GENERAL PAYROLL'!$B79,'[1]MASTER DATA'!$AR:$AR)</f>
        <v>#N/A</v>
      </c>
      <c r="T79" s="226" t="str">
        <f>SUMIF('[1]MASTER DATA'!$E:$E,'GENERAL PAYROLL'!$B79,'[1]MASTER DATA'!$AS:$AS)</f>
        <v>#N/A</v>
      </c>
      <c r="U79" s="226" t="str">
        <f>SUMIF('[1]MASTER DATA'!$E:$E,'GENERAL PAYROLL'!$B79,'[1]MASTER DATA'!$AT:$AT)</f>
        <v>#N/A</v>
      </c>
      <c r="V79" s="226" t="str">
        <f>SUMIF('[1]MASTER DATA'!$E:$E,'GENERAL PAYROLL'!$B79,'[1]MASTER DATA'!$AU:$AU)</f>
        <v>#N/A</v>
      </c>
      <c r="W79" s="226" t="str">
        <f>SUMIF('[1]MASTER DATA'!$E:$E,'GENERAL PAYROLL'!$B79,'[1]MASTER DATA'!$AV:$AV)</f>
        <v>#N/A</v>
      </c>
      <c r="X79" s="226" t="str">
        <f>SUMIF('[1]MASTER DATA'!$E:$E,'GENERAL PAYROLL'!$B79,'[1]MASTER DATA'!$AW:$AW)</f>
        <v>#N/A</v>
      </c>
      <c r="Y79" s="226" t="str">
        <f>SUMIF('[1]MASTER DATA'!$E:$E,'GENERAL PAYROLL'!$B79,'[1]MASTER DATA'!$AX:$AX)</f>
        <v>#N/A</v>
      </c>
      <c r="Z79" s="224" t="str">
        <f>SUMIF('[1]MASTER DATA'!$E:$E,'GENERAL PAYROLL'!$B79,'[1]MASTER DATA'!$AY:$AY)</f>
        <v>#N/A</v>
      </c>
    </row>
    <row r="80" ht="15.75" hidden="1" customHeight="1">
      <c r="A80" s="220">
        <v>2.0</v>
      </c>
      <c r="B80" s="221" t="str">
        <f>IFERROR(VLOOKUP(#REF!,CODE!$B:$D,3,FALSE)," ")</f>
        <v> </v>
      </c>
      <c r="C80" s="219" t="s">
        <v>166</v>
      </c>
      <c r="D80" s="223"/>
      <c r="E80" s="223">
        <v>11.0</v>
      </c>
      <c r="F80" s="226" t="str">
        <f>SUMIF('[1]MASTER DATA'!$E:$E,'GENERAL PAYROLL'!$B80,'[1]MASTER DATA'!$O:$O)</f>
        <v>#N/A</v>
      </c>
      <c r="G80" s="224" t="str">
        <f>SUMIF('[1]MASTER DATA'!$E:$E,'GENERAL PAYROLL'!$B80,'[1]MASTER DATA'!$N:$N)</f>
        <v>#N/A</v>
      </c>
      <c r="H80" s="226" t="str">
        <f>SUMIF('[1]MASTER DATA'!$E:$E,'GENERAL PAYROLL'!$B80,'[1]MASTER DATA'!$W:$W)</f>
        <v>#N/A</v>
      </c>
      <c r="I80" s="226" t="str">
        <f>SUMIF('[1]MASTER DATA'!$E:$E,'GENERAL PAYROLL'!$B80,'[1]MASTER DATA'!$X:$X)+SUMIF('[1]MASTER DATA'!$E:$E,'GENERAL PAYROLL'!$B80,'[1]MASTER DATA'!$Y:$Y)</f>
        <v>#N/A</v>
      </c>
      <c r="J80" s="226"/>
      <c r="K80" s="226" t="str">
        <f>SUMIF('[1]MASTER DATA'!$E:$E,'GENERAL PAYROLL'!$B80,'[1]MASTER DATA'!$AC:$AC)</f>
        <v>#N/A</v>
      </c>
      <c r="L80" s="226" t="str">
        <f>SUMIF('[1]MASTER DATA'!$E:$E,'GENERAL PAYROLL'!$B80,'[1]MASTER DATA'!$AD:$AD)+SUMIF('[1]MASTER DATA'!$E:$E,'GENERAL PAYROLL'!$B80,'[1]MASTER DATA'!$AE:$AE)</f>
        <v>#N/A</v>
      </c>
      <c r="M80" s="226"/>
      <c r="N80" s="226" t="str">
        <f>SUMIF('[1]MASTER DATA'!$E:$E,'GENERAL PAYROLL'!$B80,'[1]MASTER DATA'!$AC:$AC)</f>
        <v>#N/A</v>
      </c>
      <c r="O80" s="226" t="str">
        <f>SUMIF('[1]MASTER DATA'!$E:$E,'GENERAL PAYROLL'!$B80,'[1]MASTER DATA'!$AD:$AD)+SUMIF('[1]MASTER DATA'!$E:$E,'GENERAL PAYROLL'!$B80,'[1]MASTER DATA'!$AE:$AE)</f>
        <v>#N/A</v>
      </c>
      <c r="P80" s="226"/>
      <c r="Q80" s="226"/>
      <c r="R80" s="226" t="str">
        <f>SUMIF('[1]MASTER DATA'!$E:$E,'GENERAL PAYROLL'!$B80,'[1]MASTER DATA'!$AP:$AP)</f>
        <v>#N/A</v>
      </c>
      <c r="S80" s="224" t="str">
        <f>SUMIF('[1]MASTER DATA'!$E:$E,'GENERAL PAYROLL'!$B80,'[1]MASTER DATA'!$AR:$AR)</f>
        <v>#N/A</v>
      </c>
      <c r="T80" s="226" t="str">
        <f>SUMIF('[1]MASTER DATA'!$E:$E,'GENERAL PAYROLL'!$B80,'[1]MASTER DATA'!$AS:$AS)</f>
        <v>#N/A</v>
      </c>
      <c r="U80" s="226" t="str">
        <f>SUMIF('[1]MASTER DATA'!$E:$E,'GENERAL PAYROLL'!$B80,'[1]MASTER DATA'!$AT:$AT)</f>
        <v>#N/A</v>
      </c>
      <c r="V80" s="226" t="str">
        <f>SUMIF('[1]MASTER DATA'!$E:$E,'GENERAL PAYROLL'!$B80,'[1]MASTER DATA'!$AU:$AU)</f>
        <v>#N/A</v>
      </c>
      <c r="W80" s="226" t="str">
        <f>SUMIF('[1]MASTER DATA'!$E:$E,'GENERAL PAYROLL'!$B80,'[1]MASTER DATA'!$AV:$AV)</f>
        <v>#N/A</v>
      </c>
      <c r="X80" s="226" t="str">
        <f>SUMIF('[1]MASTER DATA'!$E:$E,'GENERAL PAYROLL'!$B80,'[1]MASTER DATA'!$AW:$AW)</f>
        <v>#N/A</v>
      </c>
      <c r="Y80" s="226" t="str">
        <f>SUMIF('[1]MASTER DATA'!$E:$E,'GENERAL PAYROLL'!$B80,'[1]MASTER DATA'!$AX:$AX)</f>
        <v>#N/A</v>
      </c>
      <c r="Z80" s="224" t="str">
        <f>SUMIF('[1]MASTER DATA'!$E:$E,'GENERAL PAYROLL'!$B80,'[1]MASTER DATA'!$AY:$AY)</f>
        <v>#N/A</v>
      </c>
    </row>
    <row r="81" ht="15.75" hidden="1" customHeight="1">
      <c r="A81" s="220">
        <v>3.0</v>
      </c>
      <c r="B81" s="221" t="str">
        <f>IFERROR(VLOOKUP(#REF!,CODE!$B:$D,3,FALSE)," ")</f>
        <v> </v>
      </c>
      <c r="C81" s="219" t="s">
        <v>166</v>
      </c>
      <c r="D81" s="223"/>
      <c r="E81" s="223">
        <v>11.0</v>
      </c>
      <c r="F81" s="226" t="str">
        <f>SUMIF('[1]MASTER DATA'!$E:$E,'GENERAL PAYROLL'!$B81,'[1]MASTER DATA'!$O:$O)</f>
        <v>#N/A</v>
      </c>
      <c r="G81" s="224" t="str">
        <f>SUMIF('[1]MASTER DATA'!$E:$E,'GENERAL PAYROLL'!$B81,'[1]MASTER DATA'!$N:$N)</f>
        <v>#N/A</v>
      </c>
      <c r="H81" s="226" t="str">
        <f>SUMIF('[1]MASTER DATA'!$E:$E,'GENERAL PAYROLL'!$B81,'[1]MASTER DATA'!$W:$W)</f>
        <v>#N/A</v>
      </c>
      <c r="I81" s="226" t="str">
        <f>SUMIF('[1]MASTER DATA'!$E:$E,'GENERAL PAYROLL'!$B81,'[1]MASTER DATA'!$X:$X)+SUMIF('[1]MASTER DATA'!$E:$E,'GENERAL PAYROLL'!$B81,'[1]MASTER DATA'!$Y:$Y)</f>
        <v>#N/A</v>
      </c>
      <c r="J81" s="226"/>
      <c r="K81" s="226" t="str">
        <f>SUMIF('[1]MASTER DATA'!$E:$E,'GENERAL PAYROLL'!$B81,'[1]MASTER DATA'!$AC:$AC)</f>
        <v>#N/A</v>
      </c>
      <c r="L81" s="226" t="str">
        <f>SUMIF('[1]MASTER DATA'!$E:$E,'GENERAL PAYROLL'!$B81,'[1]MASTER DATA'!$AD:$AD)+SUMIF('[1]MASTER DATA'!$E:$E,'GENERAL PAYROLL'!$B81,'[1]MASTER DATA'!$AE:$AE)</f>
        <v>#N/A</v>
      </c>
      <c r="M81" s="226"/>
      <c r="N81" s="226" t="str">
        <f>SUMIF('[1]MASTER DATA'!$E:$E,'GENERAL PAYROLL'!$B81,'[1]MASTER DATA'!$AC:$AC)</f>
        <v>#N/A</v>
      </c>
      <c r="O81" s="226" t="str">
        <f>SUMIF('[1]MASTER DATA'!$E:$E,'GENERAL PAYROLL'!$B81,'[1]MASTER DATA'!$AD:$AD)+SUMIF('[1]MASTER DATA'!$E:$E,'GENERAL PAYROLL'!$B81,'[1]MASTER DATA'!$AE:$AE)</f>
        <v>#N/A</v>
      </c>
      <c r="P81" s="226"/>
      <c r="Q81" s="226"/>
      <c r="R81" s="226" t="str">
        <f>SUMIF('[1]MASTER DATA'!$E:$E,'GENERAL PAYROLL'!$B81,'[1]MASTER DATA'!$AP:$AP)</f>
        <v>#N/A</v>
      </c>
      <c r="S81" s="224" t="str">
        <f>SUMIF('[1]MASTER DATA'!$E:$E,'GENERAL PAYROLL'!$B81,'[1]MASTER DATA'!$AR:$AR)</f>
        <v>#N/A</v>
      </c>
      <c r="T81" s="226" t="str">
        <f>SUMIF('[1]MASTER DATA'!$E:$E,'GENERAL PAYROLL'!$B81,'[1]MASTER DATA'!$AS:$AS)</f>
        <v>#N/A</v>
      </c>
      <c r="U81" s="226" t="str">
        <f>SUMIF('[1]MASTER DATA'!$E:$E,'GENERAL PAYROLL'!$B81,'[1]MASTER DATA'!$AT:$AT)</f>
        <v>#N/A</v>
      </c>
      <c r="V81" s="226" t="str">
        <f>SUMIF('[1]MASTER DATA'!$E:$E,'GENERAL PAYROLL'!$B81,'[1]MASTER DATA'!$AU:$AU)</f>
        <v>#N/A</v>
      </c>
      <c r="W81" s="226" t="str">
        <f>SUMIF('[1]MASTER DATA'!$E:$E,'GENERAL PAYROLL'!$B81,'[1]MASTER DATA'!$AV:$AV)</f>
        <v>#N/A</v>
      </c>
      <c r="X81" s="226" t="str">
        <f>SUMIF('[1]MASTER DATA'!$E:$E,'GENERAL PAYROLL'!$B81,'[1]MASTER DATA'!$AW:$AW)</f>
        <v>#N/A</v>
      </c>
      <c r="Y81" s="226" t="str">
        <f>SUMIF('[1]MASTER DATA'!$E:$E,'GENERAL PAYROLL'!$B81,'[1]MASTER DATA'!$AX:$AX)</f>
        <v>#N/A</v>
      </c>
      <c r="Z81" s="224" t="str">
        <f>SUMIF('[1]MASTER DATA'!$E:$E,'GENERAL PAYROLL'!$B81,'[1]MASTER DATA'!$AY:$AY)</f>
        <v>#N/A</v>
      </c>
    </row>
    <row r="82" ht="15.75" hidden="1" customHeight="1">
      <c r="A82" s="220"/>
      <c r="B82" s="221"/>
      <c r="C82" s="219"/>
      <c r="D82" s="223"/>
      <c r="E82" s="223"/>
      <c r="F82" s="226"/>
      <c r="G82" s="224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4"/>
      <c r="T82" s="224"/>
      <c r="U82" s="224"/>
      <c r="V82" s="226"/>
      <c r="W82" s="226"/>
      <c r="X82" s="226"/>
      <c r="Y82" s="226"/>
      <c r="Z82" s="224"/>
    </row>
    <row r="83" ht="22.5" hidden="1" customHeight="1">
      <c r="A83" s="270" t="s">
        <v>168</v>
      </c>
      <c r="B83" s="26"/>
      <c r="C83" s="219"/>
      <c r="D83" s="223"/>
      <c r="E83" s="223"/>
      <c r="F83" s="226"/>
      <c r="G83" s="224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4"/>
      <c r="T83" s="224"/>
      <c r="U83" s="224"/>
      <c r="V83" s="226"/>
      <c r="W83" s="226"/>
      <c r="X83" s="226"/>
      <c r="Y83" s="226"/>
      <c r="Z83" s="224"/>
    </row>
    <row r="84" ht="15.75" hidden="1" customHeight="1">
      <c r="A84" s="220">
        <v>1.0</v>
      </c>
      <c r="B84" s="221" t="str">
        <f>IFERROR(VLOOKUP(#REF!,CODE!$B:$D,3,FALSE)," ")</f>
        <v> </v>
      </c>
      <c r="C84" s="219" t="str">
        <f>IFERROR(VLOOKUP(B84,'[1]MASTER DATA'!$E:$G,3,FALSE)," ")</f>
        <v> </v>
      </c>
      <c r="D84" s="223"/>
      <c r="E84" s="223">
        <v>11.0</v>
      </c>
      <c r="F84" s="226" t="str">
        <f>SUMIF('[1]MASTER DATA'!$E:$E,'GENERAL PAYROLL'!$B84,'[1]MASTER DATA'!$O:$O)</f>
        <v>#N/A</v>
      </c>
      <c r="G84" s="224" t="str">
        <f>SUMIF('[1]MASTER DATA'!$E:$E,'GENERAL PAYROLL'!$B84,'[1]MASTER DATA'!$N:$N)</f>
        <v>#N/A</v>
      </c>
      <c r="H84" s="226" t="str">
        <f>SUMIF('[1]MASTER DATA'!$E:$E,'GENERAL PAYROLL'!$B84,'[1]MASTER DATA'!$W:$W)</f>
        <v>#N/A</v>
      </c>
      <c r="I84" s="226" t="str">
        <f>SUMIF('[1]MASTER DATA'!$E:$E,'GENERAL PAYROLL'!$B84,'[1]MASTER DATA'!$X:$X)+SUMIF('[1]MASTER DATA'!$E:$E,'GENERAL PAYROLL'!$B84,'[1]MASTER DATA'!$Y:$Y)</f>
        <v>#N/A</v>
      </c>
      <c r="J84" s="226"/>
      <c r="K84" s="226" t="str">
        <f>SUMIF('[1]MASTER DATA'!$E:$E,'GENERAL PAYROLL'!$B84,'[1]MASTER DATA'!$AC:$AC)</f>
        <v>#N/A</v>
      </c>
      <c r="L84" s="226" t="str">
        <f>SUMIF('[1]MASTER DATA'!$E:$E,'GENERAL PAYROLL'!$B84,'[1]MASTER DATA'!$AD:$AD)+SUMIF('[1]MASTER DATA'!$E:$E,'GENERAL PAYROLL'!$B84,'[1]MASTER DATA'!$AE:$AE)</f>
        <v>#N/A</v>
      </c>
      <c r="M84" s="226"/>
      <c r="N84" s="226" t="str">
        <f>SUMIF('[1]MASTER DATA'!$E:$E,'GENERAL PAYROLL'!$B84,'[1]MASTER DATA'!$AC:$AC)</f>
        <v>#N/A</v>
      </c>
      <c r="O84" s="226" t="str">
        <f>SUMIF('[1]MASTER DATA'!$E:$E,'GENERAL PAYROLL'!$B84,'[1]MASTER DATA'!$AD:$AD)+SUMIF('[1]MASTER DATA'!$E:$E,'GENERAL PAYROLL'!$B84,'[1]MASTER DATA'!$AE:$AE)</f>
        <v>#N/A</v>
      </c>
      <c r="P84" s="226"/>
      <c r="Q84" s="226"/>
      <c r="R84" s="226" t="str">
        <f>SUMIF('[1]MASTER DATA'!$E:$E,'GENERAL PAYROLL'!$B84,'[1]MASTER DATA'!$AP:$AP)</f>
        <v>#N/A</v>
      </c>
      <c r="S84" s="224" t="str">
        <f>SUMIF('[1]MASTER DATA'!$E:$E,'GENERAL PAYROLL'!$B84,'[1]MASTER DATA'!$AR:$AR)</f>
        <v>#N/A</v>
      </c>
      <c r="T84" s="226" t="str">
        <f>SUMIF('[1]MASTER DATA'!$E:$E,'GENERAL PAYROLL'!$B84,'[1]MASTER DATA'!$AS:$AS)</f>
        <v>#N/A</v>
      </c>
      <c r="U84" s="226" t="str">
        <f>SUMIF('[1]MASTER DATA'!$E:$E,'GENERAL PAYROLL'!$B84,'[1]MASTER DATA'!$AT:$AT)</f>
        <v>#N/A</v>
      </c>
      <c r="V84" s="226" t="str">
        <f>SUMIF('[1]MASTER DATA'!$E:$E,'GENERAL PAYROLL'!$B84,'[1]MASTER DATA'!$AU:$AU)</f>
        <v>#N/A</v>
      </c>
      <c r="W84" s="226" t="str">
        <f>SUMIF('[1]MASTER DATA'!$E:$E,'GENERAL PAYROLL'!$B84,'[1]MASTER DATA'!$AV:$AV)</f>
        <v>#N/A</v>
      </c>
      <c r="X84" s="226" t="str">
        <f>SUMIF('[1]MASTER DATA'!$E:$E,'GENERAL PAYROLL'!$B84,'[1]MASTER DATA'!$AW:$AW)</f>
        <v>#N/A</v>
      </c>
      <c r="Y84" s="226" t="str">
        <f>SUMIF('[1]MASTER DATA'!$E:$E,'GENERAL PAYROLL'!$B84,'[1]MASTER DATA'!$AX:$AX)</f>
        <v>#N/A</v>
      </c>
      <c r="Z84" s="224" t="str">
        <f>SUMIF('[1]MASTER DATA'!$E:$E,'GENERAL PAYROLL'!$B84,'[1]MASTER DATA'!$AY:$AY)</f>
        <v>#N/A</v>
      </c>
    </row>
    <row r="85" ht="22.5" hidden="1" customHeight="1">
      <c r="A85" s="270" t="s">
        <v>169</v>
      </c>
      <c r="B85" s="26"/>
      <c r="C85" s="219"/>
      <c r="D85" s="223"/>
      <c r="E85" s="223"/>
      <c r="F85" s="226"/>
      <c r="G85" s="224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4"/>
      <c r="T85" s="224"/>
      <c r="U85" s="224"/>
      <c r="V85" s="226"/>
      <c r="W85" s="226"/>
      <c r="X85" s="226"/>
      <c r="Y85" s="226"/>
      <c r="Z85" s="224"/>
    </row>
    <row r="86" ht="22.5" hidden="1" customHeight="1">
      <c r="A86" s="271">
        <v>1.0</v>
      </c>
      <c r="B86" s="221" t="str">
        <f>IFERROR(VLOOKUP(#REF!,CODE!$B:$D,3,FALSE)," ")</f>
        <v> </v>
      </c>
      <c r="C86" s="219" t="s">
        <v>166</v>
      </c>
      <c r="D86" s="223"/>
      <c r="E86" s="223">
        <v>11.0</v>
      </c>
      <c r="F86" s="226" t="str">
        <f>SUMIF('[1]MASTER DATA'!$E:$E,'GENERAL PAYROLL'!$B86,'[1]MASTER DATA'!$O:$O)</f>
        <v>#N/A</v>
      </c>
      <c r="G86" s="224" t="str">
        <f>SUMIF('[1]MASTER DATA'!$E:$E,'GENERAL PAYROLL'!$B86,'[1]MASTER DATA'!$N:$N)</f>
        <v>#N/A</v>
      </c>
      <c r="H86" s="226" t="str">
        <f>SUMIF('[1]MASTER DATA'!$E:$E,'GENERAL PAYROLL'!$B86,'[1]MASTER DATA'!$W:$W)</f>
        <v>#N/A</v>
      </c>
      <c r="I86" s="226" t="str">
        <f>SUMIF('[1]MASTER DATA'!$E:$E,'GENERAL PAYROLL'!$B86,'[1]MASTER DATA'!$X:$X)+SUMIF('[1]MASTER DATA'!$E:$E,'GENERAL PAYROLL'!$B86,'[1]MASTER DATA'!$Y:$Y)</f>
        <v>#N/A</v>
      </c>
      <c r="J86" s="226"/>
      <c r="K86" s="226" t="str">
        <f>SUMIF('[1]MASTER DATA'!$E:$E,'GENERAL PAYROLL'!$B86,'[1]MASTER DATA'!$AC:$AC)</f>
        <v>#N/A</v>
      </c>
      <c r="L86" s="226" t="str">
        <f>SUMIF('[1]MASTER DATA'!$E:$E,'GENERAL PAYROLL'!$B86,'[1]MASTER DATA'!$AD:$AD)+SUMIF('[1]MASTER DATA'!$E:$E,'GENERAL PAYROLL'!$B86,'[1]MASTER DATA'!$AE:$AE)</f>
        <v>#N/A</v>
      </c>
      <c r="M86" s="226"/>
      <c r="N86" s="226" t="str">
        <f>SUMIF('[1]MASTER DATA'!$E:$E,'GENERAL PAYROLL'!$B86,'[1]MASTER DATA'!$AC:$AC)</f>
        <v>#N/A</v>
      </c>
      <c r="O86" s="226" t="str">
        <f>SUMIF('[1]MASTER DATA'!$E:$E,'GENERAL PAYROLL'!$B86,'[1]MASTER DATA'!$AD:$AD)+SUMIF('[1]MASTER DATA'!$E:$E,'GENERAL PAYROLL'!$B86,'[1]MASTER DATA'!$AE:$AE)</f>
        <v>#N/A</v>
      </c>
      <c r="P86" s="226"/>
      <c r="Q86" s="226"/>
      <c r="R86" s="226" t="str">
        <f>SUMIF('[1]MASTER DATA'!$E:$E,'GENERAL PAYROLL'!$B86,'[1]MASTER DATA'!$AP:$AP)</f>
        <v>#N/A</v>
      </c>
      <c r="S86" s="224" t="str">
        <f>SUMIF('[1]MASTER DATA'!$E:$E,'GENERAL PAYROLL'!$B86,'[1]MASTER DATA'!$AR:$AR)</f>
        <v>#N/A</v>
      </c>
      <c r="T86" s="226" t="str">
        <f>SUMIF('[1]MASTER DATA'!$E:$E,'GENERAL PAYROLL'!$B86,'[1]MASTER DATA'!$AS:$AS)</f>
        <v>#N/A</v>
      </c>
      <c r="U86" s="226" t="str">
        <f>SUMIF('[1]MASTER DATA'!$E:$E,'GENERAL PAYROLL'!$B86,'[1]MASTER DATA'!$AT:$AT)</f>
        <v>#N/A</v>
      </c>
      <c r="V86" s="226" t="str">
        <f>SUMIF('[1]MASTER DATA'!$E:$E,'GENERAL PAYROLL'!$B86,'[1]MASTER DATA'!$AU:$AU)</f>
        <v>#N/A</v>
      </c>
      <c r="W86" s="226" t="str">
        <f>SUMIF('[1]MASTER DATA'!$E:$E,'GENERAL PAYROLL'!$B86,'[1]MASTER DATA'!$AV:$AV)</f>
        <v>#N/A</v>
      </c>
      <c r="X86" s="226" t="str">
        <f>SUMIF('[1]MASTER DATA'!$E:$E,'GENERAL PAYROLL'!$B86,'[1]MASTER DATA'!$AW:$AW)</f>
        <v>#N/A</v>
      </c>
      <c r="Y86" s="226" t="str">
        <f>SUMIF('[1]MASTER DATA'!$E:$E,'GENERAL PAYROLL'!$B86,'[1]MASTER DATA'!$AX:$AX)</f>
        <v>#N/A</v>
      </c>
      <c r="Z86" s="224" t="str">
        <f>SUMIF('[1]MASTER DATA'!$E:$E,'GENERAL PAYROLL'!$B86,'[1]MASTER DATA'!$AY:$AY)</f>
        <v>#N/A</v>
      </c>
    </row>
    <row r="87" ht="15.75" hidden="1" customHeight="1">
      <c r="A87" s="220">
        <v>2.0</v>
      </c>
      <c r="B87" s="221" t="str">
        <f>IFERROR(VLOOKUP(#REF!,CODE!$B:$D,3,FALSE)," ")</f>
        <v> </v>
      </c>
      <c r="C87" s="219" t="s">
        <v>166</v>
      </c>
      <c r="D87" s="223"/>
      <c r="E87" s="223">
        <v>11.0</v>
      </c>
      <c r="F87" s="226" t="str">
        <f>SUMIF('[1]MASTER DATA'!$E:$E,'GENERAL PAYROLL'!$B87,'[1]MASTER DATA'!$O:$O)</f>
        <v>#N/A</v>
      </c>
      <c r="G87" s="224" t="str">
        <f>SUMIF('[1]MASTER DATA'!$E:$E,'GENERAL PAYROLL'!$B87,'[1]MASTER DATA'!$N:$N)</f>
        <v>#N/A</v>
      </c>
      <c r="H87" s="226" t="str">
        <f>SUMIF('[1]MASTER DATA'!$E:$E,'GENERAL PAYROLL'!$B87,'[1]MASTER DATA'!$W:$W)</f>
        <v>#N/A</v>
      </c>
      <c r="I87" s="226" t="str">
        <f>SUMIF('[1]MASTER DATA'!$E:$E,'GENERAL PAYROLL'!$B87,'[1]MASTER DATA'!$X:$X)+SUMIF('[1]MASTER DATA'!$E:$E,'GENERAL PAYROLL'!$B87,'[1]MASTER DATA'!$Y:$Y)</f>
        <v>#N/A</v>
      </c>
      <c r="J87" s="226"/>
      <c r="K87" s="226" t="str">
        <f>SUMIF('[1]MASTER DATA'!$E:$E,'GENERAL PAYROLL'!$B87,'[1]MASTER DATA'!$AC:$AC)</f>
        <v>#N/A</v>
      </c>
      <c r="L87" s="226" t="str">
        <f>SUMIF('[1]MASTER DATA'!$E:$E,'GENERAL PAYROLL'!$B87,'[1]MASTER DATA'!$AD:$AD)+SUMIF('[1]MASTER DATA'!$E:$E,'GENERAL PAYROLL'!$B87,'[1]MASTER DATA'!$AE:$AE)</f>
        <v>#N/A</v>
      </c>
      <c r="M87" s="226"/>
      <c r="N87" s="226" t="str">
        <f>SUMIF('[1]MASTER DATA'!$E:$E,'GENERAL PAYROLL'!$B87,'[1]MASTER DATA'!$AC:$AC)</f>
        <v>#N/A</v>
      </c>
      <c r="O87" s="226" t="str">
        <f>SUMIF('[1]MASTER DATA'!$E:$E,'GENERAL PAYROLL'!$B87,'[1]MASTER DATA'!$AD:$AD)+SUMIF('[1]MASTER DATA'!$E:$E,'GENERAL PAYROLL'!$B87,'[1]MASTER DATA'!$AE:$AE)</f>
        <v>#N/A</v>
      </c>
      <c r="P87" s="226"/>
      <c r="Q87" s="226"/>
      <c r="R87" s="226" t="str">
        <f>SUMIF('[1]MASTER DATA'!$E:$E,'GENERAL PAYROLL'!$B87,'[1]MASTER DATA'!$AP:$AP)</f>
        <v>#N/A</v>
      </c>
      <c r="S87" s="224" t="str">
        <f>SUMIF('[1]MASTER DATA'!$E:$E,'GENERAL PAYROLL'!$B87,'[1]MASTER DATA'!$AR:$AR)</f>
        <v>#N/A</v>
      </c>
      <c r="T87" s="226" t="str">
        <f>SUMIF('[1]MASTER DATA'!$E:$E,'GENERAL PAYROLL'!$B87,'[1]MASTER DATA'!$AS:$AS)</f>
        <v>#N/A</v>
      </c>
      <c r="U87" s="226" t="str">
        <f>SUMIF('[1]MASTER DATA'!$E:$E,'GENERAL PAYROLL'!$B87,'[1]MASTER DATA'!$AT:$AT)</f>
        <v>#N/A</v>
      </c>
      <c r="V87" s="226" t="str">
        <f>SUMIF('[1]MASTER DATA'!$E:$E,'GENERAL PAYROLL'!$B87,'[1]MASTER DATA'!$AU:$AU)</f>
        <v>#N/A</v>
      </c>
      <c r="W87" s="226" t="str">
        <f>SUMIF('[1]MASTER DATA'!$E:$E,'GENERAL PAYROLL'!$B87,'[1]MASTER DATA'!$AV:$AV)</f>
        <v>#N/A</v>
      </c>
      <c r="X87" s="226" t="str">
        <f>SUMIF('[1]MASTER DATA'!$E:$E,'GENERAL PAYROLL'!$B87,'[1]MASTER DATA'!$AW:$AW)</f>
        <v>#N/A</v>
      </c>
      <c r="Y87" s="226" t="str">
        <f>SUMIF('[1]MASTER DATA'!$E:$E,'GENERAL PAYROLL'!$B87,'[1]MASTER DATA'!$AX:$AX)</f>
        <v>#N/A</v>
      </c>
      <c r="Z87" s="224" t="str">
        <f>SUMIF('[1]MASTER DATA'!$E:$E,'GENERAL PAYROLL'!$B87,'[1]MASTER DATA'!$AY:$AY)</f>
        <v>#N/A</v>
      </c>
    </row>
    <row r="88" ht="15.75" hidden="1" customHeight="1">
      <c r="A88" s="218" t="s">
        <v>23</v>
      </c>
      <c r="B88" s="82"/>
      <c r="C88" s="219"/>
      <c r="D88" s="82"/>
      <c r="E88" s="82"/>
      <c r="F88" s="234"/>
      <c r="G88" s="234" t="str">
        <f t="shared" ref="G88:I88" si="9">SUM(G67:G87)</f>
        <v>#N/A</v>
      </c>
      <c r="H88" s="234" t="str">
        <f t="shared" si="9"/>
        <v>#N/A</v>
      </c>
      <c r="I88" s="234" t="str">
        <f t="shared" si="9"/>
        <v>#N/A</v>
      </c>
      <c r="J88" s="234"/>
      <c r="K88" s="234" t="str">
        <f t="shared" ref="K88:L88" si="10">SUM(K67:K87)</f>
        <v>#N/A</v>
      </c>
      <c r="L88" s="234" t="str">
        <f t="shared" si="10"/>
        <v>#N/A</v>
      </c>
      <c r="M88" s="234"/>
      <c r="N88" s="234" t="str">
        <f t="shared" ref="N88:O88" si="11">SUM(N67:N87)</f>
        <v>#N/A</v>
      </c>
      <c r="O88" s="234" t="str">
        <f t="shared" si="11"/>
        <v>#N/A</v>
      </c>
      <c r="P88" s="234"/>
      <c r="Q88" s="234"/>
      <c r="R88" s="234" t="str">
        <f t="shared" ref="R88:Z88" si="12">SUM(R67:R87)</f>
        <v>#N/A</v>
      </c>
      <c r="S88" s="234" t="str">
        <f t="shared" si="12"/>
        <v>#N/A</v>
      </c>
      <c r="T88" s="234" t="str">
        <f t="shared" si="12"/>
        <v>#N/A</v>
      </c>
      <c r="U88" s="234" t="str">
        <f t="shared" si="12"/>
        <v>#N/A</v>
      </c>
      <c r="V88" s="234" t="str">
        <f t="shared" si="12"/>
        <v>#N/A</v>
      </c>
      <c r="W88" s="234" t="str">
        <f t="shared" si="12"/>
        <v>#N/A</v>
      </c>
      <c r="X88" s="234" t="str">
        <f t="shared" si="12"/>
        <v>#N/A</v>
      </c>
      <c r="Y88" s="234" t="str">
        <f t="shared" si="12"/>
        <v>#N/A</v>
      </c>
      <c r="Z88" s="234" t="str">
        <f t="shared" si="12"/>
        <v>#N/A</v>
      </c>
    </row>
    <row r="89" ht="15.75" hidden="1" customHeight="1">
      <c r="A89" s="235"/>
      <c r="B89" s="236"/>
      <c r="C89" s="237"/>
      <c r="D89" s="236"/>
      <c r="E89" s="236"/>
      <c r="F89" s="238"/>
      <c r="G89" s="239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  <c r="W89" s="238"/>
      <c r="X89" s="238"/>
      <c r="Y89" s="238"/>
      <c r="Z89" s="240"/>
    </row>
    <row r="90" ht="15.75" hidden="1" customHeight="1">
      <c r="A90" s="241" t="s">
        <v>143</v>
      </c>
      <c r="C90" s="195"/>
      <c r="F90" s="6"/>
      <c r="G90" s="242" t="s">
        <v>144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243"/>
    </row>
    <row r="91" ht="15.75" hidden="1" customHeight="1">
      <c r="A91" s="241"/>
      <c r="C91" s="195"/>
      <c r="F91" s="6"/>
      <c r="G91" s="242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243"/>
    </row>
    <row r="92" ht="15.75" hidden="1" customHeight="1">
      <c r="A92" s="241"/>
      <c r="C92" s="195"/>
      <c r="F92" s="6"/>
      <c r="G92" s="24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243"/>
    </row>
    <row r="93" ht="15.75" hidden="1" customHeight="1">
      <c r="A93" s="241"/>
      <c r="B93" s="5" t="s">
        <v>145</v>
      </c>
      <c r="F93" s="6"/>
      <c r="G93" s="244" t="s">
        <v>146</v>
      </c>
      <c r="J93" s="194"/>
      <c r="K93" s="194"/>
      <c r="L93" s="6"/>
      <c r="M93" s="6"/>
      <c r="N93" s="194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243"/>
    </row>
    <row r="94" ht="15.75" hidden="1" customHeight="1">
      <c r="A94" s="245"/>
      <c r="B94" s="246" t="s">
        <v>170</v>
      </c>
      <c r="C94" s="247"/>
      <c r="D94" s="247"/>
      <c r="E94" s="247"/>
      <c r="F94" s="248"/>
      <c r="G94" s="249" t="s">
        <v>148</v>
      </c>
      <c r="H94" s="247"/>
      <c r="I94" s="247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50"/>
    </row>
    <row r="95" ht="15.75" hidden="1" customHeight="1">
      <c r="A95" s="235" t="s">
        <v>149</v>
      </c>
      <c r="B95" s="236"/>
      <c r="C95" s="237"/>
      <c r="D95" s="236"/>
      <c r="E95" s="236"/>
      <c r="F95" s="238"/>
      <c r="G95" s="239" t="s">
        <v>150</v>
      </c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40"/>
      <c r="V95" s="251"/>
      <c r="W95" s="25"/>
      <c r="X95" s="25"/>
      <c r="Y95" s="25"/>
      <c r="Z95" s="26"/>
    </row>
    <row r="96" ht="15.75" hidden="1" customHeight="1">
      <c r="A96" s="241"/>
      <c r="B96" s="227" t="s">
        <v>151</v>
      </c>
      <c r="C96" s="195"/>
      <c r="F96" s="6"/>
      <c r="G96" s="252" t="s">
        <v>152</v>
      </c>
      <c r="L96" s="6"/>
      <c r="M96" s="6"/>
      <c r="O96" s="6"/>
      <c r="P96" s="6"/>
      <c r="Q96" s="6"/>
      <c r="R96" s="6"/>
      <c r="S96" s="6"/>
      <c r="T96" s="6"/>
      <c r="U96" s="243"/>
      <c r="V96" s="251" t="s">
        <v>153</v>
      </c>
      <c r="W96" s="25"/>
      <c r="X96" s="25"/>
      <c r="Y96" s="25"/>
      <c r="Z96" s="26"/>
    </row>
    <row r="97" ht="15.75" hidden="1" customHeight="1">
      <c r="A97" s="241"/>
      <c r="C97" s="195"/>
      <c r="F97" s="6"/>
      <c r="G97" s="242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243"/>
      <c r="V97" s="251" t="s">
        <v>154</v>
      </c>
      <c r="W97" s="25"/>
      <c r="X97" s="25"/>
      <c r="Y97" s="25"/>
      <c r="Z97" s="26"/>
    </row>
    <row r="98" ht="15.75" hidden="1" customHeight="1">
      <c r="A98" s="241"/>
      <c r="C98" s="195"/>
      <c r="F98" s="6"/>
      <c r="G98" s="24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243"/>
      <c r="V98" s="251" t="s">
        <v>155</v>
      </c>
      <c r="W98" s="25"/>
      <c r="X98" s="25"/>
      <c r="Y98" s="25"/>
      <c r="Z98" s="26"/>
    </row>
    <row r="99" ht="15.75" hidden="1" customHeight="1">
      <c r="A99" s="241"/>
      <c r="B99" s="5" t="s">
        <v>171</v>
      </c>
      <c r="F99" s="6"/>
      <c r="G99" s="244" t="s">
        <v>172</v>
      </c>
      <c r="J99" s="194"/>
      <c r="K99" s="194"/>
      <c r="L99" s="6"/>
      <c r="M99" s="6"/>
      <c r="N99" s="194"/>
      <c r="O99" s="6"/>
      <c r="P99" s="6"/>
      <c r="Q99" s="6"/>
      <c r="R99" s="6"/>
      <c r="S99" s="248"/>
      <c r="T99" s="247"/>
      <c r="U99" s="212"/>
      <c r="V99" s="251" t="s">
        <v>154</v>
      </c>
      <c r="W99" s="25"/>
      <c r="X99" s="25"/>
      <c r="Y99" s="25"/>
      <c r="Z99" s="26"/>
    </row>
    <row r="100" ht="15.75" hidden="1" customHeight="1">
      <c r="A100" s="245"/>
      <c r="B100" s="246" t="s">
        <v>173</v>
      </c>
      <c r="C100" s="247"/>
      <c r="D100" s="247"/>
      <c r="E100" s="247"/>
      <c r="F100" s="248"/>
      <c r="G100" s="249" t="s">
        <v>174</v>
      </c>
      <c r="H100" s="247"/>
      <c r="I100" s="247"/>
      <c r="J100" s="248"/>
      <c r="K100" s="248"/>
      <c r="L100" s="248"/>
      <c r="M100" s="248"/>
      <c r="N100" s="248"/>
      <c r="O100" s="248"/>
      <c r="P100" s="248"/>
      <c r="Q100" s="248"/>
      <c r="R100" s="248"/>
      <c r="S100" s="255" t="s">
        <v>160</v>
      </c>
      <c r="T100" s="247"/>
      <c r="U100" s="212"/>
      <c r="V100" s="251"/>
      <c r="W100" s="25"/>
      <c r="X100" s="25"/>
      <c r="Y100" s="25"/>
      <c r="Z100" s="26"/>
    </row>
    <row r="101" ht="15.75" hidden="1" customHeight="1">
      <c r="C101" s="19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hidden="1" customHeight="1">
      <c r="C102" s="19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hidden="1" customHeight="1">
      <c r="C103" s="19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hidden="1" customHeight="1">
      <c r="C104" s="19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hidden="1" customHeight="1">
      <c r="C105" s="19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hidden="1" customHeight="1">
      <c r="C106" s="195"/>
      <c r="F106" s="6"/>
      <c r="G106" s="194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hidden="1" customHeight="1">
      <c r="C107" s="195"/>
      <c r="F107" s="6"/>
      <c r="G107" s="194" t="s">
        <v>121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hidden="1" customHeight="1">
      <c r="C108" s="19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hidden="1" customHeight="1">
      <c r="C109" s="19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hidden="1" customHeight="1">
      <c r="C110" s="19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hidden="1" customHeight="1">
      <c r="C111" s="19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hidden="1" customHeight="1">
      <c r="B112" s="227" t="s">
        <v>122</v>
      </c>
      <c r="C112" s="19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hidden="1" customHeight="1">
      <c r="C113" s="19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hidden="1" customHeight="1">
      <c r="C114" s="19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hidden="1" customHeight="1">
      <c r="B115" s="227" t="s">
        <v>123</v>
      </c>
      <c r="C115" s="19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hidden="1" customHeight="1">
      <c r="B116" s="200" t="s">
        <v>161</v>
      </c>
      <c r="C116" s="20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hidden="1" customHeight="1">
      <c r="A117" s="256" t="s">
        <v>8</v>
      </c>
      <c r="B117" s="20"/>
      <c r="C117" s="257" t="s">
        <v>10</v>
      </c>
      <c r="D117" s="258"/>
      <c r="E117" s="257" t="s">
        <v>125</v>
      </c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</row>
    <row r="118" ht="15.75" hidden="1" customHeight="1">
      <c r="A118" s="204"/>
      <c r="B118" s="205"/>
      <c r="C118" s="37"/>
      <c r="D118" s="258"/>
      <c r="E118" s="37"/>
      <c r="F118" s="260" t="s">
        <v>126</v>
      </c>
      <c r="G118" s="260" t="s">
        <v>127</v>
      </c>
      <c r="H118" s="261" t="s">
        <v>128</v>
      </c>
      <c r="I118" s="26"/>
      <c r="J118" s="259"/>
      <c r="K118" s="261" t="s">
        <v>128</v>
      </c>
      <c r="L118" s="26"/>
      <c r="M118" s="259"/>
      <c r="N118" s="261" t="s">
        <v>128</v>
      </c>
      <c r="O118" s="26"/>
      <c r="P118" s="259"/>
      <c r="Q118" s="259"/>
      <c r="R118" s="259" t="s">
        <v>129</v>
      </c>
      <c r="S118" s="262" t="s">
        <v>23</v>
      </c>
      <c r="T118" s="261" t="s">
        <v>128</v>
      </c>
      <c r="U118" s="26"/>
      <c r="V118" s="259" t="s">
        <v>128</v>
      </c>
      <c r="W118" s="259"/>
      <c r="X118" s="259"/>
      <c r="Y118" s="259"/>
      <c r="Z118" s="260" t="s">
        <v>131</v>
      </c>
    </row>
    <row r="119" ht="15.75" hidden="1" customHeight="1">
      <c r="A119" s="204"/>
      <c r="B119" s="205"/>
      <c r="C119" s="37"/>
      <c r="D119" s="258"/>
      <c r="E119" s="37"/>
      <c r="F119" s="37"/>
      <c r="G119" s="37"/>
      <c r="H119" s="259" t="s">
        <v>132</v>
      </c>
      <c r="I119" s="259" t="s">
        <v>133</v>
      </c>
      <c r="J119" s="259"/>
      <c r="K119" s="259" t="s">
        <v>132</v>
      </c>
      <c r="L119" s="259" t="s">
        <v>133</v>
      </c>
      <c r="M119" s="259"/>
      <c r="N119" s="259" t="s">
        <v>132</v>
      </c>
      <c r="O119" s="259" t="s">
        <v>133</v>
      </c>
      <c r="P119" s="259"/>
      <c r="Q119" s="259"/>
      <c r="R119" s="259" t="s">
        <v>162</v>
      </c>
      <c r="S119" s="58"/>
      <c r="T119" s="261" t="s">
        <v>26</v>
      </c>
      <c r="U119" s="26"/>
      <c r="V119" s="263" t="s">
        <v>137</v>
      </c>
      <c r="W119" s="263" t="s">
        <v>138</v>
      </c>
      <c r="X119" s="263" t="s">
        <v>139</v>
      </c>
      <c r="Y119" s="263" t="s">
        <v>38</v>
      </c>
      <c r="Z119" s="37"/>
    </row>
    <row r="120" ht="15.75" hidden="1" customHeight="1">
      <c r="A120" s="211"/>
      <c r="B120" s="212"/>
      <c r="C120" s="58"/>
      <c r="D120" s="258"/>
      <c r="E120" s="58"/>
      <c r="F120" s="58"/>
      <c r="G120" s="58"/>
      <c r="H120" s="264" t="s">
        <v>163</v>
      </c>
      <c r="I120" s="26"/>
      <c r="J120" s="265"/>
      <c r="K120" s="266" t="s">
        <v>164</v>
      </c>
      <c r="L120" s="26"/>
      <c r="M120" s="267"/>
      <c r="N120" s="266" t="s">
        <v>164</v>
      </c>
      <c r="O120" s="26"/>
      <c r="P120" s="267"/>
      <c r="Q120" s="267"/>
      <c r="R120" s="259"/>
      <c r="S120" s="259"/>
      <c r="T120" s="268">
        <v>0.02</v>
      </c>
      <c r="U120" s="269">
        <v>0.03</v>
      </c>
      <c r="V120" s="259"/>
      <c r="W120" s="259"/>
      <c r="X120" s="259"/>
      <c r="Y120" s="259"/>
      <c r="Z120" s="58"/>
    </row>
    <row r="121" ht="15.75" hidden="1" customHeight="1">
      <c r="A121" s="218" t="s">
        <v>175</v>
      </c>
      <c r="B121" s="82"/>
      <c r="C121" s="219"/>
      <c r="D121" s="82"/>
      <c r="E121" s="82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ht="15.75" hidden="1" customHeight="1">
      <c r="A122" s="220">
        <v>1.0</v>
      </c>
      <c r="B122" s="221" t="str">
        <f>IFERROR(VLOOKUP(#REF!,CODE!$B:$D,3,FALSE)," ")</f>
        <v> </v>
      </c>
      <c r="C122" s="219" t="str">
        <f>IFERROR(VLOOKUP(B122,'[1]MASTER DATA'!$E:$G,3,FALSE)," ")</f>
        <v> </v>
      </c>
      <c r="D122" s="223"/>
      <c r="E122" s="223">
        <v>11.0</v>
      </c>
      <c r="F122" s="226" t="str">
        <f>SUMIF('[1]MASTER DATA'!$E:$E,'GENERAL PAYROLL'!$B122,'[1]MASTER DATA'!$O:$O)</f>
        <v>#N/A</v>
      </c>
      <c r="G122" s="224" t="str">
        <f>SUMIF('[1]MASTER DATA'!$E:$E,'GENERAL PAYROLL'!$B122,'[1]MASTER DATA'!$N:$N)</f>
        <v>#N/A</v>
      </c>
      <c r="H122" s="226" t="str">
        <f>SUMIF('[1]MASTER DATA'!$E:$E,'GENERAL PAYROLL'!$B122,'[1]MASTER DATA'!$W:$W)</f>
        <v>#N/A</v>
      </c>
      <c r="I122" s="226" t="str">
        <f>SUMIF('[1]MASTER DATA'!$E:$E,'GENERAL PAYROLL'!$B122,'[1]MASTER DATA'!$X:$X)+SUMIF('[1]MASTER DATA'!$E:$E,'GENERAL PAYROLL'!$B122,'[1]MASTER DATA'!$Y:$Y)</f>
        <v>#N/A</v>
      </c>
      <c r="J122" s="226"/>
      <c r="K122" s="226" t="str">
        <f>SUMIF('[1]MASTER DATA'!$E:$E,'GENERAL PAYROLL'!$B122,'[1]MASTER DATA'!$AC:$AC)</f>
        <v>#N/A</v>
      </c>
      <c r="L122" s="226" t="str">
        <f>SUMIF('[1]MASTER DATA'!$E:$E,'GENERAL PAYROLL'!$B122,'[1]MASTER DATA'!$AD:$AD)+SUMIF('[1]MASTER DATA'!$E:$E,'GENERAL PAYROLL'!$B122,'[1]MASTER DATA'!$AE:$AE)</f>
        <v>#N/A</v>
      </c>
      <c r="M122" s="226"/>
      <c r="N122" s="226" t="str">
        <f>SUMIF('[1]MASTER DATA'!$E:$E,'GENERAL PAYROLL'!$B122,'[1]MASTER DATA'!$AC:$AC)</f>
        <v>#N/A</v>
      </c>
      <c r="O122" s="226" t="str">
        <f>SUMIF('[1]MASTER DATA'!$E:$E,'GENERAL PAYROLL'!$B122,'[1]MASTER DATA'!$AD:$AD)+SUMIF('[1]MASTER DATA'!$E:$E,'GENERAL PAYROLL'!$B122,'[1]MASTER DATA'!$AE:$AE)</f>
        <v>#N/A</v>
      </c>
      <c r="P122" s="226"/>
      <c r="Q122" s="226"/>
      <c r="R122" s="226" t="str">
        <f>SUMIF('[1]MASTER DATA'!$E:$E,'GENERAL PAYROLL'!$B122,'[1]MASTER DATA'!$AP:$AP)</f>
        <v>#N/A</v>
      </c>
      <c r="S122" s="224" t="str">
        <f>SUMIF('[1]MASTER DATA'!$E:$E,'GENERAL PAYROLL'!$B122,'[1]MASTER DATA'!$AR:$AR)</f>
        <v>#N/A</v>
      </c>
      <c r="T122" s="226" t="str">
        <f>SUMIF('[1]MASTER DATA'!$E:$E,'GENERAL PAYROLL'!$B122,'[1]MASTER DATA'!$AS:$AS)</f>
        <v>#N/A</v>
      </c>
      <c r="U122" s="226" t="str">
        <f>SUMIF('[1]MASTER DATA'!$E:$E,'GENERAL PAYROLL'!$B122,'[1]MASTER DATA'!$AT:$AT)</f>
        <v>#N/A</v>
      </c>
      <c r="V122" s="226" t="str">
        <f>SUMIF('[1]MASTER DATA'!$E:$E,'GENERAL PAYROLL'!$B122,'[1]MASTER DATA'!$AU:$AU)</f>
        <v>#N/A</v>
      </c>
      <c r="W122" s="226" t="str">
        <f>SUMIF('[1]MASTER DATA'!$E:$E,'GENERAL PAYROLL'!$B122,'[1]MASTER DATA'!$AV:$AV)</f>
        <v>#N/A</v>
      </c>
      <c r="X122" s="226" t="str">
        <f>SUMIF('[1]MASTER DATA'!$E:$E,'GENERAL PAYROLL'!$B122,'[1]MASTER DATA'!$AW:$AW)</f>
        <v>#N/A</v>
      </c>
      <c r="Y122" s="226" t="str">
        <f>SUMIF('[1]MASTER DATA'!$E:$E,'GENERAL PAYROLL'!$B122,'[1]MASTER DATA'!$AX:$AX)</f>
        <v>#N/A</v>
      </c>
      <c r="Z122" s="224" t="str">
        <f>SUMIF('[1]MASTER DATA'!$E:$E,'GENERAL PAYROLL'!$B122,'[1]MASTER DATA'!$AY:$AY)</f>
        <v>#N/A</v>
      </c>
    </row>
    <row r="123" ht="15.75" hidden="1" customHeight="1">
      <c r="A123" s="220">
        <v>2.0</v>
      </c>
      <c r="B123" s="221"/>
      <c r="C123" s="219"/>
      <c r="D123" s="223"/>
      <c r="E123" s="223"/>
      <c r="F123" s="226"/>
      <c r="G123" s="224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4"/>
      <c r="T123" s="226"/>
      <c r="U123" s="226"/>
      <c r="V123" s="226"/>
      <c r="W123" s="226"/>
      <c r="X123" s="226"/>
      <c r="Y123" s="226"/>
      <c r="Z123" s="224"/>
    </row>
    <row r="124" ht="15.75" hidden="1" customHeight="1">
      <c r="A124" s="271"/>
      <c r="B124" s="272"/>
      <c r="C124" s="219"/>
      <c r="D124" s="223"/>
      <c r="E124" s="223"/>
      <c r="F124" s="226"/>
      <c r="G124" s="224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4"/>
      <c r="T124" s="224"/>
      <c r="U124" s="224"/>
      <c r="V124" s="226"/>
      <c r="W124" s="226"/>
      <c r="X124" s="226"/>
      <c r="Y124" s="226"/>
      <c r="Z124" s="224"/>
    </row>
    <row r="125" ht="15.75" hidden="1" customHeight="1">
      <c r="A125" s="270" t="s">
        <v>176</v>
      </c>
      <c r="B125" s="26"/>
      <c r="C125" s="219"/>
      <c r="D125" s="223"/>
      <c r="E125" s="223"/>
      <c r="F125" s="226"/>
      <c r="G125" s="224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4"/>
      <c r="T125" s="224"/>
      <c r="U125" s="224"/>
      <c r="V125" s="226"/>
      <c r="W125" s="226"/>
      <c r="X125" s="226"/>
      <c r="Y125" s="226"/>
      <c r="Z125" s="224"/>
    </row>
    <row r="126" ht="15.75" hidden="1" customHeight="1">
      <c r="A126" s="220">
        <v>1.0</v>
      </c>
      <c r="B126" s="221" t="str">
        <f>IFERROR(VLOOKUP(#REF!,CODE!$B:$D,3,FALSE)," ")</f>
        <v> </v>
      </c>
      <c r="C126" s="219" t="s">
        <v>166</v>
      </c>
      <c r="D126" s="223"/>
      <c r="E126" s="223">
        <v>11.0</v>
      </c>
      <c r="F126" s="226" t="str">
        <f>SUMIF('[1]MASTER DATA'!$E:$E,'GENERAL PAYROLL'!$B126,'[1]MASTER DATA'!$O:$O)</f>
        <v>#N/A</v>
      </c>
      <c r="G126" s="224" t="str">
        <f>SUMIF('[1]MASTER DATA'!$E:$E,'GENERAL PAYROLL'!$B126,'[1]MASTER DATA'!$N:$N)</f>
        <v>#N/A</v>
      </c>
      <c r="H126" s="226" t="str">
        <f>SUMIF('[1]MASTER DATA'!$E:$E,'GENERAL PAYROLL'!$B126,'[1]MASTER DATA'!$W:$W)</f>
        <v>#N/A</v>
      </c>
      <c r="I126" s="226" t="str">
        <f>SUMIF('[1]MASTER DATA'!$E:$E,'GENERAL PAYROLL'!$B126,'[1]MASTER DATA'!$X:$X)+SUMIF('[1]MASTER DATA'!$E:$E,'GENERAL PAYROLL'!$B126,'[1]MASTER DATA'!$Y:$Y)</f>
        <v>#N/A</v>
      </c>
      <c r="J126" s="226"/>
      <c r="K126" s="226" t="str">
        <f>SUMIF('[1]MASTER DATA'!$E:$E,'GENERAL PAYROLL'!$B126,'[1]MASTER DATA'!$AC:$AC)</f>
        <v>#N/A</v>
      </c>
      <c r="L126" s="226" t="str">
        <f>SUMIF('[1]MASTER DATA'!$E:$E,'GENERAL PAYROLL'!$B126,'[1]MASTER DATA'!$AD:$AD)+SUMIF('[1]MASTER DATA'!$E:$E,'GENERAL PAYROLL'!$B126,'[1]MASTER DATA'!$AE:$AE)</f>
        <v>#N/A</v>
      </c>
      <c r="M126" s="226"/>
      <c r="N126" s="226" t="str">
        <f>SUMIF('[1]MASTER DATA'!$E:$E,'GENERAL PAYROLL'!$B126,'[1]MASTER DATA'!$AC:$AC)</f>
        <v>#N/A</v>
      </c>
      <c r="O126" s="226" t="str">
        <f>SUMIF('[1]MASTER DATA'!$E:$E,'GENERAL PAYROLL'!$B126,'[1]MASTER DATA'!$AD:$AD)+SUMIF('[1]MASTER DATA'!$E:$E,'GENERAL PAYROLL'!$B126,'[1]MASTER DATA'!$AE:$AE)</f>
        <v>#N/A</v>
      </c>
      <c r="P126" s="226"/>
      <c r="Q126" s="226"/>
      <c r="R126" s="226" t="str">
        <f>SUMIF('[1]MASTER DATA'!$E:$E,'GENERAL PAYROLL'!$B126,'[1]MASTER DATA'!$AP:$AP)</f>
        <v>#N/A</v>
      </c>
      <c r="S126" s="224" t="str">
        <f>SUMIF('[1]MASTER DATA'!$E:$E,'GENERAL PAYROLL'!$B126,'[1]MASTER DATA'!$AR:$AR)</f>
        <v>#N/A</v>
      </c>
      <c r="T126" s="226" t="str">
        <f>SUMIF('[1]MASTER DATA'!$E:$E,'GENERAL PAYROLL'!$B126,'[1]MASTER DATA'!$AS:$AS)</f>
        <v>#N/A</v>
      </c>
      <c r="U126" s="226" t="str">
        <f>SUMIF('[1]MASTER DATA'!$E:$E,'GENERAL PAYROLL'!$B126,'[1]MASTER DATA'!$AT:$AT)</f>
        <v>#N/A</v>
      </c>
      <c r="V126" s="226" t="str">
        <f>SUMIF('[1]MASTER DATA'!$E:$E,'GENERAL PAYROLL'!$B126,'[1]MASTER DATA'!$AU:$AU)</f>
        <v>#N/A</v>
      </c>
      <c r="W126" s="226" t="str">
        <f>SUMIF('[1]MASTER DATA'!$E:$E,'GENERAL PAYROLL'!$B126,'[1]MASTER DATA'!$AV:$AV)</f>
        <v>#N/A</v>
      </c>
      <c r="X126" s="226" t="str">
        <f>SUMIF('[1]MASTER DATA'!$E:$E,'GENERAL PAYROLL'!$B126,'[1]MASTER DATA'!$AW:$AW)</f>
        <v>#N/A</v>
      </c>
      <c r="Y126" s="226" t="str">
        <f>SUMIF('[1]MASTER DATA'!$E:$E,'GENERAL PAYROLL'!$B126,'[1]MASTER DATA'!$AX:$AX)</f>
        <v>#N/A</v>
      </c>
      <c r="Z126" s="224" t="str">
        <f>SUMIF('[1]MASTER DATA'!$E:$E,'GENERAL PAYROLL'!$B126,'[1]MASTER DATA'!$AY:$AY)</f>
        <v>#N/A</v>
      </c>
    </row>
    <row r="127" ht="15.75" hidden="1" customHeight="1">
      <c r="A127" s="220">
        <v>2.0</v>
      </c>
      <c r="B127" s="221" t="str">
        <f>IFERROR(VLOOKUP(#REF!,CODE!$B:$D,3,FALSE)," ")</f>
        <v> </v>
      </c>
      <c r="C127" s="219" t="s">
        <v>166</v>
      </c>
      <c r="D127" s="223"/>
      <c r="E127" s="223">
        <v>11.0</v>
      </c>
      <c r="F127" s="226" t="str">
        <f>SUMIF('[1]MASTER DATA'!$E:$E,'GENERAL PAYROLL'!$B127,'[1]MASTER DATA'!$O:$O)</f>
        <v>#N/A</v>
      </c>
      <c r="G127" s="224" t="str">
        <f>SUMIF('[1]MASTER DATA'!$E:$E,'GENERAL PAYROLL'!$B127,'[1]MASTER DATA'!$N:$N)</f>
        <v>#N/A</v>
      </c>
      <c r="H127" s="226" t="str">
        <f>SUMIF('[1]MASTER DATA'!$E:$E,'GENERAL PAYROLL'!$B127,'[1]MASTER DATA'!$W:$W)</f>
        <v>#N/A</v>
      </c>
      <c r="I127" s="226" t="str">
        <f>SUMIF('[1]MASTER DATA'!$E:$E,'GENERAL PAYROLL'!$B127,'[1]MASTER DATA'!$X:$X)+SUMIF('[1]MASTER DATA'!$E:$E,'GENERAL PAYROLL'!$B127,'[1]MASTER DATA'!$Y:$Y)</f>
        <v>#N/A</v>
      </c>
      <c r="J127" s="226"/>
      <c r="K127" s="226" t="str">
        <f>SUMIF('[1]MASTER DATA'!$E:$E,'GENERAL PAYROLL'!$B127,'[1]MASTER DATA'!$AC:$AC)</f>
        <v>#N/A</v>
      </c>
      <c r="L127" s="226" t="str">
        <f>SUMIF('[1]MASTER DATA'!$E:$E,'GENERAL PAYROLL'!$B127,'[1]MASTER DATA'!$AD:$AD)+SUMIF('[1]MASTER DATA'!$E:$E,'GENERAL PAYROLL'!$B127,'[1]MASTER DATA'!$AE:$AE)</f>
        <v>#N/A</v>
      </c>
      <c r="M127" s="226"/>
      <c r="N127" s="226" t="str">
        <f>SUMIF('[1]MASTER DATA'!$E:$E,'GENERAL PAYROLL'!$B127,'[1]MASTER DATA'!$AC:$AC)</f>
        <v>#N/A</v>
      </c>
      <c r="O127" s="226" t="str">
        <f>SUMIF('[1]MASTER DATA'!$E:$E,'GENERAL PAYROLL'!$B127,'[1]MASTER DATA'!$AD:$AD)+SUMIF('[1]MASTER DATA'!$E:$E,'GENERAL PAYROLL'!$B127,'[1]MASTER DATA'!$AE:$AE)</f>
        <v>#N/A</v>
      </c>
      <c r="P127" s="226"/>
      <c r="Q127" s="226"/>
      <c r="R127" s="226" t="str">
        <f>SUMIF('[1]MASTER DATA'!$E:$E,'GENERAL PAYROLL'!$B127,'[1]MASTER DATA'!$AP:$AP)</f>
        <v>#N/A</v>
      </c>
      <c r="S127" s="224" t="str">
        <f>SUMIF('[1]MASTER DATA'!$E:$E,'GENERAL PAYROLL'!$B127,'[1]MASTER DATA'!$AR:$AR)</f>
        <v>#N/A</v>
      </c>
      <c r="T127" s="226" t="str">
        <f>SUMIF('[1]MASTER DATA'!$E:$E,'GENERAL PAYROLL'!$B127,'[1]MASTER DATA'!$AS:$AS)</f>
        <v>#N/A</v>
      </c>
      <c r="U127" s="226" t="str">
        <f>SUMIF('[1]MASTER DATA'!$E:$E,'GENERAL PAYROLL'!$B127,'[1]MASTER DATA'!$AT:$AT)</f>
        <v>#N/A</v>
      </c>
      <c r="V127" s="226" t="str">
        <f>SUMIF('[1]MASTER DATA'!$E:$E,'GENERAL PAYROLL'!$B127,'[1]MASTER DATA'!$AU:$AU)</f>
        <v>#N/A</v>
      </c>
      <c r="W127" s="226" t="str">
        <f>SUMIF('[1]MASTER DATA'!$E:$E,'GENERAL PAYROLL'!$B127,'[1]MASTER DATA'!$AV:$AV)</f>
        <v>#N/A</v>
      </c>
      <c r="X127" s="226" t="str">
        <f>SUMIF('[1]MASTER DATA'!$E:$E,'GENERAL PAYROLL'!$B127,'[1]MASTER DATA'!$AW:$AW)</f>
        <v>#N/A</v>
      </c>
      <c r="Y127" s="226" t="str">
        <f>SUMIF('[1]MASTER DATA'!$E:$E,'GENERAL PAYROLL'!$B127,'[1]MASTER DATA'!$AX:$AX)</f>
        <v>#N/A</v>
      </c>
      <c r="Z127" s="224" t="str">
        <f>SUMIF('[1]MASTER DATA'!$E:$E,'GENERAL PAYROLL'!$B127,'[1]MASTER DATA'!$AY:$AY)</f>
        <v>#N/A</v>
      </c>
    </row>
    <row r="128" ht="15.75" hidden="1" customHeight="1">
      <c r="A128" s="220">
        <v>3.0</v>
      </c>
      <c r="B128" s="221"/>
      <c r="C128" s="219"/>
      <c r="D128" s="223"/>
      <c r="E128" s="223"/>
      <c r="F128" s="226"/>
      <c r="G128" s="224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4"/>
      <c r="T128" s="226"/>
      <c r="U128" s="226"/>
      <c r="V128" s="226"/>
      <c r="W128" s="226"/>
      <c r="X128" s="226"/>
      <c r="Y128" s="226"/>
      <c r="Z128" s="224"/>
    </row>
    <row r="129" ht="15.75" hidden="1" customHeight="1">
      <c r="A129" s="220"/>
      <c r="B129" s="221"/>
      <c r="C129" s="219"/>
      <c r="D129" s="223"/>
      <c r="E129" s="223"/>
      <c r="F129" s="226"/>
      <c r="G129" s="224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4"/>
      <c r="T129" s="224"/>
      <c r="U129" s="224"/>
      <c r="V129" s="226"/>
      <c r="W129" s="226"/>
      <c r="X129" s="226"/>
      <c r="Y129" s="226"/>
      <c r="Z129" s="224"/>
    </row>
    <row r="130" ht="15.75" hidden="1" customHeight="1">
      <c r="A130" s="270" t="s">
        <v>177</v>
      </c>
      <c r="B130" s="26"/>
      <c r="C130" s="219"/>
      <c r="D130" s="223"/>
      <c r="E130" s="223"/>
      <c r="F130" s="226"/>
      <c r="G130" s="224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4"/>
      <c r="T130" s="224"/>
      <c r="U130" s="224"/>
      <c r="V130" s="226"/>
      <c r="W130" s="226"/>
      <c r="X130" s="226"/>
      <c r="Y130" s="226"/>
      <c r="Z130" s="224"/>
    </row>
    <row r="131" ht="15.75" hidden="1" customHeight="1">
      <c r="A131" s="220">
        <v>1.0</v>
      </c>
      <c r="B131" s="221" t="str">
        <f>IFERROR(VLOOKUP(#REF!,CODE!$B:$D,3,FALSE)," ")</f>
        <v> </v>
      </c>
      <c r="C131" s="219" t="s">
        <v>166</v>
      </c>
      <c r="D131" s="223"/>
      <c r="E131" s="223">
        <v>11.0</v>
      </c>
      <c r="F131" s="226" t="str">
        <f>SUMIF('[1]MASTER DATA'!$E:$E,'GENERAL PAYROLL'!$B131,'[1]MASTER DATA'!$O:$O)</f>
        <v>#N/A</v>
      </c>
      <c r="G131" s="224" t="str">
        <f>SUMIF('[1]MASTER DATA'!$E:$E,'GENERAL PAYROLL'!$B131,'[1]MASTER DATA'!$N:$N)</f>
        <v>#N/A</v>
      </c>
      <c r="H131" s="226" t="str">
        <f>SUMIF('[1]MASTER DATA'!$E:$E,'GENERAL PAYROLL'!$B131,'[1]MASTER DATA'!$W:$W)</f>
        <v>#N/A</v>
      </c>
      <c r="I131" s="226" t="str">
        <f>SUMIF('[1]MASTER DATA'!$E:$E,'GENERAL PAYROLL'!$B131,'[1]MASTER DATA'!$X:$X)+SUMIF('[1]MASTER DATA'!$E:$E,'GENERAL PAYROLL'!$B131,'[1]MASTER DATA'!$Y:$Y)</f>
        <v>#N/A</v>
      </c>
      <c r="J131" s="226"/>
      <c r="K131" s="226" t="str">
        <f>SUMIF('[1]MASTER DATA'!$E:$E,'GENERAL PAYROLL'!$B131,'[1]MASTER DATA'!$AC:$AC)</f>
        <v>#N/A</v>
      </c>
      <c r="L131" s="226" t="str">
        <f>SUMIF('[1]MASTER DATA'!$E:$E,'GENERAL PAYROLL'!$B131,'[1]MASTER DATA'!$AD:$AD)+SUMIF('[1]MASTER DATA'!$E:$E,'GENERAL PAYROLL'!$B131,'[1]MASTER DATA'!$AE:$AE)</f>
        <v>#N/A</v>
      </c>
      <c r="M131" s="226"/>
      <c r="N131" s="226" t="str">
        <f>SUMIF('[1]MASTER DATA'!$E:$E,'GENERAL PAYROLL'!$B131,'[1]MASTER DATA'!$AC:$AC)</f>
        <v>#N/A</v>
      </c>
      <c r="O131" s="226" t="str">
        <f>SUMIF('[1]MASTER DATA'!$E:$E,'GENERAL PAYROLL'!$B131,'[1]MASTER DATA'!$AD:$AD)+SUMIF('[1]MASTER DATA'!$E:$E,'GENERAL PAYROLL'!$B131,'[1]MASTER DATA'!$AE:$AE)</f>
        <v>#N/A</v>
      </c>
      <c r="P131" s="226"/>
      <c r="Q131" s="226"/>
      <c r="R131" s="226" t="str">
        <f>SUMIF('[1]MASTER DATA'!$E:$E,'GENERAL PAYROLL'!$B131,'[1]MASTER DATA'!$AP:$AP)</f>
        <v>#N/A</v>
      </c>
      <c r="S131" s="224" t="str">
        <f>SUMIF('[1]MASTER DATA'!$E:$E,'GENERAL PAYROLL'!$B131,'[1]MASTER DATA'!$AR:$AR)</f>
        <v>#N/A</v>
      </c>
      <c r="T131" s="226" t="str">
        <f>SUMIF('[1]MASTER DATA'!$E:$E,'GENERAL PAYROLL'!$B131,'[1]MASTER DATA'!$AS:$AS)</f>
        <v>#N/A</v>
      </c>
      <c r="U131" s="226" t="str">
        <f>SUMIF('[1]MASTER DATA'!$E:$E,'GENERAL PAYROLL'!$B131,'[1]MASTER DATA'!$AT:$AT)</f>
        <v>#N/A</v>
      </c>
      <c r="V131" s="226" t="str">
        <f>SUMIF('[1]MASTER DATA'!$E:$E,'GENERAL PAYROLL'!$B131,'[1]MASTER DATA'!$AU:$AU)</f>
        <v>#N/A</v>
      </c>
      <c r="W131" s="226" t="str">
        <f>SUMIF('[1]MASTER DATA'!$E:$E,'GENERAL PAYROLL'!$B131,'[1]MASTER DATA'!$AV:$AV)</f>
        <v>#N/A</v>
      </c>
      <c r="X131" s="226" t="str">
        <f>SUMIF('[1]MASTER DATA'!$E:$E,'GENERAL PAYROLL'!$B131,'[1]MASTER DATA'!$AW:$AW)</f>
        <v>#N/A</v>
      </c>
      <c r="Y131" s="226" t="str">
        <f>SUMIF('[1]MASTER DATA'!$E:$E,'GENERAL PAYROLL'!$B131,'[1]MASTER DATA'!$AX:$AX)</f>
        <v>#N/A</v>
      </c>
      <c r="Z131" s="224" t="str">
        <f>SUMIF('[1]MASTER DATA'!$E:$E,'GENERAL PAYROLL'!$B131,'[1]MASTER DATA'!$AY:$AY)</f>
        <v>#N/A</v>
      </c>
    </row>
    <row r="132" ht="15.75" hidden="1" customHeight="1">
      <c r="A132" s="220">
        <v>2.0</v>
      </c>
      <c r="B132" s="221" t="str">
        <f>IFERROR(VLOOKUP(#REF!,CODE!$B:$D,3,FALSE)," ")</f>
        <v> </v>
      </c>
      <c r="C132" s="219" t="s">
        <v>166</v>
      </c>
      <c r="D132" s="223"/>
      <c r="E132" s="223">
        <v>11.0</v>
      </c>
      <c r="F132" s="226" t="str">
        <f>SUMIF('[1]MASTER DATA'!$E:$E,'GENERAL PAYROLL'!$B132,'[1]MASTER DATA'!$O:$O)</f>
        <v>#N/A</v>
      </c>
      <c r="G132" s="224" t="str">
        <f>SUMIF('[1]MASTER DATA'!$E:$E,'GENERAL PAYROLL'!$B132,'[1]MASTER DATA'!$N:$N)</f>
        <v>#N/A</v>
      </c>
      <c r="H132" s="226" t="str">
        <f>SUMIF('[1]MASTER DATA'!$E:$E,'GENERAL PAYROLL'!$B132,'[1]MASTER DATA'!$W:$W)</f>
        <v>#N/A</v>
      </c>
      <c r="I132" s="226" t="str">
        <f>SUMIF('[1]MASTER DATA'!$E:$E,'GENERAL PAYROLL'!$B132,'[1]MASTER DATA'!$X:$X)+SUMIF('[1]MASTER DATA'!$E:$E,'GENERAL PAYROLL'!$B132,'[1]MASTER DATA'!$Y:$Y)</f>
        <v>#N/A</v>
      </c>
      <c r="J132" s="226"/>
      <c r="K132" s="226" t="str">
        <f>SUMIF('[1]MASTER DATA'!$E:$E,'GENERAL PAYROLL'!$B132,'[1]MASTER DATA'!$AC:$AC)</f>
        <v>#N/A</v>
      </c>
      <c r="L132" s="226" t="str">
        <f>SUMIF('[1]MASTER DATA'!$E:$E,'GENERAL PAYROLL'!$B132,'[1]MASTER DATA'!$AD:$AD)+SUMIF('[1]MASTER DATA'!$E:$E,'GENERAL PAYROLL'!$B132,'[1]MASTER DATA'!$AE:$AE)</f>
        <v>#N/A</v>
      </c>
      <c r="M132" s="226"/>
      <c r="N132" s="226" t="str">
        <f>SUMIF('[1]MASTER DATA'!$E:$E,'GENERAL PAYROLL'!$B132,'[1]MASTER DATA'!$AC:$AC)</f>
        <v>#N/A</v>
      </c>
      <c r="O132" s="226" t="str">
        <f>SUMIF('[1]MASTER DATA'!$E:$E,'GENERAL PAYROLL'!$B132,'[1]MASTER DATA'!$AD:$AD)+SUMIF('[1]MASTER DATA'!$E:$E,'GENERAL PAYROLL'!$B132,'[1]MASTER DATA'!$AE:$AE)</f>
        <v>#N/A</v>
      </c>
      <c r="P132" s="226"/>
      <c r="Q132" s="226"/>
      <c r="R132" s="226" t="str">
        <f>SUMIF('[1]MASTER DATA'!$E:$E,'GENERAL PAYROLL'!$B132,'[1]MASTER DATA'!$AP:$AP)</f>
        <v>#N/A</v>
      </c>
      <c r="S132" s="224" t="str">
        <f>SUMIF('[1]MASTER DATA'!$E:$E,'GENERAL PAYROLL'!$B132,'[1]MASTER DATA'!$AR:$AR)</f>
        <v>#N/A</v>
      </c>
      <c r="T132" s="226" t="str">
        <f>SUMIF('[1]MASTER DATA'!$E:$E,'GENERAL PAYROLL'!$B132,'[1]MASTER DATA'!$AS:$AS)</f>
        <v>#N/A</v>
      </c>
      <c r="U132" s="226" t="str">
        <f>SUMIF('[1]MASTER DATA'!$E:$E,'GENERAL PAYROLL'!$B132,'[1]MASTER DATA'!$AT:$AT)</f>
        <v>#N/A</v>
      </c>
      <c r="V132" s="226" t="str">
        <f>SUMIF('[1]MASTER DATA'!$E:$E,'GENERAL PAYROLL'!$B132,'[1]MASTER DATA'!$AU:$AU)</f>
        <v>#N/A</v>
      </c>
      <c r="W132" s="226" t="str">
        <f>SUMIF('[1]MASTER DATA'!$E:$E,'GENERAL PAYROLL'!$B132,'[1]MASTER DATA'!$AV:$AV)</f>
        <v>#N/A</v>
      </c>
      <c r="X132" s="226" t="str">
        <f>SUMIF('[1]MASTER DATA'!$E:$E,'GENERAL PAYROLL'!$B132,'[1]MASTER DATA'!$AW:$AW)</f>
        <v>#N/A</v>
      </c>
      <c r="Y132" s="226" t="str">
        <f>SUMIF('[1]MASTER DATA'!$E:$E,'GENERAL PAYROLL'!$B132,'[1]MASTER DATA'!$AX:$AX)</f>
        <v>#N/A</v>
      </c>
      <c r="Z132" s="224" t="str">
        <f>SUMIF('[1]MASTER DATA'!$E:$E,'GENERAL PAYROLL'!$B132,'[1]MASTER DATA'!$AY:$AY)</f>
        <v>#N/A</v>
      </c>
    </row>
    <row r="133" ht="15.75" hidden="1" customHeight="1">
      <c r="A133" s="270" t="s">
        <v>178</v>
      </c>
      <c r="B133" s="26"/>
      <c r="C133" s="219" t="s">
        <v>166</v>
      </c>
      <c r="D133" s="223"/>
      <c r="E133" s="223">
        <v>11.0</v>
      </c>
      <c r="F133" s="226" t="str">
        <f>SUMIF('[1]MASTER DATA'!$E:$E,'GENERAL PAYROLL'!$B133,'[1]MASTER DATA'!$O:$O)</f>
        <v>#N/A</v>
      </c>
      <c r="G133" s="224" t="str">
        <f>SUMIF('[1]MASTER DATA'!$E:$E,'GENERAL PAYROLL'!$B133,'[1]MASTER DATA'!$N:$N)</f>
        <v>#N/A</v>
      </c>
      <c r="H133" s="226" t="str">
        <f>SUMIF('[1]MASTER DATA'!$E:$E,'GENERAL PAYROLL'!$B133,'[1]MASTER DATA'!$W:$W)</f>
        <v>#N/A</v>
      </c>
      <c r="I133" s="226" t="str">
        <f>SUMIF('[1]MASTER DATA'!$E:$E,'GENERAL PAYROLL'!$B133,'[1]MASTER DATA'!$X:$X)+SUMIF('[1]MASTER DATA'!$E:$E,'GENERAL PAYROLL'!$B133,'[1]MASTER DATA'!$Y:$Y)</f>
        <v>#N/A</v>
      </c>
      <c r="J133" s="226"/>
      <c r="K133" s="226" t="str">
        <f>SUMIF('[1]MASTER DATA'!$E:$E,'GENERAL PAYROLL'!$B133,'[1]MASTER DATA'!$AC:$AC)</f>
        <v>#N/A</v>
      </c>
      <c r="L133" s="226" t="str">
        <f>SUMIF('[1]MASTER DATA'!$E:$E,'GENERAL PAYROLL'!$B133,'[1]MASTER DATA'!$AD:$AD)+SUMIF('[1]MASTER DATA'!$E:$E,'GENERAL PAYROLL'!$B133,'[1]MASTER DATA'!$AE:$AE)</f>
        <v>#N/A</v>
      </c>
      <c r="M133" s="226"/>
      <c r="N133" s="226" t="str">
        <f>SUMIF('[1]MASTER DATA'!$E:$E,'GENERAL PAYROLL'!$B133,'[1]MASTER DATA'!$AC:$AC)</f>
        <v>#N/A</v>
      </c>
      <c r="O133" s="226" t="str">
        <f>SUMIF('[1]MASTER DATA'!$E:$E,'GENERAL PAYROLL'!$B133,'[1]MASTER DATA'!$AD:$AD)+SUMIF('[1]MASTER DATA'!$E:$E,'GENERAL PAYROLL'!$B133,'[1]MASTER DATA'!$AE:$AE)</f>
        <v>#N/A</v>
      </c>
      <c r="P133" s="226"/>
      <c r="Q133" s="226"/>
      <c r="R133" s="226" t="str">
        <f>SUMIF('[1]MASTER DATA'!$E:$E,'GENERAL PAYROLL'!$B133,'[1]MASTER DATA'!$AP:$AP)</f>
        <v>#N/A</v>
      </c>
      <c r="S133" s="224" t="str">
        <f>SUMIF('[1]MASTER DATA'!$E:$E,'GENERAL PAYROLL'!$B133,'[1]MASTER DATA'!$AR:$AR)</f>
        <v>#N/A</v>
      </c>
      <c r="T133" s="226" t="str">
        <f>SUMIF('[1]MASTER DATA'!$E:$E,'GENERAL PAYROLL'!$B133,'[1]MASTER DATA'!$AS:$AS)</f>
        <v>#N/A</v>
      </c>
      <c r="U133" s="226" t="str">
        <f>SUMIF('[1]MASTER DATA'!$E:$E,'GENERAL PAYROLL'!$B133,'[1]MASTER DATA'!$AT:$AT)</f>
        <v>#N/A</v>
      </c>
      <c r="V133" s="226" t="str">
        <f>SUMIF('[1]MASTER DATA'!$E:$E,'GENERAL PAYROLL'!$B133,'[1]MASTER DATA'!$AU:$AU)</f>
        <v>#N/A</v>
      </c>
      <c r="W133" s="226" t="str">
        <f>SUMIF('[1]MASTER DATA'!$E:$E,'GENERAL PAYROLL'!$B133,'[1]MASTER DATA'!$AV:$AV)</f>
        <v>#N/A</v>
      </c>
      <c r="X133" s="226" t="str">
        <f>SUMIF('[1]MASTER DATA'!$E:$E,'GENERAL PAYROLL'!$B133,'[1]MASTER DATA'!$AW:$AW)</f>
        <v>#N/A</v>
      </c>
      <c r="Y133" s="226" t="str">
        <f>SUMIF('[1]MASTER DATA'!$E:$E,'GENERAL PAYROLL'!$B133,'[1]MASTER DATA'!$AX:$AX)</f>
        <v>#N/A</v>
      </c>
      <c r="Z133" s="224" t="str">
        <f>SUMIF('[1]MASTER DATA'!$E:$E,'GENERAL PAYROLL'!$B133,'[1]MASTER DATA'!$AY:$AY)</f>
        <v>#N/A</v>
      </c>
    </row>
    <row r="134" ht="15.75" hidden="1" customHeight="1">
      <c r="A134" s="220">
        <v>1.0</v>
      </c>
      <c r="B134" s="221" t="str">
        <f>IFERROR(VLOOKUP(#REF!,CODE!$B:$D,3,FALSE)," ")</f>
        <v> </v>
      </c>
      <c r="C134" s="219" t="s">
        <v>166</v>
      </c>
      <c r="D134" s="223"/>
      <c r="E134" s="223">
        <v>11.0</v>
      </c>
      <c r="F134" s="226" t="str">
        <f>SUMIF('[1]MASTER DATA'!$E:$E,'GENERAL PAYROLL'!$B134,'[1]MASTER DATA'!$O:$O)</f>
        <v>#N/A</v>
      </c>
      <c r="G134" s="224" t="str">
        <f>SUMIF('[1]MASTER DATA'!$E:$E,'GENERAL PAYROLL'!$B134,'[1]MASTER DATA'!$N:$N)</f>
        <v>#N/A</v>
      </c>
      <c r="H134" s="226" t="str">
        <f>SUMIF('[1]MASTER DATA'!$E:$E,'GENERAL PAYROLL'!$B134,'[1]MASTER DATA'!$W:$W)</f>
        <v>#N/A</v>
      </c>
      <c r="I134" s="226" t="str">
        <f>SUMIF('[1]MASTER DATA'!$E:$E,'GENERAL PAYROLL'!$B134,'[1]MASTER DATA'!$X:$X)+SUMIF('[1]MASTER DATA'!$E:$E,'GENERAL PAYROLL'!$B134,'[1]MASTER DATA'!$Y:$Y)</f>
        <v>#N/A</v>
      </c>
      <c r="J134" s="226"/>
      <c r="K134" s="226" t="str">
        <f>SUMIF('[1]MASTER DATA'!$E:$E,'GENERAL PAYROLL'!$B134,'[1]MASTER DATA'!$AC:$AC)</f>
        <v>#N/A</v>
      </c>
      <c r="L134" s="226" t="str">
        <f>SUMIF('[1]MASTER DATA'!$E:$E,'GENERAL PAYROLL'!$B134,'[1]MASTER DATA'!$AD:$AD)+SUMIF('[1]MASTER DATA'!$E:$E,'GENERAL PAYROLL'!$B134,'[1]MASTER DATA'!$AE:$AE)</f>
        <v>#N/A</v>
      </c>
      <c r="M134" s="226"/>
      <c r="N134" s="226" t="str">
        <f>SUMIF('[1]MASTER DATA'!$E:$E,'GENERAL PAYROLL'!$B134,'[1]MASTER DATA'!$AC:$AC)</f>
        <v>#N/A</v>
      </c>
      <c r="O134" s="226" t="str">
        <f>SUMIF('[1]MASTER DATA'!$E:$E,'GENERAL PAYROLL'!$B134,'[1]MASTER DATA'!$AD:$AD)+SUMIF('[1]MASTER DATA'!$E:$E,'GENERAL PAYROLL'!$B134,'[1]MASTER DATA'!$AE:$AE)</f>
        <v>#N/A</v>
      </c>
      <c r="P134" s="226"/>
      <c r="Q134" s="226"/>
      <c r="R134" s="226" t="str">
        <f>SUMIF('[1]MASTER DATA'!$E:$E,'GENERAL PAYROLL'!$B134,'[1]MASTER DATA'!$AP:$AP)</f>
        <v>#N/A</v>
      </c>
      <c r="S134" s="224" t="str">
        <f>SUMIF('[1]MASTER DATA'!$E:$E,'GENERAL PAYROLL'!$B134,'[1]MASTER DATA'!$AR:$AR)</f>
        <v>#N/A</v>
      </c>
      <c r="T134" s="226" t="str">
        <f>SUMIF('[1]MASTER DATA'!$E:$E,'GENERAL PAYROLL'!$B134,'[1]MASTER DATA'!$AS:$AS)</f>
        <v>#N/A</v>
      </c>
      <c r="U134" s="226" t="str">
        <f>SUMIF('[1]MASTER DATA'!$E:$E,'GENERAL PAYROLL'!$B134,'[1]MASTER DATA'!$AT:$AT)</f>
        <v>#N/A</v>
      </c>
      <c r="V134" s="226" t="str">
        <f>SUMIF('[1]MASTER DATA'!$E:$E,'GENERAL PAYROLL'!$B134,'[1]MASTER DATA'!$AU:$AU)</f>
        <v>#N/A</v>
      </c>
      <c r="W134" s="226" t="str">
        <f>SUMIF('[1]MASTER DATA'!$E:$E,'GENERAL PAYROLL'!$B134,'[1]MASTER DATA'!$AV:$AV)</f>
        <v>#N/A</v>
      </c>
      <c r="X134" s="226" t="str">
        <f>SUMIF('[1]MASTER DATA'!$E:$E,'GENERAL PAYROLL'!$B134,'[1]MASTER DATA'!$AW:$AW)</f>
        <v>#N/A</v>
      </c>
      <c r="Y134" s="226" t="str">
        <f>SUMIF('[1]MASTER DATA'!$E:$E,'GENERAL PAYROLL'!$B134,'[1]MASTER DATA'!$AX:$AX)</f>
        <v>#N/A</v>
      </c>
      <c r="Z134" s="224" t="str">
        <f>SUMIF('[1]MASTER DATA'!$E:$E,'GENERAL PAYROLL'!$B134,'[1]MASTER DATA'!$AY:$AY)</f>
        <v>#N/A</v>
      </c>
    </row>
    <row r="135" ht="15.75" hidden="1" customHeight="1">
      <c r="A135" s="220">
        <v>2.0</v>
      </c>
      <c r="B135" s="221" t="str">
        <f>IFERROR(VLOOKUP(#REF!,CODE!$B:$D,3,FALSE)," ")</f>
        <v> </v>
      </c>
      <c r="C135" s="219" t="s">
        <v>166</v>
      </c>
      <c r="D135" s="223"/>
      <c r="E135" s="223">
        <v>11.0</v>
      </c>
      <c r="F135" s="226" t="str">
        <f>SUMIF('[1]MASTER DATA'!$E:$E,'GENERAL PAYROLL'!$B135,'[1]MASTER DATA'!$O:$O)</f>
        <v>#N/A</v>
      </c>
      <c r="G135" s="224" t="str">
        <f>SUMIF('[1]MASTER DATA'!$E:$E,'GENERAL PAYROLL'!$B135,'[1]MASTER DATA'!$N:$N)</f>
        <v>#N/A</v>
      </c>
      <c r="H135" s="226" t="str">
        <f>SUMIF('[1]MASTER DATA'!$E:$E,'GENERAL PAYROLL'!$B135,'[1]MASTER DATA'!$W:$W)</f>
        <v>#N/A</v>
      </c>
      <c r="I135" s="226" t="str">
        <f>SUMIF('[1]MASTER DATA'!$E:$E,'GENERAL PAYROLL'!$B135,'[1]MASTER DATA'!$X:$X)+SUMIF('[1]MASTER DATA'!$E:$E,'GENERAL PAYROLL'!$B135,'[1]MASTER DATA'!$Y:$Y)</f>
        <v>#N/A</v>
      </c>
      <c r="J135" s="226"/>
      <c r="K135" s="226" t="str">
        <f>SUMIF('[1]MASTER DATA'!$E:$E,'GENERAL PAYROLL'!$B135,'[1]MASTER DATA'!$AC:$AC)</f>
        <v>#N/A</v>
      </c>
      <c r="L135" s="226" t="str">
        <f>SUMIF('[1]MASTER DATA'!$E:$E,'GENERAL PAYROLL'!$B135,'[1]MASTER DATA'!$AD:$AD)+SUMIF('[1]MASTER DATA'!$E:$E,'GENERAL PAYROLL'!$B135,'[1]MASTER DATA'!$AE:$AE)</f>
        <v>#N/A</v>
      </c>
      <c r="M135" s="226"/>
      <c r="N135" s="226" t="str">
        <f>SUMIF('[1]MASTER DATA'!$E:$E,'GENERAL PAYROLL'!$B135,'[1]MASTER DATA'!$AC:$AC)</f>
        <v>#N/A</v>
      </c>
      <c r="O135" s="226" t="str">
        <f>SUMIF('[1]MASTER DATA'!$E:$E,'GENERAL PAYROLL'!$B135,'[1]MASTER DATA'!$AD:$AD)+SUMIF('[1]MASTER DATA'!$E:$E,'GENERAL PAYROLL'!$B135,'[1]MASTER DATA'!$AE:$AE)</f>
        <v>#N/A</v>
      </c>
      <c r="P135" s="226"/>
      <c r="Q135" s="226"/>
      <c r="R135" s="226" t="str">
        <f>SUMIF('[1]MASTER DATA'!$E:$E,'GENERAL PAYROLL'!$B135,'[1]MASTER DATA'!$AP:$AP)</f>
        <v>#N/A</v>
      </c>
      <c r="S135" s="224" t="str">
        <f>SUMIF('[1]MASTER DATA'!$E:$E,'GENERAL PAYROLL'!$B135,'[1]MASTER DATA'!$AR:$AR)</f>
        <v>#N/A</v>
      </c>
      <c r="T135" s="226" t="str">
        <f>SUMIF('[1]MASTER DATA'!$E:$E,'GENERAL PAYROLL'!$B135,'[1]MASTER DATA'!$AS:$AS)</f>
        <v>#N/A</v>
      </c>
      <c r="U135" s="226" t="str">
        <f>SUMIF('[1]MASTER DATA'!$E:$E,'GENERAL PAYROLL'!$B135,'[1]MASTER DATA'!$AT:$AT)</f>
        <v>#N/A</v>
      </c>
      <c r="V135" s="226" t="str">
        <f>SUMIF('[1]MASTER DATA'!$E:$E,'GENERAL PAYROLL'!$B135,'[1]MASTER DATA'!$AU:$AU)</f>
        <v>#N/A</v>
      </c>
      <c r="W135" s="226" t="str">
        <f>SUMIF('[1]MASTER DATA'!$E:$E,'GENERAL PAYROLL'!$B135,'[1]MASTER DATA'!$AV:$AV)</f>
        <v>#N/A</v>
      </c>
      <c r="X135" s="226" t="str">
        <f>SUMIF('[1]MASTER DATA'!$E:$E,'GENERAL PAYROLL'!$B135,'[1]MASTER DATA'!$AW:$AW)</f>
        <v>#N/A</v>
      </c>
      <c r="Y135" s="226" t="str">
        <f>SUMIF('[1]MASTER DATA'!$E:$E,'GENERAL PAYROLL'!$B135,'[1]MASTER DATA'!$AX:$AX)</f>
        <v>#N/A</v>
      </c>
      <c r="Z135" s="224" t="str">
        <f>SUMIF('[1]MASTER DATA'!$E:$E,'GENERAL PAYROLL'!$B135,'[1]MASTER DATA'!$AY:$AY)</f>
        <v>#N/A</v>
      </c>
    </row>
    <row r="136" ht="15.75" hidden="1" customHeight="1">
      <c r="A136" s="220">
        <v>3.0</v>
      </c>
      <c r="B136" s="221" t="str">
        <f>IFERROR(VLOOKUP(#REF!,CODE!$B:$D,3,FALSE)," ")</f>
        <v> </v>
      </c>
      <c r="C136" s="219" t="s">
        <v>166</v>
      </c>
      <c r="D136" s="223"/>
      <c r="E136" s="223">
        <v>11.0</v>
      </c>
      <c r="F136" s="226" t="str">
        <f>SUMIF('[1]MASTER DATA'!$E:$E,'GENERAL PAYROLL'!$B136,'[1]MASTER DATA'!$O:$O)</f>
        <v>#N/A</v>
      </c>
      <c r="G136" s="224" t="str">
        <f>SUMIF('[1]MASTER DATA'!$E:$E,'GENERAL PAYROLL'!$B136,'[1]MASTER DATA'!$N:$N)</f>
        <v>#N/A</v>
      </c>
      <c r="H136" s="226" t="str">
        <f>SUMIF('[1]MASTER DATA'!$E:$E,'GENERAL PAYROLL'!$B136,'[1]MASTER DATA'!$W:$W)</f>
        <v>#N/A</v>
      </c>
      <c r="I136" s="226" t="str">
        <f>SUMIF('[1]MASTER DATA'!$E:$E,'GENERAL PAYROLL'!$B136,'[1]MASTER DATA'!$X:$X)+SUMIF('[1]MASTER DATA'!$E:$E,'GENERAL PAYROLL'!$B136,'[1]MASTER DATA'!$Y:$Y)</f>
        <v>#N/A</v>
      </c>
      <c r="J136" s="226"/>
      <c r="K136" s="226" t="str">
        <f>SUMIF('[1]MASTER DATA'!$E:$E,'GENERAL PAYROLL'!$B136,'[1]MASTER DATA'!$AC:$AC)</f>
        <v>#N/A</v>
      </c>
      <c r="L136" s="226" t="str">
        <f>SUMIF('[1]MASTER DATA'!$E:$E,'GENERAL PAYROLL'!$B136,'[1]MASTER DATA'!$AD:$AD)+SUMIF('[1]MASTER DATA'!$E:$E,'GENERAL PAYROLL'!$B136,'[1]MASTER DATA'!$AE:$AE)</f>
        <v>#N/A</v>
      </c>
      <c r="M136" s="226"/>
      <c r="N136" s="226" t="str">
        <f>SUMIF('[1]MASTER DATA'!$E:$E,'GENERAL PAYROLL'!$B136,'[1]MASTER DATA'!$AC:$AC)</f>
        <v>#N/A</v>
      </c>
      <c r="O136" s="226" t="str">
        <f>SUMIF('[1]MASTER DATA'!$E:$E,'GENERAL PAYROLL'!$B136,'[1]MASTER DATA'!$AD:$AD)+SUMIF('[1]MASTER DATA'!$E:$E,'GENERAL PAYROLL'!$B136,'[1]MASTER DATA'!$AE:$AE)</f>
        <v>#N/A</v>
      </c>
      <c r="P136" s="226"/>
      <c r="Q136" s="226"/>
      <c r="R136" s="226" t="str">
        <f>SUMIF('[1]MASTER DATA'!$E:$E,'GENERAL PAYROLL'!$B136,'[1]MASTER DATA'!$AP:$AP)</f>
        <v>#N/A</v>
      </c>
      <c r="S136" s="224" t="str">
        <f>SUMIF('[1]MASTER DATA'!$E:$E,'GENERAL PAYROLL'!$B136,'[1]MASTER DATA'!$AR:$AR)</f>
        <v>#N/A</v>
      </c>
      <c r="T136" s="226" t="str">
        <f>SUMIF('[1]MASTER DATA'!$E:$E,'GENERAL PAYROLL'!$B136,'[1]MASTER DATA'!$AS:$AS)</f>
        <v>#N/A</v>
      </c>
      <c r="U136" s="226" t="str">
        <f>SUMIF('[1]MASTER DATA'!$E:$E,'GENERAL PAYROLL'!$B136,'[1]MASTER DATA'!$AT:$AT)</f>
        <v>#N/A</v>
      </c>
      <c r="V136" s="226" t="str">
        <f>SUMIF('[1]MASTER DATA'!$E:$E,'GENERAL PAYROLL'!$B136,'[1]MASTER DATA'!$AU:$AU)</f>
        <v>#N/A</v>
      </c>
      <c r="W136" s="226" t="str">
        <f>SUMIF('[1]MASTER DATA'!$E:$E,'GENERAL PAYROLL'!$B136,'[1]MASTER DATA'!$AV:$AV)</f>
        <v>#N/A</v>
      </c>
      <c r="X136" s="226" t="str">
        <f>SUMIF('[1]MASTER DATA'!$E:$E,'GENERAL PAYROLL'!$B136,'[1]MASTER DATA'!$AW:$AW)</f>
        <v>#N/A</v>
      </c>
      <c r="Y136" s="226" t="str">
        <f>SUMIF('[1]MASTER DATA'!$E:$E,'GENERAL PAYROLL'!$B136,'[1]MASTER DATA'!$AX:$AX)</f>
        <v>#N/A</v>
      </c>
      <c r="Z136" s="224" t="str">
        <f>SUMIF('[1]MASTER DATA'!$E:$E,'GENERAL PAYROLL'!$B136,'[1]MASTER DATA'!$AY:$AY)</f>
        <v>#N/A</v>
      </c>
    </row>
    <row r="137" ht="15.75" hidden="1" customHeight="1">
      <c r="A137" s="220">
        <v>4.0</v>
      </c>
      <c r="B137" s="221" t="str">
        <f>IFERROR(VLOOKUP(#REF!,CODE!$B:$D,3,FALSE)," ")</f>
        <v> </v>
      </c>
      <c r="C137" s="219" t="s">
        <v>166</v>
      </c>
      <c r="D137" s="223"/>
      <c r="E137" s="223">
        <v>11.0</v>
      </c>
      <c r="F137" s="226" t="str">
        <f>SUMIF('[1]MASTER DATA'!$E:$E,'GENERAL PAYROLL'!$B137,'[1]MASTER DATA'!$O:$O)</f>
        <v>#N/A</v>
      </c>
      <c r="G137" s="224" t="str">
        <f>SUMIF('[1]MASTER DATA'!$E:$E,'GENERAL PAYROLL'!$B137,'[1]MASTER DATA'!$N:$N)</f>
        <v>#N/A</v>
      </c>
      <c r="H137" s="226" t="str">
        <f>SUMIF('[1]MASTER DATA'!$E:$E,'GENERAL PAYROLL'!$B137,'[1]MASTER DATA'!$W:$W)</f>
        <v>#N/A</v>
      </c>
      <c r="I137" s="226" t="str">
        <f>SUMIF('[1]MASTER DATA'!$E:$E,'GENERAL PAYROLL'!$B137,'[1]MASTER DATA'!$X:$X)+SUMIF('[1]MASTER DATA'!$E:$E,'GENERAL PAYROLL'!$B137,'[1]MASTER DATA'!$Y:$Y)</f>
        <v>#N/A</v>
      </c>
      <c r="J137" s="226"/>
      <c r="K137" s="226" t="str">
        <f>SUMIF('[1]MASTER DATA'!$E:$E,'GENERAL PAYROLL'!$B137,'[1]MASTER DATA'!$AC:$AC)</f>
        <v>#N/A</v>
      </c>
      <c r="L137" s="226" t="str">
        <f>SUMIF('[1]MASTER DATA'!$E:$E,'GENERAL PAYROLL'!$B137,'[1]MASTER DATA'!$AD:$AD)+SUMIF('[1]MASTER DATA'!$E:$E,'GENERAL PAYROLL'!$B137,'[1]MASTER DATA'!$AE:$AE)</f>
        <v>#N/A</v>
      </c>
      <c r="M137" s="226"/>
      <c r="N137" s="226" t="str">
        <f>SUMIF('[1]MASTER DATA'!$E:$E,'GENERAL PAYROLL'!$B137,'[1]MASTER DATA'!$AC:$AC)</f>
        <v>#N/A</v>
      </c>
      <c r="O137" s="226" t="str">
        <f>SUMIF('[1]MASTER DATA'!$E:$E,'GENERAL PAYROLL'!$B137,'[1]MASTER DATA'!$AD:$AD)+SUMIF('[1]MASTER DATA'!$E:$E,'GENERAL PAYROLL'!$B137,'[1]MASTER DATA'!$AE:$AE)</f>
        <v>#N/A</v>
      </c>
      <c r="P137" s="226"/>
      <c r="Q137" s="226"/>
      <c r="R137" s="226" t="str">
        <f>SUMIF('[1]MASTER DATA'!$E:$E,'GENERAL PAYROLL'!$B137,'[1]MASTER DATA'!$AP:$AP)</f>
        <v>#N/A</v>
      </c>
      <c r="S137" s="224" t="str">
        <f>SUMIF('[1]MASTER DATA'!$E:$E,'GENERAL PAYROLL'!$B137,'[1]MASTER DATA'!$AR:$AR)</f>
        <v>#N/A</v>
      </c>
      <c r="T137" s="226" t="str">
        <f>SUMIF('[1]MASTER DATA'!$E:$E,'GENERAL PAYROLL'!$B137,'[1]MASTER DATA'!$AS:$AS)</f>
        <v>#N/A</v>
      </c>
      <c r="U137" s="226" t="str">
        <f>SUMIF('[1]MASTER DATA'!$E:$E,'GENERAL PAYROLL'!$B137,'[1]MASTER DATA'!$AT:$AT)</f>
        <v>#N/A</v>
      </c>
      <c r="V137" s="226" t="str">
        <f>SUMIF('[1]MASTER DATA'!$E:$E,'GENERAL PAYROLL'!$B137,'[1]MASTER DATA'!$AU:$AU)</f>
        <v>#N/A</v>
      </c>
      <c r="W137" s="226" t="str">
        <f>SUMIF('[1]MASTER DATA'!$E:$E,'GENERAL PAYROLL'!$B137,'[1]MASTER DATA'!$AV:$AV)</f>
        <v>#N/A</v>
      </c>
      <c r="X137" s="226" t="str">
        <f>SUMIF('[1]MASTER DATA'!$E:$E,'GENERAL PAYROLL'!$B137,'[1]MASTER DATA'!$AW:$AW)</f>
        <v>#N/A</v>
      </c>
      <c r="Y137" s="226" t="str">
        <f>SUMIF('[1]MASTER DATA'!$E:$E,'GENERAL PAYROLL'!$B137,'[1]MASTER DATA'!$AX:$AX)</f>
        <v>#N/A</v>
      </c>
      <c r="Z137" s="224" t="str">
        <f>SUMIF('[1]MASTER DATA'!$E:$E,'GENERAL PAYROLL'!$B137,'[1]MASTER DATA'!$AY:$AY)</f>
        <v>#N/A</v>
      </c>
    </row>
    <row r="138" ht="15.75" hidden="1" customHeight="1">
      <c r="A138" s="220">
        <v>5.0</v>
      </c>
      <c r="B138" s="221" t="str">
        <f>IFERROR(VLOOKUP(#REF!,CODE!$B:$D,3,FALSE)," ")</f>
        <v> </v>
      </c>
      <c r="C138" s="219" t="s">
        <v>166</v>
      </c>
      <c r="D138" s="223"/>
      <c r="E138" s="223">
        <v>11.0</v>
      </c>
      <c r="F138" s="226" t="str">
        <f>SUMIF('[1]MASTER DATA'!$E:$E,'GENERAL PAYROLL'!$B138,'[1]MASTER DATA'!$O:$O)</f>
        <v>#N/A</v>
      </c>
      <c r="G138" s="224" t="str">
        <f>SUMIF('[1]MASTER DATA'!$E:$E,'GENERAL PAYROLL'!$B138,'[1]MASTER DATA'!$N:$N)</f>
        <v>#N/A</v>
      </c>
      <c r="H138" s="226" t="str">
        <f>SUMIF('[1]MASTER DATA'!$E:$E,'GENERAL PAYROLL'!$B138,'[1]MASTER DATA'!$W:$W)</f>
        <v>#N/A</v>
      </c>
      <c r="I138" s="226" t="str">
        <f>SUMIF('[1]MASTER DATA'!$E:$E,'GENERAL PAYROLL'!$B138,'[1]MASTER DATA'!$X:$X)+SUMIF('[1]MASTER DATA'!$E:$E,'GENERAL PAYROLL'!$B138,'[1]MASTER DATA'!$Y:$Y)</f>
        <v>#N/A</v>
      </c>
      <c r="J138" s="226"/>
      <c r="K138" s="226" t="str">
        <f>SUMIF('[1]MASTER DATA'!$E:$E,'GENERAL PAYROLL'!$B138,'[1]MASTER DATA'!$AC:$AC)</f>
        <v>#N/A</v>
      </c>
      <c r="L138" s="226" t="str">
        <f>SUMIF('[1]MASTER DATA'!$E:$E,'GENERAL PAYROLL'!$B138,'[1]MASTER DATA'!$AD:$AD)+SUMIF('[1]MASTER DATA'!$E:$E,'GENERAL PAYROLL'!$B138,'[1]MASTER DATA'!$AE:$AE)</f>
        <v>#N/A</v>
      </c>
      <c r="M138" s="226"/>
      <c r="N138" s="226" t="str">
        <f>SUMIF('[1]MASTER DATA'!$E:$E,'GENERAL PAYROLL'!$B138,'[1]MASTER DATA'!$AC:$AC)</f>
        <v>#N/A</v>
      </c>
      <c r="O138" s="226" t="str">
        <f>SUMIF('[1]MASTER DATA'!$E:$E,'GENERAL PAYROLL'!$B138,'[1]MASTER DATA'!$AD:$AD)+SUMIF('[1]MASTER DATA'!$E:$E,'GENERAL PAYROLL'!$B138,'[1]MASTER DATA'!$AE:$AE)</f>
        <v>#N/A</v>
      </c>
      <c r="P138" s="226"/>
      <c r="Q138" s="226"/>
      <c r="R138" s="226" t="str">
        <f>SUMIF('[1]MASTER DATA'!$E:$E,'GENERAL PAYROLL'!$B138,'[1]MASTER DATA'!$AP:$AP)</f>
        <v>#N/A</v>
      </c>
      <c r="S138" s="224" t="str">
        <f>SUMIF('[1]MASTER DATA'!$E:$E,'GENERAL PAYROLL'!$B138,'[1]MASTER DATA'!$AR:$AR)</f>
        <v>#N/A</v>
      </c>
      <c r="T138" s="226" t="str">
        <f>SUMIF('[1]MASTER DATA'!$E:$E,'GENERAL PAYROLL'!$B138,'[1]MASTER DATA'!$AS:$AS)</f>
        <v>#N/A</v>
      </c>
      <c r="U138" s="226" t="str">
        <f>SUMIF('[1]MASTER DATA'!$E:$E,'GENERAL PAYROLL'!$B138,'[1]MASTER DATA'!$AT:$AT)</f>
        <v>#N/A</v>
      </c>
      <c r="V138" s="226" t="str">
        <f>SUMIF('[1]MASTER DATA'!$E:$E,'GENERAL PAYROLL'!$B138,'[1]MASTER DATA'!$AU:$AU)</f>
        <v>#N/A</v>
      </c>
      <c r="W138" s="226" t="str">
        <f>SUMIF('[1]MASTER DATA'!$E:$E,'GENERAL PAYROLL'!$B138,'[1]MASTER DATA'!$AV:$AV)</f>
        <v>#N/A</v>
      </c>
      <c r="X138" s="226" t="str">
        <f>SUMIF('[1]MASTER DATA'!$E:$E,'GENERAL PAYROLL'!$B138,'[1]MASTER DATA'!$AW:$AW)</f>
        <v>#N/A</v>
      </c>
      <c r="Y138" s="226" t="str">
        <f>SUMIF('[1]MASTER DATA'!$E:$E,'GENERAL PAYROLL'!$B138,'[1]MASTER DATA'!$AX:$AX)</f>
        <v>#N/A</v>
      </c>
      <c r="Z138" s="224" t="str">
        <f>SUMIF('[1]MASTER DATA'!$E:$E,'GENERAL PAYROLL'!$B138,'[1]MASTER DATA'!$AY:$AY)</f>
        <v>#N/A</v>
      </c>
    </row>
    <row r="139" ht="15.75" hidden="1" customHeight="1">
      <c r="A139" s="220">
        <v>6.0</v>
      </c>
      <c r="B139" s="221" t="str">
        <f>IFERROR(VLOOKUP(#REF!,CODE!$B:$D,3,FALSE)," ")</f>
        <v> </v>
      </c>
      <c r="C139" s="219" t="s">
        <v>166</v>
      </c>
      <c r="D139" s="223"/>
      <c r="E139" s="223">
        <v>10.0</v>
      </c>
      <c r="F139" s="226" t="str">
        <f>SUMIF('[1]MASTER DATA'!$E:$E,'GENERAL PAYROLL'!$B139,'[1]MASTER DATA'!$O:$O)</f>
        <v>#N/A</v>
      </c>
      <c r="G139" s="224" t="str">
        <f>SUMIF('[1]MASTER DATA'!$E:$E,'GENERAL PAYROLL'!$B139,'[1]MASTER DATA'!$N:$N)</f>
        <v>#N/A</v>
      </c>
      <c r="H139" s="226" t="str">
        <f>SUMIF('[1]MASTER DATA'!$E:$E,'GENERAL PAYROLL'!$B139,'[1]MASTER DATA'!$W:$W)</f>
        <v>#N/A</v>
      </c>
      <c r="I139" s="226" t="str">
        <f>SUMIF('[1]MASTER DATA'!$E:$E,'GENERAL PAYROLL'!$B139,'[1]MASTER DATA'!$X:$X)+SUMIF('[1]MASTER DATA'!$E:$E,'GENERAL PAYROLL'!$B139,'[1]MASTER DATA'!$Y:$Y)</f>
        <v>#N/A</v>
      </c>
      <c r="J139" s="226"/>
      <c r="K139" s="226" t="str">
        <f>SUMIF('[1]MASTER DATA'!$E:$E,'GENERAL PAYROLL'!$B139,'[1]MASTER DATA'!$AC:$AC)</f>
        <v>#N/A</v>
      </c>
      <c r="L139" s="226" t="str">
        <f>SUMIF('[1]MASTER DATA'!$E:$E,'GENERAL PAYROLL'!$B139,'[1]MASTER DATA'!$AD:$AD)+SUMIF('[1]MASTER DATA'!$E:$E,'GENERAL PAYROLL'!$B139,'[1]MASTER DATA'!$AE:$AE)</f>
        <v>#N/A</v>
      </c>
      <c r="M139" s="226"/>
      <c r="N139" s="226" t="str">
        <f>SUMIF('[1]MASTER DATA'!$E:$E,'GENERAL PAYROLL'!$B139,'[1]MASTER DATA'!$AC:$AC)</f>
        <v>#N/A</v>
      </c>
      <c r="O139" s="226" t="str">
        <f>SUMIF('[1]MASTER DATA'!$E:$E,'GENERAL PAYROLL'!$B139,'[1]MASTER DATA'!$AD:$AD)+SUMIF('[1]MASTER DATA'!$E:$E,'GENERAL PAYROLL'!$B139,'[1]MASTER DATA'!$AE:$AE)</f>
        <v>#N/A</v>
      </c>
      <c r="P139" s="226"/>
      <c r="Q139" s="226"/>
      <c r="R139" s="226" t="str">
        <f>SUMIF('[1]MASTER DATA'!$E:$E,'GENERAL PAYROLL'!$B139,'[1]MASTER DATA'!$AP:$AP)</f>
        <v>#N/A</v>
      </c>
      <c r="S139" s="224" t="str">
        <f>SUMIF('[1]MASTER DATA'!$E:$E,'GENERAL PAYROLL'!$B139,'[1]MASTER DATA'!$AR:$AR)</f>
        <v>#N/A</v>
      </c>
      <c r="T139" s="226" t="str">
        <f>SUMIF('[1]MASTER DATA'!$E:$E,'GENERAL PAYROLL'!$B139,'[1]MASTER DATA'!$AS:$AS)</f>
        <v>#N/A</v>
      </c>
      <c r="U139" s="226" t="str">
        <f>SUMIF('[1]MASTER DATA'!$E:$E,'GENERAL PAYROLL'!$B139,'[1]MASTER DATA'!$AT:$AT)</f>
        <v>#N/A</v>
      </c>
      <c r="V139" s="226" t="str">
        <f>SUMIF('[1]MASTER DATA'!$E:$E,'GENERAL PAYROLL'!$B139,'[1]MASTER DATA'!$AU:$AU)</f>
        <v>#N/A</v>
      </c>
      <c r="W139" s="226" t="str">
        <f>SUMIF('[1]MASTER DATA'!$E:$E,'GENERAL PAYROLL'!$B139,'[1]MASTER DATA'!$AV:$AV)</f>
        <v>#N/A</v>
      </c>
      <c r="X139" s="226" t="str">
        <f>SUMIF('[1]MASTER DATA'!$E:$E,'GENERAL PAYROLL'!$B139,'[1]MASTER DATA'!$AW:$AW)</f>
        <v>#N/A</v>
      </c>
      <c r="Y139" s="226" t="str">
        <f>SUMIF('[1]MASTER DATA'!$E:$E,'GENERAL PAYROLL'!$B139,'[1]MASTER DATA'!$AX:$AX)</f>
        <v>#N/A</v>
      </c>
      <c r="Z139" s="224" t="str">
        <f>SUMIF('[1]MASTER DATA'!$E:$E,'GENERAL PAYROLL'!$B139,'[1]MASTER DATA'!$AY:$AY)</f>
        <v>#N/A</v>
      </c>
    </row>
    <row r="140" ht="15.75" hidden="1" customHeight="1">
      <c r="A140" s="271">
        <v>7.0</v>
      </c>
      <c r="B140" s="221" t="str">
        <f>IFERROR(VLOOKUP(#REF!,CODE!$B:$D,3,FALSE)," ")</f>
        <v> </v>
      </c>
      <c r="C140" s="219" t="s">
        <v>166</v>
      </c>
      <c r="D140" s="223"/>
      <c r="E140" s="223"/>
      <c r="F140" s="226" t="str">
        <f>SUMIF('[1]MASTER DATA'!$E:$E,'GENERAL PAYROLL'!$B140,'[1]MASTER DATA'!$O:$O)</f>
        <v>#N/A</v>
      </c>
      <c r="G140" s="224" t="str">
        <f>SUMIF('[1]MASTER DATA'!$E:$E,'GENERAL PAYROLL'!$B140,'[1]MASTER DATA'!$N:$N)</f>
        <v>#N/A</v>
      </c>
      <c r="H140" s="226" t="str">
        <f>SUMIF('[1]MASTER DATA'!$E:$E,'GENERAL PAYROLL'!$B140,'[1]MASTER DATA'!$W:$W)</f>
        <v>#N/A</v>
      </c>
      <c r="I140" s="226" t="str">
        <f>SUMIF('[1]MASTER DATA'!$E:$E,'GENERAL PAYROLL'!$B140,'[1]MASTER DATA'!$X:$X)+SUMIF('[1]MASTER DATA'!$E:$E,'GENERAL PAYROLL'!$B140,'[1]MASTER DATA'!$Y:$Y)</f>
        <v>#N/A</v>
      </c>
      <c r="J140" s="226"/>
      <c r="K140" s="226" t="str">
        <f>SUMIF('[1]MASTER DATA'!$E:$E,'GENERAL PAYROLL'!$B140,'[1]MASTER DATA'!$AC:$AC)</f>
        <v>#N/A</v>
      </c>
      <c r="L140" s="226" t="str">
        <f>SUMIF('[1]MASTER DATA'!$E:$E,'GENERAL PAYROLL'!$B140,'[1]MASTER DATA'!$AD:$AD)+SUMIF('[1]MASTER DATA'!$E:$E,'GENERAL PAYROLL'!$B140,'[1]MASTER DATA'!$AE:$AE)</f>
        <v>#N/A</v>
      </c>
      <c r="M140" s="226"/>
      <c r="N140" s="226" t="str">
        <f>SUMIF('[1]MASTER DATA'!$E:$E,'GENERAL PAYROLL'!$B140,'[1]MASTER DATA'!$AC:$AC)</f>
        <v>#N/A</v>
      </c>
      <c r="O140" s="226" t="str">
        <f>SUMIF('[1]MASTER DATA'!$E:$E,'GENERAL PAYROLL'!$B140,'[1]MASTER DATA'!$AD:$AD)+SUMIF('[1]MASTER DATA'!$E:$E,'GENERAL PAYROLL'!$B140,'[1]MASTER DATA'!$AE:$AE)</f>
        <v>#N/A</v>
      </c>
      <c r="P140" s="226"/>
      <c r="Q140" s="226"/>
      <c r="R140" s="226" t="str">
        <f>SUMIF('[1]MASTER DATA'!$E:$E,'GENERAL PAYROLL'!$B140,'[1]MASTER DATA'!$AP:$AP)</f>
        <v>#N/A</v>
      </c>
      <c r="S140" s="224" t="str">
        <f>SUMIF('[1]MASTER DATA'!$E:$E,'GENERAL PAYROLL'!$B140,'[1]MASTER DATA'!$AR:$AR)</f>
        <v>#N/A</v>
      </c>
      <c r="T140" s="226" t="str">
        <f>SUMIF('[1]MASTER DATA'!$E:$E,'GENERAL PAYROLL'!$B140,'[1]MASTER DATA'!$AS:$AS)</f>
        <v>#N/A</v>
      </c>
      <c r="U140" s="226" t="str">
        <f>SUMIF('[1]MASTER DATA'!$E:$E,'GENERAL PAYROLL'!$B140,'[1]MASTER DATA'!$AT:$AT)</f>
        <v>#N/A</v>
      </c>
      <c r="V140" s="226" t="str">
        <f>SUMIF('[1]MASTER DATA'!$E:$E,'GENERAL PAYROLL'!$B140,'[1]MASTER DATA'!$AU:$AU)</f>
        <v>#N/A</v>
      </c>
      <c r="W140" s="226" t="str">
        <f>SUMIF('[1]MASTER DATA'!$E:$E,'GENERAL PAYROLL'!$B140,'[1]MASTER DATA'!$AV:$AV)</f>
        <v>#N/A</v>
      </c>
      <c r="X140" s="226" t="str">
        <f>SUMIF('[1]MASTER DATA'!$E:$E,'GENERAL PAYROLL'!$B140,'[1]MASTER DATA'!$AW:$AW)</f>
        <v>#N/A</v>
      </c>
      <c r="Y140" s="226" t="str">
        <f>SUMIF('[1]MASTER DATA'!$E:$E,'GENERAL PAYROLL'!$B140,'[1]MASTER DATA'!$AX:$AX)</f>
        <v>#N/A</v>
      </c>
      <c r="Z140" s="224" t="str">
        <f>SUMIF('[1]MASTER DATA'!$E:$E,'GENERAL PAYROLL'!$B140,'[1]MASTER DATA'!$AY:$AY)</f>
        <v>#N/A</v>
      </c>
    </row>
    <row r="141" ht="15.75" hidden="1" customHeight="1">
      <c r="A141" s="270" t="s">
        <v>179</v>
      </c>
      <c r="B141" s="26"/>
      <c r="C141" s="219"/>
      <c r="D141" s="223"/>
      <c r="E141" s="223"/>
      <c r="F141" s="226"/>
      <c r="G141" s="224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4"/>
      <c r="T141" s="224"/>
      <c r="U141" s="224"/>
      <c r="V141" s="226"/>
      <c r="W141" s="226"/>
      <c r="X141" s="226"/>
      <c r="Y141" s="226"/>
      <c r="Z141" s="224"/>
    </row>
    <row r="142" ht="15.75" hidden="1" customHeight="1">
      <c r="A142" s="220">
        <v>1.0</v>
      </c>
      <c r="B142" s="221" t="str">
        <f>IFERROR(VLOOKUP(#REF!,CODE!$B:$D,3,FALSE)," ")</f>
        <v> </v>
      </c>
      <c r="C142" s="219" t="s">
        <v>166</v>
      </c>
      <c r="D142" s="223"/>
      <c r="E142" s="223">
        <v>11.0</v>
      </c>
      <c r="F142" s="226" t="str">
        <f>SUMIF('[1]MASTER DATA'!$E:$E,'GENERAL PAYROLL'!$B142,'[1]MASTER DATA'!$O:$O)</f>
        <v>#N/A</v>
      </c>
      <c r="G142" s="224" t="str">
        <f>SUMIF('[1]MASTER DATA'!$E:$E,'GENERAL PAYROLL'!$B142,'[1]MASTER DATA'!$N:$N)</f>
        <v>#N/A</v>
      </c>
      <c r="H142" s="226" t="str">
        <f>SUMIF('[1]MASTER DATA'!$E:$E,'GENERAL PAYROLL'!$B142,'[1]MASTER DATA'!$W:$W)</f>
        <v>#N/A</v>
      </c>
      <c r="I142" s="226" t="str">
        <f>SUMIF('[1]MASTER DATA'!$E:$E,'GENERAL PAYROLL'!$B142,'[1]MASTER DATA'!$X:$X)+SUMIF('[1]MASTER DATA'!$E:$E,'GENERAL PAYROLL'!$B142,'[1]MASTER DATA'!$Y:$Y)</f>
        <v>#N/A</v>
      </c>
      <c r="J142" s="226"/>
      <c r="K142" s="226" t="str">
        <f>SUMIF('[1]MASTER DATA'!$E:$E,'GENERAL PAYROLL'!$B142,'[1]MASTER DATA'!$AC:$AC)</f>
        <v>#N/A</v>
      </c>
      <c r="L142" s="226" t="str">
        <f>SUMIF('[1]MASTER DATA'!$E:$E,'GENERAL PAYROLL'!$B142,'[1]MASTER DATA'!$AD:$AD)+SUMIF('[1]MASTER DATA'!$E:$E,'GENERAL PAYROLL'!$B142,'[1]MASTER DATA'!$AE:$AE)</f>
        <v>#N/A</v>
      </c>
      <c r="M142" s="226"/>
      <c r="N142" s="226" t="str">
        <f>SUMIF('[1]MASTER DATA'!$E:$E,'GENERAL PAYROLL'!$B142,'[1]MASTER DATA'!$AC:$AC)</f>
        <v>#N/A</v>
      </c>
      <c r="O142" s="226" t="str">
        <f>SUMIF('[1]MASTER DATA'!$E:$E,'GENERAL PAYROLL'!$B142,'[1]MASTER DATA'!$AD:$AD)+SUMIF('[1]MASTER DATA'!$E:$E,'GENERAL PAYROLL'!$B142,'[1]MASTER DATA'!$AE:$AE)</f>
        <v>#N/A</v>
      </c>
      <c r="P142" s="226"/>
      <c r="Q142" s="226"/>
      <c r="R142" s="226" t="str">
        <f>SUMIF('[1]MASTER DATA'!$E:$E,'GENERAL PAYROLL'!$B142,'[1]MASTER DATA'!$AP:$AP)</f>
        <v>#N/A</v>
      </c>
      <c r="S142" s="224" t="str">
        <f>SUMIF('[1]MASTER DATA'!$E:$E,'GENERAL PAYROLL'!$B142,'[1]MASTER DATA'!$AR:$AR)</f>
        <v>#N/A</v>
      </c>
      <c r="T142" s="226" t="str">
        <f>SUMIF('[1]MASTER DATA'!$E:$E,'GENERAL PAYROLL'!$B142,'[1]MASTER DATA'!$AS:$AS)</f>
        <v>#N/A</v>
      </c>
      <c r="U142" s="226" t="str">
        <f>SUMIF('[1]MASTER DATA'!$E:$E,'GENERAL PAYROLL'!$B142,'[1]MASTER DATA'!$AT:$AT)</f>
        <v>#N/A</v>
      </c>
      <c r="V142" s="226" t="str">
        <f>SUMIF('[1]MASTER DATA'!$E:$E,'GENERAL PAYROLL'!$B142,'[1]MASTER DATA'!$AU:$AU)</f>
        <v>#N/A</v>
      </c>
      <c r="W142" s="226" t="str">
        <f>SUMIF('[1]MASTER DATA'!$E:$E,'GENERAL PAYROLL'!$B142,'[1]MASTER DATA'!$AV:$AV)</f>
        <v>#N/A</v>
      </c>
      <c r="X142" s="226" t="str">
        <f>SUMIF('[1]MASTER DATA'!$E:$E,'GENERAL PAYROLL'!$B142,'[1]MASTER DATA'!$AW:$AW)</f>
        <v>#N/A</v>
      </c>
      <c r="Y142" s="226" t="str">
        <f>SUMIF('[1]MASTER DATA'!$E:$E,'GENERAL PAYROLL'!$B142,'[1]MASTER DATA'!$AX:$AX)</f>
        <v>#N/A</v>
      </c>
      <c r="Z142" s="224" t="str">
        <f>SUMIF('[1]MASTER DATA'!$E:$E,'GENERAL PAYROLL'!$B142,'[1]MASTER DATA'!$AY:$AY)</f>
        <v>#N/A</v>
      </c>
    </row>
    <row r="143" ht="15.75" hidden="1" customHeight="1">
      <c r="A143" s="220">
        <v>2.0</v>
      </c>
      <c r="B143" s="221" t="str">
        <f>IFERROR(VLOOKUP(#REF!,CODE!$B:$D,3,FALSE)," ")</f>
        <v> </v>
      </c>
      <c r="C143" s="219" t="s">
        <v>166</v>
      </c>
      <c r="D143" s="223"/>
      <c r="E143" s="223">
        <v>11.0</v>
      </c>
      <c r="F143" s="226" t="str">
        <f>SUMIF('[1]MASTER DATA'!$E:$E,'GENERAL PAYROLL'!$B143,'[1]MASTER DATA'!$O:$O)</f>
        <v>#N/A</v>
      </c>
      <c r="G143" s="224" t="str">
        <f>SUMIF('[1]MASTER DATA'!$E:$E,'GENERAL PAYROLL'!$B143,'[1]MASTER DATA'!$N:$N)</f>
        <v>#N/A</v>
      </c>
      <c r="H143" s="226" t="str">
        <f>SUMIF('[1]MASTER DATA'!$E:$E,'GENERAL PAYROLL'!$B143,'[1]MASTER DATA'!$W:$W)</f>
        <v>#N/A</v>
      </c>
      <c r="I143" s="226" t="str">
        <f>SUMIF('[1]MASTER DATA'!$E:$E,'GENERAL PAYROLL'!$B143,'[1]MASTER DATA'!$X:$X)+SUMIF('[1]MASTER DATA'!$E:$E,'GENERAL PAYROLL'!$B143,'[1]MASTER DATA'!$Y:$Y)</f>
        <v>#N/A</v>
      </c>
      <c r="J143" s="226"/>
      <c r="K143" s="226" t="str">
        <f>SUMIF('[1]MASTER DATA'!$E:$E,'GENERAL PAYROLL'!$B143,'[1]MASTER DATA'!$AC:$AC)</f>
        <v>#N/A</v>
      </c>
      <c r="L143" s="226" t="str">
        <f>SUMIF('[1]MASTER DATA'!$E:$E,'GENERAL PAYROLL'!$B143,'[1]MASTER DATA'!$AD:$AD)+SUMIF('[1]MASTER DATA'!$E:$E,'GENERAL PAYROLL'!$B143,'[1]MASTER DATA'!$AE:$AE)</f>
        <v>#N/A</v>
      </c>
      <c r="M143" s="226"/>
      <c r="N143" s="226" t="str">
        <f>SUMIF('[1]MASTER DATA'!$E:$E,'GENERAL PAYROLL'!$B143,'[1]MASTER DATA'!$AC:$AC)</f>
        <v>#N/A</v>
      </c>
      <c r="O143" s="226" t="str">
        <f>SUMIF('[1]MASTER DATA'!$E:$E,'GENERAL PAYROLL'!$B143,'[1]MASTER DATA'!$AD:$AD)+SUMIF('[1]MASTER DATA'!$E:$E,'GENERAL PAYROLL'!$B143,'[1]MASTER DATA'!$AE:$AE)</f>
        <v>#N/A</v>
      </c>
      <c r="P143" s="226"/>
      <c r="Q143" s="226"/>
      <c r="R143" s="226" t="str">
        <f>SUMIF('[1]MASTER DATA'!$E:$E,'GENERAL PAYROLL'!$B143,'[1]MASTER DATA'!$AP:$AP)</f>
        <v>#N/A</v>
      </c>
      <c r="S143" s="224" t="str">
        <f>SUMIF('[1]MASTER DATA'!$E:$E,'GENERAL PAYROLL'!$B143,'[1]MASTER DATA'!$AR:$AR)</f>
        <v>#N/A</v>
      </c>
      <c r="T143" s="226" t="str">
        <f>SUMIF('[1]MASTER DATA'!$E:$E,'GENERAL PAYROLL'!$B143,'[1]MASTER DATA'!$AS:$AS)</f>
        <v>#N/A</v>
      </c>
      <c r="U143" s="226" t="str">
        <f>SUMIF('[1]MASTER DATA'!$E:$E,'GENERAL PAYROLL'!$B143,'[1]MASTER DATA'!$AT:$AT)</f>
        <v>#N/A</v>
      </c>
      <c r="V143" s="226" t="str">
        <f>SUMIF('[1]MASTER DATA'!$E:$E,'GENERAL PAYROLL'!$B143,'[1]MASTER DATA'!$AU:$AU)</f>
        <v>#N/A</v>
      </c>
      <c r="W143" s="226" t="str">
        <f>SUMIF('[1]MASTER DATA'!$E:$E,'GENERAL PAYROLL'!$B143,'[1]MASTER DATA'!$AV:$AV)</f>
        <v>#N/A</v>
      </c>
      <c r="X143" s="226" t="str">
        <f>SUMIF('[1]MASTER DATA'!$E:$E,'GENERAL PAYROLL'!$B143,'[1]MASTER DATA'!$AW:$AW)</f>
        <v>#N/A</v>
      </c>
      <c r="Y143" s="226" t="str">
        <f>SUMIF('[1]MASTER DATA'!$E:$E,'GENERAL PAYROLL'!$B143,'[1]MASTER DATA'!$AX:$AX)</f>
        <v>#N/A</v>
      </c>
      <c r="Z143" s="224" t="str">
        <f>SUMIF('[1]MASTER DATA'!$E:$E,'GENERAL PAYROLL'!$B143,'[1]MASTER DATA'!$AY:$AY)</f>
        <v>#N/A</v>
      </c>
    </row>
    <row r="144" ht="15.75" hidden="1" customHeight="1">
      <c r="A144" s="270" t="s">
        <v>180</v>
      </c>
      <c r="B144" s="26"/>
      <c r="C144" s="219"/>
      <c r="D144" s="223"/>
      <c r="E144" s="223"/>
      <c r="F144" s="226"/>
      <c r="G144" s="224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4"/>
      <c r="T144" s="224"/>
      <c r="U144" s="224"/>
      <c r="V144" s="226"/>
      <c r="W144" s="226"/>
      <c r="X144" s="226"/>
      <c r="Y144" s="226"/>
      <c r="Z144" s="224"/>
    </row>
    <row r="145" ht="15.75" hidden="1" customHeight="1">
      <c r="A145" s="223">
        <v>1.0</v>
      </c>
      <c r="B145" s="221" t="str">
        <f>IFERROR(VLOOKUP(#REF!,CODE!$B:$D,3,FALSE)," ")</f>
        <v> </v>
      </c>
      <c r="C145" s="219" t="str">
        <f>IFERROR(VLOOKUP(B145,'[1]MASTER DATA'!$E:$G,3,FALSE)," ")</f>
        <v> </v>
      </c>
      <c r="D145" s="223"/>
      <c r="E145" s="223">
        <v>11.0</v>
      </c>
      <c r="F145" s="226" t="str">
        <f>SUMIF('[1]MASTER DATA'!$E:$E,'GENERAL PAYROLL'!$B145,'[1]MASTER DATA'!$O:$O)</f>
        <v>#N/A</v>
      </c>
      <c r="G145" s="224" t="str">
        <f>SUMIF('[1]MASTER DATA'!$E:$E,'GENERAL PAYROLL'!$B145,'[1]MASTER DATA'!$N:$N)</f>
        <v>#N/A</v>
      </c>
      <c r="H145" s="226" t="str">
        <f>SUMIF('[1]MASTER DATA'!$E:$E,'GENERAL PAYROLL'!$B145,'[1]MASTER DATA'!$W:$W)</f>
        <v>#N/A</v>
      </c>
      <c r="I145" s="226" t="str">
        <f>SUMIF('[1]MASTER DATA'!$E:$E,'GENERAL PAYROLL'!$B145,'[1]MASTER DATA'!$X:$X)+SUMIF('[1]MASTER DATA'!$E:$E,'GENERAL PAYROLL'!$B145,'[1]MASTER DATA'!$Y:$Y)</f>
        <v>#N/A</v>
      </c>
      <c r="J145" s="226"/>
      <c r="K145" s="226" t="str">
        <f>SUMIF('[1]MASTER DATA'!$E:$E,'GENERAL PAYROLL'!$B145,'[1]MASTER DATA'!$AC:$AC)</f>
        <v>#N/A</v>
      </c>
      <c r="L145" s="226" t="str">
        <f>SUMIF('[1]MASTER DATA'!$E:$E,'GENERAL PAYROLL'!$B145,'[1]MASTER DATA'!$AD:$AD)+SUMIF('[1]MASTER DATA'!$E:$E,'GENERAL PAYROLL'!$B145,'[1]MASTER DATA'!$AE:$AE)</f>
        <v>#N/A</v>
      </c>
      <c r="M145" s="226"/>
      <c r="N145" s="226" t="str">
        <f>SUMIF('[1]MASTER DATA'!$E:$E,'GENERAL PAYROLL'!$B145,'[1]MASTER DATA'!$AC:$AC)</f>
        <v>#N/A</v>
      </c>
      <c r="O145" s="226" t="str">
        <f>SUMIF('[1]MASTER DATA'!$E:$E,'GENERAL PAYROLL'!$B145,'[1]MASTER DATA'!$AD:$AD)+SUMIF('[1]MASTER DATA'!$E:$E,'GENERAL PAYROLL'!$B145,'[1]MASTER DATA'!$AE:$AE)</f>
        <v>#N/A</v>
      </c>
      <c r="P145" s="226"/>
      <c r="Q145" s="226"/>
      <c r="R145" s="226" t="str">
        <f>SUMIF('[1]MASTER DATA'!$E:$E,'GENERAL PAYROLL'!$B145,'[1]MASTER DATA'!$AP:$AP)</f>
        <v>#N/A</v>
      </c>
      <c r="S145" s="224" t="str">
        <f>SUMIF('[1]MASTER DATA'!$E:$E,'GENERAL PAYROLL'!$B145,'[1]MASTER DATA'!$AR:$AR)</f>
        <v>#N/A</v>
      </c>
      <c r="T145" s="226" t="str">
        <f>SUMIF('[1]MASTER DATA'!$E:$E,'GENERAL PAYROLL'!$B145,'[1]MASTER DATA'!$AS:$AS)</f>
        <v>#N/A</v>
      </c>
      <c r="U145" s="226" t="str">
        <f>SUMIF('[1]MASTER DATA'!$E:$E,'GENERAL PAYROLL'!$B145,'[1]MASTER DATA'!$AT:$AT)</f>
        <v>#N/A</v>
      </c>
      <c r="V145" s="226" t="str">
        <f>SUMIF('[1]MASTER DATA'!$E:$E,'GENERAL PAYROLL'!$B145,'[1]MASTER DATA'!$AU:$AU)</f>
        <v>#N/A</v>
      </c>
      <c r="W145" s="226" t="str">
        <f>SUMIF('[1]MASTER DATA'!$E:$E,'GENERAL PAYROLL'!$B145,'[1]MASTER DATA'!$AV:$AV)</f>
        <v>#N/A</v>
      </c>
      <c r="X145" s="226" t="str">
        <f>SUMIF('[1]MASTER DATA'!$E:$E,'GENERAL PAYROLL'!$B145,'[1]MASTER DATA'!$AW:$AW)</f>
        <v>#N/A</v>
      </c>
      <c r="Y145" s="226" t="str">
        <f>SUMIF('[1]MASTER DATA'!$E:$E,'GENERAL PAYROLL'!$B145,'[1]MASTER DATA'!$AX:$AX)</f>
        <v>#N/A</v>
      </c>
      <c r="Z145" s="224" t="str">
        <f>SUMIF('[1]MASTER DATA'!$E:$E,'GENERAL PAYROLL'!$B145,'[1]MASTER DATA'!$AY:$AY)</f>
        <v>#N/A</v>
      </c>
    </row>
    <row r="146" ht="15.75" hidden="1" customHeight="1">
      <c r="A146" s="218" t="s">
        <v>23</v>
      </c>
      <c r="B146" s="82"/>
      <c r="C146" s="219"/>
      <c r="D146" s="82"/>
      <c r="E146" s="82"/>
      <c r="F146" s="234"/>
      <c r="G146" s="234" t="str">
        <f t="shared" ref="G146:I146" si="13">SUM(G122:G145)</f>
        <v>#N/A</v>
      </c>
      <c r="H146" s="234" t="str">
        <f t="shared" si="13"/>
        <v>#N/A</v>
      </c>
      <c r="I146" s="234" t="str">
        <f t="shared" si="13"/>
        <v>#N/A</v>
      </c>
      <c r="J146" s="234"/>
      <c r="K146" s="234" t="str">
        <f t="shared" ref="K146:L146" si="14">SUM(K122:K145)</f>
        <v>#N/A</v>
      </c>
      <c r="L146" s="234" t="str">
        <f t="shared" si="14"/>
        <v>#N/A</v>
      </c>
      <c r="M146" s="234"/>
      <c r="N146" s="234" t="str">
        <f t="shared" ref="N146:O146" si="15">SUM(N122:N145)</f>
        <v>#N/A</v>
      </c>
      <c r="O146" s="234" t="str">
        <f t="shared" si="15"/>
        <v>#N/A</v>
      </c>
      <c r="P146" s="234"/>
      <c r="Q146" s="234"/>
      <c r="R146" s="234" t="str">
        <f t="shared" ref="R146:Z146" si="16">SUM(R122:R145)</f>
        <v>#N/A</v>
      </c>
      <c r="S146" s="234" t="str">
        <f t="shared" si="16"/>
        <v>#N/A</v>
      </c>
      <c r="T146" s="234" t="str">
        <f t="shared" si="16"/>
        <v>#N/A</v>
      </c>
      <c r="U146" s="234" t="str">
        <f t="shared" si="16"/>
        <v>#N/A</v>
      </c>
      <c r="V146" s="234" t="str">
        <f t="shared" si="16"/>
        <v>#N/A</v>
      </c>
      <c r="W146" s="234" t="str">
        <f t="shared" si="16"/>
        <v>#N/A</v>
      </c>
      <c r="X146" s="234" t="str">
        <f t="shared" si="16"/>
        <v>#N/A</v>
      </c>
      <c r="Y146" s="234" t="str">
        <f t="shared" si="16"/>
        <v>#N/A</v>
      </c>
      <c r="Z146" s="234" t="str">
        <f t="shared" si="16"/>
        <v>#N/A</v>
      </c>
    </row>
    <row r="147" ht="15.75" hidden="1" customHeight="1">
      <c r="A147" s="235"/>
      <c r="B147" s="236"/>
      <c r="C147" s="237"/>
      <c r="D147" s="236"/>
      <c r="E147" s="236"/>
      <c r="F147" s="238"/>
      <c r="G147" s="239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  <c r="W147" s="238"/>
      <c r="X147" s="238"/>
      <c r="Y147" s="238"/>
      <c r="Z147" s="240"/>
    </row>
    <row r="148" ht="15.75" hidden="1" customHeight="1">
      <c r="A148" s="241" t="s">
        <v>143</v>
      </c>
      <c r="C148" s="195"/>
      <c r="F148" s="6"/>
      <c r="G148" s="242" t="s">
        <v>144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243"/>
    </row>
    <row r="149" ht="15.75" hidden="1" customHeight="1">
      <c r="A149" s="241"/>
      <c r="C149" s="195"/>
      <c r="F149" s="6"/>
      <c r="G149" s="24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243"/>
    </row>
    <row r="150" ht="15.75" hidden="1" customHeight="1">
      <c r="A150" s="241"/>
      <c r="C150" s="195"/>
      <c r="F150" s="6"/>
      <c r="G150" s="24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243"/>
    </row>
    <row r="151" ht="15.75" hidden="1" customHeight="1">
      <c r="A151" s="241"/>
      <c r="B151" s="5" t="s">
        <v>145</v>
      </c>
      <c r="F151" s="6"/>
      <c r="G151" s="244" t="s">
        <v>146</v>
      </c>
      <c r="J151" s="194"/>
      <c r="K151" s="194"/>
      <c r="L151" s="6"/>
      <c r="M151" s="6"/>
      <c r="N151" s="194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243"/>
    </row>
    <row r="152" ht="15.75" hidden="1" customHeight="1">
      <c r="A152" s="245"/>
      <c r="B152" s="246" t="s">
        <v>170</v>
      </c>
      <c r="C152" s="247"/>
      <c r="D152" s="247"/>
      <c r="E152" s="247"/>
      <c r="F152" s="248"/>
      <c r="G152" s="249" t="s">
        <v>148</v>
      </c>
      <c r="H152" s="247"/>
      <c r="I152" s="247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50"/>
    </row>
    <row r="153" ht="15.75" hidden="1" customHeight="1">
      <c r="A153" s="235" t="s">
        <v>149</v>
      </c>
      <c r="B153" s="236"/>
      <c r="C153" s="237"/>
      <c r="D153" s="236"/>
      <c r="E153" s="236"/>
      <c r="F153" s="238"/>
      <c r="G153" s="239" t="s">
        <v>150</v>
      </c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40"/>
      <c r="V153" s="251"/>
      <c r="W153" s="25"/>
      <c r="X153" s="25"/>
      <c r="Y153" s="25"/>
      <c r="Z153" s="26"/>
    </row>
    <row r="154" ht="15.75" hidden="1" customHeight="1">
      <c r="A154" s="241"/>
      <c r="B154" s="227" t="s">
        <v>151</v>
      </c>
      <c r="C154" s="195"/>
      <c r="F154" s="6"/>
      <c r="G154" s="252" t="s">
        <v>152</v>
      </c>
      <c r="L154" s="6"/>
      <c r="M154" s="6"/>
      <c r="O154" s="6"/>
      <c r="P154" s="6"/>
      <c r="Q154" s="6"/>
      <c r="R154" s="6"/>
      <c r="S154" s="6"/>
      <c r="T154" s="6"/>
      <c r="U154" s="243"/>
      <c r="V154" s="251" t="s">
        <v>153</v>
      </c>
      <c r="W154" s="25"/>
      <c r="X154" s="25"/>
      <c r="Y154" s="25"/>
      <c r="Z154" s="26"/>
    </row>
    <row r="155" ht="15.75" hidden="1" customHeight="1">
      <c r="A155" s="241"/>
      <c r="C155" s="195"/>
      <c r="F155" s="6"/>
      <c r="G155" s="24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243"/>
      <c r="V155" s="251" t="s">
        <v>154</v>
      </c>
      <c r="W155" s="25"/>
      <c r="X155" s="25"/>
      <c r="Y155" s="25"/>
      <c r="Z155" s="26"/>
    </row>
    <row r="156" ht="15.75" hidden="1" customHeight="1">
      <c r="A156" s="241"/>
      <c r="C156" s="195"/>
      <c r="F156" s="6"/>
      <c r="G156" s="24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243"/>
      <c r="V156" s="251" t="s">
        <v>155</v>
      </c>
      <c r="W156" s="25"/>
      <c r="X156" s="25"/>
      <c r="Y156" s="25"/>
      <c r="Z156" s="26"/>
    </row>
    <row r="157" ht="15.75" hidden="1" customHeight="1">
      <c r="A157" s="241"/>
      <c r="B157" s="5" t="s">
        <v>171</v>
      </c>
      <c r="F157" s="6"/>
      <c r="G157" s="244" t="s">
        <v>172</v>
      </c>
      <c r="J157" s="194"/>
      <c r="K157" s="194"/>
      <c r="L157" s="6"/>
      <c r="M157" s="6"/>
      <c r="N157" s="194"/>
      <c r="O157" s="6"/>
      <c r="P157" s="6"/>
      <c r="Q157" s="6"/>
      <c r="R157" s="6"/>
      <c r="S157" s="248"/>
      <c r="T157" s="247"/>
      <c r="U157" s="212"/>
      <c r="V157" s="251" t="s">
        <v>154</v>
      </c>
      <c r="W157" s="25"/>
      <c r="X157" s="25"/>
      <c r="Y157" s="25"/>
      <c r="Z157" s="26"/>
    </row>
    <row r="158" ht="15.75" hidden="1" customHeight="1">
      <c r="A158" s="245"/>
      <c r="B158" s="246" t="s">
        <v>173</v>
      </c>
      <c r="C158" s="247"/>
      <c r="D158" s="247"/>
      <c r="E158" s="247"/>
      <c r="F158" s="248"/>
      <c r="G158" s="249" t="s">
        <v>174</v>
      </c>
      <c r="H158" s="247"/>
      <c r="I158" s="247"/>
      <c r="J158" s="248"/>
      <c r="K158" s="248"/>
      <c r="L158" s="248"/>
      <c r="M158" s="248"/>
      <c r="N158" s="248"/>
      <c r="O158" s="248"/>
      <c r="P158" s="248"/>
      <c r="Q158" s="248"/>
      <c r="R158" s="248"/>
      <c r="S158" s="255" t="s">
        <v>160</v>
      </c>
      <c r="T158" s="247"/>
      <c r="U158" s="212"/>
      <c r="V158" s="251"/>
      <c r="W158" s="25"/>
      <c r="X158" s="25"/>
      <c r="Y158" s="25"/>
      <c r="Z158" s="26"/>
    </row>
    <row r="159" ht="15.75" hidden="1" customHeight="1">
      <c r="C159" s="19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hidden="1" customHeight="1">
      <c r="C160" s="19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hidden="1" customHeight="1">
      <c r="C161" s="19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hidden="1" customHeight="1">
      <c r="C162" s="19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C163" s="19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C164" s="19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C165" s="19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C166" s="19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C167" s="19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C168" s="19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C169" s="19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C170" s="19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C171" s="19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C172" s="19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C173" s="19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C174" s="19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C175" s="19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C176" s="19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C177" s="19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C178" s="19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C179" s="19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C180" s="19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C181" s="19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C182" s="19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C183" s="19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C184" s="19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C185" s="19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C186" s="195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C187" s="195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C188" s="195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C189" s="195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C190" s="195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C191" s="195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C192" s="195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C193" s="19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C194" s="195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C195" s="195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C196" s="195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C197" s="19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C198" s="195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C199" s="195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C200" s="195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C201" s="195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C202" s="195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C203" s="195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C204" s="195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C205" s="195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C206" s="195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C207" s="195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C208" s="195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C209" s="195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C210" s="195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C211" s="195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C212" s="195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C213" s="19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C214" s="19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C215" s="19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C216" s="19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C217" s="19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C218" s="19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C219" s="19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C220" s="19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C221" s="19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C222" s="19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C223" s="19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C224" s="19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C225" s="19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C226" s="19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C227" s="19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C228" s="19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C229" s="19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C230" s="19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C231" s="19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C232" s="19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C233" s="19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C234" s="19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C235" s="19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C236" s="19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C237" s="19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C238" s="19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C239" s="19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C240" s="19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C241" s="19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C242" s="19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C243" s="19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C244" s="19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C245" s="19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C246" s="19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C247" s="19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C248" s="19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C249" s="19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C250" s="19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C251" s="19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C252" s="19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C253" s="19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C254" s="19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C255" s="19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C256" s="19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C257" s="19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C258" s="19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C259" s="19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C260" s="19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C261" s="19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C262" s="19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C263" s="19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C264" s="19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C265" s="19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C266" s="19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C267" s="19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C268" s="19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C269" s="19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C270" s="19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C271" s="19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C272" s="19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C273" s="19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C274" s="19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C275" s="19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C276" s="19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C277" s="19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C278" s="19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C279" s="19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C280" s="19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C281" s="19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C282" s="19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C283" s="19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C284" s="19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C285" s="19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C286" s="19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C287" s="19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C288" s="19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C289" s="19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C290" s="19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C291" s="19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C292" s="19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C293" s="19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C294" s="19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C295" s="19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C296" s="19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C297" s="19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C298" s="19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C299" s="19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C300" s="19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C301" s="19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C302" s="19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C303" s="19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C304" s="19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C305" s="19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C306" s="19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C307" s="19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C308" s="19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C309" s="19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C310" s="19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C311" s="19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C312" s="19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C313" s="19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C314" s="19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C315" s="19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C316" s="19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C317" s="19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C318" s="19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C319" s="19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C320" s="19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C321" s="19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C322" s="19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C323" s="19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C324" s="19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C325" s="19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C326" s="19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C327" s="19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C328" s="19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C329" s="19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C330" s="19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C331" s="19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C332" s="19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C333" s="19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C334" s="19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C335" s="19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C336" s="19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C337" s="19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C338" s="19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C339" s="19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C340" s="19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C341" s="19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C342" s="19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C343" s="19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C344" s="19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C345" s="19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C346" s="19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C347" s="19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C348" s="19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C349" s="19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C350" s="19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C351" s="19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C352" s="19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C353" s="19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C354" s="19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C355" s="19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C356" s="19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C357" s="19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C358" s="19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A$19:$AA$34"/>
  <mergeCells count="106">
    <mergeCell ref="H65:I65"/>
    <mergeCell ref="K65:L65"/>
    <mergeCell ref="A62:B65"/>
    <mergeCell ref="C62:C65"/>
    <mergeCell ref="E62:E65"/>
    <mergeCell ref="F63:F65"/>
    <mergeCell ref="G63:G65"/>
    <mergeCell ref="H63:I63"/>
    <mergeCell ref="K63:L63"/>
    <mergeCell ref="A73:B73"/>
    <mergeCell ref="A78:B78"/>
    <mergeCell ref="A83:B83"/>
    <mergeCell ref="A85:B85"/>
    <mergeCell ref="B93:E93"/>
    <mergeCell ref="G93:I93"/>
    <mergeCell ref="B94:E94"/>
    <mergeCell ref="G118:G120"/>
    <mergeCell ref="H120:I120"/>
    <mergeCell ref="G151:I151"/>
    <mergeCell ref="G152:I152"/>
    <mergeCell ref="G154:K154"/>
    <mergeCell ref="G157:I157"/>
    <mergeCell ref="G158:I158"/>
    <mergeCell ref="F118:F120"/>
    <mergeCell ref="K118:L118"/>
    <mergeCell ref="N118:O118"/>
    <mergeCell ref="S118:S119"/>
    <mergeCell ref="T118:U118"/>
    <mergeCell ref="Z118:Z120"/>
    <mergeCell ref="T119:U119"/>
    <mergeCell ref="B99:E99"/>
    <mergeCell ref="G99:I99"/>
    <mergeCell ref="B100:E100"/>
    <mergeCell ref="G100:I100"/>
    <mergeCell ref="C117:C120"/>
    <mergeCell ref="E117:E120"/>
    <mergeCell ref="H118:I118"/>
    <mergeCell ref="B152:E152"/>
    <mergeCell ref="B157:E157"/>
    <mergeCell ref="B158:E158"/>
    <mergeCell ref="A117:B120"/>
    <mergeCell ref="A125:B125"/>
    <mergeCell ref="A130:B130"/>
    <mergeCell ref="A133:B133"/>
    <mergeCell ref="A141:B141"/>
    <mergeCell ref="A144:B144"/>
    <mergeCell ref="B151:E151"/>
    <mergeCell ref="S157:U157"/>
    <mergeCell ref="S158:U158"/>
    <mergeCell ref="V158:Z158"/>
    <mergeCell ref="K120:L120"/>
    <mergeCell ref="N120:O120"/>
    <mergeCell ref="V153:Z153"/>
    <mergeCell ref="V154:Z154"/>
    <mergeCell ref="V155:Z155"/>
    <mergeCell ref="V156:Z156"/>
    <mergeCell ref="V157:Z157"/>
    <mergeCell ref="K16:L16"/>
    <mergeCell ref="N16:O16"/>
    <mergeCell ref="S16:S17"/>
    <mergeCell ref="T16:U16"/>
    <mergeCell ref="Z16:Z18"/>
    <mergeCell ref="T17:U17"/>
    <mergeCell ref="K18:L18"/>
    <mergeCell ref="N18:O18"/>
    <mergeCell ref="B47:E47"/>
    <mergeCell ref="G47:M47"/>
    <mergeCell ref="S47:U47"/>
    <mergeCell ref="V47:Z47"/>
    <mergeCell ref="B48:E48"/>
    <mergeCell ref="G48:M48"/>
    <mergeCell ref="S48:U48"/>
    <mergeCell ref="V48:Z48"/>
    <mergeCell ref="E15:E18"/>
    <mergeCell ref="B41:E41"/>
    <mergeCell ref="G41:M41"/>
    <mergeCell ref="B42:E42"/>
    <mergeCell ref="G42:M42"/>
    <mergeCell ref="V43:Z43"/>
    <mergeCell ref="G44:K44"/>
    <mergeCell ref="A15:B18"/>
    <mergeCell ref="C15:C18"/>
    <mergeCell ref="D15:D18"/>
    <mergeCell ref="F16:F18"/>
    <mergeCell ref="G16:G18"/>
    <mergeCell ref="H16:I16"/>
    <mergeCell ref="H18:I18"/>
    <mergeCell ref="N63:O63"/>
    <mergeCell ref="S63:S64"/>
    <mergeCell ref="T63:U63"/>
    <mergeCell ref="Z63:Z65"/>
    <mergeCell ref="T64:U64"/>
    <mergeCell ref="N65:O65"/>
    <mergeCell ref="G94:I94"/>
    <mergeCell ref="G96:K96"/>
    <mergeCell ref="S99:U99"/>
    <mergeCell ref="S100:U100"/>
    <mergeCell ref="V99:Z99"/>
    <mergeCell ref="V100:Z100"/>
    <mergeCell ref="V44:Z44"/>
    <mergeCell ref="V45:Z45"/>
    <mergeCell ref="V46:Z46"/>
    <mergeCell ref="V95:Z95"/>
    <mergeCell ref="V96:Z96"/>
    <mergeCell ref="V97:Z97"/>
    <mergeCell ref="V98:Z98"/>
  </mergeCells>
  <printOptions/>
  <pageMargins bottom="0.75" footer="0.0" header="0.0" left="0.5" right="0.5" top="0.4999999560846864"/>
  <pageSetup paperSize="8" orientation="landscape"/>
  <headerFooter>
    <oddHeader>&amp;L&amp;D &amp;T</oddHeader>
  </headerFooter>
  <rowBreaks count="2" manualBreakCount="2">
    <brk id="104" man="1"/>
    <brk id="158" man="1"/>
  </rowBreaks>
  <colBreaks count="1" manualBreakCount="1">
    <brk id="26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8.57"/>
    <col customWidth="1" min="3" max="6" width="8.71"/>
  </cols>
  <sheetData>
    <row r="1">
      <c r="A1" s="273" t="s">
        <v>181</v>
      </c>
      <c r="B1" s="274" t="str">
        <f>'MASTER DATA '!A4</f>
        <v>02-16-28-2026</v>
      </c>
    </row>
    <row r="2">
      <c r="B2" s="6"/>
    </row>
    <row r="3">
      <c r="A3" s="83" t="s">
        <v>182</v>
      </c>
      <c r="B3" s="275" t="s">
        <v>183</v>
      </c>
    </row>
    <row r="4">
      <c r="A4" s="118" t="s">
        <v>104</v>
      </c>
      <c r="B4" s="88">
        <f>SUMIF('MASTER DATA '!$E:$E,TXTLIST!$A4,'MASTER DATA '!$AY:$AY)</f>
        <v>10605.5</v>
      </c>
    </row>
    <row r="5">
      <c r="A5" s="82" t="s">
        <v>79</v>
      </c>
      <c r="B5" s="88">
        <f>SUMIF('MASTER DATA '!$E:$E,TXTLIST!$A5,'MASTER DATA '!$AY:$AY)</f>
        <v>10605.5</v>
      </c>
    </row>
    <row r="6">
      <c r="A6" s="103" t="s">
        <v>86</v>
      </c>
      <c r="B6" s="88">
        <f>SUMIF('MASTER DATA '!$E:$E,TXTLIST!$A6,'MASTER DATA '!$AY:$AY)</f>
        <v>11579.22</v>
      </c>
    </row>
    <row r="7">
      <c r="A7" s="82" t="s">
        <v>88</v>
      </c>
      <c r="B7" s="88">
        <f>SUMIF('MASTER DATA '!$E:$E,TXTLIST!$A7,'MASTER DATA '!$AY:$AY)</f>
        <v>0</v>
      </c>
    </row>
    <row r="8">
      <c r="A8" s="118" t="s">
        <v>107</v>
      </c>
      <c r="B8" s="88">
        <f>SUMIF('MASTER DATA '!$E:$E,TXTLIST!$A8,'MASTER DATA '!$AY:$AY)</f>
        <v>9872</v>
      </c>
    </row>
    <row r="9">
      <c r="A9" s="103" t="s">
        <v>90</v>
      </c>
      <c r="B9" s="88">
        <f>SUMIF('MASTER DATA '!$E:$E,TXTLIST!$A9,'MASTER DATA '!$AY:$AY)</f>
        <v>10577.38</v>
      </c>
    </row>
    <row r="10">
      <c r="A10" s="103" t="s">
        <v>93</v>
      </c>
      <c r="B10" s="88">
        <f>SUMIF('MASTER DATA '!$E:$E,TXTLIST!$A10,'MASTER DATA '!$AY:$AY)</f>
        <v>10605.5</v>
      </c>
    </row>
    <row r="11">
      <c r="A11" s="103" t="s">
        <v>94</v>
      </c>
      <c r="B11" s="88">
        <f>SUMIF('MASTER DATA '!$E:$E,TXTLIST!$A11,'MASTER DATA '!$AY:$AY)</f>
        <v>0</v>
      </c>
    </row>
    <row r="12">
      <c r="A12" s="82" t="s">
        <v>96</v>
      </c>
      <c r="B12" s="88">
        <f>SUMIF('MASTER DATA '!$E:$E,TXTLIST!$A12,'MASTER DATA '!$AY:$AY)</f>
        <v>10605.5</v>
      </c>
    </row>
    <row r="13">
      <c r="A13" s="103" t="s">
        <v>98</v>
      </c>
      <c r="B13" s="88">
        <f>SUMIF('MASTER DATA '!$E:$E,TXTLIST!$A13,'MASTER DATA '!$AY:$AY)</f>
        <v>10515.11</v>
      </c>
    </row>
    <row r="14">
      <c r="A14" s="103" t="s">
        <v>100</v>
      </c>
      <c r="B14" s="88">
        <f>SUMIF('MASTER DATA '!$E:$E,TXTLIST!$A14,'MASTER DATA '!$AY:$AY)</f>
        <v>10605.5</v>
      </c>
    </row>
    <row r="15">
      <c r="A15" s="103" t="s">
        <v>102</v>
      </c>
      <c r="B15" s="88">
        <f>SUMIF('MASTER DATA '!$E:$E,TXTLIST!$A15,'MASTER DATA '!$AY:$AY)</f>
        <v>10605.5</v>
      </c>
    </row>
    <row r="16" ht="15.75" customHeight="1">
      <c r="A16" s="82" t="s">
        <v>110</v>
      </c>
      <c r="B16" s="88">
        <f>SUMIF('MASTER DATA '!$E:$E,TXTLIST!$A16,'MASTER DATA '!$AY:$AY)</f>
        <v>13492.33</v>
      </c>
    </row>
    <row r="17" ht="15.75" customHeight="1">
      <c r="A17" s="82" t="s">
        <v>115</v>
      </c>
      <c r="B17" s="88">
        <f>SUMIF('MASTER DATA '!$E:$E,TXTLIST!$A17,'MASTER DATA '!$AY:$AY)</f>
        <v>9838.35</v>
      </c>
    </row>
    <row r="18" ht="15.75" customHeight="1">
      <c r="A18" s="119" t="s">
        <v>120</v>
      </c>
      <c r="B18" s="88">
        <f>SUMIF('MASTER DATA '!$E:$E,TXTLIST!$A18,'MASTER DATA '!$AY:$AY)</f>
        <v>9862.65</v>
      </c>
    </row>
    <row r="19" ht="15.75" customHeight="1">
      <c r="A19" s="218"/>
      <c r="B19" s="234"/>
    </row>
    <row r="20" ht="15.75" customHeight="1">
      <c r="A20" s="218" t="s">
        <v>22</v>
      </c>
      <c r="B20" s="234">
        <f>SUM(B4:B19)</f>
        <v>139370.04</v>
      </c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portrait"/>
  <headerFooter>
    <oddHeader>&amp;L&amp;D &amp;T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86"/>
    <col customWidth="1" min="3" max="3" width="13.29"/>
    <col customWidth="1" min="4" max="4" width="6.14"/>
    <col customWidth="1" min="5" max="5" width="35.29"/>
    <col customWidth="1" min="6" max="6" width="7.14"/>
    <col customWidth="1" min="7" max="7" width="39.29"/>
  </cols>
  <sheetData>
    <row r="1">
      <c r="A1" s="276"/>
      <c r="B1" s="5" t="s">
        <v>184</v>
      </c>
      <c r="C1" s="277" t="s">
        <v>185</v>
      </c>
      <c r="D1" s="277" t="s">
        <v>186</v>
      </c>
      <c r="E1" s="5" t="s">
        <v>182</v>
      </c>
      <c r="F1" s="5" t="s">
        <v>187</v>
      </c>
      <c r="G1" s="5" t="s">
        <v>188</v>
      </c>
    </row>
    <row r="2">
      <c r="B2" s="278">
        <v>1.0</v>
      </c>
      <c r="C2" s="279" t="str">
        <f t="shared" ref="C2:C55" si="1">CONCATENATE(B2,"-",F2)</f>
        <v>1-CDMD</v>
      </c>
      <c r="D2" s="279">
        <f t="shared" ref="D2:D55" si="2">IF(E2="","",COUNTA($E$2:E2))</f>
        <v>1</v>
      </c>
      <c r="E2" s="227" t="s">
        <v>189</v>
      </c>
      <c r="F2" s="276" t="s">
        <v>190</v>
      </c>
      <c r="G2" s="227" t="s">
        <v>81</v>
      </c>
    </row>
    <row r="3">
      <c r="B3" s="278">
        <v>2.0</v>
      </c>
      <c r="C3" s="279" t="str">
        <f t="shared" si="1"/>
        <v>2-CDMD</v>
      </c>
      <c r="D3" s="279">
        <f t="shared" si="2"/>
        <v>2</v>
      </c>
      <c r="E3" s="227" t="s">
        <v>191</v>
      </c>
      <c r="F3" s="276" t="s">
        <v>190</v>
      </c>
      <c r="G3" s="227" t="s">
        <v>192</v>
      </c>
    </row>
    <row r="4">
      <c r="B4" s="278">
        <v>3.0</v>
      </c>
      <c r="C4" s="279" t="str">
        <f t="shared" si="1"/>
        <v>3-CDMD</v>
      </c>
      <c r="D4" s="279">
        <f t="shared" si="2"/>
        <v>3</v>
      </c>
      <c r="E4" s="227" t="s">
        <v>193</v>
      </c>
      <c r="F4" s="276" t="s">
        <v>190</v>
      </c>
      <c r="G4" s="227" t="s">
        <v>192</v>
      </c>
    </row>
    <row r="5">
      <c r="B5" s="278">
        <v>4.0</v>
      </c>
      <c r="C5" s="279" t="str">
        <f t="shared" si="1"/>
        <v>4-CDMD</v>
      </c>
      <c r="D5" s="279">
        <f t="shared" si="2"/>
        <v>4</v>
      </c>
      <c r="E5" s="227" t="s">
        <v>194</v>
      </c>
      <c r="F5" s="276" t="s">
        <v>190</v>
      </c>
      <c r="G5" s="227" t="s">
        <v>192</v>
      </c>
    </row>
    <row r="6">
      <c r="B6" s="278">
        <v>1.0</v>
      </c>
      <c r="C6" s="279" t="str">
        <f t="shared" si="1"/>
        <v>1-PPD</v>
      </c>
      <c r="D6" s="279">
        <f t="shared" si="2"/>
        <v>5</v>
      </c>
      <c r="E6" s="227" t="s">
        <v>195</v>
      </c>
      <c r="F6" s="276" t="s">
        <v>196</v>
      </c>
      <c r="G6" s="227" t="s">
        <v>117</v>
      </c>
    </row>
    <row r="7">
      <c r="B7" s="278">
        <v>2.0</v>
      </c>
      <c r="C7" s="279" t="str">
        <f t="shared" si="1"/>
        <v>2-PPD</v>
      </c>
      <c r="D7" s="279">
        <f t="shared" si="2"/>
        <v>6</v>
      </c>
      <c r="E7" s="227" t="s">
        <v>197</v>
      </c>
      <c r="F7" s="276" t="s">
        <v>196</v>
      </c>
      <c r="G7" s="227" t="s">
        <v>198</v>
      </c>
    </row>
    <row r="8">
      <c r="B8" s="278">
        <v>1.0</v>
      </c>
      <c r="C8" s="279" t="str">
        <f t="shared" si="1"/>
        <v>1-ISD</v>
      </c>
      <c r="D8" s="279">
        <f t="shared" si="2"/>
        <v>7</v>
      </c>
      <c r="E8" s="227" t="s">
        <v>199</v>
      </c>
      <c r="F8" s="276" t="s">
        <v>200</v>
      </c>
      <c r="G8" s="227" t="s">
        <v>117</v>
      </c>
    </row>
    <row r="9">
      <c r="B9" s="278">
        <v>2.0</v>
      </c>
      <c r="C9" s="279" t="str">
        <f t="shared" si="1"/>
        <v>2-ISD</v>
      </c>
      <c r="D9" s="279">
        <f t="shared" si="2"/>
        <v>8</v>
      </c>
      <c r="E9" s="227" t="s">
        <v>201</v>
      </c>
      <c r="F9" s="276" t="s">
        <v>200</v>
      </c>
      <c r="G9" s="227" t="s">
        <v>202</v>
      </c>
    </row>
    <row r="10">
      <c r="B10" s="278">
        <v>3.0</v>
      </c>
      <c r="C10" s="279" t="str">
        <f t="shared" si="1"/>
        <v>3-ISD</v>
      </c>
      <c r="D10" s="279">
        <f t="shared" si="2"/>
        <v>9</v>
      </c>
      <c r="E10" s="227" t="s">
        <v>203</v>
      </c>
      <c r="F10" s="276" t="s">
        <v>200</v>
      </c>
      <c r="G10" s="227" t="s">
        <v>204</v>
      </c>
    </row>
    <row r="11">
      <c r="B11" s="278">
        <v>4.0</v>
      </c>
      <c r="C11" s="279" t="str">
        <f t="shared" si="1"/>
        <v>4-ISD</v>
      </c>
      <c r="D11" s="279">
        <f t="shared" si="2"/>
        <v>10</v>
      </c>
      <c r="E11" s="227" t="s">
        <v>205</v>
      </c>
      <c r="F11" s="276" t="s">
        <v>200</v>
      </c>
      <c r="G11" s="227" t="s">
        <v>206</v>
      </c>
    </row>
    <row r="12">
      <c r="B12" s="278">
        <v>5.0</v>
      </c>
      <c r="C12" s="279" t="str">
        <f t="shared" si="1"/>
        <v>5-ISD</v>
      </c>
      <c r="D12" s="279">
        <f t="shared" si="2"/>
        <v>11</v>
      </c>
      <c r="E12" s="227" t="s">
        <v>207</v>
      </c>
      <c r="F12" s="276" t="s">
        <v>200</v>
      </c>
      <c r="G12" s="227" t="s">
        <v>117</v>
      </c>
    </row>
    <row r="13">
      <c r="B13" s="278">
        <v>6.0</v>
      </c>
      <c r="C13" s="279" t="str">
        <f t="shared" si="1"/>
        <v>6-ISD</v>
      </c>
      <c r="D13" s="279">
        <f t="shared" si="2"/>
        <v>12</v>
      </c>
      <c r="E13" s="227" t="s">
        <v>208</v>
      </c>
      <c r="F13" s="276" t="s">
        <v>200</v>
      </c>
      <c r="G13" s="227" t="s">
        <v>202</v>
      </c>
    </row>
    <row r="14">
      <c r="B14" s="278">
        <v>7.0</v>
      </c>
      <c r="C14" s="279" t="str">
        <f t="shared" si="1"/>
        <v>7-ISD</v>
      </c>
      <c r="D14" s="279">
        <f t="shared" si="2"/>
        <v>13</v>
      </c>
      <c r="E14" s="227" t="s">
        <v>209</v>
      </c>
      <c r="F14" s="276" t="s">
        <v>200</v>
      </c>
      <c r="G14" s="227" t="s">
        <v>210</v>
      </c>
    </row>
    <row r="15">
      <c r="B15" s="278">
        <v>1.0</v>
      </c>
      <c r="C15" s="279" t="str">
        <f t="shared" si="1"/>
        <v>1-ADO</v>
      </c>
      <c r="D15" s="279">
        <f t="shared" si="2"/>
        <v>14</v>
      </c>
      <c r="E15" s="227" t="s">
        <v>211</v>
      </c>
      <c r="F15" s="276" t="s">
        <v>212</v>
      </c>
      <c r="G15" s="227" t="s">
        <v>117</v>
      </c>
    </row>
    <row r="16">
      <c r="B16" s="278">
        <v>2.0</v>
      </c>
      <c r="C16" s="279" t="str">
        <f t="shared" si="1"/>
        <v>2-ADO</v>
      </c>
      <c r="D16" s="279">
        <f t="shared" si="2"/>
        <v>15</v>
      </c>
      <c r="E16" s="227" t="s">
        <v>213</v>
      </c>
      <c r="F16" s="276" t="s">
        <v>212</v>
      </c>
      <c r="G16" s="227" t="s">
        <v>214</v>
      </c>
    </row>
    <row r="17">
      <c r="B17" s="278">
        <v>1.0</v>
      </c>
      <c r="C17" s="279" t="str">
        <f t="shared" si="1"/>
        <v>1-BGT.</v>
      </c>
      <c r="D17" s="279">
        <f t="shared" si="2"/>
        <v>16</v>
      </c>
      <c r="E17" s="227" t="s">
        <v>215</v>
      </c>
      <c r="F17" s="276" t="s">
        <v>216</v>
      </c>
      <c r="G17" s="227" t="s">
        <v>117</v>
      </c>
    </row>
    <row r="18">
      <c r="B18" s="278">
        <v>2.0</v>
      </c>
      <c r="C18" s="279" t="str">
        <f t="shared" si="1"/>
        <v>2-BGT.</v>
      </c>
      <c r="D18" s="279">
        <f t="shared" si="2"/>
        <v>17</v>
      </c>
      <c r="E18" s="227" t="s">
        <v>217</v>
      </c>
      <c r="F18" s="276" t="s">
        <v>216</v>
      </c>
      <c r="G18" s="227" t="s">
        <v>117</v>
      </c>
    </row>
    <row r="19">
      <c r="B19" s="278">
        <v>1.0</v>
      </c>
      <c r="C19" s="279" t="str">
        <f t="shared" si="1"/>
        <v>1-ACCTG.</v>
      </c>
      <c r="D19" s="279">
        <f t="shared" si="2"/>
        <v>18</v>
      </c>
      <c r="E19" s="227" t="s">
        <v>218</v>
      </c>
      <c r="F19" s="276" t="s">
        <v>116</v>
      </c>
      <c r="G19" s="227" t="s">
        <v>117</v>
      </c>
    </row>
    <row r="20">
      <c r="B20" s="278">
        <v>2.0</v>
      </c>
      <c r="C20" s="279" t="str">
        <f t="shared" si="1"/>
        <v>2-ACCTG.</v>
      </c>
      <c r="D20" s="279">
        <f t="shared" si="2"/>
        <v>19</v>
      </c>
      <c r="E20" s="227" t="s">
        <v>219</v>
      </c>
      <c r="F20" s="276" t="s">
        <v>116</v>
      </c>
      <c r="G20" s="227" t="s">
        <v>117</v>
      </c>
    </row>
    <row r="21" ht="15.75" customHeight="1">
      <c r="B21" s="278">
        <v>3.0</v>
      </c>
      <c r="C21" s="279" t="str">
        <f t="shared" si="1"/>
        <v>3-ACCTG.</v>
      </c>
      <c r="D21" s="279">
        <f t="shared" si="2"/>
        <v>20</v>
      </c>
      <c r="E21" s="227" t="s">
        <v>220</v>
      </c>
      <c r="F21" s="276" t="s">
        <v>116</v>
      </c>
      <c r="G21" s="227" t="s">
        <v>221</v>
      </c>
    </row>
    <row r="22" ht="15.75" customHeight="1">
      <c r="B22" s="278">
        <v>4.0</v>
      </c>
      <c r="C22" s="279" t="str">
        <f t="shared" si="1"/>
        <v>4-ACCTG.</v>
      </c>
      <c r="D22" s="279">
        <f t="shared" si="2"/>
        <v>21</v>
      </c>
      <c r="E22" s="227" t="s">
        <v>222</v>
      </c>
      <c r="F22" s="276" t="s">
        <v>116</v>
      </c>
      <c r="G22" s="227" t="s">
        <v>117</v>
      </c>
    </row>
    <row r="23" ht="15.75" customHeight="1">
      <c r="B23" s="278">
        <v>5.0</v>
      </c>
      <c r="C23" s="279" t="str">
        <f t="shared" si="1"/>
        <v>5-ACCTG.</v>
      </c>
      <c r="D23" s="279">
        <f t="shared" si="2"/>
        <v>22</v>
      </c>
      <c r="E23" s="227" t="s">
        <v>223</v>
      </c>
      <c r="F23" s="276" t="s">
        <v>116</v>
      </c>
      <c r="G23" s="227" t="s">
        <v>117</v>
      </c>
    </row>
    <row r="24" ht="15.75" customHeight="1">
      <c r="B24" s="278">
        <v>6.0</v>
      </c>
      <c r="C24" s="279" t="str">
        <f t="shared" si="1"/>
        <v>6-ACCTG.</v>
      </c>
      <c r="D24" s="279">
        <f t="shared" si="2"/>
        <v>23</v>
      </c>
      <c r="E24" s="227" t="s">
        <v>224</v>
      </c>
      <c r="F24" s="276" t="s">
        <v>116</v>
      </c>
      <c r="G24" s="227" t="s">
        <v>117</v>
      </c>
    </row>
    <row r="25" ht="15.75" customHeight="1">
      <c r="B25" s="278">
        <v>7.0</v>
      </c>
      <c r="C25" s="279" t="str">
        <f t="shared" si="1"/>
        <v>7-ACCTG.</v>
      </c>
      <c r="D25" s="279">
        <f t="shared" si="2"/>
        <v>24</v>
      </c>
      <c r="E25" s="227" t="s">
        <v>225</v>
      </c>
      <c r="F25" s="276" t="s">
        <v>116</v>
      </c>
      <c r="G25" s="227" t="s">
        <v>117</v>
      </c>
    </row>
    <row r="26" ht="15.75" customHeight="1">
      <c r="B26" s="278">
        <v>1.0</v>
      </c>
      <c r="C26" s="279" t="str">
        <f t="shared" si="1"/>
        <v>1-HRM</v>
      </c>
      <c r="D26" s="279">
        <f t="shared" si="2"/>
        <v>25</v>
      </c>
      <c r="E26" s="227" t="s">
        <v>226</v>
      </c>
      <c r="F26" s="276" t="s">
        <v>227</v>
      </c>
      <c r="G26" s="227" t="s">
        <v>228</v>
      </c>
    </row>
    <row r="27" ht="15.75" customHeight="1">
      <c r="B27" s="278">
        <v>2.0</v>
      </c>
      <c r="C27" s="279" t="str">
        <f t="shared" si="1"/>
        <v>2-HRM</v>
      </c>
      <c r="D27" s="279">
        <f t="shared" si="2"/>
        <v>26</v>
      </c>
      <c r="E27" s="227" t="s">
        <v>229</v>
      </c>
      <c r="F27" s="276" t="s">
        <v>227</v>
      </c>
      <c r="G27" s="227" t="s">
        <v>117</v>
      </c>
    </row>
    <row r="28" ht="15.75" customHeight="1">
      <c r="B28" s="278">
        <v>1.0</v>
      </c>
      <c r="C28" s="279" t="str">
        <f t="shared" si="1"/>
        <v>1-IAU</v>
      </c>
      <c r="D28" s="279">
        <f t="shared" si="2"/>
        <v>27</v>
      </c>
      <c r="E28" s="227" t="s">
        <v>230</v>
      </c>
      <c r="F28" s="276" t="s">
        <v>231</v>
      </c>
      <c r="G28" s="227" t="s">
        <v>117</v>
      </c>
    </row>
    <row r="29" ht="15.75" customHeight="1">
      <c r="B29" s="278">
        <v>2.0</v>
      </c>
      <c r="C29" s="279" t="str">
        <f t="shared" si="1"/>
        <v>2-IAU</v>
      </c>
      <c r="D29" s="279">
        <f t="shared" si="2"/>
        <v>28</v>
      </c>
      <c r="E29" s="227" t="s">
        <v>232</v>
      </c>
      <c r="F29" s="276" t="s">
        <v>231</v>
      </c>
      <c r="G29" s="227" t="s">
        <v>117</v>
      </c>
    </row>
    <row r="30" ht="15.75" customHeight="1">
      <c r="B30" s="278">
        <v>1.0</v>
      </c>
      <c r="C30" s="279" t="str">
        <f t="shared" si="1"/>
        <v>1-RCRDS</v>
      </c>
      <c r="D30" s="279">
        <f t="shared" si="2"/>
        <v>29</v>
      </c>
      <c r="E30" s="227" t="s">
        <v>233</v>
      </c>
      <c r="F30" s="276" t="s">
        <v>234</v>
      </c>
      <c r="G30" s="227" t="s">
        <v>117</v>
      </c>
    </row>
    <row r="31" ht="15.75" customHeight="1">
      <c r="B31" s="278">
        <v>1.0</v>
      </c>
      <c r="C31" s="279" t="str">
        <f t="shared" si="1"/>
        <v>1-GSS</v>
      </c>
      <c r="D31" s="279">
        <f t="shared" si="2"/>
        <v>30</v>
      </c>
      <c r="E31" s="227" t="s">
        <v>235</v>
      </c>
      <c r="F31" s="276" t="s">
        <v>236</v>
      </c>
      <c r="G31" s="227" t="s">
        <v>237</v>
      </c>
    </row>
    <row r="32" ht="15.75" customHeight="1">
      <c r="B32" s="278">
        <v>2.0</v>
      </c>
      <c r="C32" s="279" t="str">
        <f t="shared" si="1"/>
        <v>2-GSS</v>
      </c>
      <c r="D32" s="279">
        <f t="shared" si="2"/>
        <v>31</v>
      </c>
      <c r="E32" s="227" t="s">
        <v>238</v>
      </c>
      <c r="F32" s="276" t="s">
        <v>236</v>
      </c>
      <c r="G32" s="227" t="s">
        <v>239</v>
      </c>
    </row>
    <row r="33" ht="15.75" customHeight="1">
      <c r="B33" s="278">
        <v>3.0</v>
      </c>
      <c r="C33" s="279" t="str">
        <f t="shared" si="1"/>
        <v>3-GSS</v>
      </c>
      <c r="D33" s="279">
        <f t="shared" si="2"/>
        <v>32</v>
      </c>
      <c r="E33" s="227" t="s">
        <v>240</v>
      </c>
      <c r="F33" s="276" t="s">
        <v>236</v>
      </c>
      <c r="G33" s="227" t="s">
        <v>117</v>
      </c>
    </row>
    <row r="34" ht="15.75" customHeight="1">
      <c r="B34" s="278">
        <v>4.0</v>
      </c>
      <c r="C34" s="279" t="str">
        <f t="shared" si="1"/>
        <v>4-GSS</v>
      </c>
      <c r="D34" s="279">
        <f t="shared" si="2"/>
        <v>33</v>
      </c>
      <c r="E34" s="227" t="s">
        <v>241</v>
      </c>
      <c r="F34" s="276" t="s">
        <v>236</v>
      </c>
      <c r="G34" s="227" t="s">
        <v>237</v>
      </c>
    </row>
    <row r="35" ht="15.75" customHeight="1">
      <c r="B35" s="278">
        <v>5.0</v>
      </c>
      <c r="C35" s="279" t="str">
        <f t="shared" si="1"/>
        <v>5-GSS</v>
      </c>
      <c r="D35" s="279">
        <f t="shared" si="2"/>
        <v>34</v>
      </c>
      <c r="E35" s="227" t="s">
        <v>242</v>
      </c>
      <c r="F35" s="276" t="s">
        <v>236</v>
      </c>
      <c r="G35" s="227" t="s">
        <v>237</v>
      </c>
    </row>
    <row r="36" ht="15.75" customHeight="1">
      <c r="B36" s="278">
        <v>1.0</v>
      </c>
      <c r="C36" s="279" t="str">
        <f t="shared" si="1"/>
        <v>1-INFRA</v>
      </c>
      <c r="D36" s="279">
        <f t="shared" si="2"/>
        <v>35</v>
      </c>
      <c r="E36" s="227" t="s">
        <v>243</v>
      </c>
      <c r="F36" s="276" t="s">
        <v>111</v>
      </c>
      <c r="G36" s="227" t="s">
        <v>244</v>
      </c>
    </row>
    <row r="37" ht="15.75" customHeight="1">
      <c r="B37" s="278">
        <v>2.0</v>
      </c>
      <c r="C37" s="279" t="str">
        <f t="shared" si="1"/>
        <v>2-INFRA</v>
      </c>
      <c r="D37" s="279">
        <f t="shared" si="2"/>
        <v>36</v>
      </c>
      <c r="E37" s="227" t="s">
        <v>110</v>
      </c>
      <c r="F37" s="276" t="s">
        <v>111</v>
      </c>
      <c r="G37" s="227" t="s">
        <v>245</v>
      </c>
    </row>
    <row r="38" ht="15.75" customHeight="1">
      <c r="B38" s="278">
        <v>3.0</v>
      </c>
      <c r="C38" s="279" t="str">
        <f t="shared" si="1"/>
        <v>3-INFRA</v>
      </c>
      <c r="D38" s="279">
        <f t="shared" si="2"/>
        <v>37</v>
      </c>
      <c r="E38" s="227" t="s">
        <v>246</v>
      </c>
      <c r="F38" s="276" t="s">
        <v>111</v>
      </c>
      <c r="G38" s="227" t="s">
        <v>247</v>
      </c>
    </row>
    <row r="39" ht="15.75" customHeight="1">
      <c r="B39" s="278">
        <v>4.0</v>
      </c>
      <c r="C39" s="279" t="str">
        <f t="shared" si="1"/>
        <v>4-INFRA</v>
      </c>
      <c r="D39" s="279">
        <f t="shared" si="2"/>
        <v>38</v>
      </c>
      <c r="E39" s="227" t="s">
        <v>248</v>
      </c>
      <c r="F39" s="276" t="s">
        <v>111</v>
      </c>
      <c r="G39" s="227" t="s">
        <v>247</v>
      </c>
    </row>
    <row r="40" ht="15.75" customHeight="1">
      <c r="B40" s="278">
        <v>1.0</v>
      </c>
      <c r="C40" s="279" t="str">
        <f t="shared" si="1"/>
        <v>1-COA</v>
      </c>
      <c r="D40" s="279">
        <f t="shared" si="2"/>
        <v>39</v>
      </c>
      <c r="E40" s="227" t="s">
        <v>249</v>
      </c>
      <c r="F40" s="276" t="s">
        <v>167</v>
      </c>
      <c r="G40" s="227" t="s">
        <v>117</v>
      </c>
    </row>
    <row r="41" ht="15.75" customHeight="1">
      <c r="B41" s="278">
        <v>2.0</v>
      </c>
      <c r="C41" s="279" t="str">
        <f t="shared" si="1"/>
        <v>2-COA</v>
      </c>
      <c r="D41" s="279">
        <f t="shared" si="2"/>
        <v>40</v>
      </c>
      <c r="E41" s="227" t="s">
        <v>250</v>
      </c>
      <c r="F41" s="276" t="s">
        <v>167</v>
      </c>
      <c r="G41" s="227" t="s">
        <v>117</v>
      </c>
    </row>
    <row r="42" ht="15.75" customHeight="1">
      <c r="B42" s="278">
        <v>3.0</v>
      </c>
      <c r="C42" s="279" t="str">
        <f t="shared" si="1"/>
        <v>3-COA</v>
      </c>
      <c r="D42" s="279">
        <f t="shared" si="2"/>
        <v>41</v>
      </c>
      <c r="E42" s="227" t="s">
        <v>251</v>
      </c>
      <c r="F42" s="276" t="s">
        <v>167</v>
      </c>
      <c r="G42" s="227" t="s">
        <v>237</v>
      </c>
    </row>
    <row r="43" ht="15.75" customHeight="1">
      <c r="B43" s="278">
        <v>1.0</v>
      </c>
      <c r="C43" s="279" t="str">
        <f t="shared" si="1"/>
        <v>1-SMS</v>
      </c>
      <c r="D43" s="279">
        <f t="shared" si="2"/>
        <v>42</v>
      </c>
      <c r="E43" s="227" t="s">
        <v>252</v>
      </c>
      <c r="F43" s="276" t="s">
        <v>253</v>
      </c>
      <c r="G43" s="227" t="s">
        <v>117</v>
      </c>
    </row>
    <row r="44" ht="15.75" customHeight="1">
      <c r="B44" s="278">
        <v>2.0</v>
      </c>
      <c r="C44" s="279" t="str">
        <f t="shared" si="1"/>
        <v>2-SMS</v>
      </c>
      <c r="D44" s="279">
        <f t="shared" si="2"/>
        <v>43</v>
      </c>
      <c r="E44" s="227" t="s">
        <v>254</v>
      </c>
      <c r="F44" s="276" t="s">
        <v>253</v>
      </c>
      <c r="G44" s="227" t="s">
        <v>117</v>
      </c>
    </row>
    <row r="45" ht="15.75" customHeight="1">
      <c r="B45" s="278">
        <v>1.0</v>
      </c>
      <c r="C45" s="279" t="str">
        <f t="shared" si="1"/>
        <v>1-BAC</v>
      </c>
      <c r="D45" s="279">
        <f t="shared" si="2"/>
        <v>44</v>
      </c>
      <c r="E45" s="227" t="s">
        <v>255</v>
      </c>
      <c r="F45" s="276" t="s">
        <v>168</v>
      </c>
      <c r="G45" s="227" t="s">
        <v>117</v>
      </c>
    </row>
    <row r="46" ht="15.75" customHeight="1">
      <c r="B46" s="278">
        <v>1.0</v>
      </c>
      <c r="C46" s="279" t="str">
        <f t="shared" si="1"/>
        <v>1-DO</v>
      </c>
      <c r="D46" s="279">
        <f t="shared" si="2"/>
        <v>45</v>
      </c>
      <c r="E46" s="227" t="s">
        <v>256</v>
      </c>
      <c r="F46" s="276" t="s">
        <v>257</v>
      </c>
      <c r="G46" s="227" t="s">
        <v>117</v>
      </c>
    </row>
    <row r="47" ht="15.75" customHeight="1">
      <c r="B47" s="278">
        <v>1.0</v>
      </c>
      <c r="C47" s="279" t="str">
        <f t="shared" si="1"/>
        <v>1-PAD</v>
      </c>
      <c r="D47" s="279">
        <f t="shared" si="2"/>
        <v>46</v>
      </c>
      <c r="E47" s="227" t="s">
        <v>258</v>
      </c>
      <c r="F47" s="276" t="s">
        <v>259</v>
      </c>
      <c r="G47" s="227" t="s">
        <v>117</v>
      </c>
    </row>
    <row r="48" ht="15.75" customHeight="1">
      <c r="B48" s="278">
        <v>2.0</v>
      </c>
      <c r="C48" s="279" t="str">
        <f t="shared" si="1"/>
        <v>2-PAD</v>
      </c>
      <c r="D48" s="279">
        <f t="shared" si="2"/>
        <v>47</v>
      </c>
      <c r="E48" s="227" t="s">
        <v>260</v>
      </c>
      <c r="F48" s="276" t="s">
        <v>259</v>
      </c>
      <c r="G48" s="227" t="s">
        <v>261</v>
      </c>
    </row>
    <row r="49" ht="15.75" customHeight="1">
      <c r="B49" s="278">
        <v>3.0</v>
      </c>
      <c r="C49" s="279" t="str">
        <f t="shared" si="1"/>
        <v>3-PAD</v>
      </c>
      <c r="D49" s="279">
        <f t="shared" si="2"/>
        <v>48</v>
      </c>
      <c r="E49" s="227" t="s">
        <v>102</v>
      </c>
      <c r="F49" s="276" t="s">
        <v>259</v>
      </c>
      <c r="G49" s="227" t="s">
        <v>117</v>
      </c>
    </row>
    <row r="50" ht="15.75" customHeight="1">
      <c r="B50" s="278">
        <v>4.0</v>
      </c>
      <c r="C50" s="279" t="str">
        <f t="shared" si="1"/>
        <v>4-PAD</v>
      </c>
      <c r="D50" s="279">
        <f t="shared" si="2"/>
        <v>49</v>
      </c>
      <c r="E50" s="227" t="s">
        <v>262</v>
      </c>
      <c r="F50" s="276" t="s">
        <v>259</v>
      </c>
      <c r="G50" s="227" t="s">
        <v>263</v>
      </c>
    </row>
    <row r="51" ht="15.75" customHeight="1">
      <c r="B51" s="278">
        <v>5.0</v>
      </c>
      <c r="C51" s="279" t="str">
        <f t="shared" si="1"/>
        <v>5-PAD</v>
      </c>
      <c r="D51" s="279">
        <f t="shared" si="2"/>
        <v>50</v>
      </c>
      <c r="E51" s="227" t="s">
        <v>264</v>
      </c>
      <c r="F51" s="276" t="s">
        <v>259</v>
      </c>
      <c r="G51" s="227" t="s">
        <v>261</v>
      </c>
    </row>
    <row r="52" ht="15.75" customHeight="1">
      <c r="B52" s="278">
        <v>6.0</v>
      </c>
      <c r="C52" s="279" t="str">
        <f t="shared" si="1"/>
        <v>6-PAD</v>
      </c>
      <c r="D52" s="279">
        <f t="shared" si="2"/>
        <v>51</v>
      </c>
      <c r="E52" s="227" t="s">
        <v>265</v>
      </c>
      <c r="F52" s="276" t="s">
        <v>259</v>
      </c>
      <c r="G52" s="227" t="s">
        <v>266</v>
      </c>
    </row>
    <row r="53" ht="15.75" customHeight="1">
      <c r="B53" s="278">
        <v>7.0</v>
      </c>
      <c r="C53" s="279" t="str">
        <f t="shared" si="1"/>
        <v>7-PAD</v>
      </c>
      <c r="D53" s="279">
        <f t="shared" si="2"/>
        <v>52</v>
      </c>
      <c r="E53" s="227" t="s">
        <v>267</v>
      </c>
      <c r="F53" s="276" t="s">
        <v>259</v>
      </c>
      <c r="G53" s="227" t="s">
        <v>266</v>
      </c>
    </row>
    <row r="54" ht="15.75" customHeight="1">
      <c r="B54" s="278">
        <v>8.0</v>
      </c>
      <c r="C54" s="279" t="str">
        <f t="shared" si="1"/>
        <v>8-PAD</v>
      </c>
      <c r="D54" s="279">
        <f t="shared" si="2"/>
        <v>53</v>
      </c>
      <c r="E54" s="227" t="s">
        <v>268</v>
      </c>
      <c r="F54" s="276" t="s">
        <v>259</v>
      </c>
      <c r="G54" s="227" t="s">
        <v>269</v>
      </c>
    </row>
    <row r="55" ht="15.75" customHeight="1">
      <c r="B55" s="278">
        <v>9.0</v>
      </c>
      <c r="C55" s="279" t="str">
        <f t="shared" si="1"/>
        <v>9-PAD</v>
      </c>
      <c r="D55" s="279">
        <f t="shared" si="2"/>
        <v>54</v>
      </c>
      <c r="E55" s="227" t="s">
        <v>270</v>
      </c>
      <c r="F55" s="276" t="s">
        <v>259</v>
      </c>
      <c r="G55" s="227" t="s">
        <v>271</v>
      </c>
    </row>
    <row r="56" ht="15.75" customHeight="1">
      <c r="B56" s="278"/>
      <c r="C56" s="279"/>
      <c r="D56" s="279"/>
      <c r="F56" s="276"/>
    </row>
    <row r="57" ht="15.75" customHeight="1">
      <c r="B57" s="278"/>
      <c r="C57" s="279"/>
      <c r="D57" s="279"/>
      <c r="F57" s="276"/>
    </row>
    <row r="58" ht="15.75" customHeight="1">
      <c r="B58" s="278"/>
      <c r="C58" s="279"/>
      <c r="D58" s="279"/>
      <c r="F58" s="276"/>
    </row>
    <row r="59" ht="15.75" customHeight="1">
      <c r="B59" s="278"/>
      <c r="C59" s="279"/>
      <c r="D59" s="279"/>
      <c r="F59" s="276"/>
    </row>
    <row r="60" ht="15.75" customHeight="1">
      <c r="B60" s="278"/>
      <c r="C60" s="279"/>
      <c r="D60" s="279"/>
      <c r="F60" s="276"/>
    </row>
    <row r="61" ht="15.75" customHeight="1">
      <c r="B61" s="278"/>
      <c r="C61" s="279"/>
      <c r="D61" s="279"/>
      <c r="F61" s="276"/>
    </row>
    <row r="62" ht="15.75" customHeight="1">
      <c r="B62" s="278"/>
      <c r="C62" s="279"/>
      <c r="D62" s="279"/>
      <c r="F62" s="276"/>
    </row>
    <row r="63" ht="15.75" customHeight="1">
      <c r="B63" s="278"/>
      <c r="C63" s="279"/>
      <c r="D63" s="279"/>
      <c r="F63" s="276"/>
    </row>
    <row r="64" ht="15.75" customHeight="1">
      <c r="B64" s="278"/>
      <c r="C64" s="279"/>
      <c r="D64" s="279"/>
      <c r="F64" s="276"/>
    </row>
    <row r="65" ht="15.75" customHeight="1">
      <c r="B65" s="278"/>
      <c r="C65" s="279"/>
      <c r="D65" s="279"/>
      <c r="F65" s="276"/>
    </row>
    <row r="66" ht="15.75" customHeight="1">
      <c r="B66" s="278"/>
      <c r="C66" s="279"/>
      <c r="D66" s="279"/>
      <c r="F66" s="276"/>
    </row>
    <row r="67" ht="15.75" customHeight="1">
      <c r="B67" s="278"/>
      <c r="C67" s="279"/>
      <c r="D67" s="279"/>
      <c r="F67" s="276"/>
    </row>
    <row r="68" ht="15.75" customHeight="1">
      <c r="B68" s="278"/>
      <c r="C68" s="279"/>
      <c r="D68" s="279"/>
      <c r="F68" s="276"/>
    </row>
    <row r="69" ht="15.75" customHeight="1">
      <c r="B69" s="278"/>
      <c r="C69" s="279"/>
      <c r="D69" s="279"/>
      <c r="F69" s="276"/>
    </row>
    <row r="70" ht="15.75" customHeight="1">
      <c r="B70" s="278"/>
      <c r="C70" s="279"/>
      <c r="D70" s="279"/>
      <c r="F70" s="276"/>
    </row>
    <row r="71" ht="15.75" customHeight="1">
      <c r="B71" s="278"/>
      <c r="C71" s="279"/>
      <c r="D71" s="279"/>
      <c r="F71" s="276"/>
    </row>
    <row r="72" ht="15.75" customHeight="1">
      <c r="B72" s="278"/>
      <c r="C72" s="279"/>
      <c r="D72" s="279"/>
      <c r="F72" s="276"/>
    </row>
    <row r="73" ht="15.75" customHeight="1">
      <c r="B73" s="278"/>
      <c r="C73" s="279"/>
      <c r="D73" s="279"/>
      <c r="F73" s="276"/>
    </row>
    <row r="74" ht="15.75" customHeight="1">
      <c r="B74" s="278"/>
      <c r="C74" s="279"/>
      <c r="D74" s="279"/>
      <c r="F74" s="276"/>
    </row>
    <row r="75" ht="15.75" customHeight="1">
      <c r="B75" s="278"/>
      <c r="C75" s="279"/>
      <c r="D75" s="279"/>
      <c r="F75" s="276"/>
    </row>
    <row r="76" ht="15.75" customHeight="1">
      <c r="B76" s="278"/>
      <c r="C76" s="279"/>
      <c r="D76" s="279"/>
      <c r="F76" s="276"/>
    </row>
    <row r="77" ht="15.75" customHeight="1">
      <c r="B77" s="278"/>
      <c r="C77" s="279"/>
      <c r="D77" s="279"/>
      <c r="F77" s="276"/>
    </row>
    <row r="78" ht="15.75" customHeight="1">
      <c r="B78" s="278"/>
      <c r="C78" s="279"/>
      <c r="D78" s="279"/>
      <c r="F78" s="276"/>
    </row>
    <row r="79" ht="15.75" customHeight="1">
      <c r="B79" s="278"/>
      <c r="C79" s="279"/>
      <c r="D79" s="279"/>
      <c r="F79" s="276"/>
    </row>
    <row r="80" ht="15.75" customHeight="1">
      <c r="B80" s="278"/>
      <c r="C80" s="279"/>
      <c r="D80" s="279"/>
      <c r="F80" s="276"/>
    </row>
    <row r="81" ht="15.75" customHeight="1">
      <c r="B81" s="278"/>
      <c r="C81" s="279"/>
      <c r="D81" s="279"/>
      <c r="F81" s="276"/>
    </row>
    <row r="82" ht="15.75" customHeight="1">
      <c r="B82" s="278"/>
      <c r="C82" s="279"/>
      <c r="D82" s="279"/>
      <c r="F82" s="276"/>
    </row>
    <row r="83" ht="15.75" customHeight="1">
      <c r="B83" s="278"/>
      <c r="C83" s="279"/>
      <c r="D83" s="279"/>
      <c r="F83" s="276"/>
    </row>
    <row r="84" ht="15.75" customHeight="1">
      <c r="B84" s="278"/>
      <c r="C84" s="279"/>
      <c r="D84" s="279"/>
      <c r="F84" s="276"/>
    </row>
    <row r="85" ht="15.75" customHeight="1">
      <c r="B85" s="278"/>
      <c r="C85" s="279"/>
      <c r="D85" s="279"/>
      <c r="F85" s="276"/>
    </row>
    <row r="86" ht="15.75" customHeight="1">
      <c r="B86" s="278"/>
      <c r="C86" s="279"/>
      <c r="D86" s="279"/>
      <c r="F86" s="276"/>
    </row>
    <row r="87" ht="15.75" customHeight="1">
      <c r="B87" s="278"/>
      <c r="C87" s="279"/>
      <c r="D87" s="279"/>
      <c r="F87" s="276"/>
    </row>
    <row r="88" ht="15.75" customHeight="1">
      <c r="B88" s="278"/>
      <c r="C88" s="279"/>
      <c r="D88" s="279"/>
      <c r="F88" s="276"/>
    </row>
    <row r="89" ht="15.75" customHeight="1">
      <c r="B89" s="278"/>
      <c r="C89" s="279"/>
      <c r="D89" s="279"/>
      <c r="F89" s="276"/>
    </row>
    <row r="90" ht="15.75" customHeight="1">
      <c r="B90" s="278"/>
      <c r="C90" s="279"/>
      <c r="D90" s="279"/>
      <c r="F90" s="276"/>
    </row>
    <row r="91" ht="15.75" customHeight="1">
      <c r="B91" s="278"/>
      <c r="C91" s="279"/>
      <c r="D91" s="279"/>
      <c r="F91" s="276"/>
    </row>
    <row r="92" ht="15.75" customHeight="1">
      <c r="B92" s="278"/>
      <c r="C92" s="279"/>
      <c r="D92" s="279"/>
      <c r="F92" s="276"/>
    </row>
    <row r="93" ht="15.75" customHeight="1">
      <c r="B93" s="278"/>
      <c r="C93" s="279"/>
      <c r="D93" s="279"/>
      <c r="F93" s="276"/>
    </row>
    <row r="94" ht="15.75" customHeight="1">
      <c r="B94" s="278"/>
      <c r="C94" s="279"/>
      <c r="D94" s="279"/>
      <c r="F94" s="276"/>
    </row>
    <row r="95" ht="15.75" customHeight="1">
      <c r="B95" s="278"/>
      <c r="C95" s="279"/>
      <c r="D95" s="279"/>
      <c r="F95" s="276"/>
    </row>
    <row r="96" ht="15.75" customHeight="1">
      <c r="B96" s="278"/>
      <c r="C96" s="279"/>
      <c r="D96" s="279"/>
      <c r="F96" s="276"/>
    </row>
    <row r="97" ht="15.75" customHeight="1">
      <c r="B97" s="278"/>
      <c r="C97" s="279"/>
      <c r="D97" s="279"/>
      <c r="F97" s="276"/>
    </row>
    <row r="98" ht="15.75" customHeight="1">
      <c r="B98" s="278"/>
      <c r="C98" s="279"/>
      <c r="D98" s="279"/>
      <c r="F98" s="276"/>
    </row>
    <row r="99" ht="15.75" customHeight="1">
      <c r="B99" s="278"/>
      <c r="C99" s="279"/>
      <c r="D99" s="279"/>
      <c r="F99" s="276"/>
    </row>
    <row r="100" ht="15.75" customHeight="1">
      <c r="B100" s="278"/>
      <c r="C100" s="279"/>
      <c r="D100" s="279"/>
      <c r="F100" s="276"/>
    </row>
    <row r="101" ht="15.75" customHeight="1">
      <c r="B101" s="278"/>
      <c r="C101" s="279"/>
      <c r="D101" s="279"/>
      <c r="F101" s="276"/>
    </row>
    <row r="102" ht="15.75" customHeight="1">
      <c r="B102" s="278"/>
      <c r="C102" s="279"/>
      <c r="D102" s="279"/>
      <c r="F102" s="276"/>
    </row>
    <row r="103" ht="15.75" customHeight="1">
      <c r="B103" s="278"/>
      <c r="C103" s="279"/>
      <c r="D103" s="279"/>
      <c r="F103" s="276"/>
    </row>
    <row r="104" ht="15.75" customHeight="1">
      <c r="B104" s="278"/>
      <c r="C104" s="279"/>
      <c r="D104" s="279"/>
      <c r="F104" s="276"/>
    </row>
    <row r="105" ht="15.75" customHeight="1">
      <c r="B105" s="278"/>
      <c r="C105" s="279"/>
      <c r="D105" s="279"/>
      <c r="F105" s="276"/>
    </row>
    <row r="106" ht="15.75" customHeight="1">
      <c r="B106" s="278"/>
      <c r="C106" s="279"/>
      <c r="D106" s="279"/>
      <c r="F106" s="276"/>
    </row>
    <row r="107" ht="15.75" customHeight="1">
      <c r="B107" s="278"/>
      <c r="C107" s="279"/>
      <c r="D107" s="279"/>
      <c r="F107" s="276"/>
    </row>
    <row r="108" ht="15.75" customHeight="1">
      <c r="B108" s="278"/>
      <c r="C108" s="279"/>
      <c r="D108" s="279"/>
      <c r="F108" s="276"/>
    </row>
    <row r="109" ht="15.75" customHeight="1">
      <c r="B109" s="278"/>
      <c r="C109" s="279"/>
      <c r="D109" s="279"/>
      <c r="F109" s="276"/>
    </row>
    <row r="110" ht="15.75" customHeight="1">
      <c r="B110" s="278"/>
      <c r="C110" s="279"/>
      <c r="D110" s="279"/>
      <c r="F110" s="276"/>
    </row>
    <row r="111" ht="15.75" customHeight="1">
      <c r="B111" s="278"/>
      <c r="C111" s="279"/>
      <c r="D111" s="279"/>
      <c r="F111" s="276"/>
    </row>
    <row r="112" ht="15.75" customHeight="1">
      <c r="B112" s="278"/>
      <c r="C112" s="279"/>
      <c r="D112" s="279"/>
      <c r="F112" s="276"/>
    </row>
    <row r="113" ht="15.75" customHeight="1">
      <c r="B113" s="278"/>
      <c r="C113" s="279"/>
      <c r="D113" s="279"/>
      <c r="F113" s="276"/>
    </row>
    <row r="114" ht="15.75" customHeight="1">
      <c r="B114" s="278"/>
      <c r="C114" s="279"/>
      <c r="D114" s="279"/>
      <c r="F114" s="276"/>
    </row>
    <row r="115" ht="15.75" customHeight="1">
      <c r="B115" s="278"/>
      <c r="C115" s="279"/>
      <c r="D115" s="279"/>
      <c r="F115" s="276"/>
    </row>
    <row r="116" ht="15.75" customHeight="1">
      <c r="B116" s="278"/>
      <c r="C116" s="279"/>
      <c r="D116" s="279"/>
      <c r="F116" s="276"/>
    </row>
    <row r="117" ht="15.75" customHeight="1">
      <c r="B117" s="278"/>
      <c r="C117" s="279"/>
      <c r="D117" s="279"/>
      <c r="F117" s="276"/>
    </row>
    <row r="118" ht="15.75" customHeight="1">
      <c r="B118" s="278"/>
      <c r="C118" s="279"/>
      <c r="D118" s="279"/>
      <c r="F118" s="276"/>
    </row>
    <row r="119" ht="15.75" customHeight="1">
      <c r="B119" s="278"/>
      <c r="C119" s="279"/>
      <c r="D119" s="279"/>
      <c r="F119" s="276"/>
    </row>
    <row r="120" ht="15.75" customHeight="1">
      <c r="B120" s="278"/>
      <c r="C120" s="279"/>
      <c r="D120" s="279"/>
      <c r="F120" s="276"/>
    </row>
    <row r="121" ht="15.75" customHeight="1">
      <c r="B121" s="278"/>
      <c r="C121" s="279"/>
      <c r="D121" s="279"/>
      <c r="F121" s="276"/>
    </row>
    <row r="122" ht="15.75" customHeight="1">
      <c r="B122" s="278"/>
      <c r="C122" s="279"/>
      <c r="D122" s="279"/>
      <c r="F122" s="276"/>
    </row>
    <row r="123" ht="15.75" customHeight="1">
      <c r="B123" s="278"/>
      <c r="C123" s="279"/>
      <c r="D123" s="279"/>
      <c r="F123" s="276"/>
    </row>
    <row r="124" ht="15.75" customHeight="1">
      <c r="B124" s="278"/>
      <c r="C124" s="279"/>
      <c r="D124" s="279"/>
      <c r="F124" s="276"/>
    </row>
    <row r="125" ht="15.75" customHeight="1">
      <c r="B125" s="278"/>
      <c r="C125" s="279"/>
      <c r="D125" s="279"/>
      <c r="F125" s="276"/>
    </row>
    <row r="126" ht="15.75" customHeight="1">
      <c r="B126" s="278"/>
      <c r="C126" s="279"/>
      <c r="D126" s="279"/>
      <c r="F126" s="276"/>
    </row>
    <row r="127" ht="15.75" customHeight="1">
      <c r="B127" s="278"/>
      <c r="C127" s="279"/>
      <c r="D127" s="279"/>
      <c r="F127" s="276"/>
    </row>
    <row r="128" ht="15.75" customHeight="1">
      <c r="B128" s="278"/>
      <c r="C128" s="279"/>
      <c r="D128" s="279"/>
      <c r="F128" s="276"/>
    </row>
    <row r="129" ht="15.75" customHeight="1">
      <c r="B129" s="278"/>
      <c r="C129" s="279"/>
      <c r="D129" s="279"/>
      <c r="F129" s="276"/>
    </row>
    <row r="130" ht="15.75" customHeight="1">
      <c r="B130" s="278"/>
      <c r="C130" s="279"/>
      <c r="D130" s="279"/>
      <c r="F130" s="276"/>
    </row>
    <row r="131" ht="15.75" customHeight="1">
      <c r="B131" s="278"/>
      <c r="C131" s="279"/>
      <c r="D131" s="279"/>
      <c r="F131" s="276"/>
    </row>
    <row r="132" ht="15.75" customHeight="1">
      <c r="B132" s="278"/>
      <c r="C132" s="279"/>
      <c r="D132" s="279"/>
      <c r="F132" s="276"/>
    </row>
    <row r="133" ht="15.75" customHeight="1">
      <c r="B133" s="278"/>
      <c r="C133" s="279"/>
      <c r="D133" s="279"/>
      <c r="F133" s="276"/>
    </row>
    <row r="134" ht="15.75" customHeight="1">
      <c r="B134" s="278"/>
      <c r="C134" s="279"/>
      <c r="D134" s="279"/>
      <c r="F134" s="276"/>
    </row>
    <row r="135" ht="15.75" customHeight="1">
      <c r="B135" s="278"/>
      <c r="C135" s="279"/>
      <c r="D135" s="279"/>
      <c r="F135" s="276"/>
    </row>
    <row r="136" ht="15.75" customHeight="1">
      <c r="B136" s="278"/>
      <c r="C136" s="279"/>
      <c r="D136" s="279"/>
      <c r="F136" s="276"/>
    </row>
    <row r="137" ht="15.75" customHeight="1">
      <c r="B137" s="278"/>
      <c r="C137" s="279"/>
      <c r="D137" s="279"/>
      <c r="F137" s="276"/>
    </row>
    <row r="138" ht="15.75" customHeight="1">
      <c r="B138" s="278"/>
      <c r="C138" s="279"/>
      <c r="D138" s="279"/>
      <c r="F138" s="276"/>
    </row>
    <row r="139" ht="15.75" customHeight="1">
      <c r="B139" s="278"/>
      <c r="C139" s="279"/>
      <c r="D139" s="279"/>
      <c r="F139" s="276"/>
    </row>
    <row r="140" ht="15.75" customHeight="1">
      <c r="B140" s="278"/>
      <c r="C140" s="279"/>
      <c r="D140" s="279"/>
      <c r="F140" s="276"/>
    </row>
    <row r="141" ht="15.75" customHeight="1">
      <c r="B141" s="278"/>
      <c r="C141" s="279"/>
      <c r="D141" s="279"/>
      <c r="F141" s="276"/>
    </row>
    <row r="142" ht="15.75" customHeight="1">
      <c r="B142" s="278"/>
      <c r="C142" s="279"/>
      <c r="D142" s="279"/>
      <c r="F142" s="276"/>
    </row>
    <row r="143" ht="15.75" customHeight="1">
      <c r="B143" s="278"/>
      <c r="C143" s="279"/>
      <c r="D143" s="279"/>
      <c r="F143" s="276"/>
    </row>
    <row r="144" ht="15.75" customHeight="1">
      <c r="B144" s="278"/>
      <c r="C144" s="279"/>
      <c r="D144" s="279"/>
      <c r="F144" s="276"/>
    </row>
    <row r="145" ht="15.75" customHeight="1">
      <c r="B145" s="278"/>
      <c r="C145" s="279"/>
      <c r="D145" s="279"/>
      <c r="F145" s="276"/>
    </row>
    <row r="146" ht="15.75" customHeight="1">
      <c r="B146" s="278"/>
      <c r="C146" s="279"/>
      <c r="D146" s="279"/>
      <c r="F146" s="276"/>
    </row>
    <row r="147" ht="15.75" customHeight="1">
      <c r="B147" s="278"/>
      <c r="C147" s="279"/>
      <c r="D147" s="279"/>
      <c r="F147" s="276"/>
    </row>
    <row r="148" ht="15.75" customHeight="1">
      <c r="B148" s="278"/>
      <c r="C148" s="279"/>
      <c r="D148" s="279"/>
      <c r="F148" s="276"/>
    </row>
    <row r="149" ht="15.75" customHeight="1">
      <c r="B149" s="278"/>
      <c r="C149" s="279"/>
      <c r="D149" s="279"/>
      <c r="F149" s="276"/>
    </row>
    <row r="150" ht="15.75" customHeight="1">
      <c r="B150" s="278"/>
      <c r="C150" s="279"/>
      <c r="D150" s="279"/>
      <c r="F150" s="276"/>
    </row>
    <row r="151" ht="15.75" customHeight="1">
      <c r="B151" s="278"/>
      <c r="C151" s="279"/>
      <c r="D151" s="279"/>
      <c r="F151" s="276"/>
    </row>
    <row r="152" ht="15.75" customHeight="1">
      <c r="B152" s="278"/>
      <c r="C152" s="279"/>
      <c r="D152" s="279"/>
      <c r="F152" s="276"/>
    </row>
    <row r="153" ht="15.75" customHeight="1">
      <c r="B153" s="278"/>
      <c r="C153" s="279"/>
      <c r="D153" s="279"/>
      <c r="F153" s="276"/>
    </row>
    <row r="154" ht="15.75" customHeight="1">
      <c r="B154" s="278"/>
      <c r="C154" s="279"/>
      <c r="D154" s="279"/>
      <c r="F154" s="276"/>
    </row>
    <row r="155" ht="15.75" customHeight="1">
      <c r="B155" s="278"/>
      <c r="C155" s="279"/>
      <c r="D155" s="279"/>
      <c r="F155" s="276"/>
    </row>
    <row r="156" ht="15.75" customHeight="1">
      <c r="B156" s="278"/>
      <c r="C156" s="279"/>
      <c r="D156" s="279"/>
      <c r="F156" s="276"/>
    </row>
    <row r="157" ht="15.75" customHeight="1">
      <c r="B157" s="278"/>
      <c r="C157" s="279"/>
      <c r="D157" s="279"/>
      <c r="F157" s="276"/>
    </row>
    <row r="158" ht="15.75" customHeight="1">
      <c r="B158" s="278"/>
      <c r="C158" s="279"/>
      <c r="D158" s="279"/>
      <c r="F158" s="276"/>
    </row>
    <row r="159" ht="15.75" customHeight="1">
      <c r="B159" s="278"/>
      <c r="C159" s="279"/>
      <c r="D159" s="279"/>
      <c r="F159" s="276"/>
    </row>
    <row r="160" ht="15.75" customHeight="1">
      <c r="B160" s="278"/>
      <c r="C160" s="279"/>
      <c r="D160" s="279"/>
      <c r="F160" s="276"/>
    </row>
    <row r="161" ht="15.75" customHeight="1">
      <c r="B161" s="278"/>
      <c r="C161" s="279"/>
      <c r="D161" s="279"/>
      <c r="F161" s="276"/>
    </row>
    <row r="162" ht="15.75" customHeight="1">
      <c r="B162" s="278"/>
      <c r="C162" s="279"/>
      <c r="D162" s="279"/>
      <c r="F162" s="276"/>
    </row>
    <row r="163" ht="15.75" customHeight="1">
      <c r="B163" s="278"/>
      <c r="C163" s="279"/>
      <c r="D163" s="279"/>
      <c r="F163" s="276"/>
    </row>
    <row r="164" ht="15.75" customHeight="1">
      <c r="B164" s="278"/>
      <c r="C164" s="279"/>
      <c r="D164" s="279"/>
      <c r="F164" s="276"/>
    </row>
    <row r="165" ht="15.75" customHeight="1">
      <c r="B165" s="278"/>
      <c r="C165" s="279"/>
      <c r="D165" s="279"/>
      <c r="F165" s="276"/>
    </row>
    <row r="166" ht="15.75" customHeight="1">
      <c r="B166" s="278"/>
      <c r="C166" s="279"/>
      <c r="D166" s="279"/>
      <c r="F166" s="276"/>
    </row>
    <row r="167" ht="15.75" customHeight="1">
      <c r="B167" s="278"/>
      <c r="C167" s="279"/>
      <c r="D167" s="279"/>
      <c r="F167" s="276"/>
    </row>
    <row r="168" ht="15.75" customHeight="1">
      <c r="B168" s="278"/>
      <c r="C168" s="279"/>
      <c r="D168" s="279"/>
      <c r="F168" s="276"/>
    </row>
    <row r="169" ht="15.75" customHeight="1">
      <c r="B169" s="278"/>
      <c r="C169" s="279"/>
      <c r="D169" s="279"/>
      <c r="F169" s="276"/>
    </row>
    <row r="170" ht="15.75" customHeight="1">
      <c r="B170" s="278"/>
      <c r="C170" s="279"/>
      <c r="D170" s="279"/>
      <c r="F170" s="276"/>
    </row>
    <row r="171" ht="15.75" customHeight="1">
      <c r="B171" s="278"/>
      <c r="C171" s="279"/>
      <c r="D171" s="279"/>
      <c r="F171" s="276"/>
    </row>
    <row r="172" ht="15.75" customHeight="1">
      <c r="B172" s="278"/>
      <c r="C172" s="279"/>
      <c r="D172" s="279"/>
      <c r="F172" s="276"/>
    </row>
    <row r="173" ht="15.75" customHeight="1">
      <c r="B173" s="278"/>
      <c r="C173" s="279"/>
      <c r="D173" s="279"/>
      <c r="F173" s="276"/>
    </row>
    <row r="174" ht="15.75" customHeight="1">
      <c r="B174" s="278"/>
      <c r="C174" s="279"/>
      <c r="D174" s="279"/>
      <c r="F174" s="276"/>
    </row>
    <row r="175" ht="15.75" customHeight="1">
      <c r="B175" s="278"/>
      <c r="C175" s="279"/>
      <c r="D175" s="279"/>
      <c r="F175" s="276"/>
    </row>
    <row r="176" ht="15.75" customHeight="1">
      <c r="B176" s="278"/>
      <c r="C176" s="279"/>
      <c r="D176" s="279"/>
      <c r="F176" s="276"/>
    </row>
    <row r="177" ht="15.75" customHeight="1">
      <c r="B177" s="278"/>
      <c r="C177" s="279"/>
      <c r="D177" s="279"/>
      <c r="F177" s="276"/>
    </row>
    <row r="178" ht="15.75" customHeight="1">
      <c r="B178" s="278"/>
      <c r="C178" s="279"/>
      <c r="D178" s="279"/>
      <c r="F178" s="276"/>
    </row>
    <row r="179" ht="15.75" customHeight="1">
      <c r="B179" s="278"/>
      <c r="C179" s="279"/>
      <c r="D179" s="279"/>
      <c r="F179" s="276"/>
    </row>
    <row r="180" ht="15.75" customHeight="1">
      <c r="B180" s="278"/>
      <c r="C180" s="279"/>
      <c r="D180" s="279"/>
      <c r="F180" s="276"/>
    </row>
    <row r="181" ht="15.75" customHeight="1">
      <c r="B181" s="278"/>
      <c r="C181" s="279"/>
      <c r="D181" s="279"/>
      <c r="F181" s="276"/>
    </row>
    <row r="182" ht="15.75" customHeight="1">
      <c r="B182" s="278"/>
      <c r="C182" s="279"/>
      <c r="D182" s="279"/>
      <c r="F182" s="276"/>
    </row>
    <row r="183" ht="15.75" customHeight="1">
      <c r="B183" s="278"/>
      <c r="C183" s="279"/>
      <c r="D183" s="279"/>
      <c r="F183" s="276"/>
    </row>
    <row r="184" ht="15.75" customHeight="1">
      <c r="B184" s="278"/>
      <c r="C184" s="279"/>
      <c r="D184" s="279"/>
      <c r="F184" s="276"/>
    </row>
    <row r="185" ht="15.75" customHeight="1">
      <c r="B185" s="278"/>
      <c r="C185" s="279"/>
      <c r="D185" s="279"/>
      <c r="F185" s="276"/>
    </row>
    <row r="186" ht="15.75" customHeight="1">
      <c r="B186" s="278"/>
      <c r="C186" s="279"/>
      <c r="D186" s="279"/>
      <c r="F186" s="276"/>
    </row>
    <row r="187" ht="15.75" customHeight="1">
      <c r="B187" s="278"/>
      <c r="C187" s="279"/>
      <c r="D187" s="279"/>
      <c r="F187" s="276"/>
    </row>
    <row r="188" ht="15.75" customHeight="1">
      <c r="B188" s="278"/>
      <c r="C188" s="279"/>
      <c r="D188" s="279"/>
      <c r="F188" s="276"/>
    </row>
    <row r="189" ht="15.75" customHeight="1">
      <c r="B189" s="278"/>
      <c r="C189" s="279"/>
      <c r="D189" s="279"/>
      <c r="F189" s="276"/>
    </row>
    <row r="190" ht="15.75" customHeight="1">
      <c r="B190" s="278"/>
      <c r="C190" s="279"/>
      <c r="D190" s="279"/>
      <c r="F190" s="276"/>
    </row>
    <row r="191" ht="15.75" customHeight="1">
      <c r="B191" s="278"/>
      <c r="C191" s="279"/>
      <c r="D191" s="279"/>
      <c r="F191" s="276"/>
    </row>
    <row r="192" ht="15.75" customHeight="1">
      <c r="B192" s="278"/>
      <c r="C192" s="279"/>
      <c r="D192" s="279"/>
      <c r="F192" s="276"/>
    </row>
    <row r="193" ht="15.75" customHeight="1">
      <c r="B193" s="278"/>
      <c r="C193" s="279"/>
      <c r="D193" s="279"/>
      <c r="F193" s="276"/>
    </row>
    <row r="194" ht="15.75" customHeight="1">
      <c r="B194" s="278"/>
      <c r="C194" s="279"/>
      <c r="D194" s="279"/>
      <c r="F194" s="276"/>
    </row>
    <row r="195" ht="15.75" customHeight="1">
      <c r="B195" s="278"/>
      <c r="C195" s="279"/>
      <c r="D195" s="279"/>
      <c r="F195" s="276"/>
    </row>
    <row r="196" ht="15.75" customHeight="1">
      <c r="B196" s="278"/>
      <c r="C196" s="279"/>
      <c r="D196" s="279"/>
      <c r="F196" s="276"/>
    </row>
    <row r="197" ht="15.75" customHeight="1">
      <c r="B197" s="278"/>
      <c r="C197" s="279"/>
      <c r="D197" s="279"/>
      <c r="F197" s="276"/>
    </row>
    <row r="198" ht="15.75" customHeight="1">
      <c r="B198" s="278"/>
      <c r="C198" s="279"/>
      <c r="D198" s="279"/>
      <c r="F198" s="276"/>
    </row>
    <row r="199" ht="15.75" customHeight="1">
      <c r="B199" s="278"/>
      <c r="C199" s="279"/>
      <c r="D199" s="279"/>
      <c r="F199" s="276"/>
    </row>
    <row r="200" ht="15.75" customHeight="1">
      <c r="B200" s="278"/>
      <c r="C200" s="279"/>
      <c r="D200" s="279"/>
      <c r="F200" s="276"/>
    </row>
    <row r="201" ht="15.75" customHeight="1">
      <c r="B201" s="278"/>
      <c r="C201" s="279"/>
      <c r="D201" s="279"/>
      <c r="F201" s="276"/>
    </row>
    <row r="202" ht="15.75" customHeight="1">
      <c r="B202" s="278"/>
      <c r="C202" s="279"/>
      <c r="D202" s="279"/>
      <c r="F202" s="276"/>
    </row>
    <row r="203" ht="15.75" customHeight="1">
      <c r="B203" s="278"/>
      <c r="C203" s="279"/>
      <c r="D203" s="279"/>
      <c r="F203" s="276"/>
    </row>
    <row r="204" ht="15.75" customHeight="1">
      <c r="B204" s="278"/>
      <c r="C204" s="279"/>
      <c r="D204" s="279"/>
      <c r="F204" s="276"/>
    </row>
    <row r="205" ht="15.75" customHeight="1">
      <c r="B205" s="278"/>
      <c r="C205" s="279"/>
      <c r="D205" s="279"/>
      <c r="F205" s="276"/>
    </row>
    <row r="206" ht="15.75" customHeight="1">
      <c r="B206" s="278"/>
      <c r="C206" s="279"/>
      <c r="D206" s="279"/>
      <c r="F206" s="276"/>
    </row>
    <row r="207" ht="15.75" customHeight="1">
      <c r="B207" s="278"/>
      <c r="C207" s="279"/>
      <c r="D207" s="279"/>
      <c r="F207" s="276"/>
    </row>
    <row r="208" ht="15.75" customHeight="1">
      <c r="B208" s="278"/>
      <c r="C208" s="279"/>
      <c r="D208" s="279"/>
      <c r="F208" s="276"/>
    </row>
    <row r="209" ht="15.75" customHeight="1">
      <c r="B209" s="278"/>
      <c r="C209" s="279"/>
      <c r="D209" s="279"/>
      <c r="F209" s="276"/>
    </row>
    <row r="210" ht="15.75" customHeight="1">
      <c r="B210" s="278"/>
      <c r="C210" s="279"/>
      <c r="D210" s="279"/>
      <c r="F210" s="276"/>
    </row>
    <row r="211" ht="15.75" customHeight="1">
      <c r="B211" s="278"/>
      <c r="C211" s="279"/>
      <c r="D211" s="279"/>
      <c r="F211" s="276"/>
    </row>
    <row r="212" ht="15.75" customHeight="1">
      <c r="B212" s="278"/>
      <c r="C212" s="279"/>
      <c r="D212" s="279"/>
      <c r="F212" s="276"/>
    </row>
    <row r="213" ht="15.75" customHeight="1">
      <c r="B213" s="278"/>
      <c r="C213" s="279"/>
      <c r="D213" s="279"/>
      <c r="F213" s="276"/>
    </row>
    <row r="214" ht="15.75" customHeight="1">
      <c r="B214" s="278"/>
      <c r="C214" s="279"/>
      <c r="D214" s="279"/>
      <c r="F214" s="276"/>
    </row>
    <row r="215" ht="15.75" customHeight="1">
      <c r="B215" s="278"/>
      <c r="C215" s="279"/>
      <c r="D215" s="279"/>
      <c r="F215" s="276"/>
    </row>
    <row r="216" ht="15.75" customHeight="1">
      <c r="B216" s="278"/>
      <c r="C216" s="279"/>
      <c r="D216" s="279"/>
      <c r="F216" s="276"/>
    </row>
    <row r="217" ht="15.75" customHeight="1">
      <c r="B217" s="278"/>
      <c r="C217" s="279"/>
      <c r="D217" s="279"/>
      <c r="F217" s="276"/>
    </row>
    <row r="218" ht="15.75" customHeight="1">
      <c r="B218" s="278"/>
      <c r="C218" s="279"/>
      <c r="D218" s="279"/>
      <c r="F218" s="276"/>
    </row>
    <row r="219" ht="15.75" customHeight="1">
      <c r="B219" s="278"/>
      <c r="C219" s="279"/>
      <c r="D219" s="279"/>
      <c r="F219" s="276"/>
    </row>
    <row r="220" ht="15.75" customHeight="1">
      <c r="B220" s="278"/>
      <c r="C220" s="279"/>
      <c r="D220" s="279"/>
      <c r="F220" s="276"/>
    </row>
    <row r="221" ht="15.75" customHeight="1">
      <c r="B221" s="278"/>
      <c r="C221" s="279"/>
      <c r="D221" s="279"/>
      <c r="F221" s="276"/>
    </row>
    <row r="222" ht="15.75" customHeight="1">
      <c r="B222" s="278"/>
      <c r="C222" s="279"/>
      <c r="D222" s="279"/>
      <c r="F222" s="276"/>
    </row>
    <row r="223" ht="15.75" customHeight="1">
      <c r="B223" s="278"/>
      <c r="C223" s="279"/>
      <c r="D223" s="279"/>
      <c r="F223" s="276"/>
    </row>
    <row r="224" ht="15.75" customHeight="1">
      <c r="B224" s="278"/>
      <c r="C224" s="279"/>
      <c r="D224" s="279"/>
      <c r="F224" s="276"/>
    </row>
    <row r="225" ht="15.75" customHeight="1">
      <c r="B225" s="278"/>
      <c r="C225" s="279"/>
      <c r="D225" s="279"/>
      <c r="F225" s="276"/>
    </row>
    <row r="226" ht="15.75" customHeight="1">
      <c r="B226" s="278"/>
      <c r="C226" s="279"/>
      <c r="D226" s="279"/>
      <c r="F226" s="276"/>
    </row>
    <row r="227" ht="15.75" customHeight="1">
      <c r="B227" s="278"/>
      <c r="C227" s="279"/>
      <c r="D227" s="279"/>
      <c r="F227" s="276"/>
    </row>
    <row r="228" ht="15.75" customHeight="1">
      <c r="B228" s="278"/>
      <c r="C228" s="279"/>
      <c r="D228" s="279"/>
      <c r="F228" s="276"/>
    </row>
    <row r="229" ht="15.75" customHeight="1">
      <c r="B229" s="278"/>
      <c r="C229" s="279"/>
      <c r="D229" s="279"/>
      <c r="F229" s="276"/>
    </row>
    <row r="230" ht="15.75" customHeight="1">
      <c r="B230" s="278"/>
      <c r="C230" s="279"/>
      <c r="D230" s="279"/>
      <c r="F230" s="276"/>
    </row>
    <row r="231" ht="15.75" customHeight="1">
      <c r="B231" s="278"/>
      <c r="C231" s="279"/>
      <c r="D231" s="279"/>
      <c r="F231" s="276"/>
    </row>
    <row r="232" ht="15.75" customHeight="1">
      <c r="B232" s="278"/>
      <c r="C232" s="279"/>
      <c r="D232" s="279"/>
      <c r="F232" s="276"/>
    </row>
    <row r="233" ht="15.75" customHeight="1">
      <c r="B233" s="278"/>
      <c r="C233" s="279"/>
      <c r="D233" s="279"/>
      <c r="F233" s="276"/>
    </row>
    <row r="234" ht="15.75" customHeight="1">
      <c r="B234" s="278"/>
      <c r="C234" s="279"/>
      <c r="D234" s="279"/>
      <c r="F234" s="276"/>
    </row>
    <row r="235" ht="15.75" customHeight="1">
      <c r="B235" s="278"/>
      <c r="C235" s="279"/>
      <c r="D235" s="279"/>
      <c r="F235" s="276"/>
    </row>
    <row r="236" ht="15.75" customHeight="1">
      <c r="B236" s="278"/>
      <c r="C236" s="279"/>
      <c r="D236" s="279"/>
      <c r="F236" s="276"/>
    </row>
    <row r="237" ht="15.75" customHeight="1">
      <c r="B237" s="278"/>
      <c r="C237" s="279"/>
      <c r="D237" s="279"/>
      <c r="F237" s="276"/>
    </row>
    <row r="238" ht="15.75" customHeight="1">
      <c r="B238" s="278"/>
      <c r="C238" s="279"/>
      <c r="D238" s="279"/>
      <c r="F238" s="276"/>
    </row>
    <row r="239" ht="15.75" customHeight="1">
      <c r="B239" s="278"/>
      <c r="C239" s="279"/>
      <c r="D239" s="279"/>
      <c r="F239" s="276"/>
    </row>
    <row r="240" ht="15.75" customHeight="1">
      <c r="B240" s="278"/>
      <c r="C240" s="279"/>
      <c r="D240" s="279"/>
      <c r="F240" s="276"/>
    </row>
    <row r="241" ht="15.75" customHeight="1">
      <c r="B241" s="278"/>
      <c r="C241" s="279"/>
      <c r="D241" s="279"/>
      <c r="F241" s="276"/>
    </row>
    <row r="242" ht="15.75" customHeight="1">
      <c r="B242" s="278"/>
      <c r="C242" s="279"/>
      <c r="D242" s="279"/>
      <c r="F242" s="276"/>
    </row>
    <row r="243" ht="15.75" customHeight="1">
      <c r="B243" s="278"/>
      <c r="C243" s="279"/>
      <c r="D243" s="279"/>
      <c r="F243" s="276"/>
    </row>
    <row r="244" ht="15.75" customHeight="1">
      <c r="B244" s="278"/>
      <c r="C244" s="279"/>
      <c r="D244" s="279"/>
      <c r="F244" s="276"/>
    </row>
    <row r="245" ht="15.75" customHeight="1">
      <c r="B245" s="278"/>
      <c r="C245" s="279"/>
      <c r="D245" s="279"/>
      <c r="F245" s="276"/>
    </row>
    <row r="246" ht="15.75" customHeight="1">
      <c r="B246" s="278"/>
      <c r="C246" s="279"/>
      <c r="D246" s="279"/>
      <c r="F246" s="276"/>
    </row>
    <row r="247" ht="15.75" customHeight="1">
      <c r="B247" s="278"/>
      <c r="C247" s="279"/>
      <c r="D247" s="279"/>
      <c r="F247" s="276"/>
    </row>
    <row r="248" ht="15.75" customHeight="1">
      <c r="B248" s="278"/>
      <c r="C248" s="279"/>
      <c r="D248" s="279"/>
      <c r="F248" s="276"/>
    </row>
    <row r="249" ht="15.75" customHeight="1">
      <c r="B249" s="278"/>
      <c r="C249" s="279"/>
      <c r="D249" s="279"/>
      <c r="F249" s="276"/>
    </row>
    <row r="250" ht="15.75" customHeight="1">
      <c r="B250" s="278"/>
      <c r="C250" s="279"/>
      <c r="D250" s="279"/>
      <c r="F250" s="276"/>
    </row>
    <row r="251" ht="15.75" customHeight="1">
      <c r="B251" s="278"/>
      <c r="C251" s="279"/>
      <c r="D251" s="279"/>
      <c r="F251" s="276"/>
    </row>
    <row r="252" ht="15.75" customHeight="1">
      <c r="B252" s="278"/>
      <c r="C252" s="279"/>
      <c r="D252" s="279"/>
      <c r="F252" s="276"/>
    </row>
    <row r="253" ht="15.75" customHeight="1">
      <c r="B253" s="278"/>
      <c r="C253" s="279"/>
      <c r="D253" s="279"/>
      <c r="F253" s="276"/>
    </row>
    <row r="254" ht="15.75" customHeight="1">
      <c r="B254" s="278"/>
      <c r="C254" s="279"/>
      <c r="D254" s="279"/>
      <c r="F254" s="276"/>
    </row>
    <row r="255" ht="15.75" customHeight="1">
      <c r="B255" s="278"/>
      <c r="C255" s="279"/>
      <c r="D255" s="279"/>
      <c r="F255" s="27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43"/>
    <col customWidth="1" min="11" max="11" width="23.29"/>
    <col customWidth="1" min="12" max="12" width="8.71"/>
    <col customWidth="1" min="13" max="13" width="24.86"/>
    <col customWidth="1" min="14" max="14" width="15.86"/>
    <col customWidth="1" min="15" max="15" width="28.71"/>
    <col customWidth="1" min="16" max="16" width="8.71"/>
  </cols>
  <sheetData>
    <row r="1">
      <c r="A1" s="276" t="s">
        <v>187</v>
      </c>
      <c r="J1" s="276" t="s">
        <v>272</v>
      </c>
      <c r="K1" s="280" t="s">
        <v>273</v>
      </c>
      <c r="M1" s="227" t="s">
        <v>274</v>
      </c>
      <c r="O1" s="227" t="s">
        <v>275</v>
      </c>
    </row>
    <row r="2">
      <c r="A2" s="227" t="s">
        <v>257</v>
      </c>
      <c r="B2" s="227" t="s">
        <v>259</v>
      </c>
      <c r="C2" s="227" t="s">
        <v>276</v>
      </c>
      <c r="J2" s="278">
        <v>6.0</v>
      </c>
      <c r="K2" s="281">
        <v>17553.0</v>
      </c>
    </row>
    <row r="3">
      <c r="A3" s="227" t="s">
        <v>212</v>
      </c>
      <c r="B3" s="227" t="s">
        <v>196</v>
      </c>
      <c r="C3" s="227" t="s">
        <v>277</v>
      </c>
      <c r="J3" s="278">
        <v>7.0</v>
      </c>
      <c r="K3" s="281">
        <v>18620.0</v>
      </c>
      <c r="M3" s="227" t="s">
        <v>278</v>
      </c>
      <c r="N3" s="227" t="s">
        <v>279</v>
      </c>
      <c r="O3" s="227" t="s">
        <v>280</v>
      </c>
    </row>
    <row r="4">
      <c r="A4" s="227" t="s">
        <v>259</v>
      </c>
      <c r="B4" s="227" t="s">
        <v>190</v>
      </c>
      <c r="C4" s="227" t="s">
        <v>281</v>
      </c>
      <c r="J4" s="278">
        <v>8.0</v>
      </c>
      <c r="K4" s="281">
        <v>19744.0</v>
      </c>
      <c r="N4" s="227" t="s">
        <v>282</v>
      </c>
    </row>
    <row r="5">
      <c r="A5" s="227" t="s">
        <v>196</v>
      </c>
      <c r="B5" s="227" t="s">
        <v>200</v>
      </c>
      <c r="C5" s="227" t="s">
        <v>283</v>
      </c>
      <c r="J5" s="278">
        <v>9.0</v>
      </c>
      <c r="K5" s="281">
        <v>21211.0</v>
      </c>
      <c r="M5" s="227" t="s">
        <v>284</v>
      </c>
      <c r="N5" s="227" t="s">
        <v>285</v>
      </c>
      <c r="O5" s="227" t="s">
        <v>286</v>
      </c>
      <c r="P5" s="227" t="s">
        <v>286</v>
      </c>
    </row>
    <row r="6">
      <c r="A6" s="227" t="s">
        <v>200</v>
      </c>
      <c r="B6" s="227" t="s">
        <v>212</v>
      </c>
      <c r="C6" s="227" t="s">
        <v>287</v>
      </c>
      <c r="J6" s="278">
        <v>10.0</v>
      </c>
      <c r="K6" s="281">
        <v>23176.0</v>
      </c>
      <c r="M6" s="227" t="s">
        <v>284</v>
      </c>
      <c r="N6" s="227" t="s">
        <v>285</v>
      </c>
      <c r="O6" s="227" t="s">
        <v>286</v>
      </c>
      <c r="P6" s="227" t="s">
        <v>286</v>
      </c>
    </row>
    <row r="7">
      <c r="A7" s="227" t="s">
        <v>190</v>
      </c>
      <c r="B7" s="227" t="s">
        <v>257</v>
      </c>
      <c r="C7" s="227" t="s">
        <v>288</v>
      </c>
      <c r="J7" s="278">
        <v>11.0</v>
      </c>
      <c r="K7" s="281">
        <v>27000.0</v>
      </c>
      <c r="M7" s="227" t="s">
        <v>284</v>
      </c>
      <c r="N7" s="227" t="s">
        <v>285</v>
      </c>
      <c r="O7" s="227" t="s">
        <v>286</v>
      </c>
      <c r="P7" s="227" t="s">
        <v>286</v>
      </c>
    </row>
    <row r="8">
      <c r="J8" s="278">
        <v>12.0</v>
      </c>
      <c r="K8" s="281">
        <v>29165.0</v>
      </c>
      <c r="M8" s="227" t="s">
        <v>289</v>
      </c>
      <c r="N8" s="227" t="s">
        <v>290</v>
      </c>
      <c r="O8" s="227" t="s">
        <v>286</v>
      </c>
      <c r="P8" s="227" t="s">
        <v>286</v>
      </c>
    </row>
    <row r="9">
      <c r="J9" s="278">
        <v>13.0</v>
      </c>
      <c r="K9" s="281">
        <v>31320.0</v>
      </c>
      <c r="M9" s="227" t="s">
        <v>291</v>
      </c>
      <c r="N9" s="227" t="s">
        <v>290</v>
      </c>
      <c r="O9" s="227" t="s">
        <v>286</v>
      </c>
      <c r="P9" s="227" t="s">
        <v>286</v>
      </c>
    </row>
    <row r="10">
      <c r="J10" s="278">
        <v>14.0</v>
      </c>
      <c r="K10" s="281">
        <v>33843.0</v>
      </c>
      <c r="M10" s="227" t="s">
        <v>292</v>
      </c>
      <c r="N10" s="227" t="s">
        <v>293</v>
      </c>
      <c r="O10" s="227" t="s">
        <v>286</v>
      </c>
      <c r="P10" s="227" t="s">
        <v>286</v>
      </c>
    </row>
    <row r="11">
      <c r="J11" s="278">
        <v>15.0</v>
      </c>
      <c r="K11" s="281">
        <v>36619.0</v>
      </c>
      <c r="M11" s="227" t="s">
        <v>294</v>
      </c>
      <c r="N11" s="227" t="s">
        <v>295</v>
      </c>
      <c r="O11" s="227" t="s">
        <v>296</v>
      </c>
    </row>
    <row r="12">
      <c r="J12" s="282">
        <v>16.0</v>
      </c>
      <c r="K12" s="281">
        <v>39672.0</v>
      </c>
      <c r="M12" s="227" t="s">
        <v>297</v>
      </c>
      <c r="N12" s="227" t="s">
        <v>298</v>
      </c>
      <c r="O12" s="227" t="s">
        <v>296</v>
      </c>
    </row>
    <row r="13">
      <c r="K13" s="281"/>
      <c r="M13" s="227" t="s">
        <v>299</v>
      </c>
      <c r="N13" s="227" t="s">
        <v>300</v>
      </c>
      <c r="O13" s="227" t="s">
        <v>286</v>
      </c>
      <c r="P13" s="227" t="s">
        <v>286</v>
      </c>
    </row>
    <row r="14">
      <c r="K14" s="281"/>
      <c r="M14" s="227" t="s">
        <v>301</v>
      </c>
      <c r="N14" s="227" t="s">
        <v>302</v>
      </c>
      <c r="O14" s="227" t="s">
        <v>286</v>
      </c>
      <c r="P14" s="227" t="s">
        <v>286</v>
      </c>
    </row>
    <row r="15">
      <c r="K15" s="281"/>
      <c r="M15" s="227" t="s">
        <v>303</v>
      </c>
      <c r="N15" s="227" t="s">
        <v>304</v>
      </c>
      <c r="O15" s="227" t="s">
        <v>286</v>
      </c>
      <c r="P15" s="227" t="s">
        <v>286</v>
      </c>
    </row>
    <row r="16">
      <c r="K16" s="281"/>
      <c r="M16" s="227" t="s">
        <v>305</v>
      </c>
      <c r="N16" s="227" t="s">
        <v>306</v>
      </c>
      <c r="O16" s="227" t="s">
        <v>296</v>
      </c>
    </row>
    <row r="17">
      <c r="K17" s="281"/>
      <c r="M17" s="227" t="s">
        <v>307</v>
      </c>
      <c r="N17" s="227" t="s">
        <v>308</v>
      </c>
      <c r="O17" s="227" t="s">
        <v>296</v>
      </c>
    </row>
    <row r="18">
      <c r="K18" s="281"/>
      <c r="M18" s="227" t="s">
        <v>309</v>
      </c>
      <c r="N18" s="227" t="s">
        <v>310</v>
      </c>
      <c r="O18" s="227" t="s">
        <v>296</v>
      </c>
    </row>
    <row r="19">
      <c r="K19" s="281"/>
      <c r="M19" s="227" t="s">
        <v>311</v>
      </c>
      <c r="N19" s="227" t="s">
        <v>312</v>
      </c>
      <c r="O19" s="227" t="s">
        <v>296</v>
      </c>
    </row>
    <row r="20">
      <c r="K20" s="281"/>
      <c r="M20" s="227" t="s">
        <v>313</v>
      </c>
      <c r="N20" s="227" t="s">
        <v>314</v>
      </c>
      <c r="O20" s="227" t="s">
        <v>296</v>
      </c>
    </row>
    <row r="21" ht="15.75" customHeight="1">
      <c r="K21" s="281"/>
      <c r="M21" s="227" t="s">
        <v>315</v>
      </c>
      <c r="N21" s="227" t="s">
        <v>316</v>
      </c>
      <c r="O21" s="227" t="s">
        <v>296</v>
      </c>
    </row>
    <row r="22" ht="15.75" customHeight="1">
      <c r="K22" s="281"/>
      <c r="M22" s="227" t="s">
        <v>317</v>
      </c>
      <c r="N22" s="227" t="s">
        <v>318</v>
      </c>
      <c r="O22" s="227" t="s">
        <v>296</v>
      </c>
    </row>
    <row r="23" ht="15.75" customHeight="1">
      <c r="K23" s="281"/>
      <c r="M23" s="227" t="s">
        <v>319</v>
      </c>
      <c r="N23" s="227" t="s">
        <v>320</v>
      </c>
      <c r="O23" s="227" t="s">
        <v>296</v>
      </c>
    </row>
    <row r="24" ht="15.75" customHeight="1">
      <c r="K24" s="281"/>
      <c r="M24" s="227" t="s">
        <v>321</v>
      </c>
      <c r="N24" s="227" t="s">
        <v>322</v>
      </c>
      <c r="O24" s="227" t="s">
        <v>296</v>
      </c>
    </row>
    <row r="25" ht="15.75" customHeight="1">
      <c r="K25" s="281"/>
      <c r="M25" s="227" t="s">
        <v>323</v>
      </c>
      <c r="N25" s="227" t="s">
        <v>324</v>
      </c>
      <c r="O25" s="227" t="s">
        <v>296</v>
      </c>
    </row>
    <row r="26" ht="15.75" customHeight="1">
      <c r="K26" s="281"/>
      <c r="M26" s="227" t="s">
        <v>325</v>
      </c>
      <c r="N26" s="227" t="s">
        <v>326</v>
      </c>
      <c r="O26" s="227" t="s">
        <v>296</v>
      </c>
    </row>
    <row r="27" ht="15.75" customHeight="1">
      <c r="K27" s="281"/>
      <c r="M27" s="227" t="s">
        <v>327</v>
      </c>
      <c r="N27" s="227" t="s">
        <v>328</v>
      </c>
      <c r="O27" s="227" t="s">
        <v>296</v>
      </c>
    </row>
    <row r="28" ht="15.75" customHeight="1">
      <c r="K28" s="281"/>
      <c r="M28" s="227" t="s">
        <v>329</v>
      </c>
      <c r="N28" s="227" t="s">
        <v>330</v>
      </c>
      <c r="O28" s="227" t="s">
        <v>296</v>
      </c>
    </row>
    <row r="29" ht="15.75" customHeight="1">
      <c r="K29" s="281"/>
      <c r="M29" s="227" t="s">
        <v>331</v>
      </c>
      <c r="N29" s="227" t="s">
        <v>332</v>
      </c>
      <c r="O29" s="227" t="s">
        <v>296</v>
      </c>
    </row>
    <row r="30" ht="15.75" customHeight="1">
      <c r="K30" s="281"/>
      <c r="M30" s="227" t="s">
        <v>333</v>
      </c>
      <c r="N30" s="227" t="s">
        <v>334</v>
      </c>
      <c r="O30" s="227" t="s">
        <v>296</v>
      </c>
    </row>
    <row r="31" ht="15.75" customHeight="1">
      <c r="K31" s="281"/>
      <c r="M31" s="227" t="s">
        <v>335</v>
      </c>
      <c r="N31" s="227" t="s">
        <v>336</v>
      </c>
      <c r="O31" s="227" t="s">
        <v>296</v>
      </c>
    </row>
    <row r="32" ht="15.75" customHeight="1">
      <c r="K32" s="281"/>
      <c r="M32" s="227" t="s">
        <v>337</v>
      </c>
      <c r="N32" s="227" t="s">
        <v>338</v>
      </c>
      <c r="O32" s="227" t="s">
        <v>286</v>
      </c>
    </row>
    <row r="33" ht="15.75" customHeight="1">
      <c r="K33" s="281"/>
      <c r="M33" s="227" t="s">
        <v>337</v>
      </c>
      <c r="N33" s="227" t="s">
        <v>338</v>
      </c>
      <c r="O33" s="227" t="s">
        <v>296</v>
      </c>
    </row>
    <row r="34" ht="15.75" customHeight="1">
      <c r="K34" s="281"/>
      <c r="M34" s="227" t="s">
        <v>337</v>
      </c>
      <c r="N34" s="227" t="s">
        <v>338</v>
      </c>
      <c r="O34" s="227" t="s">
        <v>296</v>
      </c>
    </row>
    <row r="35" ht="15.75" customHeight="1">
      <c r="K35" s="281"/>
      <c r="M35" s="227" t="s">
        <v>337</v>
      </c>
      <c r="N35" s="227" t="s">
        <v>338</v>
      </c>
      <c r="O35" s="227" t="s">
        <v>296</v>
      </c>
    </row>
    <row r="36" ht="15.75" customHeight="1">
      <c r="K36" s="281"/>
      <c r="M36" s="227" t="s">
        <v>337</v>
      </c>
      <c r="N36" s="227" t="s">
        <v>338</v>
      </c>
      <c r="O36" s="227" t="s">
        <v>296</v>
      </c>
    </row>
    <row r="37" ht="15.75" customHeight="1">
      <c r="K37" s="281"/>
      <c r="M37" s="227" t="s">
        <v>337</v>
      </c>
      <c r="N37" s="227" t="s">
        <v>338</v>
      </c>
      <c r="O37" s="227" t="s">
        <v>286</v>
      </c>
    </row>
    <row r="38" ht="15.75" customHeight="1">
      <c r="K38" s="281"/>
      <c r="M38" s="227" t="s">
        <v>337</v>
      </c>
      <c r="N38" s="227" t="s">
        <v>338</v>
      </c>
      <c r="O38" s="227" t="s">
        <v>296</v>
      </c>
    </row>
    <row r="39" ht="15.75" customHeight="1">
      <c r="K39" s="281"/>
      <c r="M39" s="227" t="s">
        <v>337</v>
      </c>
      <c r="N39" s="227" t="s">
        <v>338</v>
      </c>
      <c r="O39" s="227" t="s">
        <v>296</v>
      </c>
    </row>
    <row r="40" ht="15.75" customHeight="1">
      <c r="K40" s="281"/>
      <c r="M40" s="227" t="s">
        <v>337</v>
      </c>
      <c r="N40" s="227" t="s">
        <v>338</v>
      </c>
      <c r="O40" s="227" t="s">
        <v>296</v>
      </c>
    </row>
    <row r="41" ht="15.75" customHeight="1">
      <c r="K41" s="281"/>
      <c r="M41" s="227" t="s">
        <v>337</v>
      </c>
      <c r="N41" s="227" t="s">
        <v>338</v>
      </c>
      <c r="O41" s="227" t="s">
        <v>296</v>
      </c>
    </row>
    <row r="42" ht="15.75" customHeight="1">
      <c r="K42" s="281"/>
      <c r="M42" s="227" t="s">
        <v>339</v>
      </c>
      <c r="N42" s="227" t="s">
        <v>340</v>
      </c>
      <c r="O42" s="227" t="s">
        <v>286</v>
      </c>
    </row>
    <row r="43" ht="15.75" customHeight="1">
      <c r="K43" s="281"/>
      <c r="M43" s="227" t="s">
        <v>341</v>
      </c>
      <c r="N43" s="227" t="s">
        <v>342</v>
      </c>
      <c r="O43" s="227" t="s">
        <v>286</v>
      </c>
    </row>
    <row r="44" ht="15.75" customHeight="1">
      <c r="K44" s="281"/>
      <c r="M44" s="227" t="s">
        <v>343</v>
      </c>
      <c r="N44" s="227" t="s">
        <v>344</v>
      </c>
      <c r="O44" s="227" t="s">
        <v>286</v>
      </c>
    </row>
    <row r="45" ht="15.75" customHeight="1">
      <c r="K45" s="281"/>
      <c r="M45" s="227" t="s">
        <v>345</v>
      </c>
      <c r="N45" s="227" t="s">
        <v>346</v>
      </c>
      <c r="O45" s="227" t="s">
        <v>286</v>
      </c>
    </row>
    <row r="46" ht="15.75" customHeight="1">
      <c r="K46" s="281"/>
      <c r="M46" s="227" t="s">
        <v>345</v>
      </c>
      <c r="N46" s="227" t="s">
        <v>346</v>
      </c>
      <c r="O46" s="227" t="s">
        <v>296</v>
      </c>
    </row>
    <row r="47" ht="15.75" customHeight="1">
      <c r="K47" s="281"/>
      <c r="M47" s="227" t="s">
        <v>345</v>
      </c>
      <c r="N47" s="227" t="s">
        <v>346</v>
      </c>
      <c r="O47" s="227" t="s">
        <v>296</v>
      </c>
    </row>
    <row r="48" ht="15.75" customHeight="1">
      <c r="K48" s="281"/>
      <c r="M48" s="227" t="s">
        <v>345</v>
      </c>
      <c r="N48" s="227" t="s">
        <v>346</v>
      </c>
      <c r="O48" s="227" t="s">
        <v>296</v>
      </c>
    </row>
    <row r="49" ht="15.75" customHeight="1">
      <c r="K49" s="281"/>
      <c r="M49" s="227" t="s">
        <v>345</v>
      </c>
      <c r="N49" s="227" t="s">
        <v>346</v>
      </c>
      <c r="O49" s="227" t="s">
        <v>296</v>
      </c>
    </row>
    <row r="50" ht="15.75" customHeight="1">
      <c r="K50" s="281"/>
      <c r="M50" s="227" t="s">
        <v>347</v>
      </c>
      <c r="N50" s="227" t="s">
        <v>346</v>
      </c>
      <c r="O50" s="227" t="s">
        <v>286</v>
      </c>
    </row>
    <row r="51" ht="15.75" customHeight="1">
      <c r="K51" s="281"/>
      <c r="M51" s="227" t="s">
        <v>347</v>
      </c>
      <c r="N51" s="227" t="s">
        <v>346</v>
      </c>
      <c r="O51" s="227" t="s">
        <v>296</v>
      </c>
    </row>
    <row r="52" ht="15.75" customHeight="1">
      <c r="K52" s="281"/>
      <c r="M52" s="227" t="s">
        <v>347</v>
      </c>
      <c r="N52" s="227" t="s">
        <v>346</v>
      </c>
      <c r="O52" s="227" t="s">
        <v>296</v>
      </c>
    </row>
    <row r="53" ht="15.75" customHeight="1">
      <c r="K53" s="281"/>
      <c r="M53" s="227" t="s">
        <v>347</v>
      </c>
      <c r="N53" s="227" t="s">
        <v>346</v>
      </c>
      <c r="O53" s="227" t="s">
        <v>296</v>
      </c>
    </row>
    <row r="54" ht="15.75" customHeight="1">
      <c r="K54" s="281"/>
      <c r="M54" s="227" t="s">
        <v>347</v>
      </c>
      <c r="N54" s="227" t="s">
        <v>346</v>
      </c>
      <c r="O54" s="227" t="s">
        <v>296</v>
      </c>
    </row>
    <row r="55" ht="15.75" customHeight="1">
      <c r="K55" s="281"/>
      <c r="M55" s="227" t="s">
        <v>348</v>
      </c>
      <c r="N55" s="227" t="s">
        <v>349</v>
      </c>
      <c r="O55" s="227" t="s">
        <v>286</v>
      </c>
    </row>
    <row r="56" ht="15.75" customHeight="1">
      <c r="K56" s="281"/>
      <c r="M56" s="227" t="s">
        <v>348</v>
      </c>
      <c r="N56" s="227" t="s">
        <v>349</v>
      </c>
      <c r="O56" s="227" t="s">
        <v>296</v>
      </c>
    </row>
    <row r="57" ht="15.75" customHeight="1">
      <c r="K57" s="281"/>
      <c r="M57" s="227" t="s">
        <v>348</v>
      </c>
      <c r="N57" s="227" t="s">
        <v>349</v>
      </c>
      <c r="O57" s="227" t="s">
        <v>296</v>
      </c>
    </row>
    <row r="58" ht="15.75" customHeight="1">
      <c r="K58" s="281"/>
      <c r="M58" s="227" t="s">
        <v>348</v>
      </c>
      <c r="N58" s="227" t="s">
        <v>349</v>
      </c>
      <c r="O58" s="227" t="s">
        <v>296</v>
      </c>
    </row>
    <row r="59" ht="15.75" customHeight="1">
      <c r="K59" s="281"/>
      <c r="M59" s="227" t="s">
        <v>348</v>
      </c>
      <c r="N59" s="227" t="s">
        <v>349</v>
      </c>
      <c r="O59" s="227" t="s">
        <v>296</v>
      </c>
    </row>
    <row r="60" ht="15.75" customHeight="1">
      <c r="K60" s="281"/>
      <c r="M60" s="227" t="s">
        <v>350</v>
      </c>
      <c r="N60" s="227" t="s">
        <v>351</v>
      </c>
      <c r="O60" s="227" t="s">
        <v>286</v>
      </c>
    </row>
    <row r="61" ht="15.75" customHeight="1">
      <c r="K61" s="281"/>
      <c r="M61" s="227" t="s">
        <v>350</v>
      </c>
      <c r="N61" s="227" t="s">
        <v>351</v>
      </c>
      <c r="O61" s="227" t="s">
        <v>296</v>
      </c>
    </row>
    <row r="62" ht="15.75" customHeight="1">
      <c r="K62" s="281"/>
      <c r="M62" s="227" t="s">
        <v>350</v>
      </c>
      <c r="N62" s="227" t="s">
        <v>351</v>
      </c>
      <c r="O62" s="227" t="s">
        <v>296</v>
      </c>
    </row>
    <row r="63" ht="15.75" customHeight="1">
      <c r="K63" s="281"/>
      <c r="M63" s="227" t="s">
        <v>350</v>
      </c>
      <c r="N63" s="227" t="s">
        <v>351</v>
      </c>
      <c r="O63" s="227" t="s">
        <v>296</v>
      </c>
    </row>
    <row r="64" ht="15.75" customHeight="1">
      <c r="K64" s="281"/>
      <c r="M64" s="227" t="s">
        <v>350</v>
      </c>
      <c r="N64" s="227" t="s">
        <v>351</v>
      </c>
      <c r="O64" s="227" t="s">
        <v>296</v>
      </c>
    </row>
    <row r="65" ht="15.75" customHeight="1">
      <c r="K65" s="281"/>
      <c r="M65" s="227" t="s">
        <v>352</v>
      </c>
      <c r="N65" s="227" t="s">
        <v>295</v>
      </c>
      <c r="O65" s="227" t="s">
        <v>353</v>
      </c>
    </row>
    <row r="66" ht="15.75" customHeight="1">
      <c r="K66" s="281"/>
      <c r="M66" s="227" t="s">
        <v>354</v>
      </c>
      <c r="N66" s="227" t="s">
        <v>295</v>
      </c>
      <c r="O66" s="227" t="s">
        <v>296</v>
      </c>
    </row>
    <row r="67" ht="15.75" customHeight="1">
      <c r="K67" s="281"/>
      <c r="M67" s="227" t="s">
        <v>355</v>
      </c>
      <c r="N67" s="227" t="s">
        <v>295</v>
      </c>
      <c r="O67" s="227" t="s">
        <v>296</v>
      </c>
    </row>
    <row r="68" ht="15.75" customHeight="1">
      <c r="K68" s="281"/>
      <c r="M68" s="227" t="s">
        <v>356</v>
      </c>
      <c r="N68" s="227" t="s">
        <v>295</v>
      </c>
      <c r="O68" s="227" t="s">
        <v>296</v>
      </c>
    </row>
    <row r="69" ht="15.75" customHeight="1">
      <c r="K69" s="281"/>
      <c r="M69" s="227" t="s">
        <v>357</v>
      </c>
      <c r="N69" s="227" t="s">
        <v>295</v>
      </c>
      <c r="O69" s="227" t="s">
        <v>296</v>
      </c>
    </row>
    <row r="70" ht="15.75" customHeight="1">
      <c r="K70" s="281"/>
      <c r="M70" s="227" t="s">
        <v>358</v>
      </c>
      <c r="N70" s="227" t="s">
        <v>295</v>
      </c>
      <c r="O70" s="227" t="s">
        <v>296</v>
      </c>
    </row>
    <row r="71" ht="15.75" customHeight="1">
      <c r="K71" s="281"/>
      <c r="M71" s="227" t="s">
        <v>359</v>
      </c>
      <c r="N71" s="227" t="s">
        <v>360</v>
      </c>
      <c r="O71" s="227" t="s">
        <v>296</v>
      </c>
    </row>
    <row r="72" ht="15.75" customHeight="1">
      <c r="K72" s="281"/>
      <c r="M72" s="227" t="s">
        <v>361</v>
      </c>
      <c r="N72" s="227" t="s">
        <v>362</v>
      </c>
      <c r="O72" s="227" t="s">
        <v>296</v>
      </c>
    </row>
    <row r="73" ht="15.75" customHeight="1">
      <c r="K73" s="281"/>
      <c r="M73" s="227" t="s">
        <v>363</v>
      </c>
      <c r="N73" s="227" t="s">
        <v>364</v>
      </c>
      <c r="O73" s="227" t="s">
        <v>296</v>
      </c>
    </row>
    <row r="74" ht="15.75" customHeight="1">
      <c r="K74" s="281"/>
      <c r="M74" s="227" t="s">
        <v>365</v>
      </c>
      <c r="N74" s="227" t="s">
        <v>366</v>
      </c>
      <c r="O74" s="227" t="s">
        <v>367</v>
      </c>
    </row>
    <row r="75" ht="15.75" customHeight="1">
      <c r="K75" s="281"/>
      <c r="M75" s="227" t="s">
        <v>368</v>
      </c>
      <c r="N75" s="227" t="s">
        <v>369</v>
      </c>
      <c r="O75" s="227" t="s">
        <v>296</v>
      </c>
    </row>
    <row r="76" ht="15.75" customHeight="1">
      <c r="K76" s="281"/>
      <c r="M76" s="227" t="s">
        <v>370</v>
      </c>
      <c r="N76" s="227" t="s">
        <v>371</v>
      </c>
      <c r="O76" s="227" t="s">
        <v>296</v>
      </c>
    </row>
    <row r="77" ht="15.75" customHeight="1">
      <c r="K77" s="281"/>
      <c r="M77" s="227" t="s">
        <v>372</v>
      </c>
      <c r="N77" s="227" t="s">
        <v>373</v>
      </c>
      <c r="O77" s="227" t="s">
        <v>296</v>
      </c>
    </row>
    <row r="78" ht="15.75" customHeight="1">
      <c r="K78" s="281"/>
      <c r="M78" s="227" t="s">
        <v>374</v>
      </c>
      <c r="N78" s="227" t="s">
        <v>375</v>
      </c>
      <c r="O78" s="227" t="s">
        <v>296</v>
      </c>
    </row>
    <row r="79" ht="15.75" customHeight="1">
      <c r="K79" s="281"/>
      <c r="M79" s="227" t="s">
        <v>376</v>
      </c>
      <c r="N79" s="227" t="s">
        <v>377</v>
      </c>
      <c r="O79" s="227" t="s">
        <v>296</v>
      </c>
    </row>
    <row r="80" ht="15.75" customHeight="1">
      <c r="K80" s="281"/>
      <c r="M80" s="227" t="s">
        <v>378</v>
      </c>
      <c r="N80" s="227" t="s">
        <v>379</v>
      </c>
      <c r="O80" s="227" t="s">
        <v>380</v>
      </c>
    </row>
    <row r="81" ht="15.75" customHeight="1">
      <c r="K81" s="281"/>
      <c r="M81" s="227" t="s">
        <v>381</v>
      </c>
      <c r="N81" s="227" t="s">
        <v>382</v>
      </c>
      <c r="O81" s="227" t="s">
        <v>380</v>
      </c>
    </row>
    <row r="82" ht="15.75" customHeight="1">
      <c r="K82" s="281"/>
      <c r="M82" s="227" t="s">
        <v>383</v>
      </c>
      <c r="N82" s="227" t="s">
        <v>384</v>
      </c>
      <c r="O82" s="227" t="s">
        <v>380</v>
      </c>
    </row>
    <row r="83" ht="15.75" customHeight="1">
      <c r="K83" s="281"/>
      <c r="M83" s="227" t="s">
        <v>385</v>
      </c>
      <c r="N83" s="227" t="s">
        <v>386</v>
      </c>
      <c r="O83" s="227" t="s">
        <v>380</v>
      </c>
    </row>
    <row r="84" ht="15.75" customHeight="1">
      <c r="K84" s="281"/>
      <c r="M84" s="227" t="s">
        <v>387</v>
      </c>
      <c r="N84" s="227" t="s">
        <v>388</v>
      </c>
      <c r="O84" s="227" t="s">
        <v>380</v>
      </c>
    </row>
    <row r="85" ht="15.75" customHeight="1">
      <c r="K85" s="281"/>
      <c r="M85" s="227" t="s">
        <v>389</v>
      </c>
      <c r="N85" s="227" t="s">
        <v>390</v>
      </c>
      <c r="O85" s="227" t="s">
        <v>380</v>
      </c>
    </row>
    <row r="86" ht="15.75" customHeight="1">
      <c r="K86" s="281"/>
      <c r="M86" s="227" t="s">
        <v>391</v>
      </c>
      <c r="N86" s="227" t="s">
        <v>392</v>
      </c>
      <c r="O86" s="227" t="s">
        <v>380</v>
      </c>
    </row>
    <row r="87" ht="15.75" customHeight="1">
      <c r="K87" s="281"/>
      <c r="M87" s="227" t="s">
        <v>393</v>
      </c>
      <c r="N87" s="227" t="s">
        <v>394</v>
      </c>
      <c r="O87" s="227" t="s">
        <v>296</v>
      </c>
    </row>
    <row r="88" ht="15.75" customHeight="1">
      <c r="K88" s="281"/>
      <c r="M88" s="227" t="s">
        <v>395</v>
      </c>
      <c r="N88" s="227" t="s">
        <v>396</v>
      </c>
      <c r="O88" s="227" t="s">
        <v>296</v>
      </c>
    </row>
    <row r="89" ht="15.75" customHeight="1">
      <c r="K89" s="281"/>
      <c r="M89" s="227" t="s">
        <v>397</v>
      </c>
      <c r="N89" s="227" t="s">
        <v>398</v>
      </c>
      <c r="O89" s="227" t="s">
        <v>296</v>
      </c>
    </row>
    <row r="90" ht="15.75" customHeight="1">
      <c r="K90" s="281"/>
      <c r="M90" s="227" t="s">
        <v>399</v>
      </c>
      <c r="N90" s="227" t="s">
        <v>400</v>
      </c>
      <c r="O90" s="227" t="s">
        <v>296</v>
      </c>
    </row>
    <row r="91" ht="15.75" customHeight="1">
      <c r="K91" s="281"/>
      <c r="M91" s="227" t="s">
        <v>401</v>
      </c>
      <c r="N91" s="227" t="s">
        <v>402</v>
      </c>
      <c r="O91" s="227" t="s">
        <v>296</v>
      </c>
    </row>
    <row r="92" ht="15.75" customHeight="1">
      <c r="K92" s="281"/>
      <c r="M92" s="227" t="s">
        <v>403</v>
      </c>
      <c r="N92" s="227" t="s">
        <v>404</v>
      </c>
      <c r="O92" s="227" t="s">
        <v>296</v>
      </c>
    </row>
    <row r="93" ht="15.75" customHeight="1">
      <c r="K93" s="281"/>
      <c r="M93" s="227" t="s">
        <v>405</v>
      </c>
      <c r="N93" s="227" t="s">
        <v>406</v>
      </c>
      <c r="O93" s="227" t="s">
        <v>296</v>
      </c>
    </row>
    <row r="94" ht="15.75" customHeight="1">
      <c r="K94" s="281"/>
      <c r="M94" s="227" t="s">
        <v>407</v>
      </c>
      <c r="N94" s="227" t="s">
        <v>408</v>
      </c>
      <c r="O94" s="227" t="s">
        <v>296</v>
      </c>
    </row>
    <row r="95" ht="15.75" customHeight="1">
      <c r="K95" s="281"/>
      <c r="M95" s="227" t="s">
        <v>409</v>
      </c>
      <c r="N95" s="227" t="s">
        <v>410</v>
      </c>
      <c r="O95" s="227" t="s">
        <v>296</v>
      </c>
    </row>
    <row r="96" ht="15.75" customHeight="1">
      <c r="K96" s="281"/>
      <c r="M96" s="227" t="s">
        <v>411</v>
      </c>
      <c r="N96" s="227" t="s">
        <v>412</v>
      </c>
      <c r="O96" s="227" t="s">
        <v>296</v>
      </c>
    </row>
    <row r="97" ht="15.75" customHeight="1">
      <c r="K97" s="281"/>
      <c r="M97" s="227" t="s">
        <v>413</v>
      </c>
      <c r="N97" s="227" t="s">
        <v>414</v>
      </c>
      <c r="O97" s="227" t="s">
        <v>415</v>
      </c>
    </row>
    <row r="98" ht="15.75" customHeight="1">
      <c r="K98" s="281"/>
      <c r="M98" s="227" t="s">
        <v>416</v>
      </c>
      <c r="N98" s="227" t="s">
        <v>417</v>
      </c>
      <c r="O98" s="227" t="s">
        <v>415</v>
      </c>
    </row>
    <row r="99" ht="15.75" customHeight="1">
      <c r="K99" s="281"/>
      <c r="M99" s="227" t="s">
        <v>418</v>
      </c>
      <c r="N99" s="227" t="s">
        <v>419</v>
      </c>
      <c r="O99" s="227" t="s">
        <v>353</v>
      </c>
    </row>
    <row r="100" ht="15.75" customHeight="1">
      <c r="K100" s="281"/>
      <c r="M100" s="227" t="s">
        <v>420</v>
      </c>
      <c r="N100" s="227" t="s">
        <v>421</v>
      </c>
      <c r="O100" s="227" t="s">
        <v>415</v>
      </c>
    </row>
    <row r="101" ht="15.75" customHeight="1">
      <c r="K101" s="281"/>
      <c r="M101" s="227" t="s">
        <v>422</v>
      </c>
      <c r="N101" s="227" t="s">
        <v>366</v>
      </c>
      <c r="O101" s="227" t="s">
        <v>367</v>
      </c>
    </row>
    <row r="102" ht="15.75" customHeight="1">
      <c r="K102" s="281"/>
      <c r="M102" s="227" t="s">
        <v>423</v>
      </c>
      <c r="N102" s="227" t="s">
        <v>424</v>
      </c>
      <c r="O102" s="227" t="s">
        <v>380</v>
      </c>
    </row>
    <row r="103" ht="15.75" customHeight="1">
      <c r="K103" s="281"/>
      <c r="M103" s="227" t="s">
        <v>425</v>
      </c>
      <c r="N103" s="227" t="s">
        <v>426</v>
      </c>
      <c r="O103" s="227" t="s">
        <v>380</v>
      </c>
    </row>
    <row r="104" ht="15.75" customHeight="1">
      <c r="K104" s="281"/>
      <c r="M104" s="227" t="s">
        <v>427</v>
      </c>
      <c r="N104" s="227" t="s">
        <v>428</v>
      </c>
      <c r="O104" s="227" t="s">
        <v>296</v>
      </c>
    </row>
    <row r="105" ht="15.75" customHeight="1">
      <c r="K105" s="281"/>
      <c r="M105" s="227" t="s">
        <v>429</v>
      </c>
      <c r="N105" s="227" t="s">
        <v>430</v>
      </c>
      <c r="O105" s="227" t="s">
        <v>296</v>
      </c>
    </row>
    <row r="106" ht="15.75" customHeight="1">
      <c r="K106" s="281"/>
      <c r="M106" s="227" t="s">
        <v>431</v>
      </c>
      <c r="N106" s="227" t="s">
        <v>432</v>
      </c>
      <c r="O106" s="227" t="s">
        <v>380</v>
      </c>
    </row>
    <row r="107" ht="15.75" customHeight="1">
      <c r="K107" s="281"/>
      <c r="M107" s="227" t="s">
        <v>433</v>
      </c>
      <c r="N107" s="227" t="s">
        <v>434</v>
      </c>
      <c r="O107" s="227" t="s">
        <v>296</v>
      </c>
    </row>
    <row r="108" ht="15.75" customHeight="1">
      <c r="K108" s="281"/>
      <c r="M108" s="227" t="s">
        <v>435</v>
      </c>
      <c r="N108" s="227" t="s">
        <v>436</v>
      </c>
      <c r="O108" s="227" t="s">
        <v>296</v>
      </c>
    </row>
    <row r="109" ht="15.75" customHeight="1">
      <c r="K109" s="281"/>
      <c r="M109" s="227" t="s">
        <v>437</v>
      </c>
      <c r="N109" s="227" t="s">
        <v>438</v>
      </c>
      <c r="O109" s="227" t="s">
        <v>296</v>
      </c>
    </row>
    <row r="110" ht="15.75" customHeight="1">
      <c r="K110" s="281"/>
      <c r="M110" s="227" t="s">
        <v>439</v>
      </c>
      <c r="N110" s="227" t="s">
        <v>440</v>
      </c>
      <c r="O110" s="227" t="s">
        <v>286</v>
      </c>
    </row>
    <row r="111" ht="15.75" customHeight="1">
      <c r="K111" s="281"/>
      <c r="M111" s="227" t="s">
        <v>441</v>
      </c>
      <c r="N111" s="227" t="s">
        <v>293</v>
      </c>
      <c r="O111" s="227" t="s">
        <v>286</v>
      </c>
    </row>
    <row r="112" ht="15.75" customHeight="1">
      <c r="K112" s="281"/>
      <c r="M112" s="227" t="s">
        <v>442</v>
      </c>
      <c r="N112" s="227" t="s">
        <v>157</v>
      </c>
      <c r="O112" s="227" t="s">
        <v>286</v>
      </c>
    </row>
    <row r="113" ht="15.75" customHeight="1">
      <c r="K113" s="281"/>
      <c r="M113" s="227" t="s">
        <v>443</v>
      </c>
      <c r="N113" s="227" t="s">
        <v>444</v>
      </c>
      <c r="O113" s="227" t="s">
        <v>296</v>
      </c>
    </row>
    <row r="114" ht="15.75" customHeight="1">
      <c r="K114" s="281"/>
      <c r="M114" s="227" t="s">
        <v>445</v>
      </c>
      <c r="N114" s="227" t="s">
        <v>446</v>
      </c>
      <c r="O114" s="227" t="s">
        <v>296</v>
      </c>
    </row>
    <row r="115" ht="15.75" customHeight="1">
      <c r="K115" s="281"/>
      <c r="M115" s="227" t="s">
        <v>447</v>
      </c>
      <c r="N115" s="227" t="s">
        <v>448</v>
      </c>
      <c r="O115" s="227" t="s">
        <v>286</v>
      </c>
    </row>
    <row r="116" ht="15.75" customHeight="1">
      <c r="K116" s="281"/>
      <c r="M116" s="227" t="s">
        <v>449</v>
      </c>
      <c r="N116" s="227" t="s">
        <v>450</v>
      </c>
      <c r="O116" s="227" t="s">
        <v>296</v>
      </c>
    </row>
    <row r="117" ht="15.75" customHeight="1">
      <c r="K117" s="281"/>
      <c r="M117" s="227" t="s">
        <v>451</v>
      </c>
      <c r="N117" s="227" t="s">
        <v>452</v>
      </c>
      <c r="O117" s="227" t="s">
        <v>296</v>
      </c>
    </row>
    <row r="118" ht="15.75" customHeight="1">
      <c r="K118" s="281"/>
      <c r="M118" s="227" t="s">
        <v>453</v>
      </c>
      <c r="N118" s="227" t="s">
        <v>444</v>
      </c>
      <c r="O118" s="227" t="s">
        <v>296</v>
      </c>
    </row>
    <row r="119" ht="15.75" customHeight="1">
      <c r="K119" s="281"/>
      <c r="M119" s="227" t="s">
        <v>454</v>
      </c>
      <c r="N119" s="227" t="s">
        <v>293</v>
      </c>
      <c r="O119" s="227" t="s">
        <v>286</v>
      </c>
    </row>
    <row r="120" ht="15.75" customHeight="1">
      <c r="K120" s="281"/>
      <c r="M120" s="227" t="s">
        <v>455</v>
      </c>
      <c r="N120" s="227" t="s">
        <v>456</v>
      </c>
      <c r="O120" s="227" t="s">
        <v>296</v>
      </c>
    </row>
    <row r="121" ht="15.75" customHeight="1">
      <c r="K121" s="281"/>
      <c r="M121" s="227" t="s">
        <v>457</v>
      </c>
      <c r="N121" s="227" t="s">
        <v>450</v>
      </c>
      <c r="O121" s="227" t="s">
        <v>286</v>
      </c>
    </row>
    <row r="122" ht="15.75" customHeight="1">
      <c r="K122" s="281"/>
      <c r="M122" s="227" t="s">
        <v>458</v>
      </c>
      <c r="N122" s="227" t="s">
        <v>459</v>
      </c>
      <c r="O122" s="227" t="s">
        <v>286</v>
      </c>
    </row>
    <row r="123" ht="15.75" customHeight="1">
      <c r="K123" s="281"/>
      <c r="M123" s="227" t="s">
        <v>458</v>
      </c>
      <c r="N123" s="227" t="s">
        <v>459</v>
      </c>
      <c r="O123" s="227" t="s">
        <v>286</v>
      </c>
    </row>
    <row r="124" ht="15.75" customHeight="1">
      <c r="K124" s="281"/>
      <c r="M124" s="227" t="s">
        <v>460</v>
      </c>
      <c r="N124" s="227" t="s">
        <v>400</v>
      </c>
      <c r="O124" s="227" t="s">
        <v>296</v>
      </c>
    </row>
    <row r="125" ht="15.75" customHeight="1">
      <c r="K125" s="281"/>
      <c r="M125" s="227" t="s">
        <v>461</v>
      </c>
      <c r="N125" s="227" t="s">
        <v>462</v>
      </c>
      <c r="O125" s="227" t="s">
        <v>296</v>
      </c>
    </row>
    <row r="126" ht="15.75" customHeight="1">
      <c r="K126" s="281"/>
      <c r="M126" s="227" t="s">
        <v>463</v>
      </c>
      <c r="N126" s="227" t="s">
        <v>464</v>
      </c>
      <c r="O126" s="227" t="s">
        <v>296</v>
      </c>
    </row>
    <row r="127" ht="15.75" customHeight="1">
      <c r="K127" s="281"/>
      <c r="M127" s="227" t="s">
        <v>465</v>
      </c>
      <c r="N127" s="227" t="s">
        <v>466</v>
      </c>
      <c r="O127" s="227" t="s">
        <v>296</v>
      </c>
    </row>
    <row r="128" ht="15.75" customHeight="1">
      <c r="K128" s="281"/>
      <c r="M128" s="227" t="s">
        <v>467</v>
      </c>
      <c r="N128" s="227" t="s">
        <v>468</v>
      </c>
      <c r="O128" s="227" t="s">
        <v>296</v>
      </c>
    </row>
    <row r="129" ht="15.75" customHeight="1">
      <c r="K129" s="281"/>
      <c r="M129" s="227" t="s">
        <v>469</v>
      </c>
      <c r="N129" s="227" t="s">
        <v>470</v>
      </c>
      <c r="O129" s="227" t="s">
        <v>296</v>
      </c>
    </row>
    <row r="130" ht="15.75" customHeight="1">
      <c r="K130" s="281"/>
      <c r="M130" s="227" t="s">
        <v>471</v>
      </c>
      <c r="N130" s="227" t="s">
        <v>472</v>
      </c>
      <c r="O130" s="227" t="s">
        <v>296</v>
      </c>
    </row>
    <row r="131" ht="15.75" customHeight="1">
      <c r="K131" s="281"/>
      <c r="M131" s="227" t="s">
        <v>473</v>
      </c>
      <c r="N131" s="227" t="s">
        <v>474</v>
      </c>
      <c r="O131" s="227" t="s">
        <v>296</v>
      </c>
    </row>
    <row r="132" ht="15.75" customHeight="1">
      <c r="K132" s="281"/>
      <c r="M132" s="227" t="s">
        <v>475</v>
      </c>
      <c r="N132" s="227" t="s">
        <v>476</v>
      </c>
      <c r="O132" s="227" t="s">
        <v>296</v>
      </c>
    </row>
    <row r="133" ht="15.75" customHeight="1">
      <c r="K133" s="281"/>
      <c r="M133" s="227" t="s">
        <v>477</v>
      </c>
      <c r="N133" s="227" t="s">
        <v>402</v>
      </c>
      <c r="O133" s="227" t="s">
        <v>296</v>
      </c>
    </row>
    <row r="134" ht="15.75" customHeight="1">
      <c r="K134" s="281"/>
      <c r="M134" s="227" t="s">
        <v>478</v>
      </c>
      <c r="N134" s="227" t="s">
        <v>479</v>
      </c>
      <c r="O134" s="227" t="s">
        <v>296</v>
      </c>
    </row>
    <row r="135" ht="15.75" customHeight="1">
      <c r="K135" s="281"/>
      <c r="M135" s="227" t="s">
        <v>480</v>
      </c>
      <c r="N135" s="227" t="s">
        <v>481</v>
      </c>
      <c r="O135" s="227" t="s">
        <v>296</v>
      </c>
    </row>
    <row r="136" ht="15.75" customHeight="1">
      <c r="K136" s="281"/>
      <c r="M136" s="227" t="s">
        <v>482</v>
      </c>
      <c r="N136" s="227" t="s">
        <v>483</v>
      </c>
      <c r="O136" s="227" t="s">
        <v>296</v>
      </c>
    </row>
    <row r="137" ht="15.75" customHeight="1">
      <c r="K137" s="281"/>
      <c r="M137" s="227" t="s">
        <v>484</v>
      </c>
      <c r="N137" s="227" t="s">
        <v>485</v>
      </c>
      <c r="O137" s="227" t="s">
        <v>296</v>
      </c>
    </row>
    <row r="138" ht="15.75" customHeight="1">
      <c r="K138" s="281"/>
      <c r="M138" s="227" t="s">
        <v>486</v>
      </c>
      <c r="N138" s="227" t="s">
        <v>487</v>
      </c>
      <c r="O138" s="227" t="s">
        <v>296</v>
      </c>
    </row>
    <row r="139" ht="15.75" customHeight="1">
      <c r="K139" s="281"/>
      <c r="M139" s="227" t="s">
        <v>488</v>
      </c>
      <c r="N139" s="227" t="s">
        <v>489</v>
      </c>
      <c r="O139" s="227" t="s">
        <v>296</v>
      </c>
    </row>
    <row r="140" ht="15.75" customHeight="1">
      <c r="K140" s="281"/>
      <c r="M140" s="227" t="s">
        <v>490</v>
      </c>
      <c r="N140" s="227" t="s">
        <v>491</v>
      </c>
      <c r="O140" s="227" t="s">
        <v>296</v>
      </c>
    </row>
    <row r="141" ht="15.75" customHeight="1">
      <c r="K141" s="281"/>
      <c r="M141" s="227" t="s">
        <v>492</v>
      </c>
      <c r="N141" s="227" t="s">
        <v>493</v>
      </c>
      <c r="O141" s="227" t="s">
        <v>296</v>
      </c>
    </row>
    <row r="142" ht="15.75" customHeight="1">
      <c r="K142" s="281"/>
      <c r="M142" s="227" t="s">
        <v>494</v>
      </c>
      <c r="N142" s="227" t="s">
        <v>495</v>
      </c>
      <c r="O142" s="227" t="s">
        <v>296</v>
      </c>
    </row>
    <row r="143" ht="15.75" customHeight="1">
      <c r="K143" s="281"/>
      <c r="M143" s="227" t="s">
        <v>496</v>
      </c>
      <c r="N143" s="227" t="s">
        <v>497</v>
      </c>
      <c r="O143" s="227" t="s">
        <v>296</v>
      </c>
    </row>
    <row r="144" ht="15.75" customHeight="1">
      <c r="K144" s="281"/>
      <c r="M144" s="227" t="s">
        <v>498</v>
      </c>
      <c r="N144" s="227" t="s">
        <v>293</v>
      </c>
      <c r="O144" s="227" t="s">
        <v>286</v>
      </c>
    </row>
    <row r="145" ht="15.75" customHeight="1">
      <c r="K145" s="281"/>
      <c r="M145" s="227" t="s">
        <v>499</v>
      </c>
      <c r="N145" s="227" t="s">
        <v>446</v>
      </c>
      <c r="O145" s="227" t="s">
        <v>296</v>
      </c>
    </row>
    <row r="146" ht="15.75" customHeight="1">
      <c r="K146" s="281"/>
      <c r="M146" s="227" t="s">
        <v>500</v>
      </c>
      <c r="N146" s="227" t="s">
        <v>501</v>
      </c>
      <c r="O146" s="227" t="s">
        <v>296</v>
      </c>
    </row>
    <row r="147" ht="15.75" customHeight="1">
      <c r="K147" s="281"/>
      <c r="M147" s="227" t="s">
        <v>502</v>
      </c>
      <c r="N147" s="227" t="s">
        <v>503</v>
      </c>
      <c r="O147" s="227" t="s">
        <v>296</v>
      </c>
    </row>
    <row r="148" ht="15.75" customHeight="1">
      <c r="K148" s="281"/>
      <c r="M148" s="227" t="s">
        <v>504</v>
      </c>
      <c r="N148" s="227" t="s">
        <v>505</v>
      </c>
      <c r="O148" s="227" t="s">
        <v>286</v>
      </c>
    </row>
    <row r="149" ht="15.75" customHeight="1">
      <c r="K149" s="281"/>
      <c r="M149" s="227" t="s">
        <v>506</v>
      </c>
      <c r="N149" s="227" t="s">
        <v>507</v>
      </c>
      <c r="O149" s="227" t="s">
        <v>296</v>
      </c>
    </row>
    <row r="150" ht="15.75" customHeight="1">
      <c r="K150" s="281"/>
    </row>
    <row r="151" ht="15.75" customHeight="1">
      <c r="K151" s="281"/>
    </row>
    <row r="152" ht="15.75" customHeight="1">
      <c r="K152" s="281"/>
    </row>
    <row r="153" ht="15.75" customHeight="1">
      <c r="K153" s="281"/>
    </row>
    <row r="154" ht="15.75" customHeight="1">
      <c r="K154" s="281"/>
    </row>
    <row r="155" ht="15.75" customHeight="1">
      <c r="K155" s="281"/>
    </row>
    <row r="156" ht="15.75" customHeight="1">
      <c r="K156" s="281"/>
    </row>
    <row r="157" ht="15.75" customHeight="1">
      <c r="K157" s="281"/>
    </row>
    <row r="158" ht="15.75" customHeight="1">
      <c r="K158" s="281"/>
    </row>
    <row r="159" ht="15.75" customHeight="1">
      <c r="K159" s="281"/>
    </row>
    <row r="160" ht="15.75" customHeight="1">
      <c r="K160" s="281"/>
    </row>
    <row r="161" ht="15.75" customHeight="1">
      <c r="K161" s="281"/>
    </row>
    <row r="162" ht="15.75" customHeight="1">
      <c r="K162" s="281"/>
    </row>
    <row r="163" ht="15.75" customHeight="1">
      <c r="K163" s="281"/>
    </row>
    <row r="164" ht="15.75" customHeight="1">
      <c r="K164" s="281"/>
    </row>
    <row r="165" ht="15.75" customHeight="1">
      <c r="K165" s="281"/>
    </row>
    <row r="166" ht="15.75" customHeight="1">
      <c r="K166" s="281"/>
    </row>
    <row r="167" ht="15.75" customHeight="1">
      <c r="K167" s="281"/>
    </row>
    <row r="168" ht="15.75" customHeight="1">
      <c r="K168" s="281"/>
    </row>
    <row r="169" ht="15.75" customHeight="1">
      <c r="K169" s="281"/>
    </row>
    <row r="170" ht="15.75" customHeight="1">
      <c r="K170" s="281"/>
    </row>
    <row r="171" ht="15.75" customHeight="1">
      <c r="K171" s="281"/>
    </row>
    <row r="172" ht="15.75" customHeight="1">
      <c r="K172" s="281"/>
    </row>
    <row r="173" ht="15.75" customHeight="1">
      <c r="K173" s="281"/>
    </row>
    <row r="174" ht="15.75" customHeight="1">
      <c r="K174" s="281"/>
    </row>
    <row r="175" ht="15.75" customHeight="1">
      <c r="K175" s="281"/>
    </row>
    <row r="176" ht="15.75" customHeight="1">
      <c r="K176" s="281"/>
    </row>
    <row r="177" ht="15.75" customHeight="1">
      <c r="K177" s="281"/>
    </row>
    <row r="178" ht="15.75" customHeight="1">
      <c r="K178" s="281"/>
    </row>
    <row r="179" ht="15.75" customHeight="1">
      <c r="K179" s="281"/>
    </row>
    <row r="180" ht="15.75" customHeight="1">
      <c r="K180" s="281"/>
    </row>
    <row r="181" ht="15.75" customHeight="1">
      <c r="K181" s="281"/>
    </row>
    <row r="182" ht="15.75" customHeight="1">
      <c r="K182" s="281"/>
    </row>
    <row r="183" ht="15.75" customHeight="1">
      <c r="K183" s="281"/>
    </row>
    <row r="184" ht="15.75" customHeight="1">
      <c r="K184" s="281"/>
    </row>
    <row r="185" ht="15.75" customHeight="1">
      <c r="K185" s="281"/>
    </row>
    <row r="186" ht="15.75" customHeight="1">
      <c r="K186" s="281"/>
    </row>
    <row r="187" ht="15.75" customHeight="1">
      <c r="K187" s="281"/>
    </row>
    <row r="188" ht="15.75" customHeight="1">
      <c r="K188" s="281"/>
    </row>
    <row r="189" ht="15.75" customHeight="1">
      <c r="K189" s="281"/>
    </row>
    <row r="190" ht="15.75" customHeight="1">
      <c r="K190" s="281"/>
    </row>
    <row r="191" ht="15.75" customHeight="1">
      <c r="K191" s="281"/>
    </row>
    <row r="192" ht="15.75" customHeight="1">
      <c r="K192" s="281"/>
    </row>
    <row r="193" ht="15.75" customHeight="1">
      <c r="K193" s="281"/>
    </row>
    <row r="194" ht="15.75" customHeight="1">
      <c r="K194" s="281"/>
    </row>
    <row r="195" ht="15.75" customHeight="1">
      <c r="K195" s="281"/>
    </row>
    <row r="196" ht="15.75" customHeight="1">
      <c r="K196" s="281"/>
    </row>
    <row r="197" ht="15.75" customHeight="1">
      <c r="K197" s="281"/>
    </row>
    <row r="198" ht="15.75" customHeight="1">
      <c r="K198" s="281"/>
    </row>
    <row r="199" ht="15.75" customHeight="1">
      <c r="K199" s="281"/>
    </row>
    <row r="200" ht="15.75" customHeight="1">
      <c r="K200" s="281"/>
    </row>
    <row r="201" ht="15.75" customHeight="1">
      <c r="K201" s="281"/>
    </row>
    <row r="202" ht="15.75" customHeight="1">
      <c r="K202" s="281"/>
    </row>
    <row r="203" ht="15.75" customHeight="1">
      <c r="K203" s="281"/>
    </row>
    <row r="204" ht="15.75" customHeight="1">
      <c r="K204" s="281"/>
    </row>
    <row r="205" ht="15.75" customHeight="1">
      <c r="K205" s="281"/>
    </row>
    <row r="206" ht="15.75" customHeight="1">
      <c r="K206" s="281"/>
    </row>
    <row r="207" ht="15.75" customHeight="1">
      <c r="K207" s="281"/>
    </row>
    <row r="208" ht="15.75" customHeight="1">
      <c r="K208" s="281"/>
    </row>
    <row r="209" ht="15.75" customHeight="1">
      <c r="K209" s="281"/>
    </row>
    <row r="210" ht="15.75" customHeight="1">
      <c r="K210" s="281"/>
    </row>
    <row r="211" ht="15.75" customHeight="1">
      <c r="K211" s="281"/>
    </row>
    <row r="212" ht="15.75" customHeight="1">
      <c r="K212" s="281"/>
    </row>
    <row r="213" ht="15.75" customHeight="1">
      <c r="K213" s="281"/>
    </row>
    <row r="214" ht="15.75" customHeight="1">
      <c r="K214" s="281"/>
    </row>
    <row r="215" ht="15.75" customHeight="1">
      <c r="K215" s="281"/>
    </row>
    <row r="216" ht="15.75" customHeight="1">
      <c r="K216" s="281"/>
    </row>
    <row r="217" ht="15.75" customHeight="1">
      <c r="K217" s="281"/>
    </row>
    <row r="218" ht="15.75" customHeight="1">
      <c r="K218" s="281"/>
    </row>
    <row r="219" ht="15.75" customHeight="1">
      <c r="K219" s="281"/>
    </row>
    <row r="220" ht="15.75" customHeight="1">
      <c r="K220" s="281"/>
    </row>
    <row r="221" ht="15.75" customHeight="1">
      <c r="K221" s="281"/>
    </row>
    <row r="222" ht="15.75" customHeight="1">
      <c r="K222" s="281"/>
    </row>
    <row r="223" ht="15.75" customHeight="1">
      <c r="K223" s="281"/>
    </row>
    <row r="224" ht="15.75" customHeight="1">
      <c r="K224" s="281"/>
    </row>
    <row r="225" ht="15.75" customHeight="1">
      <c r="K225" s="281"/>
    </row>
    <row r="226" ht="15.75" customHeight="1">
      <c r="K226" s="281"/>
    </row>
    <row r="227" ht="15.75" customHeight="1">
      <c r="K227" s="281"/>
    </row>
    <row r="228" ht="15.75" customHeight="1">
      <c r="K228" s="281"/>
    </row>
    <row r="229" ht="15.75" customHeight="1">
      <c r="K229" s="281"/>
    </row>
    <row r="230" ht="15.75" customHeight="1">
      <c r="K230" s="281"/>
    </row>
    <row r="231" ht="15.75" customHeight="1">
      <c r="K231" s="281"/>
    </row>
    <row r="232" ht="15.75" customHeight="1">
      <c r="K232" s="281"/>
    </row>
    <row r="233" ht="15.75" customHeight="1">
      <c r="K233" s="281"/>
    </row>
    <row r="234" ht="15.75" customHeight="1">
      <c r="K234" s="281"/>
    </row>
    <row r="235" ht="15.75" customHeight="1">
      <c r="K235" s="281"/>
    </row>
    <row r="236" ht="15.75" customHeight="1">
      <c r="K236" s="281"/>
    </row>
    <row r="237" ht="15.75" customHeight="1">
      <c r="K237" s="281"/>
    </row>
    <row r="238" ht="15.75" customHeight="1">
      <c r="K238" s="281"/>
    </row>
    <row r="239" ht="15.75" customHeight="1">
      <c r="K239" s="281"/>
    </row>
    <row r="240" ht="15.75" customHeight="1">
      <c r="K240" s="281"/>
    </row>
    <row r="241" ht="15.75" customHeight="1">
      <c r="K241" s="281"/>
    </row>
    <row r="242" ht="15.75" customHeight="1">
      <c r="K242" s="281"/>
    </row>
    <row r="243" ht="15.75" customHeight="1">
      <c r="K243" s="281"/>
    </row>
    <row r="244" ht="15.75" customHeight="1">
      <c r="K244" s="281"/>
    </row>
    <row r="245" ht="15.75" customHeight="1">
      <c r="K245" s="281"/>
    </row>
    <row r="246" ht="15.75" customHeight="1">
      <c r="K246" s="281"/>
    </row>
    <row r="247" ht="15.75" customHeight="1">
      <c r="K247" s="281"/>
    </row>
    <row r="248" ht="15.75" customHeight="1">
      <c r="K248" s="281"/>
    </row>
    <row r="249" ht="15.75" customHeight="1">
      <c r="K249" s="281"/>
    </row>
    <row r="250" ht="15.75" customHeight="1">
      <c r="K250" s="281"/>
    </row>
    <row r="251" ht="15.75" customHeight="1">
      <c r="K251" s="281"/>
    </row>
    <row r="252" ht="15.75" customHeight="1">
      <c r="K252" s="281"/>
    </row>
    <row r="253" ht="15.75" customHeight="1">
      <c r="K253" s="281"/>
    </row>
    <row r="254" ht="15.75" customHeight="1">
      <c r="K254" s="281"/>
    </row>
    <row r="255" ht="15.75" customHeight="1">
      <c r="K255" s="281"/>
    </row>
    <row r="256" ht="15.75" customHeight="1">
      <c r="K256" s="281"/>
    </row>
    <row r="257" ht="15.75" customHeight="1">
      <c r="K257" s="281"/>
    </row>
    <row r="258" ht="15.75" customHeight="1">
      <c r="K258" s="281"/>
    </row>
    <row r="259" ht="15.75" customHeight="1">
      <c r="K259" s="281"/>
    </row>
    <row r="260" ht="15.75" customHeight="1">
      <c r="K260" s="281"/>
    </row>
    <row r="261" ht="15.75" customHeight="1">
      <c r="K261" s="281"/>
    </row>
    <row r="262" ht="15.75" customHeight="1">
      <c r="K262" s="281"/>
    </row>
    <row r="263" ht="15.75" customHeight="1">
      <c r="K263" s="281"/>
    </row>
    <row r="264" ht="15.75" customHeight="1">
      <c r="K264" s="281"/>
    </row>
    <row r="265" ht="15.75" customHeight="1">
      <c r="K265" s="281"/>
    </row>
    <row r="266" ht="15.75" customHeight="1">
      <c r="K266" s="281"/>
    </row>
    <row r="267" ht="15.75" customHeight="1">
      <c r="K267" s="281"/>
    </row>
    <row r="268" ht="15.75" customHeight="1">
      <c r="K268" s="281"/>
    </row>
    <row r="269" ht="15.75" customHeight="1">
      <c r="K269" s="281"/>
    </row>
    <row r="270" ht="15.75" customHeight="1">
      <c r="K270" s="281"/>
    </row>
    <row r="271" ht="15.75" customHeight="1">
      <c r="K271" s="281"/>
    </row>
    <row r="272" ht="15.75" customHeight="1">
      <c r="K272" s="281"/>
    </row>
    <row r="273" ht="15.75" customHeight="1">
      <c r="K273" s="281"/>
    </row>
    <row r="274" ht="15.75" customHeight="1">
      <c r="K274" s="281"/>
    </row>
    <row r="275" ht="15.75" customHeight="1">
      <c r="K275" s="281"/>
    </row>
    <row r="276" ht="15.75" customHeight="1">
      <c r="K276" s="281"/>
    </row>
    <row r="277" ht="15.75" customHeight="1">
      <c r="K277" s="281"/>
    </row>
    <row r="278" ht="15.75" customHeight="1">
      <c r="K278" s="281"/>
    </row>
    <row r="279" ht="15.75" customHeight="1">
      <c r="K279" s="281"/>
    </row>
    <row r="280" ht="15.75" customHeight="1">
      <c r="K280" s="281"/>
    </row>
    <row r="281" ht="15.75" customHeight="1">
      <c r="K281" s="281"/>
    </row>
    <row r="282" ht="15.75" customHeight="1">
      <c r="K282" s="281"/>
    </row>
    <row r="283" ht="15.75" customHeight="1">
      <c r="K283" s="281"/>
    </row>
    <row r="284" ht="15.75" customHeight="1">
      <c r="K284" s="281"/>
    </row>
    <row r="285" ht="15.75" customHeight="1">
      <c r="K285" s="281"/>
    </row>
    <row r="286" ht="15.75" customHeight="1">
      <c r="K286" s="281"/>
    </row>
    <row r="287" ht="15.75" customHeight="1">
      <c r="K287" s="281"/>
    </row>
    <row r="288" ht="15.75" customHeight="1">
      <c r="K288" s="281"/>
    </row>
    <row r="289" ht="15.75" customHeight="1">
      <c r="K289" s="281"/>
    </row>
    <row r="290" ht="15.75" customHeight="1">
      <c r="K290" s="281"/>
    </row>
    <row r="291" ht="15.75" customHeight="1">
      <c r="K291" s="281"/>
    </row>
    <row r="292" ht="15.75" customHeight="1">
      <c r="K292" s="281"/>
    </row>
    <row r="293" ht="15.75" customHeight="1">
      <c r="K293" s="281"/>
    </row>
    <row r="294" ht="15.75" customHeight="1">
      <c r="K294" s="281"/>
    </row>
    <row r="295" ht="15.75" customHeight="1">
      <c r="K295" s="281"/>
    </row>
    <row r="296" ht="15.75" customHeight="1">
      <c r="K296" s="281"/>
    </row>
    <row r="297" ht="15.75" customHeight="1">
      <c r="K297" s="281"/>
    </row>
    <row r="298" ht="15.75" customHeight="1">
      <c r="K298" s="281"/>
    </row>
    <row r="299" ht="15.75" customHeight="1">
      <c r="K299" s="281"/>
    </row>
    <row r="300" ht="15.75" customHeight="1">
      <c r="K300" s="281"/>
    </row>
    <row r="301" ht="15.75" customHeight="1">
      <c r="K301" s="281"/>
    </row>
    <row r="302" ht="15.75" customHeight="1">
      <c r="K302" s="281"/>
    </row>
    <row r="303" ht="15.75" customHeight="1">
      <c r="K303" s="281"/>
    </row>
    <row r="304" ht="15.75" customHeight="1">
      <c r="K304" s="281"/>
    </row>
    <row r="305" ht="15.75" customHeight="1">
      <c r="K305" s="281"/>
    </row>
    <row r="306" ht="15.75" customHeight="1">
      <c r="K306" s="281"/>
    </row>
    <row r="307" ht="15.75" customHeight="1">
      <c r="K307" s="281"/>
    </row>
    <row r="308" ht="15.75" customHeight="1">
      <c r="K308" s="281"/>
    </row>
    <row r="309" ht="15.75" customHeight="1">
      <c r="K309" s="281"/>
    </row>
    <row r="310" ht="15.75" customHeight="1">
      <c r="K310" s="281"/>
    </row>
    <row r="311" ht="15.75" customHeight="1">
      <c r="K311" s="281"/>
    </row>
    <row r="312" ht="15.75" customHeight="1">
      <c r="K312" s="281"/>
    </row>
    <row r="313" ht="15.75" customHeight="1">
      <c r="K313" s="281"/>
    </row>
    <row r="314" ht="15.75" customHeight="1">
      <c r="K314" s="281"/>
    </row>
    <row r="315" ht="15.75" customHeight="1">
      <c r="K315" s="281"/>
    </row>
    <row r="316" ht="15.75" customHeight="1">
      <c r="K316" s="281"/>
    </row>
    <row r="317" ht="15.75" customHeight="1">
      <c r="K317" s="281"/>
    </row>
    <row r="318" ht="15.75" customHeight="1">
      <c r="K318" s="281"/>
    </row>
    <row r="319" ht="15.75" customHeight="1">
      <c r="K319" s="281"/>
    </row>
    <row r="320" ht="15.75" customHeight="1">
      <c r="K320" s="281"/>
    </row>
    <row r="321" ht="15.75" customHeight="1">
      <c r="K321" s="281"/>
    </row>
    <row r="322" ht="15.75" customHeight="1">
      <c r="K322" s="281"/>
    </row>
    <row r="323" ht="15.75" customHeight="1">
      <c r="K323" s="281"/>
    </row>
    <row r="324" ht="15.75" customHeight="1">
      <c r="K324" s="281"/>
    </row>
    <row r="325" ht="15.75" customHeight="1">
      <c r="K325" s="281"/>
    </row>
    <row r="326" ht="15.75" customHeight="1">
      <c r="K326" s="281"/>
    </row>
    <row r="327" ht="15.75" customHeight="1">
      <c r="K327" s="281"/>
    </row>
    <row r="328" ht="15.75" customHeight="1">
      <c r="K328" s="281"/>
    </row>
    <row r="329" ht="15.75" customHeight="1">
      <c r="K329" s="281"/>
    </row>
    <row r="330" ht="15.75" customHeight="1">
      <c r="K330" s="281"/>
    </row>
    <row r="331" ht="15.75" customHeight="1">
      <c r="K331" s="281"/>
    </row>
    <row r="332" ht="15.75" customHeight="1">
      <c r="K332" s="281"/>
    </row>
    <row r="333" ht="15.75" customHeight="1">
      <c r="K333" s="281"/>
    </row>
    <row r="334" ht="15.75" customHeight="1">
      <c r="K334" s="281"/>
    </row>
    <row r="335" ht="15.75" customHeight="1">
      <c r="K335" s="281"/>
    </row>
    <row r="336" ht="15.75" customHeight="1">
      <c r="K336" s="281"/>
    </row>
    <row r="337" ht="15.75" customHeight="1">
      <c r="K337" s="281"/>
    </row>
    <row r="338" ht="15.75" customHeight="1">
      <c r="K338" s="281"/>
    </row>
    <row r="339" ht="15.75" customHeight="1">
      <c r="K339" s="281"/>
    </row>
    <row r="340" ht="15.75" customHeight="1">
      <c r="K340" s="281"/>
    </row>
    <row r="341" ht="15.75" customHeight="1">
      <c r="K341" s="281"/>
    </row>
    <row r="342" ht="15.75" customHeight="1">
      <c r="K342" s="281"/>
    </row>
    <row r="343" ht="15.75" customHeight="1">
      <c r="K343" s="281"/>
    </row>
    <row r="344" ht="15.75" customHeight="1">
      <c r="K344" s="281"/>
    </row>
    <row r="345" ht="15.75" customHeight="1">
      <c r="K345" s="281"/>
    </row>
    <row r="346" ht="15.75" customHeight="1">
      <c r="K346" s="281"/>
    </row>
    <row r="347" ht="15.75" customHeight="1">
      <c r="K347" s="281"/>
    </row>
    <row r="348" ht="15.75" customHeight="1">
      <c r="K348" s="281"/>
    </row>
    <row r="349" ht="15.75" customHeight="1">
      <c r="K349" s="281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8.0" topLeftCell="F9" activePane="bottomRight" state="frozen"/>
      <selection activeCell="F1" sqref="F1" pane="topRight"/>
      <selection activeCell="A9" sqref="A9" pane="bottomLeft"/>
      <selection activeCell="F9" sqref="F9" pane="bottomRight"/>
    </sheetView>
  </sheetViews>
  <sheetFormatPr customHeight="1" defaultColWidth="14.43" defaultRowHeight="15.0"/>
  <cols>
    <col customWidth="1" min="1" max="1" width="5.29"/>
    <col customWidth="1" min="2" max="2" width="12.0"/>
    <col customWidth="1" min="3" max="4" width="13.57"/>
    <col customWidth="1" min="5" max="5" width="30.86"/>
    <col customWidth="1" min="6" max="6" width="8.0"/>
    <col customWidth="1" min="7" max="7" width="43.14"/>
    <col customWidth="1" min="8" max="30" width="16.71"/>
    <col customWidth="1" min="31" max="32" width="15.14"/>
    <col customWidth="1" min="33" max="33" width="16.71"/>
  </cols>
  <sheetData>
    <row r="1">
      <c r="A1" s="1" t="s">
        <v>508</v>
      </c>
      <c r="C1" s="4"/>
      <c r="D1" s="4"/>
      <c r="F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9" t="s">
        <v>509</v>
      </c>
      <c r="C2" s="4"/>
      <c r="D2" s="4"/>
      <c r="F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10"/>
      <c r="C3" s="4"/>
      <c r="D3" s="4"/>
      <c r="F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283" t="s">
        <v>510</v>
      </c>
      <c r="C4" s="4"/>
      <c r="D4" s="4"/>
      <c r="F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>
      <c r="A5" s="227" t="s">
        <v>511</v>
      </c>
      <c r="C5" s="4"/>
      <c r="D5" s="4"/>
      <c r="F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4.25" customHeight="1">
      <c r="A6" s="13" t="s">
        <v>5</v>
      </c>
      <c r="B6" s="13" t="s">
        <v>6</v>
      </c>
      <c r="C6" s="284" t="s">
        <v>7</v>
      </c>
      <c r="D6" s="16"/>
      <c r="E6" s="13" t="s">
        <v>8</v>
      </c>
      <c r="F6" s="13" t="s">
        <v>9</v>
      </c>
      <c r="G6" s="13" t="s">
        <v>10</v>
      </c>
      <c r="H6" s="17" t="s">
        <v>11</v>
      </c>
      <c r="I6" s="17" t="s">
        <v>12</v>
      </c>
      <c r="J6" s="18" t="s">
        <v>512</v>
      </c>
      <c r="K6" s="18" t="s">
        <v>513</v>
      </c>
      <c r="L6" s="18" t="s">
        <v>513</v>
      </c>
      <c r="M6" s="18" t="s">
        <v>513</v>
      </c>
      <c r="N6" s="18" t="s">
        <v>514</v>
      </c>
      <c r="O6" s="18" t="s">
        <v>514</v>
      </c>
      <c r="P6" s="18" t="s">
        <v>514</v>
      </c>
      <c r="Q6" s="18" t="s">
        <v>515</v>
      </c>
      <c r="R6" s="18" t="s">
        <v>515</v>
      </c>
      <c r="S6" s="18" t="s">
        <v>515</v>
      </c>
      <c r="T6" s="18" t="s">
        <v>516</v>
      </c>
      <c r="U6" s="18" t="s">
        <v>516</v>
      </c>
      <c r="V6" s="18" t="s">
        <v>516</v>
      </c>
      <c r="W6" s="18" t="s">
        <v>517</v>
      </c>
      <c r="X6" s="18" t="s">
        <v>517</v>
      </c>
      <c r="Y6" s="18" t="s">
        <v>517</v>
      </c>
      <c r="Z6" s="18" t="s">
        <v>518</v>
      </c>
      <c r="AA6" s="18" t="s">
        <v>518</v>
      </c>
      <c r="AB6" s="18" t="s">
        <v>518</v>
      </c>
      <c r="AC6" s="18" t="s">
        <v>22</v>
      </c>
      <c r="AD6" s="18" t="s">
        <v>519</v>
      </c>
      <c r="AE6" s="33" t="s">
        <v>26</v>
      </c>
      <c r="AF6" s="26"/>
      <c r="AG6" s="18" t="s">
        <v>520</v>
      </c>
    </row>
    <row r="7" ht="14.25" customHeight="1">
      <c r="A7" s="37"/>
      <c r="B7" s="37"/>
      <c r="C7" s="37"/>
      <c r="D7" s="38"/>
      <c r="E7" s="37"/>
      <c r="F7" s="37"/>
      <c r="G7" s="37"/>
      <c r="H7" s="37"/>
      <c r="I7" s="37"/>
      <c r="J7" s="37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37"/>
      <c r="AE7" s="55" t="s">
        <v>33</v>
      </c>
      <c r="AF7" s="55" t="s">
        <v>34</v>
      </c>
      <c r="AG7" s="37"/>
    </row>
    <row r="8">
      <c r="A8" s="58"/>
      <c r="B8" s="58"/>
      <c r="C8" s="58"/>
      <c r="D8" s="59"/>
      <c r="E8" s="58"/>
      <c r="F8" s="58"/>
      <c r="G8" s="58"/>
      <c r="H8" s="58"/>
      <c r="I8" s="58"/>
      <c r="J8" s="58"/>
      <c r="K8" s="285" t="s">
        <v>521</v>
      </c>
      <c r="L8" s="285" t="s">
        <v>522</v>
      </c>
      <c r="M8" s="285" t="s">
        <v>523</v>
      </c>
      <c r="N8" s="285" t="s">
        <v>521</v>
      </c>
      <c r="O8" s="285" t="s">
        <v>524</v>
      </c>
      <c r="P8" s="285" t="s">
        <v>525</v>
      </c>
      <c r="Q8" s="285" t="s">
        <v>521</v>
      </c>
      <c r="R8" s="285" t="s">
        <v>522</v>
      </c>
      <c r="S8" s="285" t="s">
        <v>523</v>
      </c>
      <c r="T8" s="285" t="s">
        <v>521</v>
      </c>
      <c r="U8" s="285" t="s">
        <v>526</v>
      </c>
      <c r="V8" s="285" t="s">
        <v>526</v>
      </c>
      <c r="W8" s="285" t="s">
        <v>521</v>
      </c>
      <c r="X8" s="285" t="s">
        <v>522</v>
      </c>
      <c r="Y8" s="285" t="s">
        <v>522</v>
      </c>
      <c r="Z8" s="285" t="s">
        <v>521</v>
      </c>
      <c r="AA8" s="285" t="s">
        <v>526</v>
      </c>
      <c r="AB8" s="285" t="s">
        <v>526</v>
      </c>
      <c r="AC8" s="285" t="s">
        <v>527</v>
      </c>
      <c r="AD8" s="58"/>
      <c r="AE8" s="68">
        <v>0.02</v>
      </c>
      <c r="AF8" s="68">
        <v>0.01</v>
      </c>
      <c r="AG8" s="58"/>
    </row>
    <row r="9" ht="18.0" customHeight="1">
      <c r="A9" s="71" t="s">
        <v>44</v>
      </c>
      <c r="B9" s="74">
        <v>2.0</v>
      </c>
      <c r="C9" s="74">
        <v>3.0</v>
      </c>
      <c r="D9" s="71" t="s">
        <v>45</v>
      </c>
      <c r="E9" s="74">
        <v>5.0</v>
      </c>
      <c r="F9" s="74">
        <v>6.0</v>
      </c>
      <c r="G9" s="74">
        <v>7.0</v>
      </c>
      <c r="H9" s="71" t="s">
        <v>46</v>
      </c>
      <c r="I9" s="74"/>
      <c r="J9" s="71" t="s">
        <v>528</v>
      </c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74" t="s">
        <v>72</v>
      </c>
      <c r="AF9" s="74" t="s">
        <v>73</v>
      </c>
      <c r="AG9" s="286"/>
    </row>
    <row r="10">
      <c r="A10" s="83">
        <f t="shared" ref="A10:A21" si="1">IF(B10="","",COUNTA($B$10:B10))</f>
        <v>1</v>
      </c>
      <c r="B10" s="287" t="str">
        <f>'MASTER DATA '!B10</f>
        <v>2026-01-0009</v>
      </c>
      <c r="C10" s="288">
        <f>'MASTER DATA '!C10</f>
        <v>46036</v>
      </c>
      <c r="D10" s="288" t="str">
        <f>'MASTER DATA '!D10</f>
        <v/>
      </c>
      <c r="E10" s="103" t="str">
        <f>'MASTER DATA '!E10</f>
        <v>ALBOROTO, JANET P.</v>
      </c>
      <c r="F10" s="289" t="str">
        <f>'MASTER DATA '!F10</f>
        <v>GH</v>
      </c>
      <c r="G10" s="103" t="str">
        <f>'MASTER DATA '!G10</f>
        <v>Administrative Asst. III</v>
      </c>
      <c r="H10" s="290">
        <f>'MASTER DATA '!H10</f>
        <v>9</v>
      </c>
      <c r="I10" s="291" t="str">
        <f>'MASTER DATA '!I10</f>
        <v>REVOLVING FUND</v>
      </c>
      <c r="J10" s="292" t="str">
        <f>'MASTER DATA '!J10</f>
        <v>ok</v>
      </c>
      <c r="K10" s="85"/>
      <c r="L10" s="85"/>
      <c r="M10" s="85">
        <f t="shared" ref="M10:M21" si="2">SUM(K10:L10)</f>
        <v>0</v>
      </c>
      <c r="N10" s="85"/>
      <c r="O10" s="85"/>
      <c r="P10" s="85">
        <f t="shared" ref="P10:P21" si="3">SUM(N10:O10)</f>
        <v>0</v>
      </c>
      <c r="Q10" s="85"/>
      <c r="R10" s="85"/>
      <c r="S10" s="85">
        <f t="shared" ref="S10:S21" si="4">SUM(Q10:R10)</f>
        <v>0</v>
      </c>
      <c r="T10" s="85"/>
      <c r="U10" s="85"/>
      <c r="V10" s="85">
        <f t="shared" ref="V10:V21" si="5">SUM(T10:U10)</f>
        <v>0</v>
      </c>
      <c r="W10" s="85"/>
      <c r="X10" s="85"/>
      <c r="Y10" s="85">
        <f t="shared" ref="Y10:Y21" si="6">SUM(W10:X10)</f>
        <v>0</v>
      </c>
      <c r="Z10" s="85"/>
      <c r="AA10" s="85"/>
      <c r="AB10" s="85">
        <f t="shared" ref="AB10:AB21" si="7">SUM(Z10:AA10)</f>
        <v>0</v>
      </c>
      <c r="AC10" s="85">
        <f t="shared" ref="AC10:AC21" si="8">M10+P10+S10+V10+Y10+AB10</f>
        <v>0</v>
      </c>
      <c r="AD10" s="85">
        <f t="shared" ref="AD10:AD21" si="9">AC10*0.2</f>
        <v>0</v>
      </c>
      <c r="AE10" s="88"/>
      <c r="AF10" s="88">
        <f t="shared" ref="AF10:AF21" si="10">ROUND((AD10*$AF$8),2)</f>
        <v>0</v>
      </c>
      <c r="AG10" s="85">
        <f t="shared" ref="AG10:AG22" si="11">AD10-AE10-AF10</f>
        <v>0</v>
      </c>
    </row>
    <row r="11">
      <c r="A11" s="83">
        <f t="shared" si="1"/>
        <v>2</v>
      </c>
      <c r="B11" s="287" t="str">
        <f>'MASTER DATA '!B11</f>
        <v>2026-01-0010</v>
      </c>
      <c r="C11" s="288">
        <f>'MASTER DATA '!C11</f>
        <v>46036</v>
      </c>
      <c r="D11" s="288" t="str">
        <f>'MASTER DATA '!D11</f>
        <v/>
      </c>
      <c r="E11" s="103" t="str">
        <f>'MASTER DATA '!E11</f>
        <v>ARENAS, DIANA ROSE A.</v>
      </c>
      <c r="F11" s="289" t="str">
        <f>'MASTER DATA '!F11</f>
        <v>GH</v>
      </c>
      <c r="G11" s="103" t="str">
        <f>'MASTER DATA '!G11</f>
        <v> Administrative Asst. IV (Dormitory Assistant)</v>
      </c>
      <c r="H11" s="290">
        <f>'MASTER DATA '!H11</f>
        <v>10</v>
      </c>
      <c r="I11" s="291" t="str">
        <f>'MASTER DATA '!I11</f>
        <v>REVOLVING FUND</v>
      </c>
      <c r="J11" s="292" t="str">
        <f>'MASTER DATA '!J11</f>
        <v>ok</v>
      </c>
      <c r="K11" s="85"/>
      <c r="L11" s="85"/>
      <c r="M11" s="85">
        <f t="shared" si="2"/>
        <v>0</v>
      </c>
      <c r="N11" s="85"/>
      <c r="O11" s="85"/>
      <c r="P11" s="85">
        <f t="shared" si="3"/>
        <v>0</v>
      </c>
      <c r="Q11" s="85"/>
      <c r="R11" s="85"/>
      <c r="S11" s="85">
        <f t="shared" si="4"/>
        <v>0</v>
      </c>
      <c r="T11" s="85"/>
      <c r="U11" s="85"/>
      <c r="V11" s="85">
        <f t="shared" si="5"/>
        <v>0</v>
      </c>
      <c r="W11" s="85"/>
      <c r="X11" s="85"/>
      <c r="Y11" s="85">
        <f t="shared" si="6"/>
        <v>0</v>
      </c>
      <c r="Z11" s="85"/>
      <c r="AA11" s="85"/>
      <c r="AB11" s="85">
        <f t="shared" si="7"/>
        <v>0</v>
      </c>
      <c r="AC11" s="85">
        <f t="shared" si="8"/>
        <v>0</v>
      </c>
      <c r="AD11" s="85">
        <f t="shared" si="9"/>
        <v>0</v>
      </c>
      <c r="AE11" s="88"/>
      <c r="AF11" s="88">
        <f t="shared" si="10"/>
        <v>0</v>
      </c>
      <c r="AG11" s="85">
        <f t="shared" si="11"/>
        <v>0</v>
      </c>
    </row>
    <row r="12">
      <c r="A12" s="83" t="str">
        <f t="shared" si="1"/>
        <v/>
      </c>
      <c r="B12" s="287" t="str">
        <f>'MASTER DATA '!B12</f>
        <v/>
      </c>
      <c r="C12" s="288" t="str">
        <f>'MASTER DATA '!C12</f>
        <v/>
      </c>
      <c r="D12" s="288" t="str">
        <f>'MASTER DATA '!D12</f>
        <v/>
      </c>
      <c r="E12" s="103" t="str">
        <f>'MASTER DATA '!E13</f>
        <v>CANNU JR, ALFREDO O.</v>
      </c>
      <c r="F12" s="289" t="str">
        <f>'MASTER DATA '!F12</f>
        <v>GH</v>
      </c>
      <c r="G12" s="103" t="str">
        <f>'MASTER DATA '!G12</f>
        <v>Administrative Asst. III</v>
      </c>
      <c r="H12" s="290">
        <f>'MASTER DATA '!H12</f>
        <v>9</v>
      </c>
      <c r="I12" s="291" t="str">
        <f>'MASTER DATA '!I12</f>
        <v>REVOLVING FUND</v>
      </c>
      <c r="J12" s="292" t="str">
        <f>'MASTER DATA '!J12</f>
        <v>ok</v>
      </c>
      <c r="K12" s="85"/>
      <c r="L12" s="85"/>
      <c r="M12" s="85">
        <f t="shared" si="2"/>
        <v>0</v>
      </c>
      <c r="N12" s="85"/>
      <c r="O12" s="85"/>
      <c r="P12" s="85">
        <f t="shared" si="3"/>
        <v>0</v>
      </c>
      <c r="Q12" s="85"/>
      <c r="R12" s="85"/>
      <c r="S12" s="85">
        <f t="shared" si="4"/>
        <v>0</v>
      </c>
      <c r="T12" s="85"/>
      <c r="U12" s="85"/>
      <c r="V12" s="85">
        <f t="shared" si="5"/>
        <v>0</v>
      </c>
      <c r="W12" s="85"/>
      <c r="X12" s="85"/>
      <c r="Y12" s="85">
        <f t="shared" si="6"/>
        <v>0</v>
      </c>
      <c r="Z12" s="85"/>
      <c r="AA12" s="85"/>
      <c r="AB12" s="85">
        <f t="shared" si="7"/>
        <v>0</v>
      </c>
      <c r="AC12" s="85">
        <f t="shared" si="8"/>
        <v>0</v>
      </c>
      <c r="AD12" s="85">
        <f t="shared" si="9"/>
        <v>0</v>
      </c>
      <c r="AE12" s="88"/>
      <c r="AF12" s="88">
        <f t="shared" si="10"/>
        <v>0</v>
      </c>
      <c r="AG12" s="85">
        <f t="shared" si="11"/>
        <v>0</v>
      </c>
    </row>
    <row r="13">
      <c r="A13" s="83">
        <f t="shared" si="1"/>
        <v>3</v>
      </c>
      <c r="B13" s="287" t="str">
        <f>'MASTER DATA '!B13</f>
        <v>2026-01-0002</v>
      </c>
      <c r="C13" s="288">
        <f>'MASTER DATA '!C13</f>
        <v>46036</v>
      </c>
      <c r="D13" s="288" t="str">
        <f>'MASTER DATA '!D13</f>
        <v/>
      </c>
      <c r="E13" s="103" t="str">
        <f>'MASTER DATA '!E14</f>
        <v>CELOCIA, MERLITA O.</v>
      </c>
      <c r="F13" s="289" t="str">
        <f>'MASTER DATA '!F13</f>
        <v>GH</v>
      </c>
      <c r="G13" s="103" t="str">
        <f>'MASTER DATA '!G13</f>
        <v>Administrative Asst. III (Housekeeping Attendant)</v>
      </c>
      <c r="H13" s="290">
        <f>'MASTER DATA '!H13</f>
        <v>9</v>
      </c>
      <c r="I13" s="291" t="str">
        <f>'MASTER DATA '!I13</f>
        <v>REVOLVING FUND</v>
      </c>
      <c r="J13" s="292" t="str">
        <f>'MASTER DATA '!J13</f>
        <v>ok</v>
      </c>
      <c r="K13" s="85"/>
      <c r="L13" s="85"/>
      <c r="M13" s="85">
        <f t="shared" si="2"/>
        <v>0</v>
      </c>
      <c r="N13" s="85"/>
      <c r="O13" s="85"/>
      <c r="P13" s="85">
        <f t="shared" si="3"/>
        <v>0</v>
      </c>
      <c r="Q13" s="85"/>
      <c r="R13" s="85"/>
      <c r="S13" s="85">
        <f t="shared" si="4"/>
        <v>0</v>
      </c>
      <c r="T13" s="85"/>
      <c r="U13" s="85"/>
      <c r="V13" s="85">
        <f t="shared" si="5"/>
        <v>0</v>
      </c>
      <c r="W13" s="85"/>
      <c r="X13" s="85"/>
      <c r="Y13" s="85">
        <f t="shared" si="6"/>
        <v>0</v>
      </c>
      <c r="Z13" s="85"/>
      <c r="AA13" s="85"/>
      <c r="AB13" s="85">
        <f t="shared" si="7"/>
        <v>0</v>
      </c>
      <c r="AC13" s="85">
        <f t="shared" si="8"/>
        <v>0</v>
      </c>
      <c r="AD13" s="85">
        <f t="shared" si="9"/>
        <v>0</v>
      </c>
      <c r="AE13" s="88"/>
      <c r="AF13" s="88">
        <f t="shared" si="10"/>
        <v>0</v>
      </c>
      <c r="AG13" s="85">
        <f t="shared" si="11"/>
        <v>0</v>
      </c>
    </row>
    <row r="14">
      <c r="A14" s="83">
        <f t="shared" si="1"/>
        <v>4</v>
      </c>
      <c r="B14" s="287" t="str">
        <f>'MASTER DATA '!B14</f>
        <v>2026-01-0001</v>
      </c>
      <c r="C14" s="288">
        <f>'MASTER DATA '!C14</f>
        <v>46036</v>
      </c>
      <c r="D14" s="288" t="str">
        <f>'MASTER DATA '!D14</f>
        <v/>
      </c>
      <c r="E14" s="103" t="str">
        <f>'MASTER DATA '!E15</f>
        <v>CUBIL, JOCELYN R.</v>
      </c>
      <c r="F14" s="289" t="str">
        <f>'MASTER DATA '!F14</f>
        <v>GH</v>
      </c>
      <c r="G14" s="103" t="str">
        <f>'MASTER DATA '!G14</f>
        <v>Administrative Asst. III</v>
      </c>
      <c r="H14" s="290">
        <f>'MASTER DATA '!H14</f>
        <v>9</v>
      </c>
      <c r="I14" s="291" t="str">
        <f>'MASTER DATA '!I14</f>
        <v>REVOLVING FUND</v>
      </c>
      <c r="J14" s="292" t="str">
        <f>'MASTER DATA '!J14</f>
        <v>ok</v>
      </c>
      <c r="K14" s="85"/>
      <c r="L14" s="85"/>
      <c r="M14" s="85">
        <f t="shared" si="2"/>
        <v>0</v>
      </c>
      <c r="N14" s="85"/>
      <c r="O14" s="85"/>
      <c r="P14" s="85">
        <f t="shared" si="3"/>
        <v>0</v>
      </c>
      <c r="Q14" s="85"/>
      <c r="R14" s="85"/>
      <c r="S14" s="85">
        <f t="shared" si="4"/>
        <v>0</v>
      </c>
      <c r="T14" s="85"/>
      <c r="U14" s="85"/>
      <c r="V14" s="85">
        <f t="shared" si="5"/>
        <v>0</v>
      </c>
      <c r="W14" s="85"/>
      <c r="X14" s="85"/>
      <c r="Y14" s="85">
        <f t="shared" si="6"/>
        <v>0</v>
      </c>
      <c r="Z14" s="85"/>
      <c r="AA14" s="85"/>
      <c r="AB14" s="85">
        <f t="shared" si="7"/>
        <v>0</v>
      </c>
      <c r="AC14" s="85">
        <f t="shared" si="8"/>
        <v>0</v>
      </c>
      <c r="AD14" s="85">
        <f t="shared" si="9"/>
        <v>0</v>
      </c>
      <c r="AE14" s="88"/>
      <c r="AF14" s="88">
        <f t="shared" si="10"/>
        <v>0</v>
      </c>
      <c r="AG14" s="85">
        <f t="shared" si="11"/>
        <v>0</v>
      </c>
    </row>
    <row r="15">
      <c r="A15" s="83" t="str">
        <f t="shared" si="1"/>
        <v/>
      </c>
      <c r="B15" s="287" t="str">
        <f>'MASTER DATA '!B15</f>
        <v/>
      </c>
      <c r="C15" s="288" t="str">
        <f>'MASTER DATA '!C15</f>
        <v/>
      </c>
      <c r="D15" s="288" t="str">
        <f>'MASTER DATA '!D15</f>
        <v/>
      </c>
      <c r="E15" s="103" t="str">
        <f>'MASTER DATA '!E16</f>
        <v>GULTIANO, HELEN D. </v>
      </c>
      <c r="F15" s="289" t="str">
        <f>'MASTER DATA '!F15</f>
        <v>GH</v>
      </c>
      <c r="G15" s="103" t="str">
        <f>'MASTER DATA '!G15</f>
        <v>Administrative Asst. III</v>
      </c>
      <c r="H15" s="290">
        <f>'MASTER DATA '!H15</f>
        <v>9</v>
      </c>
      <c r="I15" s="291" t="str">
        <f>'MASTER DATA '!I15</f>
        <v>REVOLVING FUND</v>
      </c>
      <c r="J15" s="292" t="str">
        <f>'MASTER DATA '!J15</f>
        <v>ok</v>
      </c>
      <c r="K15" s="85"/>
      <c r="L15" s="85"/>
      <c r="M15" s="85">
        <f t="shared" si="2"/>
        <v>0</v>
      </c>
      <c r="N15" s="85"/>
      <c r="O15" s="85"/>
      <c r="P15" s="85">
        <f t="shared" si="3"/>
        <v>0</v>
      </c>
      <c r="Q15" s="85"/>
      <c r="R15" s="85"/>
      <c r="S15" s="85">
        <f t="shared" si="4"/>
        <v>0</v>
      </c>
      <c r="T15" s="85"/>
      <c r="U15" s="85"/>
      <c r="V15" s="85">
        <f t="shared" si="5"/>
        <v>0</v>
      </c>
      <c r="W15" s="85"/>
      <c r="X15" s="85"/>
      <c r="Y15" s="85">
        <f t="shared" si="6"/>
        <v>0</v>
      </c>
      <c r="Z15" s="85"/>
      <c r="AA15" s="85"/>
      <c r="AB15" s="85">
        <f t="shared" si="7"/>
        <v>0</v>
      </c>
      <c r="AC15" s="85">
        <f t="shared" si="8"/>
        <v>0</v>
      </c>
      <c r="AD15" s="85">
        <f t="shared" si="9"/>
        <v>0</v>
      </c>
      <c r="AE15" s="88"/>
      <c r="AF15" s="88">
        <f t="shared" si="10"/>
        <v>0</v>
      </c>
      <c r="AG15" s="85">
        <f t="shared" si="11"/>
        <v>0</v>
      </c>
    </row>
    <row r="16">
      <c r="A16" s="83">
        <f t="shared" si="1"/>
        <v>5</v>
      </c>
      <c r="B16" s="287" t="str">
        <f>'MASTER DATA '!B16</f>
        <v>2026-01-0006</v>
      </c>
      <c r="C16" s="288">
        <f>'MASTER DATA '!C16</f>
        <v>46036</v>
      </c>
      <c r="D16" s="288" t="str">
        <f>'MASTER DATA '!D16</f>
        <v/>
      </c>
      <c r="E16" s="103" t="str">
        <f>'MASTER DATA '!E17</f>
        <v>TORIO, CECIL P.</v>
      </c>
      <c r="F16" s="289" t="str">
        <f>'MASTER DATA '!F16</f>
        <v>GH</v>
      </c>
      <c r="G16" s="103" t="str">
        <f>'MASTER DATA '!G16</f>
        <v>Administrative Asst. III</v>
      </c>
      <c r="H16" s="290">
        <f>'MASTER DATA '!H16</f>
        <v>9</v>
      </c>
      <c r="I16" s="291" t="str">
        <f>'MASTER DATA '!I16</f>
        <v>REVOLVING FUND</v>
      </c>
      <c r="J16" s="292" t="str">
        <f>'MASTER DATA '!J16</f>
        <v>ok</v>
      </c>
      <c r="K16" s="85"/>
      <c r="L16" s="85"/>
      <c r="M16" s="85">
        <f t="shared" si="2"/>
        <v>0</v>
      </c>
      <c r="N16" s="85"/>
      <c r="O16" s="85"/>
      <c r="P16" s="85">
        <f t="shared" si="3"/>
        <v>0</v>
      </c>
      <c r="Q16" s="85"/>
      <c r="R16" s="85"/>
      <c r="S16" s="85">
        <f t="shared" si="4"/>
        <v>0</v>
      </c>
      <c r="T16" s="85"/>
      <c r="U16" s="85"/>
      <c r="V16" s="85">
        <f t="shared" si="5"/>
        <v>0</v>
      </c>
      <c r="W16" s="85"/>
      <c r="X16" s="85"/>
      <c r="Y16" s="85">
        <f t="shared" si="6"/>
        <v>0</v>
      </c>
      <c r="Z16" s="85"/>
      <c r="AA16" s="85"/>
      <c r="AB16" s="85">
        <f t="shared" si="7"/>
        <v>0</v>
      </c>
      <c r="AC16" s="85">
        <f t="shared" si="8"/>
        <v>0</v>
      </c>
      <c r="AD16" s="85">
        <f t="shared" si="9"/>
        <v>0</v>
      </c>
      <c r="AE16" s="88"/>
      <c r="AF16" s="88">
        <f t="shared" si="10"/>
        <v>0</v>
      </c>
      <c r="AG16" s="85">
        <f t="shared" si="11"/>
        <v>0</v>
      </c>
    </row>
    <row r="17">
      <c r="A17" s="83">
        <f t="shared" si="1"/>
        <v>6</v>
      </c>
      <c r="B17" s="287" t="str">
        <f>'MASTER DATA '!B17</f>
        <v>2026-01-0007</v>
      </c>
      <c r="C17" s="288">
        <f>'MASTER DATA '!C17</f>
        <v>46036</v>
      </c>
      <c r="D17" s="288" t="str">
        <f>'MASTER DATA '!D17</f>
        <v/>
      </c>
      <c r="E17" s="103" t="str">
        <f>'MASTER DATA '!E18</f>
        <v>GASATAN, ENRICO JAN S.</v>
      </c>
      <c r="F17" s="289" t="str">
        <f>'MASTER DATA '!F17</f>
        <v>GH</v>
      </c>
      <c r="G17" s="103" t="str">
        <f>'MASTER DATA '!G17</f>
        <v>Administrative Asst. III</v>
      </c>
      <c r="H17" s="290">
        <f>'MASTER DATA '!H17</f>
        <v>9</v>
      </c>
      <c r="I17" s="291" t="str">
        <f>'MASTER DATA '!I17</f>
        <v>REVOLVING FUND</v>
      </c>
      <c r="J17" s="292" t="str">
        <f>'MASTER DATA '!J17</f>
        <v>ok</v>
      </c>
      <c r="K17" s="85"/>
      <c r="L17" s="85"/>
      <c r="M17" s="85">
        <f t="shared" si="2"/>
        <v>0</v>
      </c>
      <c r="N17" s="85"/>
      <c r="O17" s="85"/>
      <c r="P17" s="85">
        <f t="shared" si="3"/>
        <v>0</v>
      </c>
      <c r="Q17" s="85"/>
      <c r="R17" s="85"/>
      <c r="S17" s="85">
        <f t="shared" si="4"/>
        <v>0</v>
      </c>
      <c r="T17" s="85"/>
      <c r="U17" s="85"/>
      <c r="V17" s="85">
        <f t="shared" si="5"/>
        <v>0</v>
      </c>
      <c r="W17" s="85"/>
      <c r="X17" s="85"/>
      <c r="Y17" s="85">
        <f t="shared" si="6"/>
        <v>0</v>
      </c>
      <c r="Z17" s="85"/>
      <c r="AA17" s="85"/>
      <c r="AB17" s="85">
        <f t="shared" si="7"/>
        <v>0</v>
      </c>
      <c r="AC17" s="85">
        <f t="shared" si="8"/>
        <v>0</v>
      </c>
      <c r="AD17" s="85">
        <f t="shared" si="9"/>
        <v>0</v>
      </c>
      <c r="AE17" s="88"/>
      <c r="AF17" s="88">
        <f t="shared" si="10"/>
        <v>0</v>
      </c>
      <c r="AG17" s="85">
        <f t="shared" si="11"/>
        <v>0</v>
      </c>
    </row>
    <row r="18">
      <c r="A18" s="83">
        <f t="shared" si="1"/>
        <v>7</v>
      </c>
      <c r="B18" s="287" t="str">
        <f>'MASTER DATA '!B18</f>
        <v>2026-01-0008</v>
      </c>
      <c r="C18" s="288">
        <f>'MASTER DATA '!C18</f>
        <v>46036</v>
      </c>
      <c r="D18" s="288" t="str">
        <f>'MASTER DATA '!D18</f>
        <v/>
      </c>
      <c r="E18" s="103" t="str">
        <f>'MASTER DATA '!E19</f>
        <v>JARABESE, LUIS E.</v>
      </c>
      <c r="F18" s="289" t="str">
        <f>'MASTER DATA '!F18</f>
        <v>GH</v>
      </c>
      <c r="G18" s="103" t="str">
        <f>'MASTER DATA '!G18</f>
        <v>Administrative Asst. III (Housekeeping Attendant)</v>
      </c>
      <c r="H18" s="290">
        <f>'MASTER DATA '!H18</f>
        <v>9</v>
      </c>
      <c r="I18" s="291" t="str">
        <f>'MASTER DATA '!I18</f>
        <v>REVOLVING FUND</v>
      </c>
      <c r="J18" s="292" t="str">
        <f>'MASTER DATA '!J18</f>
        <v>ok</v>
      </c>
      <c r="K18" s="85"/>
      <c r="L18" s="85"/>
      <c r="M18" s="85">
        <f t="shared" si="2"/>
        <v>0</v>
      </c>
      <c r="N18" s="85"/>
      <c r="O18" s="85"/>
      <c r="P18" s="85">
        <f t="shared" si="3"/>
        <v>0</v>
      </c>
      <c r="Q18" s="85"/>
      <c r="R18" s="85"/>
      <c r="S18" s="85">
        <f t="shared" si="4"/>
        <v>0</v>
      </c>
      <c r="T18" s="85"/>
      <c r="U18" s="85"/>
      <c r="V18" s="85">
        <f t="shared" si="5"/>
        <v>0</v>
      </c>
      <c r="W18" s="85"/>
      <c r="X18" s="85"/>
      <c r="Y18" s="85">
        <f t="shared" si="6"/>
        <v>0</v>
      </c>
      <c r="Z18" s="85"/>
      <c r="AA18" s="85"/>
      <c r="AB18" s="85">
        <f t="shared" si="7"/>
        <v>0</v>
      </c>
      <c r="AC18" s="85">
        <f t="shared" si="8"/>
        <v>0</v>
      </c>
      <c r="AD18" s="85">
        <f t="shared" si="9"/>
        <v>0</v>
      </c>
      <c r="AE18" s="88"/>
      <c r="AF18" s="88">
        <f t="shared" si="10"/>
        <v>0</v>
      </c>
      <c r="AG18" s="85">
        <f t="shared" si="11"/>
        <v>0</v>
      </c>
    </row>
    <row r="19">
      <c r="A19" s="83">
        <f t="shared" si="1"/>
        <v>8</v>
      </c>
      <c r="B19" s="287" t="str">
        <f>'MASTER DATA '!B19</f>
        <v>2026-01-0004</v>
      </c>
      <c r="C19" s="288">
        <f>'MASTER DATA '!C19</f>
        <v>46036</v>
      </c>
      <c r="D19" s="288" t="str">
        <f>'MASTER DATA '!D19</f>
        <v/>
      </c>
      <c r="E19" s="103" t="str">
        <f>#REF!</f>
        <v>#REF!</v>
      </c>
      <c r="F19" s="289" t="str">
        <f>'MASTER DATA '!F19</f>
        <v>GH</v>
      </c>
      <c r="G19" s="103" t="str">
        <f>'MASTER DATA '!G19</f>
        <v>Administrative Asst. III</v>
      </c>
      <c r="H19" s="290">
        <f>'MASTER DATA '!H19</f>
        <v>9</v>
      </c>
      <c r="I19" s="291" t="str">
        <f>'MASTER DATA '!I19</f>
        <v>REVOLVING FUND</v>
      </c>
      <c r="J19" s="292" t="str">
        <f>'MASTER DATA '!J19</f>
        <v>ok</v>
      </c>
      <c r="K19" s="85"/>
      <c r="L19" s="85"/>
      <c r="M19" s="85">
        <f t="shared" si="2"/>
        <v>0</v>
      </c>
      <c r="N19" s="85"/>
      <c r="O19" s="85"/>
      <c r="P19" s="85">
        <f t="shared" si="3"/>
        <v>0</v>
      </c>
      <c r="Q19" s="85"/>
      <c r="R19" s="85"/>
      <c r="S19" s="85">
        <f t="shared" si="4"/>
        <v>0</v>
      </c>
      <c r="T19" s="85"/>
      <c r="U19" s="85"/>
      <c r="V19" s="85">
        <f t="shared" si="5"/>
        <v>0</v>
      </c>
      <c r="W19" s="85"/>
      <c r="X19" s="85"/>
      <c r="Y19" s="85">
        <f t="shared" si="6"/>
        <v>0</v>
      </c>
      <c r="Z19" s="85"/>
      <c r="AA19" s="85"/>
      <c r="AB19" s="85">
        <f t="shared" si="7"/>
        <v>0</v>
      </c>
      <c r="AC19" s="85">
        <f t="shared" si="8"/>
        <v>0</v>
      </c>
      <c r="AD19" s="85">
        <f t="shared" si="9"/>
        <v>0</v>
      </c>
      <c r="AE19" s="88"/>
      <c r="AF19" s="88">
        <f t="shared" si="10"/>
        <v>0</v>
      </c>
      <c r="AG19" s="85">
        <f t="shared" si="11"/>
        <v>0</v>
      </c>
    </row>
    <row r="20">
      <c r="A20" s="83" t="str">
        <f t="shared" si="1"/>
        <v>#REF!</v>
      </c>
      <c r="B20" s="103" t="str">
        <f t="shared" ref="B20:D20" si="12">#REF!</f>
        <v>#REF!</v>
      </c>
      <c r="C20" s="288" t="str">
        <f t="shared" si="12"/>
        <v>#REF!</v>
      </c>
      <c r="D20" s="288" t="str">
        <f t="shared" si="12"/>
        <v>#REF!</v>
      </c>
      <c r="E20" s="103" t="str">
        <f>'MASTER DATA '!E23</f>
        <v>ESTAPON, LESLIE DC.</v>
      </c>
      <c r="F20" s="289" t="str">
        <f t="shared" ref="F20:J20" si="13">#REF!</f>
        <v>#REF!</v>
      </c>
      <c r="G20" s="103" t="str">
        <f t="shared" si="13"/>
        <v>#REF!</v>
      </c>
      <c r="H20" s="290" t="str">
        <f t="shared" si="13"/>
        <v>#REF!</v>
      </c>
      <c r="I20" s="291" t="str">
        <f t="shared" si="13"/>
        <v>#REF!</v>
      </c>
      <c r="J20" s="292" t="str">
        <f t="shared" si="13"/>
        <v>#REF!</v>
      </c>
      <c r="K20" s="85"/>
      <c r="L20" s="85"/>
      <c r="M20" s="85">
        <f t="shared" si="2"/>
        <v>0</v>
      </c>
      <c r="N20" s="85"/>
      <c r="O20" s="85"/>
      <c r="P20" s="85">
        <f t="shared" si="3"/>
        <v>0</v>
      </c>
      <c r="Q20" s="85"/>
      <c r="R20" s="85"/>
      <c r="S20" s="85">
        <f t="shared" si="4"/>
        <v>0</v>
      </c>
      <c r="T20" s="85"/>
      <c r="U20" s="85"/>
      <c r="V20" s="85">
        <f t="shared" si="5"/>
        <v>0</v>
      </c>
      <c r="W20" s="85"/>
      <c r="X20" s="85"/>
      <c r="Y20" s="85">
        <f t="shared" si="6"/>
        <v>0</v>
      </c>
      <c r="Z20" s="85"/>
      <c r="AA20" s="85"/>
      <c r="AB20" s="85">
        <f t="shared" si="7"/>
        <v>0</v>
      </c>
      <c r="AC20" s="85">
        <f t="shared" si="8"/>
        <v>0</v>
      </c>
      <c r="AD20" s="85">
        <f t="shared" si="9"/>
        <v>0</v>
      </c>
      <c r="AE20" s="88"/>
      <c r="AF20" s="88">
        <f t="shared" si="10"/>
        <v>0</v>
      </c>
      <c r="AG20" s="85">
        <f t="shared" si="11"/>
        <v>0</v>
      </c>
    </row>
    <row r="21" ht="15.75" customHeight="1">
      <c r="A21" s="83">
        <f t="shared" si="1"/>
        <v>10</v>
      </c>
      <c r="B21" s="82" t="s">
        <v>529</v>
      </c>
      <c r="C21" s="288">
        <f>'MASTER DATA '!C23</f>
        <v>46036</v>
      </c>
      <c r="D21" s="288" t="str">
        <f>'MASTER DATA '!D23</f>
        <v/>
      </c>
      <c r="E21" s="103" t="str">
        <f>'MASTER DATA '!E24</f>
        <v>LOZANO, ADRIAN D.</v>
      </c>
      <c r="F21" s="289" t="str">
        <f>'MASTER DATA '!F23</f>
        <v>ACCTG.</v>
      </c>
      <c r="G21" s="103" t="str">
        <f>'MASTER DATA '!G23</f>
        <v>Administrative Asst. II</v>
      </c>
      <c r="H21" s="290">
        <f>'MASTER DATA '!H23</f>
        <v>8</v>
      </c>
      <c r="I21" s="291" t="str">
        <f>'MASTER DATA '!I23</f>
        <v>REVOLVING FUND</v>
      </c>
      <c r="J21" s="292" t="str">
        <f>'MASTER DATA '!J23</f>
        <v>OK</v>
      </c>
      <c r="K21" s="85"/>
      <c r="L21" s="85"/>
      <c r="M21" s="85">
        <f t="shared" si="2"/>
        <v>0</v>
      </c>
      <c r="N21" s="85"/>
      <c r="O21" s="85"/>
      <c r="P21" s="85">
        <f t="shared" si="3"/>
        <v>0</v>
      </c>
      <c r="Q21" s="85"/>
      <c r="R21" s="85"/>
      <c r="S21" s="85">
        <f t="shared" si="4"/>
        <v>0</v>
      </c>
      <c r="T21" s="85"/>
      <c r="U21" s="85"/>
      <c r="V21" s="85">
        <f t="shared" si="5"/>
        <v>0</v>
      </c>
      <c r="W21" s="85"/>
      <c r="X21" s="85"/>
      <c r="Y21" s="85">
        <f t="shared" si="6"/>
        <v>0</v>
      </c>
      <c r="Z21" s="85"/>
      <c r="AA21" s="85"/>
      <c r="AB21" s="85">
        <f t="shared" si="7"/>
        <v>0</v>
      </c>
      <c r="AC21" s="85">
        <f t="shared" si="8"/>
        <v>0</v>
      </c>
      <c r="AD21" s="85">
        <f t="shared" si="9"/>
        <v>0</v>
      </c>
      <c r="AE21" s="88"/>
      <c r="AF21" s="88">
        <f t="shared" si="10"/>
        <v>0</v>
      </c>
      <c r="AG21" s="85">
        <f t="shared" si="11"/>
        <v>0</v>
      </c>
    </row>
    <row r="22" ht="15.75" customHeight="1">
      <c r="A22" s="293"/>
      <c r="B22" s="154"/>
      <c r="C22" s="294"/>
      <c r="D22" s="294"/>
      <c r="E22" s="295"/>
      <c r="F22" s="296"/>
      <c r="G22" s="295"/>
      <c r="H22" s="297"/>
      <c r="I22" s="298"/>
      <c r="J22" s="299"/>
      <c r="K22" s="300"/>
      <c r="L22" s="300"/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1"/>
      <c r="AF22" s="301"/>
      <c r="AG22" s="85">
        <f t="shared" si="11"/>
        <v>0</v>
      </c>
    </row>
    <row r="23" ht="15.75" customHeight="1">
      <c r="A23" s="176" t="s">
        <v>23</v>
      </c>
      <c r="B23" s="302"/>
      <c r="C23" s="179"/>
      <c r="D23" s="179"/>
      <c r="E23" s="180"/>
      <c r="F23" s="181"/>
      <c r="G23" s="180"/>
      <c r="H23" s="182"/>
      <c r="I23" s="182"/>
      <c r="J23" s="182"/>
      <c r="K23" s="182">
        <f t="shared" ref="K23:AG23" si="14">SUM(K10:K20)</f>
        <v>0</v>
      </c>
      <c r="L23" s="182">
        <f t="shared" si="14"/>
        <v>0</v>
      </c>
      <c r="M23" s="182">
        <f t="shared" si="14"/>
        <v>0</v>
      </c>
      <c r="N23" s="182">
        <f t="shared" si="14"/>
        <v>0</v>
      </c>
      <c r="O23" s="182">
        <f t="shared" si="14"/>
        <v>0</v>
      </c>
      <c r="P23" s="182">
        <f t="shared" si="14"/>
        <v>0</v>
      </c>
      <c r="Q23" s="182">
        <f t="shared" si="14"/>
        <v>0</v>
      </c>
      <c r="R23" s="182">
        <f t="shared" si="14"/>
        <v>0</v>
      </c>
      <c r="S23" s="182">
        <f t="shared" si="14"/>
        <v>0</v>
      </c>
      <c r="T23" s="182">
        <f t="shared" si="14"/>
        <v>0</v>
      </c>
      <c r="U23" s="182">
        <f t="shared" si="14"/>
        <v>0</v>
      </c>
      <c r="V23" s="182">
        <f t="shared" si="14"/>
        <v>0</v>
      </c>
      <c r="W23" s="182">
        <f t="shared" si="14"/>
        <v>0</v>
      </c>
      <c r="X23" s="182">
        <f t="shared" si="14"/>
        <v>0</v>
      </c>
      <c r="Y23" s="182">
        <f t="shared" si="14"/>
        <v>0</v>
      </c>
      <c r="Z23" s="182">
        <f t="shared" si="14"/>
        <v>0</v>
      </c>
      <c r="AA23" s="182">
        <f t="shared" si="14"/>
        <v>0</v>
      </c>
      <c r="AB23" s="182">
        <f t="shared" si="14"/>
        <v>0</v>
      </c>
      <c r="AC23" s="182">
        <f t="shared" si="14"/>
        <v>0</v>
      </c>
      <c r="AD23" s="182">
        <f t="shared" si="14"/>
        <v>0</v>
      </c>
      <c r="AE23" s="191">
        <f t="shared" si="14"/>
        <v>0</v>
      </c>
      <c r="AF23" s="191">
        <f t="shared" si="14"/>
        <v>0</v>
      </c>
      <c r="AG23" s="303">
        <f t="shared" si="14"/>
        <v>0</v>
      </c>
    </row>
    <row r="24" ht="15.75" customHeight="1">
      <c r="C24" s="4"/>
      <c r="D24" s="4"/>
      <c r="F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ht="15.75" customHeight="1">
      <c r="B25" s="304" t="s">
        <v>530</v>
      </c>
      <c r="C25" s="4"/>
      <c r="D25" s="4"/>
      <c r="F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ht="15.75" customHeight="1">
      <c r="B26" s="305"/>
      <c r="C26" s="276" t="s">
        <v>531</v>
      </c>
      <c r="D26" s="4"/>
      <c r="F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ht="15.75" customHeight="1">
      <c r="B27" s="306"/>
      <c r="C27" s="4"/>
      <c r="D27" s="4"/>
      <c r="F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ht="15.75" customHeight="1">
      <c r="C28" s="4"/>
      <c r="D28" s="4"/>
      <c r="F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ht="15.75" customHeight="1">
      <c r="C29" s="4"/>
      <c r="D29" s="4"/>
      <c r="F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ht="15.75" customHeight="1">
      <c r="C30" s="4"/>
      <c r="D30" s="4"/>
      <c r="F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ht="15.75" customHeight="1">
      <c r="C31" s="4"/>
      <c r="D31" s="4"/>
      <c r="F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ht="15.75" customHeight="1">
      <c r="C32" s="4"/>
      <c r="D32" s="4"/>
      <c r="F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ht="15.75" customHeight="1">
      <c r="C33" s="4"/>
      <c r="D33" s="4"/>
      <c r="F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ht="15.75" customHeight="1">
      <c r="C34" s="4"/>
      <c r="D34" s="4"/>
      <c r="F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ht="15.75" customHeight="1">
      <c r="C35" s="4"/>
      <c r="D35" s="4"/>
      <c r="F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15.75" customHeight="1">
      <c r="C36" s="4"/>
      <c r="D36" s="4"/>
      <c r="F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ht="15.75" customHeight="1">
      <c r="C37" s="4"/>
      <c r="D37" s="4"/>
      <c r="F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ht="15.75" customHeight="1">
      <c r="C38" s="4"/>
      <c r="D38" s="4"/>
      <c r="F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ht="15.75" customHeight="1">
      <c r="C39" s="4"/>
      <c r="D39" s="4"/>
      <c r="F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ht="15.75" customHeight="1">
      <c r="C40" s="4"/>
      <c r="D40" s="4"/>
      <c r="F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ht="15.75" customHeight="1">
      <c r="C41" s="4"/>
      <c r="D41" s="4"/>
      <c r="F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ht="15.75" customHeight="1">
      <c r="C42" s="4"/>
      <c r="D42" s="4"/>
      <c r="F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ht="15.75" customHeight="1">
      <c r="C43" s="4"/>
      <c r="D43" s="4"/>
      <c r="F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ht="15.75" customHeight="1">
      <c r="C44" s="4"/>
      <c r="D44" s="4"/>
      <c r="F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ht="15.75" customHeight="1">
      <c r="C45" s="4"/>
      <c r="D45" s="4"/>
      <c r="F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ht="15.75" customHeight="1">
      <c r="C46" s="4"/>
      <c r="D46" s="4"/>
      <c r="F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ht="15.75" customHeight="1">
      <c r="C47" s="4"/>
      <c r="D47" s="4"/>
      <c r="F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ht="15.75" customHeight="1">
      <c r="C48" s="4"/>
      <c r="D48" s="4"/>
      <c r="F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ht="15.75" customHeight="1">
      <c r="C49" s="4"/>
      <c r="D49" s="4"/>
      <c r="F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ht="15.75" customHeight="1">
      <c r="C50" s="4"/>
      <c r="D50" s="4"/>
      <c r="F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ht="15.75" customHeight="1">
      <c r="C51" s="4"/>
      <c r="D51" s="4"/>
      <c r="F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ht="15.75" customHeight="1">
      <c r="C52" s="4"/>
      <c r="D52" s="4"/>
      <c r="F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ht="15.75" customHeight="1">
      <c r="C53" s="4"/>
      <c r="D53" s="4"/>
      <c r="F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ht="15.75" customHeight="1">
      <c r="C54" s="4"/>
      <c r="D54" s="4"/>
      <c r="F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ht="15.75" customHeight="1">
      <c r="C55" s="4"/>
      <c r="D55" s="4"/>
      <c r="F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ht="15.75" customHeight="1">
      <c r="C56" s="4"/>
      <c r="D56" s="4"/>
      <c r="F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ht="15.75" customHeight="1">
      <c r="C57" s="4"/>
      <c r="D57" s="4"/>
      <c r="F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ht="15.75" customHeight="1">
      <c r="C58" s="4"/>
      <c r="D58" s="4"/>
      <c r="F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ht="15.75" customHeight="1">
      <c r="C59" s="4"/>
      <c r="D59" s="4"/>
      <c r="F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ht="15.75" customHeight="1">
      <c r="C60" s="4"/>
      <c r="D60" s="4"/>
      <c r="F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ht="15.75" customHeight="1">
      <c r="C61" s="4"/>
      <c r="D61" s="4"/>
      <c r="F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ht="15.75" customHeight="1">
      <c r="C62" s="4"/>
      <c r="D62" s="4"/>
      <c r="F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ht="15.75" customHeight="1">
      <c r="C63" s="4"/>
      <c r="D63" s="4"/>
      <c r="F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ht="15.75" customHeight="1">
      <c r="C64" s="4"/>
      <c r="D64" s="4"/>
      <c r="F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ht="15.75" customHeight="1">
      <c r="C65" s="4"/>
      <c r="D65" s="4"/>
      <c r="F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ht="15.75" customHeight="1">
      <c r="C66" s="4"/>
      <c r="D66" s="4"/>
      <c r="F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ht="15.75" customHeight="1">
      <c r="C67" s="4"/>
      <c r="D67" s="4"/>
      <c r="F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ht="15.75" customHeight="1">
      <c r="C68" s="4"/>
      <c r="D68" s="4"/>
      <c r="F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5.75" customHeight="1">
      <c r="C69" s="4"/>
      <c r="D69" s="4"/>
      <c r="F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5.75" customHeight="1">
      <c r="C70" s="4"/>
      <c r="D70" s="4"/>
      <c r="F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5.75" customHeight="1">
      <c r="C71" s="4"/>
      <c r="D71" s="4"/>
      <c r="F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15.75" customHeight="1">
      <c r="C72" s="4"/>
      <c r="D72" s="4"/>
      <c r="F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5.75" customHeight="1">
      <c r="C73" s="4"/>
      <c r="D73" s="4"/>
      <c r="F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5.75" customHeight="1">
      <c r="C74" s="4"/>
      <c r="D74" s="4"/>
      <c r="F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5.75" customHeight="1">
      <c r="C75" s="4"/>
      <c r="D75" s="4"/>
      <c r="F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5.75" customHeight="1">
      <c r="C76" s="4"/>
      <c r="D76" s="4"/>
      <c r="F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5.75" customHeight="1">
      <c r="C77" s="4"/>
      <c r="D77" s="4"/>
      <c r="F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5.75" customHeight="1">
      <c r="C78" s="4"/>
      <c r="D78" s="4"/>
      <c r="F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5.75" customHeight="1">
      <c r="C79" s="4"/>
      <c r="D79" s="4"/>
      <c r="F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5.75" customHeight="1">
      <c r="C80" s="4"/>
      <c r="D80" s="4"/>
      <c r="F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5.75" customHeight="1">
      <c r="C81" s="4"/>
      <c r="D81" s="4"/>
      <c r="F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5.75" customHeight="1">
      <c r="C82" s="4"/>
      <c r="D82" s="4"/>
      <c r="F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5.75" customHeight="1">
      <c r="C83" s="4"/>
      <c r="D83" s="4"/>
      <c r="F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5.75" customHeight="1">
      <c r="C84" s="4"/>
      <c r="D84" s="4"/>
      <c r="F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5.75" customHeight="1">
      <c r="C85" s="4"/>
      <c r="D85" s="4"/>
      <c r="F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5.75" customHeight="1">
      <c r="C86" s="4"/>
      <c r="D86" s="4"/>
      <c r="F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5.75" customHeight="1">
      <c r="C87" s="4"/>
      <c r="D87" s="4"/>
      <c r="F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5.75" customHeight="1">
      <c r="C88" s="4"/>
      <c r="D88" s="4"/>
      <c r="F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5.75" customHeight="1">
      <c r="C89" s="4"/>
      <c r="D89" s="4"/>
      <c r="F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5.75" customHeight="1">
      <c r="C90" s="4"/>
      <c r="D90" s="4"/>
      <c r="F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5.75" customHeight="1">
      <c r="C91" s="4"/>
      <c r="D91" s="4"/>
      <c r="F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5.75" customHeight="1">
      <c r="C92" s="4"/>
      <c r="D92" s="4"/>
      <c r="F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5.75" customHeight="1">
      <c r="C93" s="4"/>
      <c r="D93" s="4"/>
      <c r="F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5.75" customHeight="1">
      <c r="C94" s="4"/>
      <c r="D94" s="4"/>
      <c r="F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5.75" customHeight="1">
      <c r="C95" s="4"/>
      <c r="D95" s="4"/>
      <c r="F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5.75" customHeight="1">
      <c r="C96" s="4"/>
      <c r="D96" s="4"/>
      <c r="F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5.75" customHeight="1">
      <c r="C97" s="4"/>
      <c r="D97" s="4"/>
      <c r="F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5.75" customHeight="1">
      <c r="C98" s="4"/>
      <c r="D98" s="4"/>
      <c r="F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5.75" customHeight="1">
      <c r="C99" s="4"/>
      <c r="D99" s="4"/>
      <c r="F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5.75" customHeight="1">
      <c r="C100" s="4"/>
      <c r="D100" s="4"/>
      <c r="F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5.75" customHeight="1">
      <c r="C101" s="4"/>
      <c r="D101" s="4"/>
      <c r="F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5.75" customHeight="1">
      <c r="C102" s="4"/>
      <c r="D102" s="4"/>
      <c r="F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5.75" customHeight="1">
      <c r="C103" s="4"/>
      <c r="D103" s="4"/>
      <c r="F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5.75" customHeight="1">
      <c r="C104" s="4"/>
      <c r="D104" s="4"/>
      <c r="F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5.75" customHeight="1">
      <c r="C105" s="4"/>
      <c r="D105" s="4"/>
      <c r="F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5.75" customHeight="1">
      <c r="C106" s="4"/>
      <c r="D106" s="4"/>
      <c r="F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5.75" customHeight="1">
      <c r="C107" s="4"/>
      <c r="D107" s="4"/>
      <c r="F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5.75" customHeight="1">
      <c r="C108" s="4"/>
      <c r="D108" s="4"/>
      <c r="F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5.75" customHeight="1">
      <c r="C109" s="4"/>
      <c r="D109" s="4"/>
      <c r="F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5.75" customHeight="1">
      <c r="C110" s="4"/>
      <c r="D110" s="4"/>
      <c r="F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5.75" customHeight="1">
      <c r="C111" s="4"/>
      <c r="D111" s="4"/>
      <c r="F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5.75" customHeight="1">
      <c r="C112" s="4"/>
      <c r="D112" s="4"/>
      <c r="F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5.75" customHeight="1">
      <c r="C113" s="4"/>
      <c r="D113" s="4"/>
      <c r="F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5.75" customHeight="1">
      <c r="C114" s="4"/>
      <c r="D114" s="4"/>
      <c r="F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5.75" customHeight="1">
      <c r="C115" s="4"/>
      <c r="D115" s="4"/>
      <c r="F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5.75" customHeight="1">
      <c r="C116" s="4"/>
      <c r="D116" s="4"/>
      <c r="F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5.75" customHeight="1">
      <c r="C117" s="4"/>
      <c r="D117" s="4"/>
      <c r="F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5.75" customHeight="1">
      <c r="C118" s="4"/>
      <c r="D118" s="4"/>
      <c r="F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5.75" customHeight="1">
      <c r="C119" s="4"/>
      <c r="D119" s="4"/>
      <c r="F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5.75" customHeight="1">
      <c r="C120" s="4"/>
      <c r="D120" s="4"/>
      <c r="F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5.75" customHeight="1">
      <c r="C121" s="4"/>
      <c r="D121" s="4"/>
      <c r="F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5.75" customHeight="1">
      <c r="C122" s="4"/>
      <c r="D122" s="4"/>
      <c r="F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5.75" customHeight="1">
      <c r="C123" s="4"/>
      <c r="D123" s="4"/>
      <c r="F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5.75" customHeight="1">
      <c r="C124" s="4"/>
      <c r="D124" s="4"/>
      <c r="F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5.75" customHeight="1">
      <c r="C125" s="4"/>
      <c r="D125" s="4"/>
      <c r="F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5.75" customHeight="1">
      <c r="C126" s="4"/>
      <c r="D126" s="4"/>
      <c r="F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5.75" customHeight="1">
      <c r="C127" s="4"/>
      <c r="D127" s="4"/>
      <c r="F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5.75" customHeight="1">
      <c r="C128" s="4"/>
      <c r="D128" s="4"/>
      <c r="F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5.75" customHeight="1">
      <c r="C129" s="4"/>
      <c r="D129" s="4"/>
      <c r="F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5.75" customHeight="1">
      <c r="C130" s="4"/>
      <c r="D130" s="4"/>
      <c r="F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5.75" customHeight="1">
      <c r="C131" s="4"/>
      <c r="D131" s="4"/>
      <c r="F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5.75" customHeight="1">
      <c r="C132" s="4"/>
      <c r="D132" s="4"/>
      <c r="F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5.75" customHeight="1">
      <c r="C133" s="4"/>
      <c r="D133" s="4"/>
      <c r="F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5.75" customHeight="1">
      <c r="C134" s="4"/>
      <c r="D134" s="4"/>
      <c r="F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5.75" customHeight="1">
      <c r="C135" s="4"/>
      <c r="D135" s="4"/>
      <c r="F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5.75" customHeight="1">
      <c r="C136" s="4"/>
      <c r="D136" s="4"/>
      <c r="F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5.75" customHeight="1">
      <c r="C137" s="4"/>
      <c r="D137" s="4"/>
      <c r="F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5.75" customHeight="1">
      <c r="C138" s="4"/>
      <c r="D138" s="4"/>
      <c r="F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5.75" customHeight="1">
      <c r="C139" s="4"/>
      <c r="D139" s="4"/>
      <c r="F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5.75" customHeight="1">
      <c r="C140" s="4"/>
      <c r="D140" s="4"/>
      <c r="F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5.75" customHeight="1">
      <c r="C141" s="4"/>
      <c r="D141" s="4"/>
      <c r="F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5.75" customHeight="1">
      <c r="C142" s="4"/>
      <c r="D142" s="4"/>
      <c r="F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5.75" customHeight="1">
      <c r="C143" s="4"/>
      <c r="D143" s="4"/>
      <c r="F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5.75" customHeight="1">
      <c r="C144" s="4"/>
      <c r="D144" s="4"/>
      <c r="F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5.75" customHeight="1">
      <c r="C145" s="4"/>
      <c r="D145" s="4"/>
      <c r="F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5.75" customHeight="1">
      <c r="C146" s="4"/>
      <c r="D146" s="4"/>
      <c r="F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5.75" customHeight="1">
      <c r="C147" s="4"/>
      <c r="D147" s="4"/>
      <c r="F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5.75" customHeight="1">
      <c r="C148" s="4"/>
      <c r="D148" s="4"/>
      <c r="F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5.75" customHeight="1">
      <c r="C149" s="4"/>
      <c r="D149" s="4"/>
      <c r="F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5.75" customHeight="1">
      <c r="C150" s="4"/>
      <c r="D150" s="4"/>
      <c r="F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5.75" customHeight="1">
      <c r="C151" s="4"/>
      <c r="D151" s="4"/>
      <c r="F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5.75" customHeight="1">
      <c r="C152" s="4"/>
      <c r="D152" s="4"/>
      <c r="F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5.75" customHeight="1">
      <c r="C153" s="4"/>
      <c r="D153" s="4"/>
      <c r="F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5.75" customHeight="1">
      <c r="C154" s="4"/>
      <c r="D154" s="4"/>
      <c r="F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5.75" customHeight="1">
      <c r="C155" s="4"/>
      <c r="D155" s="4"/>
      <c r="F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5.75" customHeight="1">
      <c r="C156" s="4"/>
      <c r="D156" s="4"/>
      <c r="F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5.75" customHeight="1">
      <c r="C157" s="4"/>
      <c r="D157" s="4"/>
      <c r="F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5.75" customHeight="1">
      <c r="C158" s="4"/>
      <c r="D158" s="4"/>
      <c r="F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5.75" customHeight="1">
      <c r="C159" s="4"/>
      <c r="D159" s="4"/>
      <c r="F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5.75" customHeight="1">
      <c r="C160" s="4"/>
      <c r="D160" s="4"/>
      <c r="F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5.75" customHeight="1">
      <c r="C161" s="4"/>
      <c r="D161" s="4"/>
      <c r="F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5.75" customHeight="1">
      <c r="C162" s="4"/>
      <c r="D162" s="4"/>
      <c r="F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5.75" customHeight="1">
      <c r="C163" s="4"/>
      <c r="D163" s="4"/>
      <c r="F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5.75" customHeight="1">
      <c r="C164" s="4"/>
      <c r="D164" s="4"/>
      <c r="F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5.75" customHeight="1">
      <c r="C165" s="4"/>
      <c r="D165" s="4"/>
      <c r="F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5.75" customHeight="1">
      <c r="C166" s="4"/>
      <c r="D166" s="4"/>
      <c r="F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5.75" customHeight="1">
      <c r="C167" s="4"/>
      <c r="D167" s="4"/>
      <c r="F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5.75" customHeight="1">
      <c r="C168" s="4"/>
      <c r="D168" s="4"/>
      <c r="F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5.75" customHeight="1">
      <c r="C169" s="4"/>
      <c r="D169" s="4"/>
      <c r="F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5.75" customHeight="1">
      <c r="C170" s="4"/>
      <c r="D170" s="4"/>
      <c r="F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5.75" customHeight="1">
      <c r="C171" s="4"/>
      <c r="D171" s="4"/>
      <c r="F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5.75" customHeight="1">
      <c r="C172" s="4"/>
      <c r="D172" s="4"/>
      <c r="F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5.75" customHeight="1">
      <c r="C173" s="4"/>
      <c r="D173" s="4"/>
      <c r="F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5.75" customHeight="1">
      <c r="C174" s="4"/>
      <c r="D174" s="4"/>
      <c r="F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5.75" customHeight="1">
      <c r="C175" s="4"/>
      <c r="D175" s="4"/>
      <c r="F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5.75" customHeight="1">
      <c r="C176" s="4"/>
      <c r="D176" s="4"/>
      <c r="F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5.75" customHeight="1">
      <c r="C177" s="4"/>
      <c r="D177" s="4"/>
      <c r="F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5.75" customHeight="1">
      <c r="C178" s="4"/>
      <c r="D178" s="4"/>
      <c r="F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5.75" customHeight="1">
      <c r="C179" s="4"/>
      <c r="D179" s="4"/>
      <c r="F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5.75" customHeight="1">
      <c r="C180" s="4"/>
      <c r="D180" s="4"/>
      <c r="F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5.75" customHeight="1">
      <c r="C181" s="4"/>
      <c r="D181" s="4"/>
      <c r="F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5.75" customHeight="1">
      <c r="C182" s="4"/>
      <c r="D182" s="4"/>
      <c r="F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5.75" customHeight="1">
      <c r="C183" s="4"/>
      <c r="D183" s="4"/>
      <c r="F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5.75" customHeight="1">
      <c r="C184" s="4"/>
      <c r="D184" s="4"/>
      <c r="F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5.75" customHeight="1">
      <c r="C185" s="4"/>
      <c r="D185" s="4"/>
      <c r="F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5.75" customHeight="1">
      <c r="C186" s="4"/>
      <c r="D186" s="4"/>
      <c r="F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5.75" customHeight="1">
      <c r="C187" s="4"/>
      <c r="D187" s="4"/>
      <c r="F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5.75" customHeight="1">
      <c r="C188" s="4"/>
      <c r="D188" s="4"/>
      <c r="F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5.75" customHeight="1">
      <c r="C189" s="4"/>
      <c r="D189" s="4"/>
      <c r="F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5.75" customHeight="1">
      <c r="C190" s="4"/>
      <c r="D190" s="4"/>
      <c r="F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5.75" customHeight="1">
      <c r="C191" s="4"/>
      <c r="D191" s="4"/>
      <c r="F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5.75" customHeight="1">
      <c r="C192" s="4"/>
      <c r="D192" s="4"/>
      <c r="F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5.75" customHeight="1">
      <c r="C193" s="4"/>
      <c r="D193" s="4"/>
      <c r="F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5.75" customHeight="1">
      <c r="C194" s="4"/>
      <c r="D194" s="4"/>
      <c r="F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5.75" customHeight="1">
      <c r="C195" s="4"/>
      <c r="D195" s="4"/>
      <c r="F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5.75" customHeight="1">
      <c r="C196" s="4"/>
      <c r="D196" s="4"/>
      <c r="F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5.75" customHeight="1">
      <c r="C197" s="4"/>
      <c r="D197" s="4"/>
      <c r="F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5.75" customHeight="1">
      <c r="C198" s="4"/>
      <c r="D198" s="4"/>
      <c r="F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5.75" customHeight="1">
      <c r="C199" s="4"/>
      <c r="D199" s="4"/>
      <c r="F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5.75" customHeight="1">
      <c r="C200" s="4"/>
      <c r="D200" s="4"/>
      <c r="F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5.75" customHeight="1">
      <c r="C201" s="4"/>
      <c r="D201" s="4"/>
      <c r="F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5.75" customHeight="1">
      <c r="C202" s="4"/>
      <c r="D202" s="4"/>
      <c r="F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5.75" customHeight="1">
      <c r="C203" s="4"/>
      <c r="D203" s="4"/>
      <c r="F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5.75" customHeight="1">
      <c r="C204" s="4"/>
      <c r="D204" s="4"/>
      <c r="F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5.75" customHeight="1">
      <c r="C205" s="4"/>
      <c r="D205" s="4"/>
      <c r="F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5.75" customHeight="1">
      <c r="C206" s="4"/>
      <c r="D206" s="4"/>
      <c r="F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5.75" customHeight="1">
      <c r="C207" s="4"/>
      <c r="D207" s="4"/>
      <c r="F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5.75" customHeight="1">
      <c r="C208" s="4"/>
      <c r="D208" s="4"/>
      <c r="F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5.75" customHeight="1">
      <c r="C209" s="4"/>
      <c r="D209" s="4"/>
      <c r="F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5.75" customHeight="1">
      <c r="C210" s="4"/>
      <c r="D210" s="4"/>
      <c r="F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5.75" customHeight="1">
      <c r="C211" s="4"/>
      <c r="D211" s="4"/>
      <c r="F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5.75" customHeight="1">
      <c r="C212" s="4"/>
      <c r="D212" s="4"/>
      <c r="F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5.75" customHeight="1">
      <c r="C213" s="4"/>
      <c r="D213" s="4"/>
      <c r="F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5.75" customHeight="1">
      <c r="C214" s="4"/>
      <c r="D214" s="4"/>
      <c r="F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5.75" customHeight="1">
      <c r="C215" s="4"/>
      <c r="D215" s="4"/>
      <c r="F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5.75" customHeight="1">
      <c r="C216" s="4"/>
      <c r="D216" s="4"/>
      <c r="F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5.75" customHeight="1">
      <c r="C217" s="4"/>
      <c r="D217" s="4"/>
      <c r="F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5.75" customHeight="1">
      <c r="C218" s="4"/>
      <c r="D218" s="4"/>
      <c r="F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5.75" customHeight="1">
      <c r="C219" s="4"/>
      <c r="D219" s="4"/>
      <c r="F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5.75" customHeight="1">
      <c r="C220" s="4"/>
      <c r="D220" s="4"/>
      <c r="F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5.75" customHeight="1">
      <c r="C221" s="4"/>
      <c r="D221" s="4"/>
      <c r="F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5.75" customHeight="1">
      <c r="C222" s="4"/>
      <c r="D222" s="4"/>
      <c r="F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5.75" customHeight="1">
      <c r="C223" s="4"/>
      <c r="D223" s="4"/>
      <c r="F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5.75" customHeight="1">
      <c r="C224" s="4"/>
      <c r="D224" s="4"/>
      <c r="F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5.75" customHeight="1">
      <c r="C225" s="4"/>
      <c r="D225" s="4"/>
      <c r="F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5.75" customHeight="1">
      <c r="C226" s="4"/>
      <c r="D226" s="4"/>
      <c r="F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6:A8"/>
    <mergeCell ref="B6:B8"/>
    <mergeCell ref="C6:C8"/>
    <mergeCell ref="E6:E8"/>
    <mergeCell ref="F6:F8"/>
    <mergeCell ref="G6:G8"/>
    <mergeCell ref="H6:H8"/>
    <mergeCell ref="I6:I8"/>
    <mergeCell ref="J6:J8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D6:AD8"/>
    <mergeCell ref="AE6:AF6"/>
    <mergeCell ref="AG6:AG8"/>
    <mergeCell ref="W6:W7"/>
    <mergeCell ref="X6:X7"/>
    <mergeCell ref="Y6:Y7"/>
    <mergeCell ref="Z6:Z7"/>
    <mergeCell ref="AA6:AA7"/>
    <mergeCell ref="AB6:AB7"/>
    <mergeCell ref="AC6:AC7"/>
  </mergeCells>
  <printOptions/>
  <pageMargins bottom="0.75" footer="0.0" header="0.0" left="0.7" right="0.7" top="0.75"/>
  <pageSetup paperSize="9" orientation="portrait"/>
  <colBreaks count="2" manualBreakCount="2">
    <brk id="4" man="1"/>
    <brk id="9" man="1"/>
  </colBreaks>
  <drawing r:id="rId1"/>
</worksheet>
</file>