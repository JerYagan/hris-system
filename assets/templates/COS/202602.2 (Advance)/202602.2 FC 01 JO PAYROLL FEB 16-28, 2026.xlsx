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APACER BACKUP\ATI 11-16-2022\PAYROLL MICH\COS\COS 2026\COS Payroll 2026\202602.2 (Advance)\"/>
    </mc:Choice>
  </mc:AlternateContent>
  <xr:revisionPtr revIDLastSave="0" documentId="8_{6FC29F6A-F4B8-42DF-B120-C1726D967DB7}" xr6:coauthVersionLast="47" xr6:coauthVersionMax="47" xr10:uidLastSave="{00000000-0000-0000-0000-000000000000}"/>
  <bookViews>
    <workbookView xWindow="10320" yWindow="840" windowWidth="17970" windowHeight="15360" xr2:uid="{00000000-000D-0000-FFFF-FFFF00000000}"/>
  </bookViews>
  <sheets>
    <sheet name="MASTER DATA" sheetId="1" r:id="rId1"/>
    <sheet name="GENERAL PAYROLL" sheetId="2" r:id="rId2"/>
    <sheet name="TXTLIST" sheetId="3" r:id="rId3"/>
    <sheet name="MONTHLY SALARY" sheetId="4" r:id="rId4"/>
    <sheet name="PREMIUM" sheetId="5" r:id="rId5"/>
    <sheet name="CODE" sheetId="6" r:id="rId6"/>
    <sheet name="CODE 2" sheetId="7" r:id="rId7"/>
    <sheet name="Pivot Table 1" sheetId="8" state="hidden" r:id="rId8"/>
  </sheets>
  <definedNames>
    <definedName name="_xlnm._FilterDatabase" localSheetId="1" hidden="1">'GENERAL PAYROLL'!$AD$19:$AD$87</definedName>
  </definedNames>
  <calcPr calcId="191029"/>
  <pivotCaches>
    <pivotCache cacheId="17" r:id="rId9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6" l="1"/>
  <c r="B71" i="6"/>
  <c r="C70" i="6"/>
  <c r="B70" i="6"/>
  <c r="C69" i="6"/>
  <c r="B69" i="6"/>
  <c r="C68" i="6"/>
  <c r="B68" i="6"/>
  <c r="C67" i="6"/>
  <c r="B67" i="6"/>
  <c r="C66" i="6"/>
  <c r="B66" i="6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C56" i="6"/>
  <c r="B56" i="6"/>
  <c r="C55" i="6"/>
  <c r="B55" i="6"/>
  <c r="C54" i="6"/>
  <c r="B54" i="6"/>
  <c r="C53" i="6"/>
  <c r="B53" i="6"/>
  <c r="C52" i="6"/>
  <c r="B52" i="6"/>
  <c r="C51" i="6"/>
  <c r="B51" i="6"/>
  <c r="C50" i="6"/>
  <c r="B50" i="6"/>
  <c r="C49" i="6"/>
  <c r="B49" i="6"/>
  <c r="C48" i="6"/>
  <c r="B48" i="6"/>
  <c r="C47" i="6"/>
  <c r="B47" i="6"/>
  <c r="C46" i="6"/>
  <c r="B46" i="6"/>
  <c r="C45" i="6"/>
  <c r="B45" i="6"/>
  <c r="C44" i="6"/>
  <c r="B44" i="6"/>
  <c r="C43" i="6"/>
  <c r="B43" i="6"/>
  <c r="C42" i="6"/>
  <c r="B42" i="6"/>
  <c r="C41" i="6"/>
  <c r="B41" i="6"/>
  <c r="C40" i="6"/>
  <c r="B40" i="6"/>
  <c r="C39" i="6"/>
  <c r="B39" i="6"/>
  <c r="C38" i="6"/>
  <c r="B38" i="6"/>
  <c r="C37" i="6"/>
  <c r="B37" i="6"/>
  <c r="B36" i="6"/>
  <c r="C35" i="6"/>
  <c r="B35" i="6"/>
  <c r="C34" i="6"/>
  <c r="B34" i="6"/>
  <c r="C33" i="6"/>
  <c r="B33" i="6"/>
  <c r="C32" i="6"/>
  <c r="B32" i="6"/>
  <c r="C31" i="6"/>
  <c r="B31" i="6"/>
  <c r="C30" i="6"/>
  <c r="B30" i="6"/>
  <c r="C29" i="6"/>
  <c r="B29" i="6"/>
  <c r="C28" i="6"/>
  <c r="B28" i="6"/>
  <c r="C27" i="6"/>
  <c r="B27" i="6"/>
  <c r="C26" i="6"/>
  <c r="B26" i="6"/>
  <c r="C25" i="6"/>
  <c r="B25" i="6"/>
  <c r="C24" i="6"/>
  <c r="B24" i="6"/>
  <c r="C23" i="6"/>
  <c r="B23" i="6"/>
  <c r="C22" i="6"/>
  <c r="B22" i="6"/>
  <c r="C21" i="6"/>
  <c r="B21" i="6"/>
  <c r="C20" i="6"/>
  <c r="B20" i="6"/>
  <c r="C18" i="6"/>
  <c r="B18" i="6"/>
  <c r="C17" i="6"/>
  <c r="B17" i="6"/>
  <c r="C16" i="6"/>
  <c r="B16" i="6"/>
  <c r="C15" i="6"/>
  <c r="B15" i="6"/>
  <c r="C14" i="6"/>
  <c r="B14" i="6"/>
  <c r="C13" i="6"/>
  <c r="B13" i="6"/>
  <c r="B12" i="6"/>
  <c r="B11" i="6"/>
  <c r="C10" i="6"/>
  <c r="B10" i="6"/>
  <c r="C9" i="6"/>
  <c r="B9" i="6"/>
  <c r="C8" i="6"/>
  <c r="B8" i="6"/>
  <c r="C7" i="6"/>
  <c r="B7" i="6"/>
  <c r="C6" i="6"/>
  <c r="B6" i="6"/>
  <c r="E37" i="2" s="1"/>
  <c r="C5" i="6"/>
  <c r="B5" i="6"/>
  <c r="T4" i="6"/>
  <c r="Q4" i="6"/>
  <c r="L4" i="6"/>
  <c r="N4" i="6" s="1"/>
  <c r="N3" i="6" s="1"/>
  <c r="C4" i="6"/>
  <c r="B4" i="6"/>
  <c r="T3" i="6"/>
  <c r="Q3" i="6"/>
  <c r="J3" i="6"/>
  <c r="AE70" i="5"/>
  <c r="AA70" i="5"/>
  <c r="Z70" i="5"/>
  <c r="X70" i="5"/>
  <c r="W70" i="5"/>
  <c r="U70" i="5"/>
  <c r="T70" i="5"/>
  <c r="R70" i="5"/>
  <c r="Q70" i="5"/>
  <c r="O70" i="5"/>
  <c r="N70" i="5"/>
  <c r="L70" i="5"/>
  <c r="K70" i="5"/>
  <c r="AB69" i="5"/>
  <c r="Y69" i="5"/>
  <c r="V69" i="5"/>
  <c r="S69" i="5"/>
  <c r="P69" i="5"/>
  <c r="M69" i="5"/>
  <c r="A69" i="5"/>
  <c r="AB68" i="5"/>
  <c r="Y68" i="5"/>
  <c r="V68" i="5"/>
  <c r="S68" i="5"/>
  <c r="P68" i="5"/>
  <c r="M68" i="5"/>
  <c r="AC68" i="5" s="1"/>
  <c r="AD68" i="5" s="1"/>
  <c r="A68" i="5"/>
  <c r="AB67" i="5"/>
  <c r="Y67" i="5"/>
  <c r="V67" i="5"/>
  <c r="S67" i="5"/>
  <c r="P67" i="5"/>
  <c r="M67" i="5"/>
  <c r="A67" i="5"/>
  <c r="AB66" i="5"/>
  <c r="Y66" i="5"/>
  <c r="V66" i="5"/>
  <c r="S66" i="5"/>
  <c r="P66" i="5"/>
  <c r="M66" i="5"/>
  <c r="AC66" i="5" s="1"/>
  <c r="AD66" i="5" s="1"/>
  <c r="A66" i="5"/>
  <c r="AB65" i="5"/>
  <c r="Y65" i="5"/>
  <c r="V65" i="5"/>
  <c r="S65" i="5"/>
  <c r="P65" i="5"/>
  <c r="M65" i="5"/>
  <c r="A65" i="5"/>
  <c r="AC64" i="5"/>
  <c r="AD64" i="5" s="1"/>
  <c r="AB64" i="5"/>
  <c r="Y64" i="5"/>
  <c r="V64" i="5"/>
  <c r="S64" i="5"/>
  <c r="P64" i="5"/>
  <c r="M64" i="5"/>
  <c r="A64" i="5"/>
  <c r="AB63" i="5"/>
  <c r="Y63" i="5"/>
  <c r="V63" i="5"/>
  <c r="S63" i="5"/>
  <c r="P63" i="5"/>
  <c r="M63" i="5"/>
  <c r="AC63" i="5" s="1"/>
  <c r="AD63" i="5" s="1"/>
  <c r="A63" i="5"/>
  <c r="AB62" i="5"/>
  <c r="Y62" i="5"/>
  <c r="V62" i="5"/>
  <c r="S62" i="5"/>
  <c r="P62" i="5"/>
  <c r="M62" i="5"/>
  <c r="A62" i="5"/>
  <c r="AB61" i="5"/>
  <c r="Y61" i="5"/>
  <c r="V61" i="5"/>
  <c r="S61" i="5"/>
  <c r="P61" i="5"/>
  <c r="M61" i="5"/>
  <c r="AC61" i="5" s="1"/>
  <c r="AD61" i="5" s="1"/>
  <c r="A61" i="5"/>
  <c r="AD60" i="5"/>
  <c r="AC60" i="5"/>
  <c r="AB60" i="5"/>
  <c r="Y60" i="5"/>
  <c r="V60" i="5"/>
  <c r="S60" i="5"/>
  <c r="P60" i="5"/>
  <c r="M60" i="5"/>
  <c r="A60" i="5"/>
  <c r="AB59" i="5"/>
  <c r="Y59" i="5"/>
  <c r="V59" i="5"/>
  <c r="S59" i="5"/>
  <c r="P59" i="5"/>
  <c r="M59" i="5"/>
  <c r="A59" i="5"/>
  <c r="AF58" i="5"/>
  <c r="AE58" i="5"/>
  <c r="AB58" i="5"/>
  <c r="Y58" i="5"/>
  <c r="V58" i="5"/>
  <c r="S58" i="5"/>
  <c r="P58" i="5"/>
  <c r="AC58" i="5" s="1"/>
  <c r="AD58" i="5" s="1"/>
  <c r="M58" i="5"/>
  <c r="A58" i="5"/>
  <c r="AE57" i="5"/>
  <c r="AB57" i="5"/>
  <c r="Y57" i="5"/>
  <c r="AC57" i="5" s="1"/>
  <c r="AD57" i="5" s="1"/>
  <c r="V57" i="5"/>
  <c r="S57" i="5"/>
  <c r="P57" i="5"/>
  <c r="M57" i="5"/>
  <c r="A57" i="5"/>
  <c r="AB56" i="5"/>
  <c r="Y56" i="5"/>
  <c r="V56" i="5"/>
  <c r="S56" i="5"/>
  <c r="P56" i="5"/>
  <c r="M56" i="5"/>
  <c r="AC56" i="5" s="1"/>
  <c r="AD56" i="5" s="1"/>
  <c r="A56" i="5"/>
  <c r="AE55" i="5"/>
  <c r="AB55" i="5"/>
  <c r="Y55" i="5"/>
  <c r="V55" i="5"/>
  <c r="S55" i="5"/>
  <c r="P55" i="5"/>
  <c r="M55" i="5"/>
  <c r="A55" i="5"/>
  <c r="AB54" i="5"/>
  <c r="Y54" i="5"/>
  <c r="V54" i="5"/>
  <c r="S54" i="5"/>
  <c r="P54" i="5"/>
  <c r="M54" i="5"/>
  <c r="AC54" i="5" s="1"/>
  <c r="AD54" i="5" s="1"/>
  <c r="A54" i="5"/>
  <c r="AE53" i="5"/>
  <c r="AB53" i="5"/>
  <c r="Y53" i="5"/>
  <c r="V53" i="5"/>
  <c r="S53" i="5"/>
  <c r="AC53" i="5" s="1"/>
  <c r="AD53" i="5" s="1"/>
  <c r="P53" i="5"/>
  <c r="M53" i="5"/>
  <c r="A53" i="5"/>
  <c r="AB52" i="5"/>
  <c r="Y52" i="5"/>
  <c r="V52" i="5"/>
  <c r="S52" i="5"/>
  <c r="P52" i="5"/>
  <c r="M52" i="5"/>
  <c r="A52" i="5"/>
  <c r="AE51" i="5"/>
  <c r="AB51" i="5"/>
  <c r="Y51" i="5"/>
  <c r="V51" i="5"/>
  <c r="S51" i="5"/>
  <c r="P51" i="5"/>
  <c r="M51" i="5"/>
  <c r="AC51" i="5" s="1"/>
  <c r="AD51" i="5" s="1"/>
  <c r="A51" i="5"/>
  <c r="AB50" i="5"/>
  <c r="Y50" i="5"/>
  <c r="AC50" i="5" s="1"/>
  <c r="AD50" i="5" s="1"/>
  <c r="V50" i="5"/>
  <c r="S50" i="5"/>
  <c r="P50" i="5"/>
  <c r="M50" i="5"/>
  <c r="A50" i="5"/>
  <c r="AB49" i="5"/>
  <c r="Y49" i="5"/>
  <c r="V49" i="5"/>
  <c r="S49" i="5"/>
  <c r="P49" i="5"/>
  <c r="M49" i="5"/>
  <c r="A49" i="5"/>
  <c r="AB48" i="5"/>
  <c r="Y48" i="5"/>
  <c r="V48" i="5"/>
  <c r="S48" i="5"/>
  <c r="P48" i="5"/>
  <c r="M48" i="5"/>
  <c r="A48" i="5"/>
  <c r="AC47" i="5"/>
  <c r="AD47" i="5" s="1"/>
  <c r="AB47" i="5"/>
  <c r="Y47" i="5"/>
  <c r="V47" i="5"/>
  <c r="S47" i="5"/>
  <c r="P47" i="5"/>
  <c r="M47" i="5"/>
  <c r="A47" i="5"/>
  <c r="AC46" i="5"/>
  <c r="AD46" i="5" s="1"/>
  <c r="AB46" i="5"/>
  <c r="Y46" i="5"/>
  <c r="V46" i="5"/>
  <c r="S46" i="5"/>
  <c r="P46" i="5"/>
  <c r="M46" i="5"/>
  <c r="A46" i="5"/>
  <c r="AB45" i="5"/>
  <c r="Y45" i="5"/>
  <c r="V45" i="5"/>
  <c r="S45" i="5"/>
  <c r="P45" i="5"/>
  <c r="M45" i="5"/>
  <c r="AC45" i="5" s="1"/>
  <c r="AD45" i="5" s="1"/>
  <c r="A45" i="5"/>
  <c r="AE44" i="5"/>
  <c r="AB44" i="5"/>
  <c r="Y44" i="5"/>
  <c r="V44" i="5"/>
  <c r="S44" i="5"/>
  <c r="P44" i="5"/>
  <c r="M44" i="5"/>
  <c r="AC44" i="5" s="1"/>
  <c r="AD44" i="5" s="1"/>
  <c r="A44" i="5"/>
  <c r="AB43" i="5"/>
  <c r="Y43" i="5"/>
  <c r="V43" i="5"/>
  <c r="AC43" i="5" s="1"/>
  <c r="AD43" i="5" s="1"/>
  <c r="S43" i="5"/>
  <c r="P43" i="5"/>
  <c r="M43" i="5"/>
  <c r="A43" i="5"/>
  <c r="AB42" i="5"/>
  <c r="Y42" i="5"/>
  <c r="V42" i="5"/>
  <c r="S42" i="5"/>
  <c r="P42" i="5"/>
  <c r="M42" i="5"/>
  <c r="A42" i="5"/>
  <c r="AG41" i="5"/>
  <c r="AF41" i="5"/>
  <c r="AB41" i="5"/>
  <c r="Y41" i="5"/>
  <c r="V41" i="5"/>
  <c r="S41" i="5"/>
  <c r="P41" i="5"/>
  <c r="M41" i="5"/>
  <c r="AC41" i="5" s="1"/>
  <c r="AD41" i="5" s="1"/>
  <c r="A41" i="5"/>
  <c r="AB40" i="5"/>
  <c r="Y40" i="5"/>
  <c r="V40" i="5"/>
  <c r="AC40" i="5" s="1"/>
  <c r="AD40" i="5" s="1"/>
  <c r="S40" i="5"/>
  <c r="P40" i="5"/>
  <c r="M40" i="5"/>
  <c r="A40" i="5"/>
  <c r="AF39" i="5"/>
  <c r="AB39" i="5"/>
  <c r="Y39" i="5"/>
  <c r="V39" i="5"/>
  <c r="S39" i="5"/>
  <c r="P39" i="5"/>
  <c r="M39" i="5"/>
  <c r="AC39" i="5" s="1"/>
  <c r="AD39" i="5" s="1"/>
  <c r="A39" i="5"/>
  <c r="AB38" i="5"/>
  <c r="Y38" i="5"/>
  <c r="V38" i="5"/>
  <c r="S38" i="5"/>
  <c r="P38" i="5"/>
  <c r="M38" i="5"/>
  <c r="AC38" i="5" s="1"/>
  <c r="AD38" i="5" s="1"/>
  <c r="A38" i="5"/>
  <c r="AB37" i="5"/>
  <c r="Y37" i="5"/>
  <c r="V37" i="5"/>
  <c r="S37" i="5"/>
  <c r="P37" i="5"/>
  <c r="M37" i="5"/>
  <c r="A37" i="5"/>
  <c r="AB36" i="5"/>
  <c r="Y36" i="5"/>
  <c r="V36" i="5"/>
  <c r="S36" i="5"/>
  <c r="AC36" i="5" s="1"/>
  <c r="AD36" i="5" s="1"/>
  <c r="P36" i="5"/>
  <c r="M36" i="5"/>
  <c r="A36" i="5"/>
  <c r="AB35" i="5"/>
  <c r="Y35" i="5"/>
  <c r="V35" i="5"/>
  <c r="S35" i="5"/>
  <c r="P35" i="5"/>
  <c r="M35" i="5"/>
  <c r="A35" i="5"/>
  <c r="AE34" i="5"/>
  <c r="AC34" i="5"/>
  <c r="AD34" i="5" s="1"/>
  <c r="AB34" i="5"/>
  <c r="Y34" i="5"/>
  <c r="V34" i="5"/>
  <c r="S34" i="5"/>
  <c r="P34" i="5"/>
  <c r="M34" i="5"/>
  <c r="A34" i="5"/>
  <c r="AB33" i="5"/>
  <c r="Y33" i="5"/>
  <c r="V33" i="5"/>
  <c r="S33" i="5"/>
  <c r="P33" i="5"/>
  <c r="M33" i="5"/>
  <c r="A33" i="5"/>
  <c r="AC32" i="5"/>
  <c r="AD32" i="5" s="1"/>
  <c r="AB32" i="5"/>
  <c r="Y32" i="5"/>
  <c r="V32" i="5"/>
  <c r="S32" i="5"/>
  <c r="P32" i="5"/>
  <c r="M32" i="5"/>
  <c r="A32" i="5"/>
  <c r="AB31" i="5"/>
  <c r="Y31" i="5"/>
  <c r="V31" i="5"/>
  <c r="S31" i="5"/>
  <c r="P31" i="5"/>
  <c r="M31" i="5"/>
  <c r="A31" i="5"/>
  <c r="AB30" i="5"/>
  <c r="Y30" i="5"/>
  <c r="V30" i="5"/>
  <c r="S30" i="5"/>
  <c r="AC30" i="5" s="1"/>
  <c r="AD30" i="5" s="1"/>
  <c r="P30" i="5"/>
  <c r="M30" i="5"/>
  <c r="A30" i="5"/>
  <c r="AB29" i="5"/>
  <c r="Y29" i="5"/>
  <c r="V29" i="5"/>
  <c r="S29" i="5"/>
  <c r="P29" i="5"/>
  <c r="M29" i="5"/>
  <c r="A29" i="5"/>
  <c r="AB28" i="5"/>
  <c r="Y28" i="5"/>
  <c r="V28" i="5"/>
  <c r="S28" i="5"/>
  <c r="P28" i="5"/>
  <c r="M28" i="5"/>
  <c r="A28" i="5"/>
  <c r="AD27" i="5"/>
  <c r="AC27" i="5"/>
  <c r="AB27" i="5"/>
  <c r="Y27" i="5"/>
  <c r="V27" i="5"/>
  <c r="S27" i="5"/>
  <c r="P27" i="5"/>
  <c r="M27" i="5"/>
  <c r="A27" i="5"/>
  <c r="AB26" i="5"/>
  <c r="Y26" i="5"/>
  <c r="V26" i="5"/>
  <c r="S26" i="5"/>
  <c r="P26" i="5"/>
  <c r="M26" i="5"/>
  <c r="A26" i="5"/>
  <c r="AG25" i="5"/>
  <c r="AB25" i="5"/>
  <c r="Y25" i="5"/>
  <c r="V25" i="5"/>
  <c r="S25" i="5"/>
  <c r="P25" i="5"/>
  <c r="M25" i="5"/>
  <c r="AC25" i="5" s="1"/>
  <c r="AD25" i="5" s="1"/>
  <c r="AF25" i="5" s="1"/>
  <c r="A25" i="5"/>
  <c r="AE24" i="5"/>
  <c r="AB24" i="5"/>
  <c r="AC24" i="5" s="1"/>
  <c r="AD24" i="5" s="1"/>
  <c r="Y24" i="5"/>
  <c r="V24" i="5"/>
  <c r="S24" i="5"/>
  <c r="P24" i="5"/>
  <c r="M24" i="5"/>
  <c r="A24" i="5"/>
  <c r="AB23" i="5"/>
  <c r="Y23" i="5"/>
  <c r="V23" i="5"/>
  <c r="S23" i="5"/>
  <c r="P23" i="5"/>
  <c r="M23" i="5"/>
  <c r="AC23" i="5" s="1"/>
  <c r="AD23" i="5" s="1"/>
  <c r="A23" i="5"/>
  <c r="AB22" i="5"/>
  <c r="Y22" i="5"/>
  <c r="V22" i="5"/>
  <c r="S22" i="5"/>
  <c r="P22" i="5"/>
  <c r="M22" i="5"/>
  <c r="A22" i="5"/>
  <c r="AB21" i="5"/>
  <c r="Y21" i="5"/>
  <c r="V21" i="5"/>
  <c r="S21" i="5"/>
  <c r="P21" i="5"/>
  <c r="M21" i="5"/>
  <c r="AC21" i="5" s="1"/>
  <c r="AD21" i="5" s="1"/>
  <c r="A21" i="5"/>
  <c r="AB20" i="5"/>
  <c r="AC20" i="5" s="1"/>
  <c r="AD20" i="5" s="1"/>
  <c r="Y20" i="5"/>
  <c r="V20" i="5"/>
  <c r="S20" i="5"/>
  <c r="P20" i="5"/>
  <c r="M20" i="5"/>
  <c r="A20" i="5"/>
  <c r="AB19" i="5"/>
  <c r="Y19" i="5"/>
  <c r="V19" i="5"/>
  <c r="S19" i="5"/>
  <c r="P19" i="5"/>
  <c r="M19" i="5"/>
  <c r="A19" i="5"/>
  <c r="AD18" i="5"/>
  <c r="AB18" i="5"/>
  <c r="Y18" i="5"/>
  <c r="V18" i="5"/>
  <c r="S18" i="5"/>
  <c r="P18" i="5"/>
  <c r="M18" i="5"/>
  <c r="AC18" i="5" s="1"/>
  <c r="A18" i="5"/>
  <c r="AC17" i="5"/>
  <c r="AD17" i="5" s="1"/>
  <c r="AB17" i="5"/>
  <c r="Y17" i="5"/>
  <c r="V17" i="5"/>
  <c r="S17" i="5"/>
  <c r="P17" i="5"/>
  <c r="M17" i="5"/>
  <c r="A17" i="5"/>
  <c r="AB16" i="5"/>
  <c r="Y16" i="5"/>
  <c r="V16" i="5"/>
  <c r="S16" i="5"/>
  <c r="P16" i="5"/>
  <c r="M16" i="5"/>
  <c r="AC16" i="5" s="1"/>
  <c r="AD16" i="5" s="1"/>
  <c r="A16" i="5"/>
  <c r="AB15" i="5"/>
  <c r="Y15" i="5"/>
  <c r="V15" i="5"/>
  <c r="S15" i="5"/>
  <c r="P15" i="5"/>
  <c r="M15" i="5"/>
  <c r="A15" i="5"/>
  <c r="AB14" i="5"/>
  <c r="Y14" i="5"/>
  <c r="AC14" i="5" s="1"/>
  <c r="AD14" i="5" s="1"/>
  <c r="V14" i="5"/>
  <c r="S14" i="5"/>
  <c r="P14" i="5"/>
  <c r="M14" i="5"/>
  <c r="A14" i="5"/>
  <c r="AB13" i="5"/>
  <c r="Y13" i="5"/>
  <c r="V13" i="5"/>
  <c r="S13" i="5"/>
  <c r="P13" i="5"/>
  <c r="M13" i="5"/>
  <c r="A13" i="5"/>
  <c r="AB12" i="5"/>
  <c r="Y12" i="5"/>
  <c r="V12" i="5"/>
  <c r="S12" i="5"/>
  <c r="P12" i="5"/>
  <c r="M12" i="5"/>
  <c r="AC12" i="5" s="1"/>
  <c r="AD12" i="5" s="1"/>
  <c r="A12" i="5"/>
  <c r="AB11" i="5"/>
  <c r="Y11" i="5"/>
  <c r="V11" i="5"/>
  <c r="S11" i="5"/>
  <c r="P11" i="5"/>
  <c r="M11" i="5"/>
  <c r="A11" i="5"/>
  <c r="AB10" i="5"/>
  <c r="Y10" i="5"/>
  <c r="V10" i="5"/>
  <c r="S10" i="5"/>
  <c r="S70" i="5" s="1"/>
  <c r="P10" i="5"/>
  <c r="M10" i="5"/>
  <c r="A10" i="5"/>
  <c r="B1" i="3"/>
  <c r="S86" i="2"/>
  <c r="S85" i="2"/>
  <c r="S84" i="2"/>
  <c r="S83" i="2"/>
  <c r="S82" i="2"/>
  <c r="AD54" i="2"/>
  <c r="AB54" i="2"/>
  <c r="AA54" i="2"/>
  <c r="Z54" i="2"/>
  <c r="Y54" i="2"/>
  <c r="X54" i="2"/>
  <c r="W54" i="2"/>
  <c r="U54" i="2"/>
  <c r="AB34" i="2"/>
  <c r="AA34" i="2"/>
  <c r="Z34" i="2"/>
  <c r="Y34" i="2"/>
  <c r="X34" i="2"/>
  <c r="W34" i="2"/>
  <c r="U34" i="2"/>
  <c r="I34" i="2"/>
  <c r="AA21" i="2"/>
  <c r="Y21" i="2"/>
  <c r="X21" i="2"/>
  <c r="W21" i="2"/>
  <c r="U21" i="2"/>
  <c r="G21" i="2"/>
  <c r="E21" i="2"/>
  <c r="AD20" i="2"/>
  <c r="AB20" i="2"/>
  <c r="AA20" i="2"/>
  <c r="Z20" i="2"/>
  <c r="G20" i="2"/>
  <c r="F20" i="2"/>
  <c r="E20" i="2"/>
  <c r="D20" i="2"/>
  <c r="S18" i="2"/>
  <c r="P18" i="2"/>
  <c r="M18" i="2"/>
  <c r="M17" i="2"/>
  <c r="AZ77" i="1"/>
  <c r="AX77" i="1"/>
  <c r="AW77" i="1"/>
  <c r="AV77" i="1"/>
  <c r="AU77" i="1"/>
  <c r="AS77" i="1"/>
  <c r="AP77" i="1"/>
  <c r="AN76" i="1"/>
  <c r="AM76" i="1"/>
  <c r="AL76" i="1"/>
  <c r="AO76" i="1" s="1"/>
  <c r="AK76" i="1"/>
  <c r="AJ76" i="1"/>
  <c r="AI76" i="1"/>
  <c r="Y76" i="1"/>
  <c r="X76" i="1"/>
  <c r="W76" i="1"/>
  <c r="AI75" i="1"/>
  <c r="Q54" i="2" s="1"/>
  <c r="S75" i="1"/>
  <c r="R75" i="1"/>
  <c r="M75" i="1"/>
  <c r="O75" i="1" s="1"/>
  <c r="H75" i="1"/>
  <c r="A75" i="1"/>
  <c r="R74" i="1"/>
  <c r="M74" i="1"/>
  <c r="H74" i="1"/>
  <c r="A74" i="1"/>
  <c r="AI73" i="1"/>
  <c r="R73" i="1"/>
  <c r="N73" i="1"/>
  <c r="H73" i="1"/>
  <c r="M73" i="1" s="1"/>
  <c r="O73" i="1" s="1"/>
  <c r="A73" i="1"/>
  <c r="H72" i="1"/>
  <c r="M72" i="1" s="1"/>
  <c r="A72" i="1"/>
  <c r="M71" i="1"/>
  <c r="H71" i="1"/>
  <c r="A71" i="1"/>
  <c r="R70" i="1"/>
  <c r="O70" i="1"/>
  <c r="H70" i="1"/>
  <c r="M70" i="1" s="1"/>
  <c r="N70" i="1" s="1"/>
  <c r="A70" i="1"/>
  <c r="R69" i="1"/>
  <c r="M69" i="1"/>
  <c r="O69" i="1" s="1"/>
  <c r="H69" i="1"/>
  <c r="A69" i="1"/>
  <c r="R68" i="1"/>
  <c r="H68" i="1"/>
  <c r="M68" i="1" s="1"/>
  <c r="A68" i="1"/>
  <c r="R67" i="1"/>
  <c r="M67" i="1"/>
  <c r="H67" i="1"/>
  <c r="A67" i="1"/>
  <c r="R66" i="1"/>
  <c r="H66" i="1"/>
  <c r="M66" i="1" s="1"/>
  <c r="N66" i="1" s="1"/>
  <c r="A66" i="1"/>
  <c r="R65" i="1"/>
  <c r="H65" i="1"/>
  <c r="M65" i="1" s="1"/>
  <c r="A65" i="1"/>
  <c r="R64" i="1"/>
  <c r="H64" i="1"/>
  <c r="M64" i="1" s="1"/>
  <c r="N64" i="1" s="1"/>
  <c r="A64" i="1"/>
  <c r="R63" i="1"/>
  <c r="H63" i="1"/>
  <c r="M63" i="1" s="1"/>
  <c r="O63" i="1" s="1"/>
  <c r="A63" i="1"/>
  <c r="H62" i="1"/>
  <c r="M62" i="1" s="1"/>
  <c r="N62" i="1" s="1"/>
  <c r="A62" i="1"/>
  <c r="R61" i="1"/>
  <c r="M61" i="1"/>
  <c r="O61" i="1" s="1"/>
  <c r="A61" i="1"/>
  <c r="R60" i="1"/>
  <c r="O60" i="1"/>
  <c r="N60" i="1"/>
  <c r="M60" i="1"/>
  <c r="A60" i="1"/>
  <c r="R59" i="1"/>
  <c r="H59" i="1"/>
  <c r="M59" i="1" s="1"/>
  <c r="A59" i="1"/>
  <c r="R58" i="1"/>
  <c r="H58" i="1"/>
  <c r="M58" i="1" s="1"/>
  <c r="A58" i="1"/>
  <c r="R57" i="1"/>
  <c r="M57" i="1"/>
  <c r="O57" i="1" s="1"/>
  <c r="AC57" i="1" s="1"/>
  <c r="H57" i="1"/>
  <c r="A57" i="1"/>
  <c r="R56" i="1"/>
  <c r="O56" i="1"/>
  <c r="N56" i="1"/>
  <c r="M56" i="1"/>
  <c r="H56" i="1"/>
  <c r="A56" i="1"/>
  <c r="R55" i="1"/>
  <c r="H55" i="1"/>
  <c r="M55" i="1" s="1"/>
  <c r="A55" i="1"/>
  <c r="R54" i="1"/>
  <c r="H54" i="1"/>
  <c r="M54" i="1" s="1"/>
  <c r="A54" i="1"/>
  <c r="R53" i="1"/>
  <c r="H53" i="1"/>
  <c r="M53" i="1" s="1"/>
  <c r="A53" i="1"/>
  <c r="R52" i="1"/>
  <c r="M52" i="1"/>
  <c r="H52" i="1"/>
  <c r="A52" i="1"/>
  <c r="R51" i="1"/>
  <c r="H51" i="1"/>
  <c r="M51" i="1" s="1"/>
  <c r="A51" i="1"/>
  <c r="R50" i="1"/>
  <c r="H50" i="1"/>
  <c r="M50" i="1" s="1"/>
  <c r="A50" i="1"/>
  <c r="R49" i="1"/>
  <c r="H49" i="1"/>
  <c r="M49" i="1" s="1"/>
  <c r="O49" i="1" s="1"/>
  <c r="A49" i="1"/>
  <c r="R48" i="1"/>
  <c r="H48" i="1"/>
  <c r="M48" i="1" s="1"/>
  <c r="A48" i="1"/>
  <c r="AI47" i="1"/>
  <c r="R47" i="1"/>
  <c r="H47" i="1"/>
  <c r="M47" i="1" s="1"/>
  <c r="O47" i="1" s="1"/>
  <c r="A47" i="1"/>
  <c r="R46" i="1"/>
  <c r="H46" i="1"/>
  <c r="M46" i="1" s="1"/>
  <c r="A46" i="1"/>
  <c r="R45" i="1"/>
  <c r="H45" i="1"/>
  <c r="M45" i="1" s="1"/>
  <c r="A45" i="1"/>
  <c r="AI44" i="1"/>
  <c r="W44" i="1"/>
  <c r="R44" i="1"/>
  <c r="S44" i="1" s="1"/>
  <c r="H44" i="1"/>
  <c r="M44" i="1" s="1"/>
  <c r="O44" i="1" s="1"/>
  <c r="A44" i="1"/>
  <c r="R43" i="1"/>
  <c r="H43" i="1"/>
  <c r="M43" i="1" s="1"/>
  <c r="A43" i="1"/>
  <c r="R42" i="1"/>
  <c r="H42" i="1"/>
  <c r="M42" i="1" s="1"/>
  <c r="O42" i="1" s="1"/>
  <c r="A42" i="1"/>
  <c r="R41" i="1"/>
  <c r="H41" i="1"/>
  <c r="M41" i="1" s="1"/>
  <c r="A41" i="1"/>
  <c r="M40" i="1"/>
  <c r="N40" i="1" s="1"/>
  <c r="H40" i="1"/>
  <c r="A40" i="1"/>
  <c r="R39" i="1"/>
  <c r="H39" i="1"/>
  <c r="M39" i="1" s="1"/>
  <c r="A39" i="1"/>
  <c r="AI38" i="1"/>
  <c r="W38" i="1"/>
  <c r="P38" i="1"/>
  <c r="AJ38" i="1" s="1"/>
  <c r="H38" i="1"/>
  <c r="M38" i="1" s="1"/>
  <c r="O38" i="1" s="1"/>
  <c r="AC38" i="1" s="1"/>
  <c r="AL38" i="1" s="1"/>
  <c r="A38" i="1"/>
  <c r="H37" i="1"/>
  <c r="M37" i="1" s="1"/>
  <c r="A37" i="1"/>
  <c r="W36" i="1"/>
  <c r="O36" i="1"/>
  <c r="H36" i="1"/>
  <c r="M36" i="1" s="1"/>
  <c r="N36" i="1" s="1"/>
  <c r="A36" i="1"/>
  <c r="H35" i="1"/>
  <c r="M35" i="1" s="1"/>
  <c r="A35" i="1"/>
  <c r="M34" i="1"/>
  <c r="H34" i="1"/>
  <c r="A34" i="1"/>
  <c r="M33" i="1"/>
  <c r="O33" i="1" s="1"/>
  <c r="H33" i="1"/>
  <c r="A33" i="1"/>
  <c r="H32" i="1"/>
  <c r="M32" i="1" s="1"/>
  <c r="A32" i="1"/>
  <c r="H31" i="1"/>
  <c r="M31" i="1" s="1"/>
  <c r="A31" i="1"/>
  <c r="R30" i="1"/>
  <c r="H30" i="1"/>
  <c r="M30" i="1" s="1"/>
  <c r="A30" i="1"/>
  <c r="R29" i="1"/>
  <c r="M29" i="1"/>
  <c r="A29" i="1"/>
  <c r="R28" i="1"/>
  <c r="S28" i="1" s="1"/>
  <c r="O28" i="1"/>
  <c r="M28" i="1"/>
  <c r="N28" i="1" s="1"/>
  <c r="H28" i="1"/>
  <c r="A28" i="1"/>
  <c r="R27" i="1"/>
  <c r="H27" i="1"/>
  <c r="M27" i="1" s="1"/>
  <c r="A27" i="1"/>
  <c r="R26" i="1"/>
  <c r="H26" i="1"/>
  <c r="M26" i="1" s="1"/>
  <c r="N26" i="1" s="1"/>
  <c r="A26" i="1"/>
  <c r="R25" i="1"/>
  <c r="H25" i="1"/>
  <c r="M25" i="1" s="1"/>
  <c r="A25" i="1"/>
  <c r="S24" i="1"/>
  <c r="R24" i="1"/>
  <c r="O24" i="1"/>
  <c r="P24" i="1" s="1"/>
  <c r="M24" i="1"/>
  <c r="N24" i="1" s="1"/>
  <c r="J34" i="2" s="1"/>
  <c r="A24" i="1"/>
  <c r="AI23" i="1"/>
  <c r="R23" i="1"/>
  <c r="O23" i="1"/>
  <c r="M23" i="1"/>
  <c r="N23" i="1" s="1"/>
  <c r="A23" i="1"/>
  <c r="R22" i="1"/>
  <c r="O22" i="1"/>
  <c r="P22" i="1" s="1"/>
  <c r="N22" i="1"/>
  <c r="M22" i="1"/>
  <c r="H22" i="1"/>
  <c r="A22" i="1"/>
  <c r="AI21" i="1"/>
  <c r="AC21" i="1"/>
  <c r="R21" i="1"/>
  <c r="N21" i="1"/>
  <c r="H21" i="1"/>
  <c r="M21" i="1" s="1"/>
  <c r="O21" i="1" s="1"/>
  <c r="A21" i="1"/>
  <c r="R20" i="1"/>
  <c r="M20" i="1"/>
  <c r="N20" i="1" s="1"/>
  <c r="H20" i="1"/>
  <c r="A20" i="1"/>
  <c r="R19" i="1"/>
  <c r="H19" i="1"/>
  <c r="M19" i="1" s="1"/>
  <c r="O19" i="1" s="1"/>
  <c r="A19" i="1"/>
  <c r="R18" i="1"/>
  <c r="O18" i="1"/>
  <c r="M18" i="1"/>
  <c r="N18" i="1" s="1"/>
  <c r="H18" i="1"/>
  <c r="A18" i="1"/>
  <c r="AI17" i="1"/>
  <c r="AC17" i="1"/>
  <c r="R17" i="1"/>
  <c r="N17" i="1"/>
  <c r="H17" i="1"/>
  <c r="M17" i="1" s="1"/>
  <c r="O17" i="1" s="1"/>
  <c r="A17" i="1"/>
  <c r="R16" i="1"/>
  <c r="M16" i="1"/>
  <c r="O16" i="1" s="1"/>
  <c r="H16" i="1"/>
  <c r="A16" i="1"/>
  <c r="R15" i="1"/>
  <c r="H15" i="1"/>
  <c r="M15" i="1" s="1"/>
  <c r="O15" i="1" s="1"/>
  <c r="A15" i="1"/>
  <c r="R14" i="1"/>
  <c r="M14" i="1"/>
  <c r="O14" i="1" s="1"/>
  <c r="H14" i="1"/>
  <c r="A14" i="1"/>
  <c r="M13" i="1"/>
  <c r="H13" i="1"/>
  <c r="A13" i="1"/>
  <c r="M12" i="1"/>
  <c r="N12" i="1" s="1"/>
  <c r="A12" i="1"/>
  <c r="M11" i="1"/>
  <c r="O11" i="1" s="1"/>
  <c r="H11" i="1"/>
  <c r="A11" i="1"/>
  <c r="R10" i="1"/>
  <c r="H20" i="2" s="1"/>
  <c r="H10" i="1"/>
  <c r="M10" i="1" s="1"/>
  <c r="A10" i="1"/>
  <c r="AC6" i="1"/>
  <c r="W6" i="1"/>
  <c r="K4" i="6" l="1"/>
  <c r="K3" i="6" s="1"/>
  <c r="AA37" i="2"/>
  <c r="Z37" i="2"/>
  <c r="J37" i="2"/>
  <c r="Y37" i="2"/>
  <c r="I37" i="2"/>
  <c r="X37" i="2"/>
  <c r="AB37" i="2"/>
  <c r="W37" i="2"/>
  <c r="U37" i="2"/>
  <c r="N37" i="2"/>
  <c r="AD37" i="2"/>
  <c r="AC49" i="1"/>
  <c r="W49" i="1"/>
  <c r="AL49" i="1" s="1"/>
  <c r="S49" i="1"/>
  <c r="AI49" i="1"/>
  <c r="P49" i="1"/>
  <c r="O45" i="1"/>
  <c r="N45" i="1"/>
  <c r="O55" i="1"/>
  <c r="N55" i="1"/>
  <c r="P69" i="1"/>
  <c r="AI69" i="1"/>
  <c r="AC69" i="1"/>
  <c r="W69" i="1"/>
  <c r="S69" i="1"/>
  <c r="N41" i="1"/>
  <c r="O41" i="1"/>
  <c r="O10" i="1"/>
  <c r="N10" i="1"/>
  <c r="J20" i="2" s="1"/>
  <c r="O54" i="1"/>
  <c r="N54" i="1"/>
  <c r="AI14" i="1"/>
  <c r="AC14" i="1"/>
  <c r="W14" i="1"/>
  <c r="AL14" i="1" s="1"/>
  <c r="S14" i="1"/>
  <c r="P14" i="1"/>
  <c r="O50" i="1"/>
  <c r="N50" i="1"/>
  <c r="AJ22" i="1"/>
  <c r="AD22" i="1"/>
  <c r="X22" i="1"/>
  <c r="AM22" i="1" s="1"/>
  <c r="Q22" i="1"/>
  <c r="S33" i="1"/>
  <c r="AI33" i="1"/>
  <c r="AC33" i="1"/>
  <c r="P33" i="1"/>
  <c r="W33" i="1"/>
  <c r="O37" i="1"/>
  <c r="N37" i="1"/>
  <c r="O31" i="1"/>
  <c r="N31" i="1"/>
  <c r="AI16" i="1"/>
  <c r="AC16" i="1"/>
  <c r="W16" i="1"/>
  <c r="S16" i="1"/>
  <c r="P16" i="1"/>
  <c r="AJ24" i="1"/>
  <c r="X24" i="1"/>
  <c r="AD24" i="1"/>
  <c r="Q24" i="1"/>
  <c r="P11" i="1"/>
  <c r="AI11" i="1"/>
  <c r="Q21" i="2" s="1"/>
  <c r="I21" i="2"/>
  <c r="AF17" i="5"/>
  <c r="AG17" i="5" s="1"/>
  <c r="S11" i="1"/>
  <c r="N14" i="1"/>
  <c r="AD38" i="1"/>
  <c r="O43" i="1"/>
  <c r="N43" i="1"/>
  <c r="O46" i="1"/>
  <c r="N46" i="1"/>
  <c r="N49" i="1"/>
  <c r="N69" i="1"/>
  <c r="G84" i="2"/>
  <c r="W15" i="1"/>
  <c r="S15" i="1"/>
  <c r="P15" i="1"/>
  <c r="O20" i="1"/>
  <c r="E36" i="2"/>
  <c r="W11" i="1"/>
  <c r="E31" i="2"/>
  <c r="AC15" i="1"/>
  <c r="AI28" i="1"/>
  <c r="Q37" i="2" s="1"/>
  <c r="AC28" i="1"/>
  <c r="O40" i="1"/>
  <c r="O51" i="1"/>
  <c r="N51" i="1"/>
  <c r="G83" i="2"/>
  <c r="G78" i="2"/>
  <c r="E75" i="2"/>
  <c r="G70" i="2"/>
  <c r="E67" i="2"/>
  <c r="G62" i="2"/>
  <c r="E59" i="2"/>
  <c r="G54" i="2"/>
  <c r="F83" i="2"/>
  <c r="F78" i="2"/>
  <c r="F70" i="2"/>
  <c r="F62" i="2"/>
  <c r="F54" i="2"/>
  <c r="G49" i="2"/>
  <c r="G85" i="2"/>
  <c r="E83" i="2"/>
  <c r="G81" i="2"/>
  <c r="E78" i="2"/>
  <c r="G73" i="2"/>
  <c r="E70" i="2"/>
  <c r="G65" i="2"/>
  <c r="E62" i="2"/>
  <c r="G57" i="2"/>
  <c r="F85" i="2"/>
  <c r="F81" i="2"/>
  <c r="F73" i="2"/>
  <c r="F65" i="2"/>
  <c r="F57" i="2"/>
  <c r="E85" i="2"/>
  <c r="E81" i="2"/>
  <c r="G76" i="2"/>
  <c r="E73" i="2"/>
  <c r="G68" i="2"/>
  <c r="E65" i="2"/>
  <c r="G60" i="2"/>
  <c r="E57" i="2"/>
  <c r="G79" i="2"/>
  <c r="E76" i="2"/>
  <c r="G71" i="2"/>
  <c r="E68" i="2"/>
  <c r="G63" i="2"/>
  <c r="E60" i="2"/>
  <c r="G55" i="2"/>
  <c r="F79" i="2"/>
  <c r="F71" i="2"/>
  <c r="F63" i="2"/>
  <c r="F55" i="2"/>
  <c r="G50" i="2"/>
  <c r="E47" i="2"/>
  <c r="E86" i="2"/>
  <c r="F80" i="2"/>
  <c r="F72" i="2"/>
  <c r="F64" i="2"/>
  <c r="F56" i="2"/>
  <c r="E84" i="2"/>
  <c r="E74" i="2"/>
  <c r="G69" i="2"/>
  <c r="E58" i="2"/>
  <c r="E52" i="2"/>
  <c r="E44" i="2"/>
  <c r="F39" i="2"/>
  <c r="G34" i="2"/>
  <c r="G29" i="2"/>
  <c r="E26" i="2"/>
  <c r="F69" i="2"/>
  <c r="E39" i="2"/>
  <c r="F34" i="2"/>
  <c r="F29" i="2"/>
  <c r="G80" i="2"/>
  <c r="E69" i="2"/>
  <c r="G64" i="2"/>
  <c r="G51" i="2"/>
  <c r="G47" i="2"/>
  <c r="G42" i="2"/>
  <c r="G32" i="2"/>
  <c r="E29" i="2"/>
  <c r="G24" i="2"/>
  <c r="E80" i="2"/>
  <c r="G75" i="2"/>
  <c r="E64" i="2"/>
  <c r="G59" i="2"/>
  <c r="F51" i="2"/>
  <c r="F47" i="2"/>
  <c r="F42" i="2"/>
  <c r="G37" i="2"/>
  <c r="F75" i="2"/>
  <c r="F59" i="2"/>
  <c r="F76" i="2"/>
  <c r="F60" i="2"/>
  <c r="G82" i="2"/>
  <c r="E71" i="2"/>
  <c r="G66" i="2"/>
  <c r="G86" i="2"/>
  <c r="F82" i="2"/>
  <c r="F66" i="2"/>
  <c r="F77" i="2"/>
  <c r="F61" i="2"/>
  <c r="F84" i="2"/>
  <c r="G67" i="2"/>
  <c r="F67" i="2"/>
  <c r="E50" i="2"/>
  <c r="E49" i="2"/>
  <c r="E48" i="2"/>
  <c r="G46" i="2"/>
  <c r="F33" i="2"/>
  <c r="E30" i="2"/>
  <c r="E22" i="2"/>
  <c r="F46" i="2"/>
  <c r="E33" i="2"/>
  <c r="F86" i="2"/>
  <c r="G72" i="2"/>
  <c r="E51" i="2"/>
  <c r="E46" i="2"/>
  <c r="G45" i="2"/>
  <c r="G41" i="2"/>
  <c r="E72" i="2"/>
  <c r="F45" i="2"/>
  <c r="F41" i="2"/>
  <c r="G36" i="2"/>
  <c r="E66" i="2"/>
  <c r="G61" i="2"/>
  <c r="G53" i="2"/>
  <c r="G52" i="2"/>
  <c r="E45" i="2"/>
  <c r="E41" i="2"/>
  <c r="G40" i="2"/>
  <c r="F36" i="2"/>
  <c r="F32" i="2"/>
  <c r="G26" i="2"/>
  <c r="G23" i="2"/>
  <c r="G77" i="2"/>
  <c r="E61" i="2"/>
  <c r="E77" i="2"/>
  <c r="E56" i="2"/>
  <c r="E53" i="2"/>
  <c r="E40" i="2"/>
  <c r="F35" i="2"/>
  <c r="E23" i="2"/>
  <c r="G74" i="2"/>
  <c r="E82" i="2"/>
  <c r="F74" i="2"/>
  <c r="E63" i="2"/>
  <c r="G58" i="2"/>
  <c r="F44" i="2"/>
  <c r="G39" i="2"/>
  <c r="E55" i="2"/>
  <c r="F43" i="2"/>
  <c r="G38" i="2"/>
  <c r="E25" i="2"/>
  <c r="G22" i="2"/>
  <c r="G43" i="2"/>
  <c r="F26" i="2"/>
  <c r="F22" i="2"/>
  <c r="E43" i="2"/>
  <c r="F38" i="2"/>
  <c r="G27" i="2"/>
  <c r="E38" i="2"/>
  <c r="G28" i="2"/>
  <c r="F27" i="2"/>
  <c r="E79" i="2"/>
  <c r="G48" i="2"/>
  <c r="F28" i="2"/>
  <c r="E27" i="2"/>
  <c r="F58" i="2"/>
  <c r="F50" i="2"/>
  <c r="F48" i="2"/>
  <c r="E28" i="2"/>
  <c r="G30" i="2"/>
  <c r="G44" i="2"/>
  <c r="G31" i="2"/>
  <c r="F30" i="2"/>
  <c r="F68" i="2"/>
  <c r="E32" i="2"/>
  <c r="F31" i="2"/>
  <c r="E42" i="2"/>
  <c r="F37" i="2"/>
  <c r="F53" i="2"/>
  <c r="G33" i="2"/>
  <c r="F52" i="2"/>
  <c r="G35" i="2"/>
  <c r="G56" i="2"/>
  <c r="F40" i="2"/>
  <c r="E35" i="2"/>
  <c r="F24" i="2"/>
  <c r="E24" i="2"/>
  <c r="F23" i="2"/>
  <c r="F49" i="2"/>
  <c r="W19" i="1"/>
  <c r="S19" i="1"/>
  <c r="P19" i="1"/>
  <c r="P28" i="1"/>
  <c r="AI57" i="1"/>
  <c r="X38" i="1"/>
  <c r="AM38" i="1" s="1"/>
  <c r="Q38" i="1"/>
  <c r="AF43" i="5"/>
  <c r="AG43" i="5" s="1"/>
  <c r="O32" i="1"/>
  <c r="N32" i="1"/>
  <c r="AI24" i="1"/>
  <c r="Q34" i="2" s="1"/>
  <c r="AC24" i="1"/>
  <c r="N34" i="2" s="1"/>
  <c r="N19" i="1"/>
  <c r="AC11" i="1"/>
  <c r="N21" i="2" s="1"/>
  <c r="O65" i="1"/>
  <c r="N65" i="1"/>
  <c r="AI70" i="1"/>
  <c r="S70" i="1"/>
  <c r="AC70" i="1"/>
  <c r="O25" i="1"/>
  <c r="N25" i="1"/>
  <c r="O29" i="1"/>
  <c r="N29" i="1"/>
  <c r="AI18" i="1"/>
  <c r="AC18" i="1"/>
  <c r="W18" i="1"/>
  <c r="AL18" i="1" s="1"/>
  <c r="S18" i="1"/>
  <c r="O34" i="1"/>
  <c r="N34" i="1"/>
  <c r="F25" i="2"/>
  <c r="W23" i="1"/>
  <c r="S23" i="1"/>
  <c r="P23" i="1"/>
  <c r="N58" i="1"/>
  <c r="O58" i="1"/>
  <c r="P70" i="1"/>
  <c r="G25" i="2"/>
  <c r="S57" i="1"/>
  <c r="W57" i="1"/>
  <c r="P57" i="1"/>
  <c r="P18" i="1"/>
  <c r="P42" i="1"/>
  <c r="AC42" i="1"/>
  <c r="W42" i="1"/>
  <c r="AL42" i="1" s="1"/>
  <c r="S42" i="1"/>
  <c r="W17" i="1"/>
  <c r="AL17" i="1" s="1"/>
  <c r="S17" i="1"/>
  <c r="P17" i="1"/>
  <c r="W28" i="1"/>
  <c r="AL28" i="1" s="1"/>
  <c r="O39" i="1"/>
  <c r="N39" i="1"/>
  <c r="N42" i="1"/>
  <c r="O27" i="1"/>
  <c r="N27" i="1"/>
  <c r="O48" i="1"/>
  <c r="N48" i="1"/>
  <c r="S56" i="1"/>
  <c r="AC56" i="1"/>
  <c r="W56" i="1"/>
  <c r="AL56" i="1" s="1"/>
  <c r="P56" i="1"/>
  <c r="AI36" i="1"/>
  <c r="AC36" i="1"/>
  <c r="AC60" i="1"/>
  <c r="W60" i="1"/>
  <c r="S60" i="1"/>
  <c r="P60" i="1"/>
  <c r="O35" i="1"/>
  <c r="N35" i="1"/>
  <c r="AI15" i="1"/>
  <c r="AI19" i="1"/>
  <c r="O30" i="1"/>
  <c r="N30" i="1"/>
  <c r="P36" i="1"/>
  <c r="AI56" i="1"/>
  <c r="W70" i="1"/>
  <c r="AL70" i="1" s="1"/>
  <c r="AC23" i="1"/>
  <c r="O26" i="1"/>
  <c r="O12" i="1"/>
  <c r="N16" i="1"/>
  <c r="N33" i="1"/>
  <c r="P44" i="1"/>
  <c r="AC44" i="1"/>
  <c r="AL44" i="1" s="1"/>
  <c r="AC47" i="1"/>
  <c r="W47" i="1"/>
  <c r="S47" i="1"/>
  <c r="P47" i="1"/>
  <c r="P63" i="1"/>
  <c r="AI63" i="1"/>
  <c r="AC63" i="1"/>
  <c r="W63" i="1"/>
  <c r="AL63" i="1" s="1"/>
  <c r="S63" i="1"/>
  <c r="AL36" i="1"/>
  <c r="N15" i="1"/>
  <c r="O13" i="1"/>
  <c r="N13" i="1"/>
  <c r="AC19" i="1"/>
  <c r="W24" i="1"/>
  <c r="O53" i="1"/>
  <c r="N53" i="1"/>
  <c r="AI22" i="1"/>
  <c r="AC22" i="1"/>
  <c r="W22" i="1"/>
  <c r="S22" i="1"/>
  <c r="W21" i="1"/>
  <c r="AL21" i="1" s="1"/>
  <c r="S21" i="1"/>
  <c r="P21" i="1"/>
  <c r="S36" i="1"/>
  <c r="AI42" i="1"/>
  <c r="N44" i="1"/>
  <c r="N47" i="1"/>
  <c r="AI60" i="1"/>
  <c r="N63" i="1"/>
  <c r="AF24" i="5"/>
  <c r="AG24" i="5" s="1"/>
  <c r="N68" i="1"/>
  <c r="O68" i="1"/>
  <c r="W61" i="1"/>
  <c r="AI61" i="1"/>
  <c r="AC61" i="1"/>
  <c r="O62" i="1"/>
  <c r="AF44" i="5"/>
  <c r="AG44" i="5"/>
  <c r="AG60" i="5"/>
  <c r="AF60" i="5"/>
  <c r="N61" i="1"/>
  <c r="AC75" i="1"/>
  <c r="N54" i="2" s="1"/>
  <c r="W75" i="1"/>
  <c r="P75" i="1"/>
  <c r="I54" i="2"/>
  <c r="N38" i="1"/>
  <c r="P61" i="1"/>
  <c r="O67" i="1"/>
  <c r="N67" i="1"/>
  <c r="N57" i="1"/>
  <c r="O59" i="1"/>
  <c r="N59" i="1"/>
  <c r="AF51" i="5"/>
  <c r="AG51" i="5" s="1"/>
  <c r="S38" i="1"/>
  <c r="S61" i="1"/>
  <c r="O66" i="1"/>
  <c r="O52" i="1"/>
  <c r="N52" i="1"/>
  <c r="O71" i="1"/>
  <c r="N71" i="1"/>
  <c r="O74" i="1"/>
  <c r="N74" i="1"/>
  <c r="N11" i="1"/>
  <c r="J21" i="2" s="1"/>
  <c r="AC73" i="1"/>
  <c r="W73" i="1"/>
  <c r="AL73" i="1" s="1"/>
  <c r="S73" i="1"/>
  <c r="P73" i="1"/>
  <c r="AF20" i="5"/>
  <c r="AG20" i="5" s="1"/>
  <c r="AG50" i="5"/>
  <c r="AF50" i="5"/>
  <c r="AG63" i="5"/>
  <c r="AF63" i="5"/>
  <c r="O72" i="1"/>
  <c r="N72" i="1"/>
  <c r="AF38" i="5"/>
  <c r="AG38" i="5"/>
  <c r="AF61" i="5"/>
  <c r="AG61" i="5"/>
  <c r="AF46" i="5"/>
  <c r="AG46" i="5" s="1"/>
  <c r="AF53" i="5"/>
  <c r="AG53" i="5" s="1"/>
  <c r="AF57" i="5"/>
  <c r="AG57" i="5" s="1"/>
  <c r="AG27" i="5"/>
  <c r="AF27" i="5"/>
  <c r="AF36" i="5"/>
  <c r="AG36" i="5" s="1"/>
  <c r="N75" i="1"/>
  <c r="J54" i="2" s="1"/>
  <c r="D21" i="2"/>
  <c r="AF45" i="5"/>
  <c r="AG45" i="5" s="1"/>
  <c r="AD21" i="2"/>
  <c r="AB21" i="2"/>
  <c r="Z21" i="2"/>
  <c r="O64" i="1"/>
  <c r="AF34" i="5"/>
  <c r="AG34" i="5" s="1"/>
  <c r="AC59" i="5"/>
  <c r="AD59" i="5" s="1"/>
  <c r="M70" i="5"/>
  <c r="AC10" i="5"/>
  <c r="AF16" i="5"/>
  <c r="AG16" i="5" s="1"/>
  <c r="AF12" i="5"/>
  <c r="AG12" i="5" s="1"/>
  <c r="P70" i="5"/>
  <c r="AC26" i="5"/>
  <c r="AD26" i="5" s="1"/>
  <c r="V70" i="5"/>
  <c r="AC52" i="5"/>
  <c r="AD52" i="5" s="1"/>
  <c r="AF66" i="5"/>
  <c r="AG66" i="5"/>
  <c r="AF68" i="5"/>
  <c r="AG68" i="5"/>
  <c r="Y70" i="5"/>
  <c r="AF14" i="5"/>
  <c r="AG14" i="5" s="1"/>
  <c r="AG30" i="5"/>
  <c r="AF30" i="5"/>
  <c r="AF40" i="5"/>
  <c r="AG40" i="5" s="1"/>
  <c r="AF56" i="5"/>
  <c r="AG56" i="5"/>
  <c r="U20" i="2"/>
  <c r="AB70" i="5"/>
  <c r="AF54" i="5"/>
  <c r="AG54" i="5"/>
  <c r="W20" i="2"/>
  <c r="AF18" i="5"/>
  <c r="AG18" i="5" s="1"/>
  <c r="AF32" i="5"/>
  <c r="AG32" i="5" s="1"/>
  <c r="X20" i="2"/>
  <c r="AG23" i="5"/>
  <c r="AF23" i="5"/>
  <c r="I20" i="2"/>
  <c r="Y20" i="2"/>
  <c r="AC19" i="5"/>
  <c r="AD19" i="5" s="1"/>
  <c r="AC31" i="5"/>
  <c r="AD31" i="5" s="1"/>
  <c r="AF21" i="5"/>
  <c r="AG21" i="5"/>
  <c r="AC33" i="5"/>
  <c r="AD33" i="5" s="1"/>
  <c r="AC49" i="5"/>
  <c r="AD49" i="5" s="1"/>
  <c r="AF64" i="5"/>
  <c r="AG64" i="5" s="1"/>
  <c r="AC28" i="5"/>
  <c r="AD28" i="5" s="1"/>
  <c r="AC42" i="5"/>
  <c r="AD42" i="5" s="1"/>
  <c r="AC35" i="5"/>
  <c r="AD35" i="5" s="1"/>
  <c r="AC65" i="5"/>
  <c r="AD65" i="5" s="1"/>
  <c r="AG39" i="5"/>
  <c r="AF47" i="5"/>
  <c r="AG47" i="5" s="1"/>
  <c r="AC13" i="5"/>
  <c r="AD13" i="5" s="1"/>
  <c r="AG58" i="5"/>
  <c r="AC69" i="5"/>
  <c r="AD69" i="5" s="1"/>
  <c r="AC37" i="5"/>
  <c r="AD37" i="5" s="1"/>
  <c r="AC11" i="5"/>
  <c r="AD11" i="5" s="1"/>
  <c r="AC48" i="5"/>
  <c r="AD48" i="5" s="1"/>
  <c r="AC67" i="5"/>
  <c r="AD67" i="5" s="1"/>
  <c r="AC15" i="5"/>
  <c r="AD15" i="5" s="1"/>
  <c r="AC29" i="5"/>
  <c r="AD29" i="5" s="1"/>
  <c r="AC55" i="5"/>
  <c r="AD55" i="5" s="1"/>
  <c r="AC22" i="5"/>
  <c r="AD22" i="5" s="1"/>
  <c r="AC62" i="5"/>
  <c r="AD62" i="5" s="1"/>
  <c r="AL11" i="1" l="1"/>
  <c r="K21" i="2"/>
  <c r="AD35" i="2"/>
  <c r="N35" i="2"/>
  <c r="AB35" i="2"/>
  <c r="J35" i="2"/>
  <c r="I35" i="2"/>
  <c r="AA35" i="2"/>
  <c r="X35" i="2"/>
  <c r="D35" i="2"/>
  <c r="Z35" i="2"/>
  <c r="Y35" i="2"/>
  <c r="W35" i="2"/>
  <c r="U35" i="2"/>
  <c r="Q28" i="2"/>
  <c r="AD28" i="2"/>
  <c r="K28" i="2"/>
  <c r="J28" i="2"/>
  <c r="I28" i="2"/>
  <c r="AB28" i="2"/>
  <c r="AA28" i="2"/>
  <c r="Z28" i="2"/>
  <c r="X28" i="2"/>
  <c r="Y28" i="2"/>
  <c r="W28" i="2"/>
  <c r="D28" i="2"/>
  <c r="U28" i="2"/>
  <c r="N28" i="2"/>
  <c r="AA53" i="2"/>
  <c r="Z53" i="2"/>
  <c r="J53" i="2"/>
  <c r="U53" i="2"/>
  <c r="I53" i="2"/>
  <c r="Y53" i="2"/>
  <c r="AD53" i="2"/>
  <c r="AB53" i="2"/>
  <c r="W53" i="2"/>
  <c r="D53" i="2"/>
  <c r="X53" i="2"/>
  <c r="AB48" i="2"/>
  <c r="X48" i="2"/>
  <c r="W48" i="2"/>
  <c r="U48" i="2"/>
  <c r="D48" i="2"/>
  <c r="AD48" i="2"/>
  <c r="AA48" i="2"/>
  <c r="Z48" i="2"/>
  <c r="K48" i="2"/>
  <c r="N48" i="2"/>
  <c r="J48" i="2"/>
  <c r="I48" i="2"/>
  <c r="Y48" i="2"/>
  <c r="Q48" i="2"/>
  <c r="N84" i="2"/>
  <c r="K84" i="2"/>
  <c r="AB84" i="2"/>
  <c r="J84" i="2"/>
  <c r="D84" i="2"/>
  <c r="AA84" i="2"/>
  <c r="Z84" i="2"/>
  <c r="Y84" i="2"/>
  <c r="X84" i="2"/>
  <c r="U84" i="2"/>
  <c r="W84" i="2"/>
  <c r="I84" i="2"/>
  <c r="U59" i="2"/>
  <c r="D59" i="2"/>
  <c r="Y59" i="2"/>
  <c r="I59" i="2"/>
  <c r="J59" i="2"/>
  <c r="AA59" i="2"/>
  <c r="AD59" i="2"/>
  <c r="X59" i="2"/>
  <c r="W59" i="2"/>
  <c r="AB59" i="2"/>
  <c r="Z59" i="2"/>
  <c r="AI20" i="1"/>
  <c r="AC20" i="1"/>
  <c r="W20" i="1"/>
  <c r="S20" i="1"/>
  <c r="P20" i="1"/>
  <c r="AF65" i="5"/>
  <c r="AG65" i="5" s="1"/>
  <c r="AL22" i="1"/>
  <c r="X63" i="1"/>
  <c r="AM63" i="1" s="1"/>
  <c r="Q63" i="1"/>
  <c r="AJ63" i="1"/>
  <c r="AD63" i="1"/>
  <c r="AI30" i="1"/>
  <c r="AC30" i="1"/>
  <c r="P30" i="1"/>
  <c r="S30" i="1"/>
  <c r="W30" i="1"/>
  <c r="AJ57" i="1"/>
  <c r="Q57" i="1"/>
  <c r="AD57" i="1"/>
  <c r="X57" i="1"/>
  <c r="AM57" i="1" s="1"/>
  <c r="Q56" i="2"/>
  <c r="AD56" i="2"/>
  <c r="N56" i="2"/>
  <c r="W56" i="2"/>
  <c r="Z56" i="2"/>
  <c r="Y56" i="2"/>
  <c r="X56" i="2"/>
  <c r="U56" i="2"/>
  <c r="K56" i="2"/>
  <c r="I56" i="2"/>
  <c r="AB56" i="2"/>
  <c r="AA56" i="2"/>
  <c r="J56" i="2"/>
  <c r="D56" i="2"/>
  <c r="Y49" i="2"/>
  <c r="I49" i="2"/>
  <c r="X49" i="2"/>
  <c r="D49" i="2"/>
  <c r="AD49" i="2"/>
  <c r="AB49" i="2"/>
  <c r="Z49" i="2"/>
  <c r="U49" i="2"/>
  <c r="W49" i="2"/>
  <c r="J49" i="2"/>
  <c r="AA49" i="2"/>
  <c r="AD69" i="2"/>
  <c r="AB69" i="2"/>
  <c r="AA69" i="2"/>
  <c r="K69" i="2"/>
  <c r="U69" i="2"/>
  <c r="D69" i="2"/>
  <c r="Z69" i="2"/>
  <c r="Y69" i="2"/>
  <c r="W69" i="2"/>
  <c r="X69" i="2"/>
  <c r="J69" i="2"/>
  <c r="I69" i="2"/>
  <c r="AB76" i="2"/>
  <c r="AA76" i="2"/>
  <c r="K76" i="2"/>
  <c r="Z76" i="2"/>
  <c r="J76" i="2"/>
  <c r="Y76" i="2"/>
  <c r="I76" i="2"/>
  <c r="X76" i="2"/>
  <c r="U76" i="2"/>
  <c r="D76" i="2"/>
  <c r="Q76" i="2"/>
  <c r="W76" i="2"/>
  <c r="AD76" i="2"/>
  <c r="X62" i="2"/>
  <c r="W62" i="2"/>
  <c r="U62" i="2"/>
  <c r="D62" i="2"/>
  <c r="Q62" i="2"/>
  <c r="AA62" i="2"/>
  <c r="K62" i="2"/>
  <c r="AD62" i="2"/>
  <c r="AB62" i="2"/>
  <c r="Z62" i="2"/>
  <c r="Y62" i="2"/>
  <c r="N62" i="2"/>
  <c r="J62" i="2"/>
  <c r="I62" i="2"/>
  <c r="Q15" i="1"/>
  <c r="AJ15" i="1"/>
  <c r="AD15" i="1"/>
  <c r="X15" i="1"/>
  <c r="AM15" i="1" s="1"/>
  <c r="AC37" i="1"/>
  <c r="AI37" i="1"/>
  <c r="S37" i="1"/>
  <c r="P37" i="1"/>
  <c r="W37" i="1"/>
  <c r="AC45" i="1"/>
  <c r="N59" i="2" s="1"/>
  <c r="AI45" i="1"/>
  <c r="Q59" i="2" s="1"/>
  <c r="W45" i="1"/>
  <c r="AL45" i="1" s="1"/>
  <c r="S45" i="1"/>
  <c r="P45" i="1"/>
  <c r="AA52" i="2"/>
  <c r="K52" i="2"/>
  <c r="Z52" i="2"/>
  <c r="J52" i="2"/>
  <c r="U52" i="2"/>
  <c r="D52" i="2"/>
  <c r="AB52" i="2"/>
  <c r="Y52" i="2"/>
  <c r="X52" i="2"/>
  <c r="W52" i="2"/>
  <c r="N52" i="2"/>
  <c r="I52" i="2"/>
  <c r="AD52" i="2"/>
  <c r="Q52" i="2"/>
  <c r="AC70" i="5"/>
  <c r="AD10" i="5"/>
  <c r="W62" i="1"/>
  <c r="AI62" i="1"/>
  <c r="AC62" i="1"/>
  <c r="N76" i="2" s="1"/>
  <c r="S62" i="1"/>
  <c r="P62" i="1"/>
  <c r="AD40" i="2"/>
  <c r="N40" i="2"/>
  <c r="AB40" i="2"/>
  <c r="AA40" i="2"/>
  <c r="K40" i="2"/>
  <c r="J40" i="2"/>
  <c r="I40" i="2"/>
  <c r="Z40" i="2"/>
  <c r="W40" i="2"/>
  <c r="U40" i="2"/>
  <c r="Y40" i="2"/>
  <c r="X40" i="2"/>
  <c r="Q40" i="2"/>
  <c r="D40" i="2"/>
  <c r="S55" i="1"/>
  <c r="AI55" i="1"/>
  <c r="Q69" i="2" s="1"/>
  <c r="AC55" i="1"/>
  <c r="N69" i="2" s="1"/>
  <c r="P55" i="1"/>
  <c r="W55" i="1"/>
  <c r="AF35" i="5"/>
  <c r="AG35" i="5" s="1"/>
  <c r="AL61" i="1"/>
  <c r="AD47" i="1"/>
  <c r="Q47" i="1"/>
  <c r="X47" i="1"/>
  <c r="AJ47" i="1"/>
  <c r="P48" i="1"/>
  <c r="AI48" i="1"/>
  <c r="AC48" i="1"/>
  <c r="W48" i="1"/>
  <c r="S48" i="1"/>
  <c r="AL57" i="1"/>
  <c r="AI32" i="1"/>
  <c r="S32" i="1"/>
  <c r="P32" i="1"/>
  <c r="AC32" i="1"/>
  <c r="W32" i="1"/>
  <c r="AD25" i="2"/>
  <c r="N25" i="2"/>
  <c r="Q25" i="2"/>
  <c r="J25" i="2"/>
  <c r="D25" i="2"/>
  <c r="AB25" i="2"/>
  <c r="AA25" i="2"/>
  <c r="Z25" i="2"/>
  <c r="Y25" i="2"/>
  <c r="W25" i="2"/>
  <c r="W87" i="2" s="1"/>
  <c r="U25" i="2"/>
  <c r="X25" i="2"/>
  <c r="K25" i="2"/>
  <c r="I25" i="2"/>
  <c r="Q77" i="2"/>
  <c r="AD77" i="2"/>
  <c r="N77" i="2"/>
  <c r="AB77" i="2"/>
  <c r="AA77" i="2"/>
  <c r="K77" i="2"/>
  <c r="U77" i="2"/>
  <c r="D77" i="2"/>
  <c r="X77" i="2"/>
  <c r="W77" i="2"/>
  <c r="J77" i="2"/>
  <c r="I77" i="2"/>
  <c r="Z77" i="2"/>
  <c r="Y77" i="2"/>
  <c r="AD50" i="2"/>
  <c r="Y50" i="2"/>
  <c r="I50" i="2"/>
  <c r="X50" i="2"/>
  <c r="D50" i="2"/>
  <c r="AB50" i="2"/>
  <c r="Z50" i="2"/>
  <c r="U50" i="2"/>
  <c r="J50" i="2"/>
  <c r="AA50" i="2"/>
  <c r="W50" i="2"/>
  <c r="U67" i="2"/>
  <c r="D67" i="2"/>
  <c r="Y67" i="2"/>
  <c r="I67" i="2"/>
  <c r="AB67" i="2"/>
  <c r="AA67" i="2"/>
  <c r="Z67" i="2"/>
  <c r="W67" i="2"/>
  <c r="AD67" i="2"/>
  <c r="J67" i="2"/>
  <c r="AD11" i="1"/>
  <c r="Q11" i="1"/>
  <c r="AJ11" i="1"/>
  <c r="X11" i="1"/>
  <c r="AD49" i="1"/>
  <c r="AJ49" i="1"/>
  <c r="X49" i="1"/>
  <c r="AM49" i="1" s="1"/>
  <c r="Q49" i="1"/>
  <c r="D37" i="2"/>
  <c r="AD58" i="2"/>
  <c r="N58" i="2"/>
  <c r="AB58" i="2"/>
  <c r="Z58" i="2"/>
  <c r="J58" i="2"/>
  <c r="Y58" i="2"/>
  <c r="I58" i="2"/>
  <c r="D58" i="2"/>
  <c r="AA58" i="2"/>
  <c r="W58" i="2"/>
  <c r="U58" i="2"/>
  <c r="X58" i="2"/>
  <c r="Q58" i="2"/>
  <c r="K58" i="2"/>
  <c r="AI34" i="1"/>
  <c r="AC34" i="1"/>
  <c r="W34" i="1"/>
  <c r="AL34" i="1" s="1"/>
  <c r="S34" i="1"/>
  <c r="P34" i="1"/>
  <c r="AD66" i="2"/>
  <c r="AB66" i="2"/>
  <c r="Z66" i="2"/>
  <c r="J66" i="2"/>
  <c r="Y66" i="2"/>
  <c r="I66" i="2"/>
  <c r="U66" i="2"/>
  <c r="D66" i="2"/>
  <c r="AA66" i="2"/>
  <c r="X66" i="2"/>
  <c r="W66" i="2"/>
  <c r="S59" i="1"/>
  <c r="P59" i="1"/>
  <c r="AI59" i="1"/>
  <c r="Q73" i="2" s="1"/>
  <c r="W59" i="1"/>
  <c r="AC59" i="1"/>
  <c r="AG62" i="5"/>
  <c r="AF62" i="5"/>
  <c r="AF42" i="5"/>
  <c r="AG42" i="5" s="1"/>
  <c r="AI72" i="1"/>
  <c r="AC72" i="1"/>
  <c r="W72" i="1"/>
  <c r="AL72" i="1" s="1"/>
  <c r="S72" i="1"/>
  <c r="P72" i="1"/>
  <c r="P74" i="1"/>
  <c r="AI74" i="1"/>
  <c r="Q53" i="2" s="1"/>
  <c r="S74" i="1"/>
  <c r="W74" i="1"/>
  <c r="K53" i="2" s="1"/>
  <c r="AC74" i="1"/>
  <c r="N53" i="2" s="1"/>
  <c r="P67" i="1"/>
  <c r="W67" i="1"/>
  <c r="S67" i="1"/>
  <c r="AI67" i="1"/>
  <c r="AC67" i="1"/>
  <c r="P68" i="1"/>
  <c r="AI68" i="1"/>
  <c r="AC68" i="1"/>
  <c r="W68" i="1"/>
  <c r="AL68" i="1" s="1"/>
  <c r="S68" i="1"/>
  <c r="Q61" i="2"/>
  <c r="AD61" i="2"/>
  <c r="N61" i="2"/>
  <c r="AB61" i="2"/>
  <c r="AA61" i="2"/>
  <c r="K61" i="2"/>
  <c r="U61" i="2"/>
  <c r="D61" i="2"/>
  <c r="X61" i="2"/>
  <c r="W61" i="2"/>
  <c r="I61" i="2"/>
  <c r="Z61" i="2"/>
  <c r="Y61" i="2"/>
  <c r="J61" i="2"/>
  <c r="AD72" i="2"/>
  <c r="W72" i="2"/>
  <c r="Z72" i="2"/>
  <c r="Y72" i="2"/>
  <c r="X72" i="2"/>
  <c r="U72" i="2"/>
  <c r="I72" i="2"/>
  <c r="AB72" i="2"/>
  <c r="AA72" i="2"/>
  <c r="J72" i="2"/>
  <c r="D72" i="2"/>
  <c r="Z57" i="2"/>
  <c r="J57" i="2"/>
  <c r="Y57" i="2"/>
  <c r="I57" i="2"/>
  <c r="X57" i="2"/>
  <c r="W57" i="2"/>
  <c r="AD57" i="2"/>
  <c r="AB57" i="2"/>
  <c r="AA57" i="2"/>
  <c r="U57" i="2"/>
  <c r="D57" i="2"/>
  <c r="X70" i="2"/>
  <c r="W70" i="2"/>
  <c r="U70" i="2"/>
  <c r="D70" i="2"/>
  <c r="Q70" i="2"/>
  <c r="AA70" i="2"/>
  <c r="K70" i="2"/>
  <c r="N70" i="2"/>
  <c r="J70" i="2"/>
  <c r="I70" i="2"/>
  <c r="AB70" i="2"/>
  <c r="Y70" i="2"/>
  <c r="AD70" i="2"/>
  <c r="Z70" i="2"/>
  <c r="AL15" i="1"/>
  <c r="AL33" i="1"/>
  <c r="AF69" i="5"/>
  <c r="AG69" i="5" s="1"/>
  <c r="AG19" i="5"/>
  <c r="AF19" i="5"/>
  <c r="Q21" i="1"/>
  <c r="AJ21" i="1"/>
  <c r="AD21" i="1"/>
  <c r="X21" i="1"/>
  <c r="AD30" i="2"/>
  <c r="N30" i="2"/>
  <c r="AB30" i="2"/>
  <c r="Y30" i="2"/>
  <c r="X30" i="2"/>
  <c r="D30" i="2"/>
  <c r="W30" i="2"/>
  <c r="U30" i="2"/>
  <c r="Q30" i="2"/>
  <c r="K30" i="2"/>
  <c r="J30" i="2"/>
  <c r="I30" i="2"/>
  <c r="Z30" i="2"/>
  <c r="AA30" i="2"/>
  <c r="AF59" i="5"/>
  <c r="AG59" i="5" s="1"/>
  <c r="AJ18" i="1"/>
  <c r="AD18" i="1"/>
  <c r="X18" i="1"/>
  <c r="Q18" i="1"/>
  <c r="AG22" i="5"/>
  <c r="AF22" i="5"/>
  <c r="AF28" i="5"/>
  <c r="AG28" i="5" s="1"/>
  <c r="AF52" i="5"/>
  <c r="AG52" i="5" s="1"/>
  <c r="AI64" i="1"/>
  <c r="AC64" i="1"/>
  <c r="W64" i="1"/>
  <c r="P64" i="1"/>
  <c r="S64" i="1"/>
  <c r="X61" i="1"/>
  <c r="AJ61" i="1"/>
  <c r="AD61" i="1"/>
  <c r="Q61" i="1"/>
  <c r="AL47" i="1"/>
  <c r="W27" i="1"/>
  <c r="S27" i="1"/>
  <c r="AI27" i="1"/>
  <c r="P27" i="1"/>
  <c r="AC27" i="1"/>
  <c r="AC29" i="1"/>
  <c r="N39" i="2" s="1"/>
  <c r="W29" i="1"/>
  <c r="S29" i="1"/>
  <c r="P29" i="1"/>
  <c r="AI29" i="1"/>
  <c r="AB27" i="2"/>
  <c r="AA27" i="2"/>
  <c r="K27" i="2"/>
  <c r="Z27" i="2"/>
  <c r="J27" i="2"/>
  <c r="X27" i="2"/>
  <c r="D27" i="2"/>
  <c r="W27" i="2"/>
  <c r="I27" i="2"/>
  <c r="AD27" i="2"/>
  <c r="Y27" i="2"/>
  <c r="N27" i="2"/>
  <c r="U27" i="2"/>
  <c r="Q27" i="2"/>
  <c r="U75" i="2"/>
  <c r="D75" i="2"/>
  <c r="Y75" i="2"/>
  <c r="I75" i="2"/>
  <c r="K75" i="2"/>
  <c r="J75" i="2"/>
  <c r="AD75" i="2"/>
  <c r="AA75" i="2"/>
  <c r="W75" i="2"/>
  <c r="Q75" i="2"/>
  <c r="N75" i="2"/>
  <c r="AB75" i="2"/>
  <c r="X75" i="2"/>
  <c r="Z75" i="2"/>
  <c r="AK24" i="1"/>
  <c r="AE24" i="1"/>
  <c r="Y24" i="1"/>
  <c r="AJ33" i="1"/>
  <c r="X33" i="1"/>
  <c r="AD33" i="1"/>
  <c r="Q33" i="1"/>
  <c r="P54" i="1"/>
  <c r="AI54" i="1"/>
  <c r="W54" i="1"/>
  <c r="S54" i="1"/>
  <c r="AC54" i="1"/>
  <c r="N68" i="2" s="1"/>
  <c r="D34" i="2"/>
  <c r="AG13" i="5"/>
  <c r="AF13" i="5"/>
  <c r="S35" i="1"/>
  <c r="W35" i="1"/>
  <c r="P35" i="1"/>
  <c r="AI35" i="1"/>
  <c r="AC35" i="1"/>
  <c r="AD55" i="2"/>
  <c r="N55" i="2"/>
  <c r="AB55" i="2"/>
  <c r="AA55" i="2"/>
  <c r="Z55" i="2"/>
  <c r="J55" i="2"/>
  <c r="X55" i="2"/>
  <c r="W55" i="2"/>
  <c r="I55" i="2"/>
  <c r="D55" i="2"/>
  <c r="Y55" i="2"/>
  <c r="U55" i="2"/>
  <c r="W39" i="2"/>
  <c r="U39" i="2"/>
  <c r="D39" i="2"/>
  <c r="Q39" i="2"/>
  <c r="K39" i="2"/>
  <c r="AB39" i="2"/>
  <c r="Z39" i="2"/>
  <c r="AA39" i="2"/>
  <c r="Y39" i="2"/>
  <c r="X39" i="2"/>
  <c r="J39" i="2"/>
  <c r="I39" i="2"/>
  <c r="U86" i="2"/>
  <c r="X86" i="2"/>
  <c r="W86" i="2"/>
  <c r="N86" i="2"/>
  <c r="J86" i="2"/>
  <c r="I86" i="2"/>
  <c r="D86" i="2"/>
  <c r="Z86" i="2"/>
  <c r="Y86" i="2"/>
  <c r="AB86" i="2"/>
  <c r="AA86" i="2"/>
  <c r="Z65" i="2"/>
  <c r="J65" i="2"/>
  <c r="Y65" i="2"/>
  <c r="I65" i="2"/>
  <c r="W65" i="2"/>
  <c r="K65" i="2"/>
  <c r="D65" i="2"/>
  <c r="AD65" i="2"/>
  <c r="AB65" i="2"/>
  <c r="AA65" i="2"/>
  <c r="U65" i="2"/>
  <c r="X78" i="2"/>
  <c r="W78" i="2"/>
  <c r="U78" i="2"/>
  <c r="D78" i="2"/>
  <c r="Q78" i="2"/>
  <c r="AA78" i="2"/>
  <c r="K78" i="2"/>
  <c r="AD78" i="2"/>
  <c r="AB78" i="2"/>
  <c r="Z78" i="2"/>
  <c r="Y78" i="2"/>
  <c r="J78" i="2"/>
  <c r="I78" i="2"/>
  <c r="N78" i="2"/>
  <c r="O34" i="2"/>
  <c r="P34" i="2" s="1"/>
  <c r="AD23" i="2"/>
  <c r="AB23" i="2"/>
  <c r="J23" i="2"/>
  <c r="Z23" i="2"/>
  <c r="X23" i="2"/>
  <c r="AA23" i="2"/>
  <c r="Y23" i="2"/>
  <c r="W23" i="2"/>
  <c r="U23" i="2"/>
  <c r="I23" i="2"/>
  <c r="D23" i="2"/>
  <c r="Z24" i="2"/>
  <c r="J24" i="2"/>
  <c r="Y24" i="2"/>
  <c r="I24" i="2"/>
  <c r="X24" i="2"/>
  <c r="W24" i="2"/>
  <c r="U24" i="2"/>
  <c r="Q24" i="2"/>
  <c r="D24" i="2"/>
  <c r="AD24" i="2"/>
  <c r="AB24" i="2"/>
  <c r="AA24" i="2"/>
  <c r="N24" i="2"/>
  <c r="K24" i="2"/>
  <c r="AJ14" i="1"/>
  <c r="AD14" i="1"/>
  <c r="X14" i="1"/>
  <c r="AM14" i="1" s="1"/>
  <c r="Q14" i="1"/>
  <c r="AB68" i="2"/>
  <c r="AA68" i="2"/>
  <c r="K68" i="2"/>
  <c r="Z68" i="2"/>
  <c r="J68" i="2"/>
  <c r="Y68" i="2"/>
  <c r="I68" i="2"/>
  <c r="X68" i="2"/>
  <c r="U68" i="2"/>
  <c r="D68" i="2"/>
  <c r="AD68" i="2"/>
  <c r="W68" i="2"/>
  <c r="Q68" i="2"/>
  <c r="AC71" i="1"/>
  <c r="P71" i="1"/>
  <c r="AI71" i="1"/>
  <c r="W71" i="1"/>
  <c r="S71" i="1"/>
  <c r="W53" i="1"/>
  <c r="K67" i="2" s="1"/>
  <c r="AI53" i="1"/>
  <c r="Q67" i="2" s="1"/>
  <c r="AC53" i="1"/>
  <c r="N67" i="2" s="1"/>
  <c r="S53" i="1"/>
  <c r="P53" i="1"/>
  <c r="Y38" i="1"/>
  <c r="L48" i="2" s="1"/>
  <c r="AK38" i="1"/>
  <c r="R48" i="2" s="1"/>
  <c r="AE38" i="1"/>
  <c r="O48" i="2" s="1"/>
  <c r="AG29" i="5"/>
  <c r="AF29" i="5"/>
  <c r="K34" i="2"/>
  <c r="AL24" i="1"/>
  <c r="AD70" i="1"/>
  <c r="AJ70" i="1"/>
  <c r="X70" i="1"/>
  <c r="Q70" i="1"/>
  <c r="W25" i="1"/>
  <c r="K35" i="2" s="1"/>
  <c r="S25" i="1"/>
  <c r="P25" i="1"/>
  <c r="AI25" i="1"/>
  <c r="Q35" i="2" s="1"/>
  <c r="AC25" i="1"/>
  <c r="W46" i="2"/>
  <c r="Q46" i="2"/>
  <c r="AB46" i="2"/>
  <c r="AA46" i="2"/>
  <c r="Z46" i="2"/>
  <c r="D46" i="2"/>
  <c r="Y46" i="2"/>
  <c r="N46" i="2"/>
  <c r="K46" i="2"/>
  <c r="J46" i="2"/>
  <c r="I46" i="2"/>
  <c r="U46" i="2"/>
  <c r="AD46" i="2"/>
  <c r="X46" i="2"/>
  <c r="W47" i="2"/>
  <c r="AD47" i="2"/>
  <c r="J47" i="2"/>
  <c r="AB47" i="2"/>
  <c r="I47" i="2"/>
  <c r="AA47" i="2"/>
  <c r="Z47" i="2"/>
  <c r="Y47" i="2"/>
  <c r="X47" i="2"/>
  <c r="U47" i="2"/>
  <c r="N47" i="2"/>
  <c r="Q47" i="2"/>
  <c r="K47" i="2"/>
  <c r="D47" i="2"/>
  <c r="L34" i="2"/>
  <c r="AM24" i="1"/>
  <c r="AC10" i="1"/>
  <c r="N20" i="2" s="1"/>
  <c r="W10" i="1"/>
  <c r="S10" i="1"/>
  <c r="P10" i="1"/>
  <c r="AI10" i="1"/>
  <c r="AG15" i="5"/>
  <c r="AF15" i="5"/>
  <c r="AF49" i="5"/>
  <c r="AG49" i="5" s="1"/>
  <c r="P52" i="1"/>
  <c r="S52" i="1"/>
  <c r="AI52" i="1"/>
  <c r="Q66" i="2" s="1"/>
  <c r="W52" i="1"/>
  <c r="K66" i="2" s="1"/>
  <c r="AC52" i="1"/>
  <c r="N66" i="2" s="1"/>
  <c r="AD75" i="1"/>
  <c r="AJ75" i="1"/>
  <c r="X75" i="1"/>
  <c r="Q75" i="1"/>
  <c r="Q44" i="1"/>
  <c r="AJ44" i="1"/>
  <c r="AD44" i="1"/>
  <c r="X44" i="1"/>
  <c r="AJ60" i="1"/>
  <c r="X60" i="1"/>
  <c r="AM60" i="1" s="1"/>
  <c r="Q60" i="1"/>
  <c r="AD60" i="1"/>
  <c r="P39" i="1"/>
  <c r="AI39" i="1"/>
  <c r="Q49" i="2" s="1"/>
  <c r="W39" i="1"/>
  <c r="S39" i="1"/>
  <c r="AC39" i="1"/>
  <c r="N49" i="2" s="1"/>
  <c r="W58" i="1"/>
  <c r="AL58" i="1" s="1"/>
  <c r="S58" i="1"/>
  <c r="AC58" i="1"/>
  <c r="N72" i="2" s="1"/>
  <c r="P58" i="1"/>
  <c r="AI58" i="1"/>
  <c r="Q72" i="2" s="1"/>
  <c r="AD79" i="2"/>
  <c r="AB79" i="2"/>
  <c r="AA79" i="2"/>
  <c r="Z79" i="2"/>
  <c r="J79" i="2"/>
  <c r="X79" i="2"/>
  <c r="W79" i="2"/>
  <c r="Q79" i="2"/>
  <c r="Y79" i="2"/>
  <c r="U79" i="2"/>
  <c r="I79" i="2"/>
  <c r="D79" i="2"/>
  <c r="U51" i="2"/>
  <c r="D51" i="2"/>
  <c r="T51" i="2"/>
  <c r="O51" i="2"/>
  <c r="AD51" i="2"/>
  <c r="N51" i="2"/>
  <c r="J51" i="2"/>
  <c r="AC51" i="2"/>
  <c r="I51" i="2"/>
  <c r="AB51" i="2"/>
  <c r="AA51" i="2"/>
  <c r="L51" i="2"/>
  <c r="K51" i="2"/>
  <c r="Z51" i="2"/>
  <c r="W51" i="2"/>
  <c r="Y51" i="2"/>
  <c r="X51" i="2"/>
  <c r="V51" i="2"/>
  <c r="Q51" i="2"/>
  <c r="R51" i="2"/>
  <c r="Q64" i="2"/>
  <c r="AD64" i="2"/>
  <c r="W64" i="2"/>
  <c r="J64" i="2"/>
  <c r="I64" i="2"/>
  <c r="D64" i="2"/>
  <c r="AA64" i="2"/>
  <c r="Y64" i="2"/>
  <c r="AB64" i="2"/>
  <c r="Z64" i="2"/>
  <c r="X64" i="2"/>
  <c r="U64" i="2"/>
  <c r="U26" i="2"/>
  <c r="D26" i="2"/>
  <c r="AD26" i="2"/>
  <c r="K26" i="2"/>
  <c r="J26" i="2"/>
  <c r="J87" i="2" s="1"/>
  <c r="AA26" i="2"/>
  <c r="Y26" i="2"/>
  <c r="I26" i="2"/>
  <c r="AB26" i="2"/>
  <c r="X26" i="2"/>
  <c r="W26" i="2"/>
  <c r="Q26" i="2"/>
  <c r="Z26" i="2"/>
  <c r="N26" i="2"/>
  <c r="Z73" i="2"/>
  <c r="J73" i="2"/>
  <c r="Y73" i="2"/>
  <c r="I73" i="2"/>
  <c r="X73" i="2"/>
  <c r="W73" i="2"/>
  <c r="AD73" i="2"/>
  <c r="AB73" i="2"/>
  <c r="AA73" i="2"/>
  <c r="U73" i="2"/>
  <c r="N73" i="2"/>
  <c r="D73" i="2"/>
  <c r="K73" i="2"/>
  <c r="Z83" i="2"/>
  <c r="Y83" i="2"/>
  <c r="X83" i="2"/>
  <c r="W83" i="2"/>
  <c r="D83" i="2"/>
  <c r="K83" i="2"/>
  <c r="AB83" i="2"/>
  <c r="AA83" i="2"/>
  <c r="U83" i="2"/>
  <c r="N83" i="2"/>
  <c r="J83" i="2"/>
  <c r="I83" i="2"/>
  <c r="R34" i="2"/>
  <c r="S34" i="2" s="1"/>
  <c r="AC41" i="1"/>
  <c r="AI41" i="1"/>
  <c r="Q55" i="2" s="1"/>
  <c r="W41" i="1"/>
  <c r="P41" i="1"/>
  <c r="S41" i="1"/>
  <c r="AF31" i="5"/>
  <c r="AG31" i="5" s="1"/>
  <c r="U31" i="2"/>
  <c r="Q31" i="2"/>
  <c r="N31" i="2"/>
  <c r="X31" i="2"/>
  <c r="W31" i="2"/>
  <c r="K31" i="2"/>
  <c r="I31" i="2"/>
  <c r="D31" i="2"/>
  <c r="AD31" i="2"/>
  <c r="AB31" i="2"/>
  <c r="AA31" i="2"/>
  <c r="Z31" i="2"/>
  <c r="Y31" i="2"/>
  <c r="J31" i="2"/>
  <c r="D54" i="2"/>
  <c r="AG26" i="5"/>
  <c r="AF26" i="5"/>
  <c r="AC66" i="1"/>
  <c r="N80" i="2" s="1"/>
  <c r="W66" i="1"/>
  <c r="AL66" i="1" s="1"/>
  <c r="S66" i="1"/>
  <c r="AI66" i="1"/>
  <c r="P66" i="1"/>
  <c r="K54" i="2"/>
  <c r="AL75" i="1"/>
  <c r="AJ28" i="1"/>
  <c r="X28" i="1"/>
  <c r="AD28" i="1"/>
  <c r="Q28" i="1"/>
  <c r="Z42" i="2"/>
  <c r="J42" i="2"/>
  <c r="Y42" i="2"/>
  <c r="I42" i="2"/>
  <c r="X42" i="2"/>
  <c r="W42" i="2"/>
  <c r="AB42" i="2"/>
  <c r="AA42" i="2"/>
  <c r="U42" i="2"/>
  <c r="AD42" i="2"/>
  <c r="Q42" i="2"/>
  <c r="N42" i="2"/>
  <c r="K42" i="2"/>
  <c r="D42" i="2"/>
  <c r="AC51" i="1"/>
  <c r="N65" i="2" s="1"/>
  <c r="W51" i="1"/>
  <c r="S51" i="1"/>
  <c r="AI51" i="1"/>
  <c r="Q65" i="2" s="1"/>
  <c r="P51" i="1"/>
  <c r="P46" i="1"/>
  <c r="AC46" i="1"/>
  <c r="W46" i="1"/>
  <c r="AI46" i="1"/>
  <c r="Q60" i="2" s="1"/>
  <c r="S46" i="1"/>
  <c r="AJ16" i="1"/>
  <c r="AD16" i="1"/>
  <c r="X16" i="1"/>
  <c r="AM16" i="1" s="1"/>
  <c r="Q16" i="1"/>
  <c r="AK22" i="1"/>
  <c r="R32" i="2" s="1"/>
  <c r="AE22" i="1"/>
  <c r="Y22" i="1"/>
  <c r="AN22" i="1" s="1"/>
  <c r="AJ56" i="1"/>
  <c r="Q56" i="1"/>
  <c r="X56" i="1"/>
  <c r="AD56" i="1"/>
  <c r="P50" i="1"/>
  <c r="AI50" i="1"/>
  <c r="AC50" i="1"/>
  <c r="N64" i="2" s="1"/>
  <c r="W50" i="1"/>
  <c r="AL50" i="1" s="1"/>
  <c r="S50" i="1"/>
  <c r="P31" i="1"/>
  <c r="AC31" i="1"/>
  <c r="W31" i="1"/>
  <c r="K41" i="2" s="1"/>
  <c r="AI31" i="1"/>
  <c r="Q41" i="2" s="1"/>
  <c r="S31" i="1"/>
  <c r="U36" i="2"/>
  <c r="D36" i="2"/>
  <c r="AD36" i="2"/>
  <c r="J36" i="2"/>
  <c r="I36" i="2"/>
  <c r="AB36" i="2"/>
  <c r="AA36" i="2"/>
  <c r="Y36" i="2"/>
  <c r="W36" i="2"/>
  <c r="Z36" i="2"/>
  <c r="X36" i="2"/>
  <c r="AG67" i="5"/>
  <c r="AF67" i="5"/>
  <c r="AL60" i="1"/>
  <c r="Q17" i="1"/>
  <c r="AJ17" i="1"/>
  <c r="X17" i="1"/>
  <c r="AD17" i="1"/>
  <c r="X23" i="1"/>
  <c r="AM23" i="1" s="1"/>
  <c r="Q23" i="1"/>
  <c r="AD23" i="1"/>
  <c r="AJ23" i="1"/>
  <c r="Q19" i="1"/>
  <c r="AJ19" i="1"/>
  <c r="AD19" i="1"/>
  <c r="X19" i="1"/>
  <c r="AM19" i="1" s="1"/>
  <c r="AD63" i="2"/>
  <c r="N63" i="2"/>
  <c r="AB63" i="2"/>
  <c r="AA63" i="2"/>
  <c r="K63" i="2"/>
  <c r="Z63" i="2"/>
  <c r="J63" i="2"/>
  <c r="X63" i="2"/>
  <c r="W63" i="2"/>
  <c r="Q63" i="2"/>
  <c r="Y63" i="2"/>
  <c r="U63" i="2"/>
  <c r="I63" i="2"/>
  <c r="D63" i="2"/>
  <c r="Q80" i="2"/>
  <c r="AD80" i="2"/>
  <c r="W80" i="2"/>
  <c r="J80" i="2"/>
  <c r="I80" i="2"/>
  <c r="D80" i="2"/>
  <c r="AB80" i="2"/>
  <c r="AA80" i="2"/>
  <c r="Y80" i="2"/>
  <c r="Z80" i="2"/>
  <c r="X80" i="2"/>
  <c r="U80" i="2"/>
  <c r="K80" i="2"/>
  <c r="Z81" i="2"/>
  <c r="J81" i="2"/>
  <c r="Y81" i="2"/>
  <c r="I81" i="2"/>
  <c r="X81" i="2"/>
  <c r="W81" i="2"/>
  <c r="N81" i="2"/>
  <c r="K81" i="2"/>
  <c r="D81" i="2"/>
  <c r="Q81" i="2"/>
  <c r="AB81" i="2"/>
  <c r="U81" i="2"/>
  <c r="AD81" i="2"/>
  <c r="AA81" i="2"/>
  <c r="P40" i="1"/>
  <c r="AI40" i="1"/>
  <c r="Q50" i="2" s="1"/>
  <c r="AC40" i="1"/>
  <c r="N50" i="2" s="1"/>
  <c r="W40" i="1"/>
  <c r="AL40" i="1" s="1"/>
  <c r="S40" i="1"/>
  <c r="K37" i="2"/>
  <c r="U22" i="2"/>
  <c r="U87" i="2" s="1"/>
  <c r="D22" i="2"/>
  <c r="AB22" i="2"/>
  <c r="AB87" i="2" s="1"/>
  <c r="AA22" i="2"/>
  <c r="Z22" i="2"/>
  <c r="Y22" i="2"/>
  <c r="X22" i="2"/>
  <c r="Q22" i="2"/>
  <c r="I22" i="2"/>
  <c r="AD22" i="2"/>
  <c r="W22" i="2"/>
  <c r="N22" i="2"/>
  <c r="J22" i="2"/>
  <c r="AD43" i="2"/>
  <c r="N43" i="2"/>
  <c r="U43" i="2"/>
  <c r="I43" i="2"/>
  <c r="AA43" i="2"/>
  <c r="J43" i="2"/>
  <c r="D43" i="2"/>
  <c r="AB43" i="2"/>
  <c r="Y43" i="2"/>
  <c r="X43" i="2"/>
  <c r="Z43" i="2"/>
  <c r="W43" i="2"/>
  <c r="Q43" i="2"/>
  <c r="K43" i="2"/>
  <c r="X69" i="1"/>
  <c r="AJ69" i="1"/>
  <c r="AD69" i="1"/>
  <c r="Q69" i="1"/>
  <c r="AJ36" i="1"/>
  <c r="AD36" i="1"/>
  <c r="Q36" i="1"/>
  <c r="X36" i="1"/>
  <c r="Q42" i="1"/>
  <c r="X42" i="1"/>
  <c r="AM42" i="1" s="1"/>
  <c r="AJ42" i="1"/>
  <c r="AD42" i="1"/>
  <c r="AD74" i="2"/>
  <c r="N74" i="2"/>
  <c r="AB74" i="2"/>
  <c r="Z74" i="2"/>
  <c r="J74" i="2"/>
  <c r="Y74" i="2"/>
  <c r="I74" i="2"/>
  <c r="D74" i="2"/>
  <c r="AA74" i="2"/>
  <c r="X74" i="2"/>
  <c r="W74" i="2"/>
  <c r="U74" i="2"/>
  <c r="Q74" i="2"/>
  <c r="K74" i="2"/>
  <c r="AF33" i="5"/>
  <c r="AG33" i="5" s="1"/>
  <c r="AF11" i="5"/>
  <c r="AG11" i="5" s="1"/>
  <c r="AD73" i="1"/>
  <c r="AJ73" i="1"/>
  <c r="X73" i="1"/>
  <c r="Q73" i="1"/>
  <c r="W13" i="1"/>
  <c r="AL13" i="1" s="1"/>
  <c r="S13" i="1"/>
  <c r="P13" i="1"/>
  <c r="AI13" i="1"/>
  <c r="Q23" i="2" s="1"/>
  <c r="AC13" i="1"/>
  <c r="N23" i="2" s="1"/>
  <c r="AI12" i="1"/>
  <c r="AC12" i="1"/>
  <c r="W12" i="1"/>
  <c r="S12" i="1"/>
  <c r="P12" i="1"/>
  <c r="Z32" i="2"/>
  <c r="J32" i="2"/>
  <c r="Y32" i="2"/>
  <c r="I32" i="2"/>
  <c r="X32" i="2"/>
  <c r="N32" i="2"/>
  <c r="L32" i="2"/>
  <c r="AA32" i="2"/>
  <c r="D32" i="2"/>
  <c r="U32" i="2"/>
  <c r="Q32" i="2"/>
  <c r="O32" i="2"/>
  <c r="K32" i="2"/>
  <c r="AD32" i="2"/>
  <c r="AB32" i="2"/>
  <c r="W32" i="2"/>
  <c r="Q38" i="2"/>
  <c r="AD38" i="2"/>
  <c r="N38" i="2"/>
  <c r="W38" i="2"/>
  <c r="U38" i="2"/>
  <c r="J38" i="2"/>
  <c r="AB38" i="2"/>
  <c r="K38" i="2"/>
  <c r="I38" i="2"/>
  <c r="D38" i="2"/>
  <c r="Z38" i="2"/>
  <c r="Y38" i="2"/>
  <c r="AA38" i="2"/>
  <c r="X38" i="2"/>
  <c r="AD41" i="2"/>
  <c r="J41" i="2"/>
  <c r="I41" i="2"/>
  <c r="AB41" i="2"/>
  <c r="AA41" i="2"/>
  <c r="Z41" i="2"/>
  <c r="X41" i="2"/>
  <c r="U41" i="2"/>
  <c r="N41" i="2"/>
  <c r="D41" i="2"/>
  <c r="Y41" i="2"/>
  <c r="W41" i="2"/>
  <c r="N33" i="2"/>
  <c r="Z33" i="2"/>
  <c r="Y33" i="2"/>
  <c r="Y87" i="2" s="1"/>
  <c r="X33" i="2"/>
  <c r="D33" i="2"/>
  <c r="AB33" i="2"/>
  <c r="AA33" i="2"/>
  <c r="W33" i="2"/>
  <c r="U33" i="2"/>
  <c r="K33" i="2"/>
  <c r="I33" i="2"/>
  <c r="J33" i="2"/>
  <c r="Q33" i="2"/>
  <c r="AB85" i="2"/>
  <c r="J85" i="2"/>
  <c r="AA85" i="2"/>
  <c r="I85" i="2"/>
  <c r="Z85" i="2"/>
  <c r="Y85" i="2"/>
  <c r="X85" i="2"/>
  <c r="U85" i="2"/>
  <c r="N85" i="2"/>
  <c r="K85" i="2"/>
  <c r="D85" i="2"/>
  <c r="W85" i="2"/>
  <c r="AC43" i="1"/>
  <c r="N57" i="2" s="1"/>
  <c r="P43" i="1"/>
  <c r="AI43" i="1"/>
  <c r="Q57" i="2" s="1"/>
  <c r="W43" i="1"/>
  <c r="AL43" i="1" s="1"/>
  <c r="S43" i="1"/>
  <c r="AL16" i="1"/>
  <c r="AL69" i="1"/>
  <c r="AD71" i="2"/>
  <c r="N71" i="2"/>
  <c r="AB71" i="2"/>
  <c r="AA71" i="2"/>
  <c r="K71" i="2"/>
  <c r="Z71" i="2"/>
  <c r="J71" i="2"/>
  <c r="X71" i="2"/>
  <c r="W71" i="2"/>
  <c r="Q71" i="2"/>
  <c r="I71" i="2"/>
  <c r="D71" i="2"/>
  <c r="Y71" i="2"/>
  <c r="U71" i="2"/>
  <c r="AB60" i="2"/>
  <c r="AA60" i="2"/>
  <c r="K60" i="2"/>
  <c r="Z60" i="2"/>
  <c r="J60" i="2"/>
  <c r="Y60" i="2"/>
  <c r="I60" i="2"/>
  <c r="X60" i="2"/>
  <c r="U60" i="2"/>
  <c r="D60" i="2"/>
  <c r="N60" i="2"/>
  <c r="AD60" i="2"/>
  <c r="W60" i="2"/>
  <c r="AG55" i="5"/>
  <c r="AF55" i="5"/>
  <c r="AF48" i="5"/>
  <c r="AG48" i="5" s="1"/>
  <c r="AF37" i="5"/>
  <c r="AG37" i="5" s="1"/>
  <c r="AI26" i="1"/>
  <c r="Q36" i="2" s="1"/>
  <c r="AC26" i="1"/>
  <c r="N36" i="2" s="1"/>
  <c r="S26" i="1"/>
  <c r="P26" i="1"/>
  <c r="W26" i="1"/>
  <c r="K36" i="2" s="1"/>
  <c r="AL23" i="1"/>
  <c r="P65" i="1"/>
  <c r="W65" i="1"/>
  <c r="AL65" i="1" s="1"/>
  <c r="AI65" i="1"/>
  <c r="AC65" i="1"/>
  <c r="N79" i="2" s="1"/>
  <c r="S65" i="1"/>
  <c r="AL19" i="1"/>
  <c r="N82" i="2"/>
  <c r="AD82" i="2"/>
  <c r="AB82" i="2"/>
  <c r="J82" i="2"/>
  <c r="AA82" i="2"/>
  <c r="I82" i="2"/>
  <c r="U82" i="2"/>
  <c r="X82" i="2"/>
  <c r="W82" i="2"/>
  <c r="D82" i="2"/>
  <c r="Z82" i="2"/>
  <c r="Y82" i="2"/>
  <c r="AB45" i="2"/>
  <c r="AA45" i="2"/>
  <c r="K45" i="2"/>
  <c r="Z45" i="2"/>
  <c r="J45" i="2"/>
  <c r="Y45" i="2"/>
  <c r="I45" i="2"/>
  <c r="N45" i="2"/>
  <c r="AD45" i="2"/>
  <c r="X45" i="2"/>
  <c r="U45" i="2"/>
  <c r="W45" i="2"/>
  <c r="Q45" i="2"/>
  <c r="D45" i="2"/>
  <c r="X29" i="2"/>
  <c r="W29" i="2"/>
  <c r="AD29" i="2"/>
  <c r="K29" i="2"/>
  <c r="AB29" i="2"/>
  <c r="I29" i="2"/>
  <c r="Z29" i="2"/>
  <c r="Q29" i="2"/>
  <c r="N29" i="2"/>
  <c r="J29" i="2"/>
  <c r="D29" i="2"/>
  <c r="Y29" i="2"/>
  <c r="AA29" i="2"/>
  <c r="U29" i="2"/>
  <c r="U44" i="2"/>
  <c r="D44" i="2"/>
  <c r="N44" i="2"/>
  <c r="AD44" i="2"/>
  <c r="J44" i="2"/>
  <c r="AA44" i="2"/>
  <c r="Y44" i="2"/>
  <c r="AB44" i="2"/>
  <c r="Z44" i="2"/>
  <c r="X44" i="2"/>
  <c r="W44" i="2"/>
  <c r="Q44" i="2"/>
  <c r="I44" i="2"/>
  <c r="K44" i="2"/>
  <c r="M51" i="2" l="1"/>
  <c r="O56" i="2"/>
  <c r="R28" i="2"/>
  <c r="L84" i="2"/>
  <c r="M84" i="2" s="1"/>
  <c r="L83" i="2"/>
  <c r="M83" i="2" s="1"/>
  <c r="O27" i="2"/>
  <c r="P27" i="2" s="1"/>
  <c r="R70" i="2"/>
  <c r="S70" i="2" s="1"/>
  <c r="AK60" i="1"/>
  <c r="R74" i="2" s="1"/>
  <c r="Y60" i="1"/>
  <c r="AN60" i="1" s="1"/>
  <c r="AE60" i="1"/>
  <c r="O74" i="2" s="1"/>
  <c r="Q32" i="1"/>
  <c r="AJ32" i="1"/>
  <c r="AD32" i="1"/>
  <c r="X32" i="1"/>
  <c r="P33" i="2"/>
  <c r="AL46" i="1"/>
  <c r="M34" i="2"/>
  <c r="K86" i="2"/>
  <c r="K57" i="2"/>
  <c r="AK14" i="1"/>
  <c r="R24" i="2" s="1"/>
  <c r="AE14" i="1"/>
  <c r="O24" i="2" s="1"/>
  <c r="P24" i="2" s="1"/>
  <c r="Y14" i="1"/>
  <c r="AN14" i="1" s="1"/>
  <c r="AO14" i="1" s="1"/>
  <c r="P29" i="2"/>
  <c r="AJ12" i="1"/>
  <c r="AD12" i="1"/>
  <c r="Q12" i="1"/>
  <c r="X12" i="1"/>
  <c r="Z87" i="2"/>
  <c r="AM44" i="1"/>
  <c r="AL53" i="1"/>
  <c r="AL54" i="1"/>
  <c r="AM61" i="1"/>
  <c r="AL37" i="1"/>
  <c r="AK57" i="1"/>
  <c r="R71" i="2" s="1"/>
  <c r="AE57" i="1"/>
  <c r="O71" i="2" s="1"/>
  <c r="Y57" i="1"/>
  <c r="AN57" i="1" s="1"/>
  <c r="AO57" i="1" s="1"/>
  <c r="S48" i="2"/>
  <c r="AD62" i="1"/>
  <c r="X62" i="1"/>
  <c r="Q62" i="1"/>
  <c r="AJ62" i="1"/>
  <c r="AA87" i="2"/>
  <c r="AJ40" i="1"/>
  <c r="X40" i="1"/>
  <c r="AD40" i="1"/>
  <c r="Q40" i="1"/>
  <c r="AK19" i="1"/>
  <c r="R29" i="2" s="1"/>
  <c r="S29" i="2" s="1"/>
  <c r="Y19" i="1"/>
  <c r="AE19" i="1"/>
  <c r="O29" i="2" s="1"/>
  <c r="Q50" i="1"/>
  <c r="AJ50" i="1"/>
  <c r="AD50" i="1"/>
  <c r="X50" i="1"/>
  <c r="Q46" i="1"/>
  <c r="AD46" i="1"/>
  <c r="X46" i="1"/>
  <c r="AJ46" i="1"/>
  <c r="X35" i="1"/>
  <c r="Q35" i="1"/>
  <c r="AJ35" i="1"/>
  <c r="AD35" i="1"/>
  <c r="AM21" i="1"/>
  <c r="AD68" i="1"/>
  <c r="Q68" i="1"/>
  <c r="AJ68" i="1"/>
  <c r="X68" i="1"/>
  <c r="X37" i="1"/>
  <c r="AJ37" i="1"/>
  <c r="AD37" i="1"/>
  <c r="Q37" i="1"/>
  <c r="AL12" i="1"/>
  <c r="Y42" i="1"/>
  <c r="AN42" i="1" s="1"/>
  <c r="AO42" i="1" s="1"/>
  <c r="AE42" i="1"/>
  <c r="AK42" i="1"/>
  <c r="R56" i="2" s="1"/>
  <c r="S56" i="2" s="1"/>
  <c r="AD51" i="1"/>
  <c r="X51" i="1"/>
  <c r="Q51" i="1"/>
  <c r="AJ51" i="1"/>
  <c r="AL71" i="1"/>
  <c r="AL35" i="1"/>
  <c r="AJ54" i="1"/>
  <c r="Q54" i="1"/>
  <c r="AD54" i="1"/>
  <c r="X54" i="1"/>
  <c r="AD64" i="1"/>
  <c r="AJ64" i="1"/>
  <c r="X64" i="1"/>
  <c r="Q64" i="1"/>
  <c r="AK18" i="1"/>
  <c r="AE18" i="1"/>
  <c r="O28" i="2" s="1"/>
  <c r="P28" i="2" s="1"/>
  <c r="Y18" i="1"/>
  <c r="AE49" i="1"/>
  <c r="O63" i="2" s="1"/>
  <c r="AK49" i="1"/>
  <c r="R63" i="2" s="1"/>
  <c r="S63" i="2" s="1"/>
  <c r="Y49" i="1"/>
  <c r="AL48" i="1"/>
  <c r="AL62" i="1"/>
  <c r="AL30" i="1"/>
  <c r="P43" i="2"/>
  <c r="L71" i="2"/>
  <c r="M71" i="2" s="1"/>
  <c r="AM36" i="1"/>
  <c r="K22" i="2"/>
  <c r="AM56" i="1"/>
  <c r="AJ58" i="1"/>
  <c r="X58" i="1"/>
  <c r="Q58" i="1"/>
  <c r="AD58" i="1"/>
  <c r="AK44" i="1"/>
  <c r="R58" i="2" s="1"/>
  <c r="S58" i="2" s="1"/>
  <c r="AE44" i="1"/>
  <c r="O58" i="2" s="1"/>
  <c r="P58" i="2" s="1"/>
  <c r="Y44" i="1"/>
  <c r="AN44" i="1" s="1"/>
  <c r="L24" i="2"/>
  <c r="M24" i="2" s="1"/>
  <c r="AK33" i="1"/>
  <c r="R43" i="2" s="1"/>
  <c r="AE33" i="1"/>
  <c r="O43" i="2" s="1"/>
  <c r="Y33" i="1"/>
  <c r="X29" i="1"/>
  <c r="AJ29" i="1"/>
  <c r="AD29" i="1"/>
  <c r="Q29" i="1"/>
  <c r="AL64" i="1"/>
  <c r="AM18" i="1"/>
  <c r="L70" i="2"/>
  <c r="M70" i="2" s="1"/>
  <c r="S43" i="2"/>
  <c r="AM28" i="1"/>
  <c r="AE61" i="1"/>
  <c r="O75" i="2" s="1"/>
  <c r="P75" i="2" s="1"/>
  <c r="AK61" i="1"/>
  <c r="R75" i="2" s="1"/>
  <c r="S75" i="2" s="1"/>
  <c r="Y61" i="1"/>
  <c r="L75" i="2" s="1"/>
  <c r="M75" i="2" s="1"/>
  <c r="AO24" i="1"/>
  <c r="X59" i="1"/>
  <c r="Q59" i="1"/>
  <c r="AD59" i="1"/>
  <c r="AJ59" i="1"/>
  <c r="K82" i="2"/>
  <c r="P71" i="2"/>
  <c r="AK36" i="1"/>
  <c r="R46" i="2" s="1"/>
  <c r="S46" i="2" s="1"/>
  <c r="Y36" i="1"/>
  <c r="AE36" i="1"/>
  <c r="O46" i="2" s="1"/>
  <c r="P46" i="2" s="1"/>
  <c r="AK23" i="1"/>
  <c r="R33" i="2" s="1"/>
  <c r="S33" i="2" s="1"/>
  <c r="AE23" i="1"/>
  <c r="O33" i="2" s="1"/>
  <c r="Y23" i="1"/>
  <c r="Y56" i="1"/>
  <c r="AK56" i="1"/>
  <c r="AE56" i="1"/>
  <c r="O70" i="2" s="1"/>
  <c r="P70" i="2" s="1"/>
  <c r="AD66" i="1"/>
  <c r="Q66" i="1"/>
  <c r="X66" i="1"/>
  <c r="AJ66" i="1"/>
  <c r="Y75" i="1"/>
  <c r="AN75" i="1" s="1"/>
  <c r="AK75" i="1"/>
  <c r="AE75" i="1"/>
  <c r="X71" i="1"/>
  <c r="AJ71" i="1"/>
  <c r="AD71" i="1"/>
  <c r="Q71" i="1"/>
  <c r="AK21" i="1"/>
  <c r="R31" i="2" s="1"/>
  <c r="S31" i="2" s="1"/>
  <c r="AE21" i="1"/>
  <c r="O31" i="2" s="1"/>
  <c r="P31" i="2" s="1"/>
  <c r="Y21" i="1"/>
  <c r="AL55" i="1"/>
  <c r="AD70" i="5"/>
  <c r="AF10" i="5"/>
  <c r="AF70" i="5" s="1"/>
  <c r="AG10" i="5"/>
  <c r="AG70" i="5" s="1"/>
  <c r="AJ30" i="1"/>
  <c r="AD30" i="1"/>
  <c r="Q30" i="1"/>
  <c r="X30" i="1"/>
  <c r="P48" i="2"/>
  <c r="S32" i="2"/>
  <c r="AL51" i="1"/>
  <c r="AM75" i="1"/>
  <c r="AO75" i="1" s="1"/>
  <c r="AM33" i="1"/>
  <c r="AL29" i="1"/>
  <c r="AL67" i="1"/>
  <c r="S77" i="2"/>
  <c r="L25" i="2"/>
  <c r="M25" i="2" s="1"/>
  <c r="Q48" i="1"/>
  <c r="AJ48" i="1"/>
  <c r="AD48" i="1"/>
  <c r="X48" i="1"/>
  <c r="AJ55" i="1"/>
  <c r="AD55" i="1"/>
  <c r="X55" i="1"/>
  <c r="Q55" i="1"/>
  <c r="K59" i="2"/>
  <c r="M48" i="2"/>
  <c r="L28" i="2"/>
  <c r="M28" i="2" s="1"/>
  <c r="R54" i="2"/>
  <c r="S54" i="2" s="1"/>
  <c r="AI77" i="1"/>
  <c r="Q20" i="2"/>
  <c r="K23" i="2"/>
  <c r="X67" i="1"/>
  <c r="AJ67" i="1"/>
  <c r="AD67" i="1"/>
  <c r="Q67" i="1"/>
  <c r="AM11" i="1"/>
  <c r="AO11" i="1" s="1"/>
  <c r="AJ20" i="1"/>
  <c r="AD20" i="1"/>
  <c r="X20" i="1"/>
  <c r="Q20" i="1"/>
  <c r="X65" i="1"/>
  <c r="AJ65" i="1"/>
  <c r="AD65" i="1"/>
  <c r="Q65" i="1"/>
  <c r="P32" i="2"/>
  <c r="Q13" i="1"/>
  <c r="AJ13" i="1"/>
  <c r="AD13" i="1"/>
  <c r="X13" i="1"/>
  <c r="AM17" i="1"/>
  <c r="AD41" i="1"/>
  <c r="AJ41" i="1"/>
  <c r="X41" i="1"/>
  <c r="Q41" i="1"/>
  <c r="O54" i="2"/>
  <c r="P54" i="2" s="1"/>
  <c r="AD10" i="1"/>
  <c r="X10" i="1"/>
  <c r="Q10" i="1"/>
  <c r="AJ10" i="1"/>
  <c r="X25" i="1"/>
  <c r="Q25" i="1"/>
  <c r="AJ25" i="1"/>
  <c r="AD25" i="1"/>
  <c r="AN24" i="1"/>
  <c r="R21" i="2"/>
  <c r="S21" i="2" s="1"/>
  <c r="AM47" i="1"/>
  <c r="Y69" i="1"/>
  <c r="AK69" i="1"/>
  <c r="AE69" i="1"/>
  <c r="O83" i="2" s="1"/>
  <c r="P83" i="2" s="1"/>
  <c r="AL41" i="1"/>
  <c r="P51" i="2"/>
  <c r="S77" i="1"/>
  <c r="K55" i="2"/>
  <c r="X27" i="1"/>
  <c r="Q27" i="1"/>
  <c r="AD27" i="1"/>
  <c r="AJ27" i="1"/>
  <c r="K72" i="2"/>
  <c r="AL74" i="1"/>
  <c r="AD34" i="1"/>
  <c r="X34" i="1"/>
  <c r="AJ34" i="1"/>
  <c r="Q34" i="1"/>
  <c r="AK11" i="1"/>
  <c r="AE11" i="1"/>
  <c r="Y11" i="1"/>
  <c r="AN11" i="1" s="1"/>
  <c r="AE47" i="1"/>
  <c r="O61" i="2" s="1"/>
  <c r="P61" i="2" s="1"/>
  <c r="Y47" i="1"/>
  <c r="AK47" i="1"/>
  <c r="R61" i="2" s="1"/>
  <c r="S61" i="2" s="1"/>
  <c r="AL20" i="1"/>
  <c r="L74" i="2"/>
  <c r="M74" i="2" s="1"/>
  <c r="AK17" i="1"/>
  <c r="R27" i="2" s="1"/>
  <c r="S27" i="2" s="1"/>
  <c r="Y17" i="1"/>
  <c r="AE17" i="1"/>
  <c r="AL31" i="1"/>
  <c r="AK16" i="1"/>
  <c r="R26" i="2" s="1"/>
  <c r="S26" i="2" s="1"/>
  <c r="AE16" i="1"/>
  <c r="O26" i="2" s="1"/>
  <c r="P26" i="2" s="1"/>
  <c r="Y16" i="1"/>
  <c r="L26" i="2" s="1"/>
  <c r="M26" i="2" s="1"/>
  <c r="AL39" i="1"/>
  <c r="AL52" i="1"/>
  <c r="K20" i="2"/>
  <c r="AL10" i="1"/>
  <c r="AL25" i="1"/>
  <c r="O21" i="2"/>
  <c r="P21" i="2" s="1"/>
  <c r="AK15" i="1"/>
  <c r="R25" i="2" s="1"/>
  <c r="S25" i="2" s="1"/>
  <c r="AE15" i="1"/>
  <c r="O25" i="2" s="1"/>
  <c r="P25" i="2" s="1"/>
  <c r="Y15" i="1"/>
  <c r="K49" i="2"/>
  <c r="P56" i="2"/>
  <c r="Y63" i="1"/>
  <c r="L77" i="2" s="1"/>
  <c r="M77" i="2" s="1"/>
  <c r="AK63" i="1"/>
  <c r="R77" i="2" s="1"/>
  <c r="AE63" i="1"/>
  <c r="O77" i="2" s="1"/>
  <c r="P77" i="2" s="1"/>
  <c r="AO60" i="1"/>
  <c r="AK70" i="1"/>
  <c r="AE70" i="1"/>
  <c r="O84" i="2" s="1"/>
  <c r="P84" i="2" s="1"/>
  <c r="Y70" i="1"/>
  <c r="S28" i="2"/>
  <c r="AL26" i="1"/>
  <c r="S71" i="2"/>
  <c r="N87" i="2"/>
  <c r="AJ26" i="1"/>
  <c r="X26" i="1"/>
  <c r="Q26" i="1"/>
  <c r="AD26" i="1"/>
  <c r="AD43" i="1"/>
  <c r="Q43" i="1"/>
  <c r="AJ43" i="1"/>
  <c r="X43" i="1"/>
  <c r="Y73" i="1"/>
  <c r="AK73" i="1"/>
  <c r="R52" i="2" s="1"/>
  <c r="S52" i="2" s="1"/>
  <c r="AE73" i="1"/>
  <c r="O52" i="2" s="1"/>
  <c r="P52" i="2" s="1"/>
  <c r="AM69" i="1"/>
  <c r="AD31" i="1"/>
  <c r="X31" i="1"/>
  <c r="Q31" i="1"/>
  <c r="AJ31" i="1"/>
  <c r="AK28" i="1"/>
  <c r="R37" i="2" s="1"/>
  <c r="S37" i="2" s="1"/>
  <c r="AE28" i="1"/>
  <c r="O37" i="2" s="1"/>
  <c r="P37" i="2" s="1"/>
  <c r="Y28" i="1"/>
  <c r="L37" i="2" s="1"/>
  <c r="M37" i="2" s="1"/>
  <c r="K64" i="2"/>
  <c r="S51" i="2"/>
  <c r="K79" i="2"/>
  <c r="AD39" i="1"/>
  <c r="Q39" i="1"/>
  <c r="AJ39" i="1"/>
  <c r="X39" i="1"/>
  <c r="AM70" i="1"/>
  <c r="AN38" i="1"/>
  <c r="AO38" i="1" s="1"/>
  <c r="AL27" i="1"/>
  <c r="Q74" i="1"/>
  <c r="AD74" i="1"/>
  <c r="X74" i="1"/>
  <c r="AJ74" i="1"/>
  <c r="K50" i="2"/>
  <c r="AL32" i="1"/>
  <c r="AD45" i="1"/>
  <c r="AJ45" i="1"/>
  <c r="X45" i="1"/>
  <c r="Q45" i="1"/>
  <c r="AO22" i="1"/>
  <c r="M32" i="2"/>
  <c r="AM73" i="1"/>
  <c r="S74" i="2"/>
  <c r="P74" i="2"/>
  <c r="P63" i="2"/>
  <c r="Q52" i="1"/>
  <c r="AJ52" i="1"/>
  <c r="AD52" i="1"/>
  <c r="X52" i="1"/>
  <c r="AD53" i="1"/>
  <c r="AJ53" i="1"/>
  <c r="X53" i="1"/>
  <c r="Q53" i="1"/>
  <c r="S24" i="2"/>
  <c r="AD72" i="1"/>
  <c r="AJ72" i="1"/>
  <c r="X72" i="1"/>
  <c r="Q72" i="1"/>
  <c r="AL59" i="1"/>
  <c r="L56" i="2"/>
  <c r="M56" i="2" s="1"/>
  <c r="AR42" i="1" l="1"/>
  <c r="T56" i="2"/>
  <c r="T54" i="2"/>
  <c r="AR75" i="1"/>
  <c r="T21" i="2"/>
  <c r="AR11" i="1"/>
  <c r="AO47" i="1"/>
  <c r="AR57" i="1"/>
  <c r="T71" i="2"/>
  <c r="AR14" i="1"/>
  <c r="T24" i="2"/>
  <c r="AM41" i="1"/>
  <c r="L55" i="2"/>
  <c r="M55" i="2" s="1"/>
  <c r="O79" i="2"/>
  <c r="P79" i="2" s="1"/>
  <c r="AM51" i="1"/>
  <c r="AO44" i="1"/>
  <c r="R79" i="2"/>
  <c r="S79" i="2" s="1"/>
  <c r="R73" i="2"/>
  <c r="S73" i="2" s="1"/>
  <c r="O65" i="2"/>
  <c r="P65" i="2" s="1"/>
  <c r="O45" i="2"/>
  <c r="P45" i="2" s="1"/>
  <c r="AN19" i="1"/>
  <c r="AO19" i="1" s="1"/>
  <c r="L29" i="2"/>
  <c r="M29" i="2" s="1"/>
  <c r="AN47" i="1"/>
  <c r="L61" i="2"/>
  <c r="M61" i="2" s="1"/>
  <c r="AN21" i="1"/>
  <c r="L31" i="2"/>
  <c r="M31" i="2" s="1"/>
  <c r="AR22" i="1"/>
  <c r="T32" i="2"/>
  <c r="AR38" i="1"/>
  <c r="T48" i="2"/>
  <c r="AM31" i="1"/>
  <c r="AN17" i="1"/>
  <c r="AM65" i="1"/>
  <c r="AM67" i="1"/>
  <c r="AM54" i="1"/>
  <c r="L68" i="2"/>
  <c r="M68" i="2" s="1"/>
  <c r="AE66" i="1"/>
  <c r="O80" i="2" s="1"/>
  <c r="P80" i="2" s="1"/>
  <c r="Y66" i="1"/>
  <c r="AK66" i="1"/>
  <c r="AE51" i="1"/>
  <c r="Y51" i="1"/>
  <c r="AK51" i="1"/>
  <c r="R65" i="2" s="1"/>
  <c r="S65" i="2" s="1"/>
  <c r="Y59" i="1"/>
  <c r="AK59" i="1"/>
  <c r="AE59" i="1"/>
  <c r="O73" i="2" s="1"/>
  <c r="P73" i="2" s="1"/>
  <c r="Y58" i="1"/>
  <c r="AK58" i="1"/>
  <c r="R72" i="2" s="1"/>
  <c r="S72" i="2" s="1"/>
  <c r="AE58" i="1"/>
  <c r="O72" i="2" s="1"/>
  <c r="P72" i="2" s="1"/>
  <c r="O68" i="2"/>
  <c r="P68" i="2" s="1"/>
  <c r="AK35" i="1"/>
  <c r="R45" i="2" s="1"/>
  <c r="S45" i="2" s="1"/>
  <c r="Y35" i="1"/>
  <c r="AN35" i="1" s="1"/>
  <c r="AE35" i="1"/>
  <c r="AK40" i="1"/>
  <c r="AE40" i="1"/>
  <c r="Y40" i="1"/>
  <c r="AN40" i="1" s="1"/>
  <c r="AM12" i="1"/>
  <c r="AO12" i="1" s="1"/>
  <c r="Y65" i="1"/>
  <c r="AN65" i="1" s="1"/>
  <c r="AK65" i="1"/>
  <c r="AE65" i="1"/>
  <c r="AM26" i="1"/>
  <c r="AM52" i="1"/>
  <c r="L66" i="2"/>
  <c r="M66" i="2" s="1"/>
  <c r="AN70" i="1"/>
  <c r="AO70" i="1" s="1"/>
  <c r="O66" i="2"/>
  <c r="P66" i="2" s="1"/>
  <c r="AE45" i="1"/>
  <c r="AK45" i="1"/>
  <c r="Y45" i="1"/>
  <c r="AN45" i="1" s="1"/>
  <c r="AM30" i="1"/>
  <c r="AN56" i="1"/>
  <c r="AM59" i="1"/>
  <c r="L73" i="2"/>
  <c r="M73" i="2" s="1"/>
  <c r="AO18" i="1"/>
  <c r="AM58" i="1"/>
  <c r="L72" i="2"/>
  <c r="M72" i="2" s="1"/>
  <c r="AK54" i="1"/>
  <c r="R68" i="2" s="1"/>
  <c r="S68" i="2" s="1"/>
  <c r="AE54" i="1"/>
  <c r="Y54" i="1"/>
  <c r="AM35" i="1"/>
  <c r="AO35" i="1" s="1"/>
  <c r="L45" i="2"/>
  <c r="M45" i="2" s="1"/>
  <c r="O50" i="2"/>
  <c r="P50" i="2" s="1"/>
  <c r="AE12" i="1"/>
  <c r="O22" i="2" s="1"/>
  <c r="P22" i="2" s="1"/>
  <c r="Y12" i="1"/>
  <c r="AN12" i="1" s="1"/>
  <c r="AK12" i="1"/>
  <c r="AM32" i="1"/>
  <c r="AM66" i="1"/>
  <c r="L80" i="2"/>
  <c r="M80" i="2" s="1"/>
  <c r="AM64" i="1"/>
  <c r="AO64" i="1" s="1"/>
  <c r="AE31" i="1"/>
  <c r="O41" i="2" s="1"/>
  <c r="P41" i="2" s="1"/>
  <c r="Y31" i="1"/>
  <c r="L41" i="2" s="1"/>
  <c r="M41" i="2" s="1"/>
  <c r="AK31" i="1"/>
  <c r="R66" i="2"/>
  <c r="S66" i="2" s="1"/>
  <c r="AM45" i="1"/>
  <c r="AO45" i="1" s="1"/>
  <c r="L59" i="2"/>
  <c r="M59" i="2" s="1"/>
  <c r="AM39" i="1"/>
  <c r="AK34" i="1"/>
  <c r="Y34" i="1"/>
  <c r="AE34" i="1"/>
  <c r="O44" i="2" s="1"/>
  <c r="P44" i="2" s="1"/>
  <c r="AO17" i="1"/>
  <c r="AK30" i="1"/>
  <c r="Y30" i="1"/>
  <c r="AE30" i="1"/>
  <c r="Y71" i="1"/>
  <c r="AE71" i="1"/>
  <c r="AK71" i="1"/>
  <c r="AN23" i="1"/>
  <c r="AO23" i="1" s="1"/>
  <c r="L33" i="2"/>
  <c r="M33" i="2" s="1"/>
  <c r="T34" i="2"/>
  <c r="AR24" i="1"/>
  <c r="AM40" i="1"/>
  <c r="AO40" i="1" s="1"/>
  <c r="L50" i="2"/>
  <c r="M50" i="2" s="1"/>
  <c r="AM27" i="1"/>
  <c r="AK64" i="1"/>
  <c r="R78" i="2" s="1"/>
  <c r="S78" i="2" s="1"/>
  <c r="AE64" i="1"/>
  <c r="O78" i="2" s="1"/>
  <c r="P78" i="2" s="1"/>
  <c r="Y64" i="1"/>
  <c r="AN64" i="1" s="1"/>
  <c r="Y67" i="1"/>
  <c r="L81" i="2" s="1"/>
  <c r="M81" i="2" s="1"/>
  <c r="AE67" i="1"/>
  <c r="O81" i="2" s="1"/>
  <c r="P81" i="2" s="1"/>
  <c r="AK67" i="1"/>
  <c r="R81" i="2" s="1"/>
  <c r="S81" i="2" s="1"/>
  <c r="AM53" i="1"/>
  <c r="L67" i="2"/>
  <c r="M67" i="2" s="1"/>
  <c r="Q87" i="2"/>
  <c r="AE55" i="1"/>
  <c r="AK55" i="1"/>
  <c r="Y55" i="1"/>
  <c r="O40" i="2"/>
  <c r="P40" i="2" s="1"/>
  <c r="O85" i="2"/>
  <c r="P85" i="2" s="1"/>
  <c r="Y29" i="1"/>
  <c r="AK29" i="1"/>
  <c r="R39" i="2" s="1"/>
  <c r="S39" i="2" s="1"/>
  <c r="AE29" i="1"/>
  <c r="O39" i="2" s="1"/>
  <c r="P39" i="2" s="1"/>
  <c r="AK37" i="1"/>
  <c r="AE37" i="1"/>
  <c r="O47" i="2" s="1"/>
  <c r="P47" i="2" s="1"/>
  <c r="Y37" i="1"/>
  <c r="AN37" i="1" s="1"/>
  <c r="R50" i="2"/>
  <c r="S50" i="2" s="1"/>
  <c r="R22" i="2"/>
  <c r="S22" i="2" s="1"/>
  <c r="R42" i="2"/>
  <c r="S42" i="2" s="1"/>
  <c r="AE53" i="1"/>
  <c r="O67" i="2" s="1"/>
  <c r="P67" i="2" s="1"/>
  <c r="AK53" i="1"/>
  <c r="R67" i="2" s="1"/>
  <c r="S67" i="2" s="1"/>
  <c r="Y53" i="1"/>
  <c r="AN53" i="1" s="1"/>
  <c r="AK52" i="1"/>
  <c r="AE52" i="1"/>
  <c r="Y52" i="1"/>
  <c r="AN52" i="1" s="1"/>
  <c r="R59" i="2"/>
  <c r="S59" i="2" s="1"/>
  <c r="AR60" i="1"/>
  <c r="T74" i="2"/>
  <c r="R44" i="2"/>
  <c r="S44" i="2" s="1"/>
  <c r="AK20" i="1"/>
  <c r="AE20" i="1"/>
  <c r="Y20" i="1"/>
  <c r="O59" i="2"/>
  <c r="P59" i="2" s="1"/>
  <c r="Y39" i="1"/>
  <c r="AK39" i="1"/>
  <c r="R49" i="2" s="1"/>
  <c r="S49" i="2" s="1"/>
  <c r="AE39" i="1"/>
  <c r="O49" i="2" s="1"/>
  <c r="P49" i="2" s="1"/>
  <c r="AM34" i="1"/>
  <c r="Y25" i="1"/>
  <c r="AK25" i="1"/>
  <c r="R35" i="2" s="1"/>
  <c r="S35" i="2" s="1"/>
  <c r="AE25" i="1"/>
  <c r="O35" i="2" s="1"/>
  <c r="P35" i="2" s="1"/>
  <c r="AM20" i="1"/>
  <c r="L30" i="2"/>
  <c r="M30" i="2" s="1"/>
  <c r="AM55" i="1"/>
  <c r="L54" i="2"/>
  <c r="M54" i="2" s="1"/>
  <c r="R40" i="2"/>
  <c r="S40" i="2" s="1"/>
  <c r="AO56" i="1"/>
  <c r="AN49" i="1"/>
  <c r="AO49" i="1" s="1"/>
  <c r="L63" i="2"/>
  <c r="M63" i="2" s="1"/>
  <c r="AK32" i="1"/>
  <c r="AE32" i="1"/>
  <c r="O42" i="2" s="1"/>
  <c r="P42" i="2" s="1"/>
  <c r="Y32" i="1"/>
  <c r="AN32" i="1" s="1"/>
  <c r="AO32" i="1" s="1"/>
  <c r="R41" i="2"/>
  <c r="S41" i="2" s="1"/>
  <c r="AL77" i="1"/>
  <c r="AM25" i="1"/>
  <c r="L35" i="2"/>
  <c r="M35" i="2" s="1"/>
  <c r="O30" i="2"/>
  <c r="P30" i="2" s="1"/>
  <c r="O69" i="2"/>
  <c r="P69" i="2" s="1"/>
  <c r="AM71" i="1"/>
  <c r="L85" i="2"/>
  <c r="M85" i="2" s="1"/>
  <c r="AN61" i="1"/>
  <c r="AO61" i="1" s="1"/>
  <c r="R47" i="2"/>
  <c r="S47" i="2" s="1"/>
  <c r="R60" i="2"/>
  <c r="S60" i="2" s="1"/>
  <c r="R76" i="2"/>
  <c r="S76" i="2" s="1"/>
  <c r="AO53" i="1"/>
  <c r="AK74" i="1"/>
  <c r="AE74" i="1"/>
  <c r="O53" i="2" s="1"/>
  <c r="P53" i="2" s="1"/>
  <c r="Y74" i="1"/>
  <c r="AE50" i="1"/>
  <c r="Y50" i="1"/>
  <c r="AK50" i="1"/>
  <c r="R64" i="2" s="1"/>
  <c r="S64" i="2" s="1"/>
  <c r="AO27" i="1"/>
  <c r="R69" i="2"/>
  <c r="S69" i="2" s="1"/>
  <c r="AM29" i="1"/>
  <c r="AM37" i="1"/>
  <c r="AO37" i="1" s="1"/>
  <c r="L47" i="2"/>
  <c r="M47" i="2" s="1"/>
  <c r="AM46" i="1"/>
  <c r="Y62" i="1"/>
  <c r="AN62" i="1" s="1"/>
  <c r="AK62" i="1"/>
  <c r="AE62" i="1"/>
  <c r="O76" i="2" s="1"/>
  <c r="P76" i="2" s="1"/>
  <c r="AO21" i="1"/>
  <c r="Y72" i="1"/>
  <c r="AK72" i="1"/>
  <c r="AE72" i="1"/>
  <c r="O86" i="2" s="1"/>
  <c r="P86" i="2" s="1"/>
  <c r="AN73" i="1"/>
  <c r="L52" i="2"/>
  <c r="M52" i="2" s="1"/>
  <c r="K87" i="2"/>
  <c r="R30" i="2"/>
  <c r="S30" i="2" s="1"/>
  <c r="Y10" i="1"/>
  <c r="AN10" i="1" s="1"/>
  <c r="AK10" i="1"/>
  <c r="AE10" i="1"/>
  <c r="AM48" i="1"/>
  <c r="L62" i="2"/>
  <c r="M62" i="2" s="1"/>
  <c r="AN36" i="1"/>
  <c r="AO36" i="1" s="1"/>
  <c r="L46" i="2"/>
  <c r="M46" i="2" s="1"/>
  <c r="AN33" i="1"/>
  <c r="AO33" i="1" s="1"/>
  <c r="L43" i="2"/>
  <c r="M43" i="2" s="1"/>
  <c r="AM62" i="1"/>
  <c r="AO62" i="1" s="1"/>
  <c r="L76" i="2"/>
  <c r="M76" i="2" s="1"/>
  <c r="AE41" i="1"/>
  <c r="O55" i="2" s="1"/>
  <c r="P55" i="2" s="1"/>
  <c r="AK41" i="1"/>
  <c r="R55" i="2" s="1"/>
  <c r="S55" i="2" s="1"/>
  <c r="Y41" i="1"/>
  <c r="R20" i="2"/>
  <c r="AJ77" i="1"/>
  <c r="AM13" i="1"/>
  <c r="L23" i="2"/>
  <c r="M23" i="2" s="1"/>
  <c r="AM72" i="1"/>
  <c r="AM43" i="1"/>
  <c r="AN63" i="1"/>
  <c r="AO63" i="1" s="1"/>
  <c r="AO52" i="1"/>
  <c r="L58" i="2"/>
  <c r="M58" i="2" s="1"/>
  <c r="R38" i="2"/>
  <c r="S38" i="2" s="1"/>
  <c r="AN69" i="1"/>
  <c r="AO69" i="1" s="1"/>
  <c r="L20" i="2"/>
  <c r="AM10" i="1"/>
  <c r="AN18" i="1"/>
  <c r="AM68" i="1"/>
  <c r="AO68" i="1" s="1"/>
  <c r="L82" i="2"/>
  <c r="M82" i="2" s="1"/>
  <c r="AE46" i="1"/>
  <c r="O60" i="2" s="1"/>
  <c r="P60" i="2" s="1"/>
  <c r="Y46" i="1"/>
  <c r="AK46" i="1"/>
  <c r="O20" i="2"/>
  <c r="AM50" i="1"/>
  <c r="AK26" i="1"/>
  <c r="R36" i="2" s="1"/>
  <c r="S36" i="2" s="1"/>
  <c r="AE26" i="1"/>
  <c r="O36" i="2" s="1"/>
  <c r="P36" i="2" s="1"/>
  <c r="Y26" i="1"/>
  <c r="AN26" i="1" s="1"/>
  <c r="AO26" i="1" s="1"/>
  <c r="AO73" i="1"/>
  <c r="R53" i="2"/>
  <c r="S53" i="2" s="1"/>
  <c r="AN28" i="1"/>
  <c r="AE43" i="1"/>
  <c r="AK43" i="1"/>
  <c r="R57" i="2" s="1"/>
  <c r="S57" i="2" s="1"/>
  <c r="Y43" i="1"/>
  <c r="AN43" i="1" s="1"/>
  <c r="O38" i="2"/>
  <c r="P38" i="2" s="1"/>
  <c r="AK13" i="1"/>
  <c r="R23" i="2" s="1"/>
  <c r="S23" i="2" s="1"/>
  <c r="AE13" i="1"/>
  <c r="O23" i="2" s="1"/>
  <c r="P23" i="2" s="1"/>
  <c r="Y13" i="1"/>
  <c r="AM74" i="1"/>
  <c r="L53" i="2"/>
  <c r="M53" i="2" s="1"/>
  <c r="O57" i="2"/>
  <c r="P57" i="2" s="1"/>
  <c r="AN15" i="1"/>
  <c r="AO15" i="1" s="1"/>
  <c r="AN16" i="1"/>
  <c r="AO16" i="1" s="1"/>
  <c r="Y27" i="1"/>
  <c r="AN27" i="1" s="1"/>
  <c r="AE27" i="1"/>
  <c r="AK27" i="1"/>
  <c r="L21" i="2"/>
  <c r="M21" i="2" s="1"/>
  <c r="AE48" i="1"/>
  <c r="O62" i="2" s="1"/>
  <c r="P62" i="2" s="1"/>
  <c r="Y48" i="1"/>
  <c r="AK48" i="1"/>
  <c r="R62" i="2" s="1"/>
  <c r="S62" i="2" s="1"/>
  <c r="R80" i="2"/>
  <c r="S80" i="2" s="1"/>
  <c r="AO28" i="1"/>
  <c r="AK68" i="1"/>
  <c r="AE68" i="1"/>
  <c r="O82" i="2" s="1"/>
  <c r="P82" i="2" s="1"/>
  <c r="Y68" i="1"/>
  <c r="AN68" i="1" s="1"/>
  <c r="O64" i="2"/>
  <c r="P64" i="2" s="1"/>
  <c r="L27" i="2"/>
  <c r="M27" i="2" s="1"/>
  <c r="T84" i="2" l="1"/>
  <c r="AR70" i="1"/>
  <c r="T42" i="2"/>
  <c r="AR32" i="1"/>
  <c r="T76" i="2"/>
  <c r="AR62" i="1"/>
  <c r="T45" i="2"/>
  <c r="AR35" i="1"/>
  <c r="T36" i="2"/>
  <c r="AR26" i="1"/>
  <c r="T78" i="2"/>
  <c r="AR64" i="1"/>
  <c r="T22" i="2"/>
  <c r="AR12" i="1"/>
  <c r="T47" i="2"/>
  <c r="AR37" i="1"/>
  <c r="AO67" i="1"/>
  <c r="AR36" i="1"/>
  <c r="T46" i="2"/>
  <c r="T63" i="2"/>
  <c r="AR49" i="1"/>
  <c r="T70" i="2"/>
  <c r="AR56" i="1"/>
  <c r="AN29" i="1"/>
  <c r="AO29" i="1" s="1"/>
  <c r="O87" i="2"/>
  <c r="P20" i="2"/>
  <c r="P87" i="2" s="1"/>
  <c r="AN50" i="1"/>
  <c r="AN39" i="1"/>
  <c r="AO39" i="1" s="1"/>
  <c r="L38" i="2"/>
  <c r="M38" i="2" s="1"/>
  <c r="AM77" i="1"/>
  <c r="T38" i="2"/>
  <c r="AR27" i="1"/>
  <c r="AN72" i="1"/>
  <c r="AN51" i="1"/>
  <c r="AO51" i="1" s="1"/>
  <c r="R87" i="2"/>
  <c r="AR21" i="1"/>
  <c r="T31" i="2"/>
  <c r="AN71" i="1"/>
  <c r="AO71" i="1" s="1"/>
  <c r="L79" i="2"/>
  <c r="M79" i="2" s="1"/>
  <c r="T33" i="2"/>
  <c r="AR23" i="1"/>
  <c r="AO13" i="1"/>
  <c r="AN74" i="1"/>
  <c r="AO74" i="1" s="1"/>
  <c r="AN20" i="1"/>
  <c r="AO20" i="1" s="1"/>
  <c r="AN55" i="1"/>
  <c r="AO55" i="1" s="1"/>
  <c r="AN54" i="1"/>
  <c r="AO54" i="1" s="1"/>
  <c r="AN66" i="1"/>
  <c r="AO66" i="1" s="1"/>
  <c r="AO50" i="1"/>
  <c r="T59" i="2"/>
  <c r="AR45" i="1"/>
  <c r="AK77" i="1"/>
  <c r="L69" i="2"/>
  <c r="M69" i="2" s="1"/>
  <c r="AN30" i="1"/>
  <c r="AO30" i="1" s="1"/>
  <c r="AN31" i="1"/>
  <c r="AO31" i="1" s="1"/>
  <c r="AY14" i="1"/>
  <c r="AC24" i="2" s="1"/>
  <c r="B30" i="3" s="1"/>
  <c r="V24" i="2"/>
  <c r="AR69" i="1"/>
  <c r="T83" i="2"/>
  <c r="AN48" i="1"/>
  <c r="AO48" i="1" s="1"/>
  <c r="AN41" i="1"/>
  <c r="AO41" i="1" s="1"/>
  <c r="AO10" i="1"/>
  <c r="AY38" i="1"/>
  <c r="AC48" i="2" s="1"/>
  <c r="B29" i="3" s="1"/>
  <c r="V48" i="2"/>
  <c r="AN46" i="1"/>
  <c r="AO46" i="1" s="1"/>
  <c r="L60" i="2"/>
  <c r="M60" i="2" s="1"/>
  <c r="T67" i="2"/>
  <c r="AR53" i="1"/>
  <c r="S20" i="2"/>
  <c r="S87" i="2" s="1"/>
  <c r="AY57" i="1"/>
  <c r="AC71" i="2" s="1"/>
  <c r="B23" i="3" s="1"/>
  <c r="V71" i="2"/>
  <c r="T50" i="2"/>
  <c r="AR40" i="1"/>
  <c r="T27" i="2"/>
  <c r="AR17" i="1"/>
  <c r="L78" i="2"/>
  <c r="M78" i="2" s="1"/>
  <c r="AY22" i="1"/>
  <c r="AC32" i="2" s="1"/>
  <c r="B40" i="3" s="1"/>
  <c r="V32" i="2"/>
  <c r="AR44" i="1"/>
  <c r="T58" i="2"/>
  <c r="AR47" i="1"/>
  <c r="T61" i="2"/>
  <c r="M20" i="2"/>
  <c r="AY60" i="1"/>
  <c r="AC74" i="2" s="1"/>
  <c r="B6" i="3" s="1"/>
  <c r="V74" i="2"/>
  <c r="AO58" i="1"/>
  <c r="L65" i="2"/>
  <c r="M65" i="2" s="1"/>
  <c r="V21" i="2"/>
  <c r="AY11" i="1"/>
  <c r="AC21" i="2" s="1"/>
  <c r="B55" i="3" s="1"/>
  <c r="T37" i="2"/>
  <c r="AR28" i="1"/>
  <c r="T52" i="2"/>
  <c r="AR73" i="1"/>
  <c r="T28" i="2"/>
  <c r="AR18" i="1"/>
  <c r="AR15" i="1"/>
  <c r="T25" i="2"/>
  <c r="T66" i="2"/>
  <c r="AR52" i="1"/>
  <c r="T77" i="2"/>
  <c r="AR63" i="1"/>
  <c r="AN25" i="1"/>
  <c r="AO25" i="1" s="1"/>
  <c r="AN34" i="1"/>
  <c r="L36" i="2"/>
  <c r="M36" i="2" s="1"/>
  <c r="AN58" i="1"/>
  <c r="V54" i="2"/>
  <c r="AY75" i="1"/>
  <c r="AC54" i="2" s="1"/>
  <c r="B52" i="3" s="1"/>
  <c r="T29" i="2"/>
  <c r="AR19" i="1"/>
  <c r="L22" i="2"/>
  <c r="M22" i="2" s="1"/>
  <c r="AR16" i="1"/>
  <c r="T26" i="2"/>
  <c r="AO43" i="1"/>
  <c r="L42" i="2"/>
  <c r="M42" i="2" s="1"/>
  <c r="AO65" i="1"/>
  <c r="T82" i="2"/>
  <c r="AR68" i="1"/>
  <c r="L57" i="2"/>
  <c r="M57" i="2" s="1"/>
  <c r="L86" i="2"/>
  <c r="M86" i="2" s="1"/>
  <c r="L39" i="2"/>
  <c r="M39" i="2" s="1"/>
  <c r="L44" i="2"/>
  <c r="M44" i="2" s="1"/>
  <c r="V34" i="2"/>
  <c r="AY24" i="1"/>
  <c r="AC34" i="2" s="1"/>
  <c r="B12" i="3" s="1"/>
  <c r="L49" i="2"/>
  <c r="M49" i="2" s="1"/>
  <c r="AN13" i="1"/>
  <c r="AN77" i="1" s="1"/>
  <c r="L64" i="2"/>
  <c r="M64" i="2" s="1"/>
  <c r="AO72" i="1"/>
  <c r="AR33" i="1"/>
  <c r="T43" i="2"/>
  <c r="AR61" i="1"/>
  <c r="T75" i="2"/>
  <c r="AO34" i="1"/>
  <c r="AN67" i="1"/>
  <c r="L40" i="2"/>
  <c r="M40" i="2" s="1"/>
  <c r="AN59" i="1"/>
  <c r="AO59" i="1" s="1"/>
  <c r="AY42" i="1"/>
  <c r="AC56" i="2" s="1"/>
  <c r="B32" i="3" s="1"/>
  <c r="V56" i="2"/>
  <c r="T41" i="2" l="1"/>
  <c r="AR31" i="1"/>
  <c r="T85" i="2"/>
  <c r="AR71" i="1"/>
  <c r="T55" i="2"/>
  <c r="AR41" i="1"/>
  <c r="T65" i="2"/>
  <c r="AR51" i="1"/>
  <c r="T80" i="2"/>
  <c r="AR66" i="1"/>
  <c r="T40" i="2"/>
  <c r="AR30" i="1"/>
  <c r="T35" i="2"/>
  <c r="AR25" i="1"/>
  <c r="T39" i="2"/>
  <c r="AR29" i="1"/>
  <c r="AY23" i="1"/>
  <c r="AC33" i="2" s="1"/>
  <c r="B4" i="3" s="1"/>
  <c r="V33" i="2"/>
  <c r="AY64" i="1"/>
  <c r="AC78" i="2" s="1"/>
  <c r="B11" i="3" s="1"/>
  <c r="V78" i="2"/>
  <c r="M87" i="2"/>
  <c r="AY56" i="1"/>
  <c r="AC70" i="2" s="1"/>
  <c r="B64" i="3" s="1"/>
  <c r="V70" i="2"/>
  <c r="AY26" i="1"/>
  <c r="AC36" i="2" s="1"/>
  <c r="B27" i="3" s="1"/>
  <c r="V36" i="2"/>
  <c r="AY33" i="1"/>
  <c r="AC43" i="2" s="1"/>
  <c r="B44" i="3" s="1"/>
  <c r="V43" i="2"/>
  <c r="T57" i="2"/>
  <c r="AR43" i="1"/>
  <c r="L87" i="2"/>
  <c r="AT53" i="1"/>
  <c r="X67" i="2" s="1"/>
  <c r="V67" i="2"/>
  <c r="AY69" i="1"/>
  <c r="AC83" i="2" s="1"/>
  <c r="B28" i="3" s="1"/>
  <c r="V83" i="2"/>
  <c r="AY61" i="1"/>
  <c r="AC75" i="2" s="1"/>
  <c r="B41" i="3" s="1"/>
  <c r="V75" i="2"/>
  <c r="AY49" i="1"/>
  <c r="AC63" i="2" s="1"/>
  <c r="B50" i="3" s="1"/>
  <c r="V63" i="2"/>
  <c r="AY35" i="1"/>
  <c r="AC45" i="2" s="1"/>
  <c r="B53" i="3" s="1"/>
  <c r="V45" i="2"/>
  <c r="AY68" i="1"/>
  <c r="AC82" i="2" s="1"/>
  <c r="B33" i="3" s="1"/>
  <c r="V82" i="2"/>
  <c r="AY52" i="1"/>
  <c r="AC66" i="2" s="1"/>
  <c r="B59" i="3" s="1"/>
  <c r="V66" i="2"/>
  <c r="AY16" i="1"/>
  <c r="AC26" i="2" s="1"/>
  <c r="B51" i="3" s="1"/>
  <c r="V26" i="2"/>
  <c r="AY15" i="1"/>
  <c r="AC25" i="2" s="1"/>
  <c r="B35" i="3" s="1"/>
  <c r="V25" i="2"/>
  <c r="AY47" i="1"/>
  <c r="AC61" i="2" s="1"/>
  <c r="B36" i="3" s="1"/>
  <c r="V61" i="2"/>
  <c r="AY21" i="1"/>
  <c r="AC31" i="2" s="1"/>
  <c r="B13" i="3" s="1"/>
  <c r="V31" i="2"/>
  <c r="T23" i="2"/>
  <c r="AR13" i="1"/>
  <c r="T86" i="2"/>
  <c r="AR72" i="1"/>
  <c r="AY18" i="1"/>
  <c r="AC28" i="2" s="1"/>
  <c r="B39" i="3" s="1"/>
  <c r="V28" i="2"/>
  <c r="AY62" i="1"/>
  <c r="AC76" i="2" s="1"/>
  <c r="B22" i="3" s="1"/>
  <c r="V76" i="2"/>
  <c r="T79" i="2"/>
  <c r="AR65" i="1"/>
  <c r="AY19" i="1"/>
  <c r="AC29" i="2" s="1"/>
  <c r="B45" i="3" s="1"/>
  <c r="V29" i="2"/>
  <c r="AY44" i="1"/>
  <c r="AC58" i="2" s="1"/>
  <c r="B21" i="3" s="1"/>
  <c r="V58" i="2"/>
  <c r="AY45" i="1"/>
  <c r="AC59" i="2" s="1"/>
  <c r="B47" i="3" s="1"/>
  <c r="V59" i="2"/>
  <c r="T44" i="2"/>
  <c r="AR34" i="1"/>
  <c r="T72" i="2"/>
  <c r="AR58" i="1"/>
  <c r="AY63" i="1"/>
  <c r="AC77" i="2" s="1"/>
  <c r="B15" i="3" s="1"/>
  <c r="V77" i="2"/>
  <c r="AY73" i="1"/>
  <c r="AC52" i="2" s="1"/>
  <c r="B8" i="3" s="1"/>
  <c r="V52" i="2"/>
  <c r="AY36" i="1"/>
  <c r="AC46" i="2" s="1"/>
  <c r="B18" i="3" s="1"/>
  <c r="V46" i="2"/>
  <c r="T81" i="2"/>
  <c r="AR67" i="1"/>
  <c r="AY32" i="1"/>
  <c r="AC42" i="2" s="1"/>
  <c r="B48" i="3" s="1"/>
  <c r="V42" i="2"/>
  <c r="T64" i="2"/>
  <c r="AR50" i="1"/>
  <c r="AY17" i="1"/>
  <c r="AC27" i="2" s="1"/>
  <c r="B67" i="3" s="1"/>
  <c r="V27" i="2"/>
  <c r="T68" i="2"/>
  <c r="AR54" i="1"/>
  <c r="AY70" i="1"/>
  <c r="AC84" i="2" s="1"/>
  <c r="B24" i="3" s="1"/>
  <c r="V84" i="2"/>
  <c r="AY27" i="1"/>
  <c r="AC38" i="2" s="1"/>
  <c r="B61" i="3" s="1"/>
  <c r="V38" i="2"/>
  <c r="T73" i="2"/>
  <c r="AR59" i="1"/>
  <c r="T69" i="2"/>
  <c r="AR55" i="1"/>
  <c r="AY37" i="1"/>
  <c r="AC47" i="2" s="1"/>
  <c r="B69" i="3" s="1"/>
  <c r="V47" i="2"/>
  <c r="AY28" i="1"/>
  <c r="AC37" i="2" s="1"/>
  <c r="B63" i="3" s="1"/>
  <c r="V37" i="2"/>
  <c r="AO77" i="1"/>
  <c r="T20" i="2"/>
  <c r="AR10" i="1"/>
  <c r="T60" i="2"/>
  <c r="AR46" i="1"/>
  <c r="AY40" i="1"/>
  <c r="AC50" i="2" s="1"/>
  <c r="B49" i="3" s="1"/>
  <c r="V50" i="2"/>
  <c r="T62" i="2"/>
  <c r="AR48" i="1"/>
  <c r="T30" i="2"/>
  <c r="AR20" i="1"/>
  <c r="T49" i="2"/>
  <c r="AR39" i="1"/>
  <c r="T53" i="2"/>
  <c r="AR74" i="1"/>
  <c r="AY12" i="1"/>
  <c r="AC22" i="2" s="1"/>
  <c r="B60" i="3" s="1"/>
  <c r="V22" i="2"/>
  <c r="AY43" i="1" l="1"/>
  <c r="AC57" i="2" s="1"/>
  <c r="B26" i="3" s="1"/>
  <c r="V57" i="2"/>
  <c r="AY30" i="1"/>
  <c r="AC40" i="2" s="1"/>
  <c r="B62" i="3" s="1"/>
  <c r="V40" i="2"/>
  <c r="AY20" i="1"/>
  <c r="AC30" i="2" s="1"/>
  <c r="B58" i="3" s="1"/>
  <c r="V30" i="2"/>
  <c r="AY29" i="1"/>
  <c r="AC39" i="2" s="1"/>
  <c r="B16" i="3" s="1"/>
  <c r="V39" i="2"/>
  <c r="AY59" i="1"/>
  <c r="AC73" i="2" s="1"/>
  <c r="B68" i="3" s="1"/>
  <c r="V73" i="2"/>
  <c r="AY65" i="1"/>
  <c r="AC79" i="2" s="1"/>
  <c r="B14" i="3" s="1"/>
  <c r="V79" i="2"/>
  <c r="AY48" i="1"/>
  <c r="AC62" i="2" s="1"/>
  <c r="B66" i="3" s="1"/>
  <c r="V62" i="2"/>
  <c r="AY46" i="1"/>
  <c r="AC60" i="2" s="1"/>
  <c r="B65" i="3" s="1"/>
  <c r="V60" i="2"/>
  <c r="AY66" i="1"/>
  <c r="AC80" i="2" s="1"/>
  <c r="B20" i="3" s="1"/>
  <c r="V80" i="2"/>
  <c r="AY25" i="1"/>
  <c r="AC35" i="2" s="1"/>
  <c r="B17" i="3" s="1"/>
  <c r="V35" i="2"/>
  <c r="AY54" i="1"/>
  <c r="AC68" i="2" s="1"/>
  <c r="B42" i="3" s="1"/>
  <c r="V68" i="2"/>
  <c r="AY58" i="1"/>
  <c r="AC72" i="2" s="1"/>
  <c r="B34" i="3" s="1"/>
  <c r="V72" i="2"/>
  <c r="AY72" i="1"/>
  <c r="AC86" i="2" s="1"/>
  <c r="B5" i="3" s="1"/>
  <c r="V86" i="2"/>
  <c r="AT51" i="1"/>
  <c r="AY51" i="1" s="1"/>
  <c r="AC65" i="2" s="1"/>
  <c r="B57" i="3" s="1"/>
  <c r="V65" i="2"/>
  <c r="AR77" i="1"/>
  <c r="V20" i="2"/>
  <c r="AY10" i="1"/>
  <c r="T87" i="2"/>
  <c r="AY34" i="1"/>
  <c r="AC44" i="2" s="1"/>
  <c r="B43" i="3" s="1"/>
  <c r="V44" i="2"/>
  <c r="AY13" i="1"/>
  <c r="AC23" i="2" s="1"/>
  <c r="B54" i="3" s="1"/>
  <c r="V23" i="2"/>
  <c r="AY53" i="1"/>
  <c r="AC67" i="2" s="1"/>
  <c r="B56" i="3" s="1"/>
  <c r="AY41" i="1"/>
  <c r="AC55" i="2" s="1"/>
  <c r="B19" i="3" s="1"/>
  <c r="V55" i="2"/>
  <c r="AY74" i="1"/>
  <c r="AC53" i="2" s="1"/>
  <c r="B7" i="3" s="1"/>
  <c r="V53" i="2"/>
  <c r="AY71" i="1"/>
  <c r="AC85" i="2" s="1"/>
  <c r="B9" i="3" s="1"/>
  <c r="V85" i="2"/>
  <c r="AY50" i="1"/>
  <c r="AC64" i="2" s="1"/>
  <c r="B37" i="3" s="1"/>
  <c r="V64" i="2"/>
  <c r="AY39" i="1"/>
  <c r="AC49" i="2" s="1"/>
  <c r="B25" i="3" s="1"/>
  <c r="V49" i="2"/>
  <c r="AY31" i="1"/>
  <c r="AC41" i="2" s="1"/>
  <c r="B31" i="3" s="1"/>
  <c r="V41" i="2"/>
  <c r="AY55" i="1"/>
  <c r="AC69" i="2" s="1"/>
  <c r="B38" i="3" s="1"/>
  <c r="V69" i="2"/>
  <c r="AY67" i="1"/>
  <c r="AC81" i="2" s="1"/>
  <c r="B46" i="3" s="1"/>
  <c r="V81" i="2"/>
  <c r="V87" i="2" l="1"/>
  <c r="AT77" i="1"/>
  <c r="X65" i="2"/>
  <c r="X87" i="2" s="1"/>
  <c r="AC20" i="2"/>
  <c r="AY77" i="1"/>
  <c r="AC87" i="2" l="1"/>
  <c r="B10" i="3"/>
  <c r="B7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2" authorId="0" shapeId="0" xr:uid="{00000000-0006-0000-0000-000001000000}">
      <text>
        <r>
          <rPr>
            <sz val="11"/>
            <color theme="1"/>
            <rFont val="Calibri"/>
            <scheme val="minor"/>
          </rPr>
          <t>SALARY INCREASE SG 11 TO 15 
THEY ALREADY HAVE DMO  II POSITON</t>
        </r>
      </text>
    </comment>
    <comment ref="AP23" authorId="0" shapeId="0" xr:uid="{00000000-0006-0000-0000-000002000000}">
      <text>
        <r>
          <rPr>
            <sz val="11"/>
            <color theme="1"/>
            <rFont val="Calibri"/>
            <scheme val="minor"/>
          </rPr>
          <t>Dec 1-15, (Stop deductions Nov 16-30) 337.50</t>
        </r>
      </text>
    </comment>
    <comment ref="E28" authorId="0" shapeId="0" xr:uid="{00000000-0006-0000-0000-000003000000}">
      <text>
        <r>
          <rPr>
            <sz val="11"/>
            <color theme="1"/>
            <rFont val="Calibri"/>
            <scheme val="minor"/>
          </rPr>
          <t>SALARY INCREASE FR 6 TO 8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9" authorId="0" shapeId="0" xr:uid="{00000000-0006-0000-0100-000001000000}">
      <text>
        <r>
          <rPr>
            <sz val="11"/>
            <color theme="1"/>
            <rFont val="Calibri"/>
            <scheme val="minor"/>
          </rPr>
          <t xml:space="preserve">Permanent Rate
</t>
        </r>
      </text>
    </comment>
  </commentList>
</comments>
</file>

<file path=xl/sharedStrings.xml><?xml version="1.0" encoding="utf-8"?>
<sst xmlns="http://schemas.openxmlformats.org/spreadsheetml/2006/main" count="2083" uniqueCount="801">
  <si>
    <t>JOB ORDER GENERAL PAYROLL</t>
  </si>
  <si>
    <t>For The Period of</t>
  </si>
  <si>
    <t>02-16-28-2026</t>
  </si>
  <si>
    <t>No.</t>
  </si>
  <si>
    <t>ORS Number</t>
  </si>
  <si>
    <t>ORS Date</t>
  </si>
  <si>
    <t>Name</t>
  </si>
  <si>
    <t>Office</t>
  </si>
  <si>
    <t>Position</t>
  </si>
  <si>
    <t>Salary Grade</t>
  </si>
  <si>
    <t>FUND SOURCE</t>
  </si>
  <si>
    <t>W/ ANNEX B2</t>
  </si>
  <si>
    <t xml:space="preserve">4th QTR.
Work Schedule  - </t>
  </si>
  <si>
    <t>Monthly Rate</t>
  </si>
  <si>
    <t>Quincena</t>
  </si>
  <si>
    <t>Daily Rate</t>
  </si>
  <si>
    <t>Per Hour</t>
  </si>
  <si>
    <t>Per Minute</t>
  </si>
  <si>
    <t>Working Days</t>
  </si>
  <si>
    <t>Basic Salary</t>
  </si>
  <si>
    <t>02-01-15-2026</t>
  </si>
  <si>
    <t>Total</t>
  </si>
  <si>
    <t>Other Deduction</t>
  </si>
  <si>
    <t>Gross Amount</t>
  </si>
  <si>
    <t>Withholding Tax</t>
  </si>
  <si>
    <t>Deductions</t>
  </si>
  <si>
    <t>Net Pay</t>
  </si>
  <si>
    <t>Remarks</t>
  </si>
  <si>
    <t>IN PESO</t>
  </si>
  <si>
    <t>Late / Under Time</t>
  </si>
  <si>
    <t>Clothing 
and Others</t>
  </si>
  <si>
    <t>EXPANDED</t>
  </si>
  <si>
    <t>PERCENTAGE</t>
  </si>
  <si>
    <t>Accommodation (Staff house)</t>
  </si>
  <si>
    <t>Water (Staff house)</t>
  </si>
  <si>
    <t>Electricity 
(Staff house)</t>
  </si>
  <si>
    <t>Repairs</t>
  </si>
  <si>
    <t>Time In</t>
  </si>
  <si>
    <t>Time Out</t>
  </si>
  <si>
    <t>Absent</t>
  </si>
  <si>
    <t>Hour</t>
  </si>
  <si>
    <t>Minute</t>
  </si>
  <si>
    <t>1</t>
  </si>
  <si>
    <t>4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</si>
  <si>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</si>
  <si>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</si>
  <si>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</si>
  <si>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</si>
  <si>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</si>
  <si>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</si>
  <si>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</si>
  <si>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</si>
  <si>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</si>
  <si>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</si>
  <si>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</si>
  <si>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</si>
  <si>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</si>
  <si>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</si>
  <si>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</si>
  <si>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</si>
  <si>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</si>
  <si>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</si>
  <si>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</si>
  <si>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</si>
  <si>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</si>
  <si>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</si>
  <si>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</si>
  <si>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</si>
  <si>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</si>
  <si>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</si>
  <si>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</si>
  <si>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</si>
  <si>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</si>
  <si>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</si>
  <si>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</si>
  <si>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</si>
  <si>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</si>
  <si>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2026-01-0016</t>
  </si>
  <si>
    <t>AUSTRIA, CHRISTIAN JOCEF B.</t>
  </si>
  <si>
    <t>CDMD</t>
  </si>
  <si>
    <t>Administrative Asst. II</t>
  </si>
  <si>
    <t>O. ESETS</t>
  </si>
  <si>
    <t>OK</t>
  </si>
  <si>
    <t>Payroll</t>
  </si>
  <si>
    <t>2026-01-0014</t>
  </si>
  <si>
    <t>PASTOR, JANELLE E.</t>
  </si>
  <si>
    <t>Development Management Officer I</t>
  </si>
  <si>
    <t>AGUSTIN, PAULYN B.</t>
  </si>
  <si>
    <t>2026-01-0015</t>
  </si>
  <si>
    <t xml:space="preserve">RODRIGUEZ, MA. RUFFA A. </t>
  </si>
  <si>
    <t>Development Management Officer II</t>
  </si>
  <si>
    <t>AKUT, FILSAN G.</t>
  </si>
  <si>
    <t>2026-01-0002</t>
  </si>
  <si>
    <t>OQUINDO, SHEILA JANE G.</t>
  </si>
  <si>
    <t>CFIDP</t>
  </si>
  <si>
    <t>Voucher</t>
  </si>
  <si>
    <t>AMBROSIO, JOHN HAROLD F.</t>
  </si>
  <si>
    <t>2026-01-0017</t>
  </si>
  <si>
    <t>ESMER, GLECY R.</t>
  </si>
  <si>
    <t>PPD</t>
  </si>
  <si>
    <t>ANDAYA, APRIL JANE G.</t>
  </si>
  <si>
    <t>2026-01-0001</t>
  </si>
  <si>
    <t>GALABAY, CHRISTIANEL B.</t>
  </si>
  <si>
    <t>Planning Officer II</t>
  </si>
  <si>
    <t>ARANAZ, CZAREE JOSIAH A.</t>
  </si>
  <si>
    <t>2026-01-0018</t>
  </si>
  <si>
    <t>NILO, FAITH PERL A.</t>
  </si>
  <si>
    <t>Planning Officer I</t>
  </si>
  <si>
    <t>2026-01-0019</t>
  </si>
  <si>
    <t>VERINO, ALLYSON RYAN T.</t>
  </si>
  <si>
    <t>Planning Development Officer I</t>
  </si>
  <si>
    <t>BADILLO, ALBINO M.</t>
  </si>
  <si>
    <t>2026-01-0025</t>
  </si>
  <si>
    <t>LAMPAS, CHRISTIAN JOSEPH P</t>
  </si>
  <si>
    <t>ISD</t>
  </si>
  <si>
    <t>Computer Maintenance Technologist I</t>
  </si>
  <si>
    <t>FPMA/RICE</t>
  </si>
  <si>
    <t>BALA, ANGEL D.</t>
  </si>
  <si>
    <t>2026-01-0022</t>
  </si>
  <si>
    <t>MANDANI, AVE M.</t>
  </si>
  <si>
    <t>Bookbinder III</t>
  </si>
  <si>
    <t>BALANGATAN, JUN CHRISTOPHER C.</t>
  </si>
  <si>
    <t>2026-01-0021</t>
  </si>
  <si>
    <t>PERNIA, JONAS S.</t>
  </si>
  <si>
    <t>BELO, JOSHUA G.</t>
  </si>
  <si>
    <t>2026-01-0023</t>
  </si>
  <si>
    <t>Media Production Specialist I</t>
  </si>
  <si>
    <t>BRUZON, ANGENNITTE F.</t>
  </si>
  <si>
    <t>2026-01-0024</t>
  </si>
  <si>
    <t>LIM, KLEIN ANSON G.</t>
  </si>
  <si>
    <t>Agriculturist I</t>
  </si>
  <si>
    <t>CAGUMBAY, LIYANNE M.</t>
  </si>
  <si>
    <t>2026-01-0020</t>
  </si>
  <si>
    <t>AGUAS, DERICKE DUANE C.</t>
  </si>
  <si>
    <t>Information Officer I</t>
  </si>
  <si>
    <t>CAIZ, LEONILA D.</t>
  </si>
  <si>
    <t>2026-01-0026</t>
  </si>
  <si>
    <t>CALDITO, CHARISSE D.</t>
  </si>
  <si>
    <t>2026-01-0047</t>
  </si>
  <si>
    <t>ADO</t>
  </si>
  <si>
    <t>GASS</t>
  </si>
  <si>
    <t xml:space="preserve">CAPONGCOL, MARY JANE </t>
  </si>
  <si>
    <t>2026-01-48</t>
  </si>
  <si>
    <t>DE GUZMAN, SWEET JESSABEL M.</t>
  </si>
  <si>
    <t>Executive Assistant II</t>
  </si>
  <si>
    <t>CATIMBANG, SHANDEE FAY O.</t>
  </si>
  <si>
    <t>2026-01-0037</t>
  </si>
  <si>
    <t>SALVA, IRENE U</t>
  </si>
  <si>
    <t>BGT.</t>
  </si>
  <si>
    <t>CATUBAY, ELVIS JOHN L.</t>
  </si>
  <si>
    <t>2026-01-0007</t>
  </si>
  <si>
    <t>SASIS, BRINGKLY B.</t>
  </si>
  <si>
    <t>CELOCIA, ROSELY-ANN G.</t>
  </si>
  <si>
    <t>2026-01-0038</t>
  </si>
  <si>
    <t xml:space="preserve">Financial Analyst </t>
  </si>
  <si>
    <t>COMPLETO, CRIZANTO E.</t>
  </si>
  <si>
    <t>2026-01-0039</t>
  </si>
  <si>
    <t>SALVANIA, JEFFREY</t>
  </si>
  <si>
    <t>ACCTG.</t>
  </si>
  <si>
    <t>CORDOVA, JOEL M.</t>
  </si>
  <si>
    <t>2026-01-0012</t>
  </si>
  <si>
    <t>ESTAPON, LESLIE DC.</t>
  </si>
  <si>
    <t xml:space="preserve"> REVOLVING FUND</t>
  </si>
  <si>
    <t>CRUZ, CLAIRE JOYCE B.</t>
  </si>
  <si>
    <t>2026-01-0040</t>
  </si>
  <si>
    <t>MARTIN, ORLAN LEONARD E.</t>
  </si>
  <si>
    <t>CUARTERON, JOSEN L.</t>
  </si>
  <si>
    <t>2026-01-0004</t>
  </si>
  <si>
    <t>MAGDARAOG, CHRISTINE NAZEL C.</t>
  </si>
  <si>
    <t>2026-01-0013</t>
  </si>
  <si>
    <t>LOZANO, ADRIAN D.</t>
  </si>
  <si>
    <t>DITCHE, ALLIAH LYN P.</t>
  </si>
  <si>
    <t>2026-01-0006</t>
  </si>
  <si>
    <t>OLIVO, JENNA P.</t>
  </si>
  <si>
    <t>Technical Support Staff IV</t>
  </si>
  <si>
    <t>EMBALZADO, SHERYL P.</t>
  </si>
  <si>
    <t>2026-01-0005</t>
  </si>
  <si>
    <t>2026-01-0041</t>
  </si>
  <si>
    <t>YUGA, MYKA ALEXZA B.</t>
  </si>
  <si>
    <t>2026-01-0003</t>
  </si>
  <si>
    <t>CASHIER</t>
  </si>
  <si>
    <t>FERNANDEZ, YARI E.</t>
  </si>
  <si>
    <t>2026-01-0049</t>
  </si>
  <si>
    <t>IAU</t>
  </si>
  <si>
    <t>FRANCISCO, ULYSSES H.</t>
  </si>
  <si>
    <t>2026-01-0050</t>
  </si>
  <si>
    <t>MARTIN, SHAIRA LEA E.</t>
  </si>
  <si>
    <t>GAGUCAS, MICHAEL B.</t>
  </si>
  <si>
    <t>2026-01-0059</t>
  </si>
  <si>
    <t>RCRDS</t>
  </si>
  <si>
    <t>2026-01-0058</t>
  </si>
  <si>
    <t>GAMBOA, ELGIE F.</t>
  </si>
  <si>
    <t>2026-01-0062</t>
  </si>
  <si>
    <t>GSS</t>
  </si>
  <si>
    <t>Administrative Asst. I</t>
  </si>
  <si>
    <t xml:space="preserve">GUTIERREZ, DACHIEL P.  </t>
  </si>
  <si>
    <t>2026-01-0060</t>
  </si>
  <si>
    <t>GUZMAN, JESSA MAE G.</t>
  </si>
  <si>
    <t>2026-01-0063</t>
  </si>
  <si>
    <t>MARCELO, FERDINAND S.</t>
  </si>
  <si>
    <t>2026-01-0066</t>
  </si>
  <si>
    <t xml:space="preserve">TAPIADOR, JACKSON T. </t>
  </si>
  <si>
    <t>2026-01-0064</t>
  </si>
  <si>
    <t>LIPAN, AGNES J.</t>
  </si>
  <si>
    <t>2026-01-0065</t>
  </si>
  <si>
    <t>TORIO, MARLON P.</t>
  </si>
  <si>
    <t>Administrative Asst. I (Bus Driver)</t>
  </si>
  <si>
    <t>LORENA, SUSAN G</t>
  </si>
  <si>
    <t>2026-01-0067</t>
  </si>
  <si>
    <t>NAMOCA, SANTIAGO J.</t>
  </si>
  <si>
    <t>2026-01-0068</t>
  </si>
  <si>
    <t>2026-01-0069</t>
  </si>
  <si>
    <t>PERALTA, JONEL</t>
  </si>
  <si>
    <t>INFRA</t>
  </si>
  <si>
    <t>Civil Engineer II</t>
  </si>
  <si>
    <t>RIVAS, JOSEPH S.</t>
  </si>
  <si>
    <t>Electrician General Forman</t>
  </si>
  <si>
    <t>MANGILOG, ERICCA MAE V.</t>
  </si>
  <si>
    <t>2026-01-0061</t>
  </si>
  <si>
    <t xml:space="preserve">PATAN, LIOMYR A. </t>
  </si>
  <si>
    <t>Electrical Engineer I</t>
  </si>
  <si>
    <t>Nov 16-31, 2025</t>
  </si>
  <si>
    <t>2026-01-0042</t>
  </si>
  <si>
    <t>COA</t>
  </si>
  <si>
    <t>2026-01-0043</t>
  </si>
  <si>
    <t>2026-01-0045</t>
  </si>
  <si>
    <t>SERDONCILLO, RANIL G.</t>
  </si>
  <si>
    <t>2026-01-0044</t>
  </si>
  <si>
    <t>2026-01-0051</t>
  </si>
  <si>
    <t>SMS</t>
  </si>
  <si>
    <t>NIÑO, COLENE MAE B.</t>
  </si>
  <si>
    <t>2026-01-0052</t>
  </si>
  <si>
    <t>WALICAN, CARLA S.</t>
  </si>
  <si>
    <t>2026-01-0056</t>
  </si>
  <si>
    <t>BAC</t>
  </si>
  <si>
    <t>Administrative Asst. IV</t>
  </si>
  <si>
    <t>2026-01-0057</t>
  </si>
  <si>
    <t>2026-01-0046</t>
  </si>
  <si>
    <t>DO</t>
  </si>
  <si>
    <t>2026-01-0031</t>
  </si>
  <si>
    <t>PAD</t>
  </si>
  <si>
    <t>2026-01-0033</t>
  </si>
  <si>
    <t>Administrative Aide VI (Gardener)</t>
  </si>
  <si>
    <t>FPMA/NOAP</t>
  </si>
  <si>
    <t>2026-01-0034</t>
  </si>
  <si>
    <t>2026-01-0035</t>
  </si>
  <si>
    <t>2026-01-0029</t>
  </si>
  <si>
    <t>2026-01-0027</t>
  </si>
  <si>
    <t>2026-01-0028</t>
  </si>
  <si>
    <t>2026-01-0032</t>
  </si>
  <si>
    <t>Encoder</t>
  </si>
  <si>
    <t>FPMA/CORN</t>
  </si>
  <si>
    <t>2026-01-0030</t>
  </si>
  <si>
    <t>2026-01-0036</t>
  </si>
  <si>
    <t>2026-01-0055</t>
  </si>
  <si>
    <t>HRMO</t>
  </si>
  <si>
    <t>2026-01-0054</t>
  </si>
  <si>
    <t>Training Specialist II</t>
  </si>
  <si>
    <t>2026-01-0053</t>
  </si>
  <si>
    <t>NO TAX EXEMPTION</t>
  </si>
  <si>
    <t>END OF CONTRACT</t>
  </si>
  <si>
    <t xml:space="preserve"> </t>
  </si>
  <si>
    <t>CFIDP Voucher</t>
  </si>
  <si>
    <t>Revolving Fund</t>
  </si>
  <si>
    <t>NEW</t>
  </si>
  <si>
    <t xml:space="preserve">    </t>
  </si>
  <si>
    <t>GENERAL PAYROLL</t>
  </si>
  <si>
    <t>Prepared by: Jonalyn T. Tolero</t>
  </si>
  <si>
    <t>We hereby acknowledge to have received from Valentina S. Cagumbay, Admin. Officer III, the sums herein specified opposite our respective names, being in full compensation of our</t>
  </si>
  <si>
    <t>services for the period of February 16-28, 2026</t>
  </si>
  <si>
    <t>Number of Days</t>
  </si>
  <si>
    <t>Salary per Day</t>
  </si>
  <si>
    <t>Half Month Salary</t>
  </si>
  <si>
    <t>Less</t>
  </si>
  <si>
    <t>add/less</t>
  </si>
  <si>
    <t>GROSS AMOUNT</t>
  </si>
  <si>
    <t>Total Net Received</t>
  </si>
  <si>
    <t>Absences</t>
  </si>
  <si>
    <t>Late/UT</t>
  </si>
  <si>
    <t>Absences/Late/UT</t>
  </si>
  <si>
    <t>Total
Absences/Late/UT</t>
  </si>
  <si>
    <t>Accommodation for the Month of</t>
  </si>
  <si>
    <t>Water</t>
  </si>
  <si>
    <t>Electric</t>
  </si>
  <si>
    <t>February 1-15, 2026</t>
  </si>
  <si>
    <t>February 16-28, 2026</t>
  </si>
  <si>
    <t>1-CDMD</t>
  </si>
  <si>
    <t>2-CDMD</t>
  </si>
  <si>
    <t>3-CDMD</t>
  </si>
  <si>
    <t>4-CDMD</t>
  </si>
  <si>
    <t>1-PPD</t>
  </si>
  <si>
    <t>2-PPD</t>
  </si>
  <si>
    <t>4-PPD</t>
  </si>
  <si>
    <t>5-PPD</t>
  </si>
  <si>
    <t>1-ISD</t>
  </si>
  <si>
    <t>2-ISD</t>
  </si>
  <si>
    <t>3-ISD</t>
  </si>
  <si>
    <t>4-ISD</t>
  </si>
  <si>
    <t>5-ISD</t>
  </si>
  <si>
    <t>6-ISD</t>
  </si>
  <si>
    <t>7-ISD</t>
  </si>
  <si>
    <t>1-ADO</t>
  </si>
  <si>
    <t>2-ADO</t>
  </si>
  <si>
    <t>1-BGT.</t>
  </si>
  <si>
    <t>2-BGT.</t>
  </si>
  <si>
    <t>3-BGT.</t>
  </si>
  <si>
    <t>1-ACCTG.</t>
  </si>
  <si>
    <t>2-ACCTG.</t>
  </si>
  <si>
    <t>3-ACCTG.</t>
  </si>
  <si>
    <t>4-ACCTG.</t>
  </si>
  <si>
    <t>5-ACCTG.</t>
  </si>
  <si>
    <t>6-ACCTG.</t>
  </si>
  <si>
    <t>7-ACCTG.</t>
  </si>
  <si>
    <t>8-ACCTG.</t>
  </si>
  <si>
    <t>1-CASHIER</t>
  </si>
  <si>
    <t>1-IAU</t>
  </si>
  <si>
    <t>2-IAU</t>
  </si>
  <si>
    <t>1-HRMO</t>
  </si>
  <si>
    <t>2-HRMO</t>
  </si>
  <si>
    <t>3-HRMO</t>
  </si>
  <si>
    <t>4-HRMO</t>
  </si>
  <si>
    <t>1-RCRDS</t>
  </si>
  <si>
    <t>2-RCRDS</t>
  </si>
  <si>
    <t>1-GSS</t>
  </si>
  <si>
    <t>2-GSS</t>
  </si>
  <si>
    <t>3-GSS</t>
  </si>
  <si>
    <t>4-GSS</t>
  </si>
  <si>
    <t>5-GSS</t>
  </si>
  <si>
    <t>6-GSS</t>
  </si>
  <si>
    <t>7-GSS</t>
  </si>
  <si>
    <t>8-GSS</t>
  </si>
  <si>
    <t>1-INFRA</t>
  </si>
  <si>
    <t>2-INFRA</t>
  </si>
  <si>
    <t>3-INFRA</t>
  </si>
  <si>
    <t>1-COA</t>
  </si>
  <si>
    <t>2-COA</t>
  </si>
  <si>
    <t>3-COA</t>
  </si>
  <si>
    <t>4-COA</t>
  </si>
  <si>
    <t>1-SMS</t>
  </si>
  <si>
    <t>2-SMS</t>
  </si>
  <si>
    <t>1-BAC</t>
  </si>
  <si>
    <t>2-BAC</t>
  </si>
  <si>
    <t>1-DO</t>
  </si>
  <si>
    <t>1-PAD</t>
  </si>
  <si>
    <t>2-PAD</t>
  </si>
  <si>
    <t>3-PAD</t>
  </si>
  <si>
    <t>4-PAD</t>
  </si>
  <si>
    <t>5-PAD</t>
  </si>
  <si>
    <t>6-PAD</t>
  </si>
  <si>
    <t>7-PAD</t>
  </si>
  <si>
    <t>8-PAD</t>
  </si>
  <si>
    <t>9-PAD</t>
  </si>
  <si>
    <t>10-PAD</t>
  </si>
  <si>
    <t>SHOW</t>
  </si>
  <si>
    <t>CERTIFIED: Services duty rendered as stated.</t>
  </si>
  <si>
    <t>APPROVED:</t>
  </si>
  <si>
    <t>MARISA O. GALGO</t>
  </si>
  <si>
    <t>REMELYN R. RECOTER, MNSA, CESO III</t>
  </si>
  <si>
    <t>AO V, HRMO, Admin Unit</t>
  </si>
  <si>
    <t>Director IV</t>
  </si>
  <si>
    <t>CERTIFIED: Supporting documents complete and proper and</t>
  </si>
  <si>
    <t>CERTIFIED: Each employee whose name appears above has been paid the amount</t>
  </si>
  <si>
    <t xml:space="preserve">               cash available in the amount of</t>
  </si>
  <si>
    <t xml:space="preserve">                      indicated opposite on his/her name.</t>
  </si>
  <si>
    <t>ALOBS No.</t>
  </si>
  <si>
    <t>Date:</t>
  </si>
  <si>
    <t>JBV No.</t>
  </si>
  <si>
    <t>GILLIAN ROSE L. SALUIB</t>
  </si>
  <si>
    <t>JOSEFINA M. DELOS SANTOS</t>
  </si>
  <si>
    <t>Accountant III, Head Finance Unit</t>
  </si>
  <si>
    <t xml:space="preserve"> AO I, Disbursing Officer</t>
  </si>
  <si>
    <t>Date</t>
  </si>
  <si>
    <t>TXTLIST FOR THE PERIOD OF</t>
  </si>
  <si>
    <t>NAME</t>
  </si>
  <si>
    <t>AMOUNT</t>
  </si>
  <si>
    <t>TOTAL</t>
  </si>
  <si>
    <t xml:space="preserve">   </t>
  </si>
  <si>
    <t>JOB ORDER 20% PREMIUM GENERAL PAYROLL</t>
  </si>
  <si>
    <t>ACTUAL GROSS SALARY RECEIVED</t>
  </si>
  <si>
    <t>FOR THE PERIOD OF JANUARY TO JUNE FY 2023</t>
  </si>
  <si>
    <t>Expanded Tax Exempt</t>
  </si>
  <si>
    <t>JANUARY</t>
  </si>
  <si>
    <t>FEBRUARY</t>
  </si>
  <si>
    <t>MARCH</t>
  </si>
  <si>
    <t>APRIL</t>
  </si>
  <si>
    <t>MAY</t>
  </si>
  <si>
    <t>JUNE</t>
  </si>
  <si>
    <t>20% PREMIUM</t>
  </si>
  <si>
    <t>NET RECEIVED</t>
  </si>
  <si>
    <t>1 - 15</t>
  </si>
  <si>
    <t>16 - 31</t>
  </si>
  <si>
    <t>1 - 31</t>
  </si>
  <si>
    <t>16 - 28</t>
  </si>
  <si>
    <t>1 - 28</t>
  </si>
  <si>
    <t>16 - 30</t>
  </si>
  <si>
    <t>JAN. TO JUNE</t>
  </si>
  <si>
    <t>9</t>
  </si>
  <si>
    <t>23-01-61</t>
  </si>
  <si>
    <t>Administrative Asst. III</t>
  </si>
  <si>
    <t>OTHER ESETS</t>
  </si>
  <si>
    <t>ok</t>
  </si>
  <si>
    <t>23-01-64</t>
  </si>
  <si>
    <t>SALVANIA, DIANNE MARIE U.</t>
  </si>
  <si>
    <t>Development Mngt. Officer I</t>
  </si>
  <si>
    <t>23-01-62</t>
  </si>
  <si>
    <t>MONTIEL, KRISTEL DIANNE A.</t>
  </si>
  <si>
    <t>23-01-63</t>
  </si>
  <si>
    <t>KATIPUNAN, JERUSHA KYLE ANGELA M.</t>
  </si>
  <si>
    <t>23-01-60</t>
  </si>
  <si>
    <t>23-01-59</t>
  </si>
  <si>
    <t>AGUILAR, ROXETTE</t>
  </si>
  <si>
    <t>23-01-72</t>
  </si>
  <si>
    <t>ANTIPAS, ANDREA JANE M.</t>
  </si>
  <si>
    <t>RICE</t>
  </si>
  <si>
    <t>23-01-74</t>
  </si>
  <si>
    <t>GABAO, JENNY ROSE B.</t>
  </si>
  <si>
    <t>23-01-75</t>
  </si>
  <si>
    <t>Computer Maintenance Tech. I</t>
  </si>
  <si>
    <t>23-01-76</t>
  </si>
  <si>
    <t>23-01-77</t>
  </si>
  <si>
    <t>23-01-78</t>
  </si>
  <si>
    <t>SAREFE, ANGELIA KAY N.</t>
  </si>
  <si>
    <t>23-01-73</t>
  </si>
  <si>
    <t>23-01-08</t>
  </si>
  <si>
    <t>MAGOS, LIYANNE L.</t>
  </si>
  <si>
    <t>GMS</t>
  </si>
  <si>
    <t>23-01-07</t>
  </si>
  <si>
    <t>Information Officer II</t>
  </si>
  <si>
    <t>23-01-47</t>
  </si>
  <si>
    <t>MARTIN, RENALYN J. II</t>
  </si>
  <si>
    <t>23-01-48</t>
  </si>
  <si>
    <t>23-01-51</t>
  </si>
  <si>
    <t>23-01-50</t>
  </si>
  <si>
    <t>BESOL, MAY C.</t>
  </si>
  <si>
    <t>23-01-54</t>
  </si>
  <si>
    <t>PARDO, KHEVIN A.</t>
  </si>
  <si>
    <t>Administrative Asst. V</t>
  </si>
  <si>
    <t>23-01-49</t>
  </si>
  <si>
    <t>BABAT, JUNE SHERYLL KAYE L.</t>
  </si>
  <si>
    <t>23-01-52</t>
  </si>
  <si>
    <t>23-01-55</t>
  </si>
  <si>
    <t>23-01-53</t>
  </si>
  <si>
    <t>LUCHANA, NENITA</t>
  </si>
  <si>
    <t>23-01-46</t>
  </si>
  <si>
    <t>TUPARAN, DOMINIQUE P.</t>
  </si>
  <si>
    <t>HRM</t>
  </si>
  <si>
    <t>23-01-45</t>
  </si>
  <si>
    <t>TOLERO, JONALYN T.</t>
  </si>
  <si>
    <t>23-01-12</t>
  </si>
  <si>
    <t>NEPOMUCENO, JHEY ANN M.</t>
  </si>
  <si>
    <t>23-01-11</t>
  </si>
  <si>
    <t>RABINO, MA.RUBEN ANA D.</t>
  </si>
  <si>
    <t>23-01-23</t>
  </si>
  <si>
    <t>23-01-18</t>
  </si>
  <si>
    <t>23-01-17</t>
  </si>
  <si>
    <t>FLORES, JOPETER C.</t>
  </si>
  <si>
    <t>Administrative Asst. I (Driver/Driver Mechanic)</t>
  </si>
  <si>
    <t>23-01-16</t>
  </si>
  <si>
    <t>23-01-20</t>
  </si>
  <si>
    <t>23-01-19</t>
  </si>
  <si>
    <t>23-01-13</t>
  </si>
  <si>
    <t>23-01-15</t>
  </si>
  <si>
    <t>Electrician I</t>
  </si>
  <si>
    <t>23-01-14</t>
  </si>
  <si>
    <t>EDORIA, CLEMENT PAUL P.</t>
  </si>
  <si>
    <t>Electrical Engineer II</t>
  </si>
  <si>
    <t>23-01-57</t>
  </si>
  <si>
    <t>23-01-58</t>
  </si>
  <si>
    <t>MELCHOR, LYNDON G.</t>
  </si>
  <si>
    <t>23-01-24</t>
  </si>
  <si>
    <t>ZAFRA, JOHN IAN M.</t>
  </si>
  <si>
    <t>23-01-22</t>
  </si>
  <si>
    <t>23-01-21</t>
  </si>
  <si>
    <t>DE GUZMAN, JHOUSWELL LEE MELVIN B.</t>
  </si>
  <si>
    <t>23-01-56</t>
  </si>
  <si>
    <t>23-01-09</t>
  </si>
  <si>
    <t>23-01-10</t>
  </si>
  <si>
    <t>23-01-68</t>
  </si>
  <si>
    <t>INTERNO, JUSTIN PAOLO D.</t>
  </si>
  <si>
    <t>Agriculturist II</t>
  </si>
  <si>
    <t>HVCDP</t>
  </si>
  <si>
    <t>23-01-69</t>
  </si>
  <si>
    <t>JARABESE, LUIS E.</t>
  </si>
  <si>
    <t>FPMA</t>
  </si>
  <si>
    <t>23-01-71</t>
  </si>
  <si>
    <t>VELEZ, JOHN CARL ACE B.</t>
  </si>
  <si>
    <t>23-01-70</t>
  </si>
  <si>
    <t>TURDA, HERSHEY M.</t>
  </si>
  <si>
    <t>CORN</t>
  </si>
  <si>
    <t>23-01-66</t>
  </si>
  <si>
    <t>23-01-67</t>
  </si>
  <si>
    <t>23-01-65</t>
  </si>
  <si>
    <t>ABCEDE, DIANNE P.</t>
  </si>
  <si>
    <t>23-01-01</t>
  </si>
  <si>
    <t>MEJIA, JONNIEL</t>
  </si>
  <si>
    <t>Administrative Aide VI</t>
  </si>
  <si>
    <t>LEGEND:</t>
  </si>
  <si>
    <t>SUMIF('MASTER DATA'!$B:$B,$G1,'MASTER DATA'!$AR:$AR)</t>
  </si>
  <si>
    <t>FEB.</t>
  </si>
  <si>
    <t>ORS NO.</t>
  </si>
  <si>
    <t>DATE</t>
  </si>
  <si>
    <t>TERM</t>
  </si>
  <si>
    <t>BALANCE</t>
  </si>
  <si>
    <t>1-15</t>
  </si>
  <si>
    <t>16-31</t>
  </si>
  <si>
    <t>16-29</t>
  </si>
  <si>
    <t>SERIES</t>
  </si>
  <si>
    <t>CODE</t>
  </si>
  <si>
    <t>NO.</t>
  </si>
  <si>
    <t>OFFICE</t>
  </si>
  <si>
    <t>POSITION</t>
  </si>
  <si>
    <t>GRAND TOTAL</t>
  </si>
  <si>
    <t>24-01-21</t>
  </si>
  <si>
    <t>24-01-23</t>
  </si>
  <si>
    <t>24-01-24</t>
  </si>
  <si>
    <t>24-01-25</t>
  </si>
  <si>
    <t>GABUYO, DYNA ROSE M.</t>
  </si>
  <si>
    <t>Project Development Officer I</t>
  </si>
  <si>
    <t>24-01-28</t>
  </si>
  <si>
    <t>24-01-29</t>
  </si>
  <si>
    <t>24-01-30</t>
  </si>
  <si>
    <t>24-01-32</t>
  </si>
  <si>
    <t>24-01-34</t>
  </si>
  <si>
    <t>24-01-35</t>
  </si>
  <si>
    <t>24-01-36</t>
  </si>
  <si>
    <t>24-01-37</t>
  </si>
  <si>
    <t>24-01-38</t>
  </si>
  <si>
    <t>24-01-40</t>
  </si>
  <si>
    <t>24-01-41</t>
  </si>
  <si>
    <t>24-01-42</t>
  </si>
  <si>
    <t>24-01-43</t>
  </si>
  <si>
    <t>24-01-44</t>
  </si>
  <si>
    <t>Technical Support Staff</t>
  </si>
  <si>
    <t>DE GALICIA, JACQUELINE C.</t>
  </si>
  <si>
    <t>24-01-69</t>
  </si>
  <si>
    <t>24-01-45</t>
  </si>
  <si>
    <t>24-01-46</t>
  </si>
  <si>
    <t>24-01-47</t>
  </si>
  <si>
    <t>24-01-49</t>
  </si>
  <si>
    <t>24-01-50</t>
  </si>
  <si>
    <t>24-01-51</t>
  </si>
  <si>
    <t>24-01-52</t>
  </si>
  <si>
    <t>24-01-53</t>
  </si>
  <si>
    <t>24-01-54</t>
  </si>
  <si>
    <t>24-01-55</t>
  </si>
  <si>
    <t>24-01-56</t>
  </si>
  <si>
    <t>24-01-57</t>
  </si>
  <si>
    <t>24-01-58</t>
  </si>
  <si>
    <t>24-01-59</t>
  </si>
  <si>
    <t>24-01-60</t>
  </si>
  <si>
    <t>24-01-61</t>
  </si>
  <si>
    <t>24-01-65</t>
  </si>
  <si>
    <t>24-01-66</t>
  </si>
  <si>
    <t>24-01-68</t>
  </si>
  <si>
    <t xml:space="preserve">Encoder </t>
  </si>
  <si>
    <t>SALARY GRADE</t>
  </si>
  <si>
    <t>RATE</t>
  </si>
  <si>
    <t>Current</t>
  </si>
  <si>
    <t>,</t>
  </si>
  <si>
    <t>SG</t>
  </si>
  <si>
    <t>Partnership &amp; Accreditation Division (PAD)</t>
  </si>
  <si>
    <t>Policy and Planning Division (PPD)</t>
  </si>
  <si>
    <t>GAM SERIES</t>
  </si>
  <si>
    <t>PAYEE</t>
  </si>
  <si>
    <t>PAP</t>
  </si>
  <si>
    <t>Career Development and Management Division (CDMD)</t>
  </si>
  <si>
    <t>7th</t>
  </si>
  <si>
    <t>Information Service Division (ISD)</t>
  </si>
  <si>
    <t>02-101101-2023-01-000001</t>
  </si>
  <si>
    <t>ARLENE GEMINIANA S. NILO</t>
  </si>
  <si>
    <t>Assistant Director Office</t>
  </si>
  <si>
    <t>Office of the Director</t>
  </si>
  <si>
    <t>02-101101-2023-01-000002</t>
  </si>
  <si>
    <t>PLDT</t>
  </si>
  <si>
    <t>02-101101-2023-01-000003</t>
  </si>
  <si>
    <t>02-101101-2023-01-000004</t>
  </si>
  <si>
    <t>REMELYN R. RECOTER</t>
  </si>
  <si>
    <t>02-101101-2023-01-000005</t>
  </si>
  <si>
    <t>ATI GUESTHOUSE REVOLVING FUND</t>
  </si>
  <si>
    <t>02-101101-2023-01-000006</t>
  </si>
  <si>
    <t>TJS CLEAR ART</t>
  </si>
  <si>
    <t>02-101101-2023-01-000007</t>
  </si>
  <si>
    <t>SWEET JESSABEL M. DE GUZMAN</t>
  </si>
  <si>
    <t>02-101101-2023-01-000008</t>
  </si>
  <si>
    <t>LIYANNE M. CAGUMBAY</t>
  </si>
  <si>
    <t>02-101101-2023-01-000009</t>
  </si>
  <si>
    <t>ROSELY-ANN G. CELOCIA</t>
  </si>
  <si>
    <t>SANGALANG, JANICE C.</t>
  </si>
  <si>
    <t>02-101101-2023-01-000010</t>
  </si>
  <si>
    <t>ANGENNITTE F. BRUZON</t>
  </si>
  <si>
    <t>CABIGAS, IOMMI NICOL R.</t>
  </si>
  <si>
    <t>02-101101-2023-01-000011</t>
  </si>
  <si>
    <t>MA. RUBEN ANA D. RUBINO</t>
  </si>
  <si>
    <t>02-101101-2023-01-000012</t>
  </si>
  <si>
    <t>JHEY ANN M. NEPOMUCENO</t>
  </si>
  <si>
    <t>02-101101-2023-01-000013</t>
  </si>
  <si>
    <t>JONEL PERALTA</t>
  </si>
  <si>
    <t>02-101101-2023-01-000014</t>
  </si>
  <si>
    <t>CLEMENT PAUL P. EDORIA</t>
  </si>
  <si>
    <t>02-101101-2023-01-000015</t>
  </si>
  <si>
    <t>JOSEPH S. RIVAS</t>
  </si>
  <si>
    <t>02-101101-2023-01-000016</t>
  </si>
  <si>
    <t>ELVIS JOHN L. CATUBAY</t>
  </si>
  <si>
    <t>02-101101-2023-01-000017</t>
  </si>
  <si>
    <t>JOPETER C. FLORES</t>
  </si>
  <si>
    <t>02-101101-2023-01-000018</t>
  </si>
  <si>
    <t>JOSEN L. CUARTERON</t>
  </si>
  <si>
    <t>02-101101-2023-01-000019</t>
  </si>
  <si>
    <t>JACKSON T. TAPIADOR</t>
  </si>
  <si>
    <t>02-101101-2023-01-000020</t>
  </si>
  <si>
    <t>FERDINAND D. MARCELO</t>
  </si>
  <si>
    <t>02-101101-2023-01-000021</t>
  </si>
  <si>
    <t>JHOUSWELL LEE MELVIN B. DE GUZMAN</t>
  </si>
  <si>
    <t>02-101101-2023-01-000022</t>
  </si>
  <si>
    <t>MICHAEL B. GAGUCAS</t>
  </si>
  <si>
    <t>02-101101-2023-01-000023</t>
  </si>
  <si>
    <t>MARY JANE CAPONGCOL</t>
  </si>
  <si>
    <t>02-101101-2023-01-000024</t>
  </si>
  <si>
    <t>DANTE RODRIGO D. LAZO JR</t>
  </si>
  <si>
    <t>02-101101-2023-01-000025</t>
  </si>
  <si>
    <t>GLENN A. JUMUAD</t>
  </si>
  <si>
    <t>01-101101-2023-01-000026</t>
  </si>
  <si>
    <t>ATI PAYROLL FUND</t>
  </si>
  <si>
    <t>02-101101-2023-01-000027</t>
  </si>
  <si>
    <t>URDUJA SECURITY SERVICES, INC.</t>
  </si>
  <si>
    <t>GUTIERREZ, DACHIEL P.</t>
  </si>
  <si>
    <t>02-101101-2023-01-000028</t>
  </si>
  <si>
    <t>JA CLEANWELL MAINTENANCE SERVICES, INC.</t>
  </si>
  <si>
    <t>02-101101-2023-01-000029</t>
  </si>
  <si>
    <t>MANILA WATER COMPANY, INC.</t>
  </si>
  <si>
    <t>01-104102-2023-01-000030</t>
  </si>
  <si>
    <t>GSIS</t>
  </si>
  <si>
    <t>01-101101-2023-01-000031</t>
  </si>
  <si>
    <t>01-101101-2023-01-000032</t>
  </si>
  <si>
    <t>HDMF</t>
  </si>
  <si>
    <t>ESTO, CARMELA JOY Z.</t>
  </si>
  <si>
    <t>01-101101-2023-01-000033</t>
  </si>
  <si>
    <t>PHIC</t>
  </si>
  <si>
    <t>JORVINA, CLAUDENE ACE A.</t>
  </si>
  <si>
    <t>BALUYUT, JULIA MARIE M.</t>
  </si>
  <si>
    <t>02-101101-2023-01-000034</t>
  </si>
  <si>
    <t>DACUT, AIZEL M.</t>
  </si>
  <si>
    <t>02-101101-2023-01-000035</t>
  </si>
  <si>
    <t>BONIFACIO, KLARISSE A.</t>
  </si>
  <si>
    <t>02-101101-2023-01-000036</t>
  </si>
  <si>
    <t>02-101101-2023-01-000037</t>
  </si>
  <si>
    <t>MADRIAGA, MIGUEL SEBASTIAN S.</t>
  </si>
  <si>
    <t>02-101101-2023-01-000038</t>
  </si>
  <si>
    <t>02-101101-2023-01-000039</t>
  </si>
  <si>
    <t>02-101101-2023-01-000040</t>
  </si>
  <si>
    <t>LIGHT ENERGY ENTERPRISE</t>
  </si>
  <si>
    <t>02-101101-2023-01-000041</t>
  </si>
  <si>
    <t>ROMERMART AUBIGNE PENAMORA</t>
  </si>
  <si>
    <t>SARACANLAO, EDDIE H.</t>
  </si>
  <si>
    <t>02-101101-2023-01-000042</t>
  </si>
  <si>
    <t>LIAN JANELLE DR. VALENCIA</t>
  </si>
  <si>
    <t>02-101101-2023-01-000043</t>
  </si>
  <si>
    <t>HERSHEY M. TURDA</t>
  </si>
  <si>
    <t>02-101101-2023-01-000044</t>
  </si>
  <si>
    <t>SMART COMMUNICATIONS, INC</t>
  </si>
  <si>
    <t>02-101101-2023-01-000045</t>
  </si>
  <si>
    <t>JONALYN T. TOLERO</t>
  </si>
  <si>
    <t>02-101101-2023-01-000046</t>
  </si>
  <si>
    <t>DOMINIQUE P. TUPARAN</t>
  </si>
  <si>
    <t>02-101101-2023-01-000047</t>
  </si>
  <si>
    <t>RENALYN J. MARTIN II</t>
  </si>
  <si>
    <t>02-101101-2023-01-000048</t>
  </si>
  <si>
    <t>IRENE U. SALVA</t>
  </si>
  <si>
    <t>BIGAY, SHEILA MAE F.</t>
  </si>
  <si>
    <t>02-101101-2023-01-000049</t>
  </si>
  <si>
    <t>JUNE SHERYLL KAYE L. BABAT</t>
  </si>
  <si>
    <t>02-101101-2023-01-000050</t>
  </si>
  <si>
    <t>MAY C. BESOL</t>
  </si>
  <si>
    <t>02-101101-2023-01-000051</t>
  </si>
  <si>
    <t>CLAIRE JOYCE B. CRUZ</t>
  </si>
  <si>
    <t>02-101101-2023-01-000052</t>
  </si>
  <si>
    <t>YARI E. FERNANDEZ</t>
  </si>
  <si>
    <t>02-101101-2023-01-000053</t>
  </si>
  <si>
    <t>NENITA V. LUCHANA</t>
  </si>
  <si>
    <t>02-101101-2023-01-000054</t>
  </si>
  <si>
    <t>KHEVIN A. PARDO</t>
  </si>
  <si>
    <t>02-101101-2023-01-000055</t>
  </si>
  <si>
    <t>JEFFREY SALVANIA</t>
  </si>
  <si>
    <t>02-101101-2023-01-000056</t>
  </si>
  <si>
    <t>FILSAN G AKUT</t>
  </si>
  <si>
    <t>02-101101-2023-01-000057</t>
  </si>
  <si>
    <t>SUSAN G. LORENA</t>
  </si>
  <si>
    <t>02-101101-2023-01-000058</t>
  </si>
  <si>
    <t>LYNDON G. MELCHOR</t>
  </si>
  <si>
    <t>02-101101-2023-01-000059</t>
  </si>
  <si>
    <t>ROXETTE GELYN R. AGUILAR</t>
  </si>
  <si>
    <t>02-101101-2023-01-000060</t>
  </si>
  <si>
    <t>GLECY R. ESMER</t>
  </si>
  <si>
    <t>02-101101-2023-01-000061</t>
  </si>
  <si>
    <t>CHRISTIAN JOCEF B. AUSTRIA</t>
  </si>
  <si>
    <t>02-101101-2023-01-000062</t>
  </si>
  <si>
    <t>KRISTEL DIANNE A. MONTIEL</t>
  </si>
  <si>
    <t>02-101101-2023-01-000063</t>
  </si>
  <si>
    <t>JERUSHA KYLE ANGELA M. KATIPUNAN</t>
  </si>
  <si>
    <t>02-101101-2023-01-000064</t>
  </si>
  <si>
    <t>DIANNE MARIE U. SALVANIA</t>
  </si>
  <si>
    <t>02-101101-2023-01-000065</t>
  </si>
  <si>
    <t>DIANNE P. ABCEDE</t>
  </si>
  <si>
    <t>02-101101-2023-01-000066</t>
  </si>
  <si>
    <t>ALBINO M. BADILLO</t>
  </si>
  <si>
    <t>02-101101-2023-01-000067</t>
  </si>
  <si>
    <t>JOSHUA G BELO</t>
  </si>
  <si>
    <t>02-101101-2023-01-000068</t>
  </si>
  <si>
    <t>JUSTIN PAOLO D. INTERNO</t>
  </si>
  <si>
    <t>02-101101-2023-01-000069</t>
  </si>
  <si>
    <t>LUIS E JARABESE</t>
  </si>
  <si>
    <t>02-101101-2023-01-000070</t>
  </si>
  <si>
    <t>02-101101-2023-01-000071</t>
  </si>
  <si>
    <t>JOHN CARL ACE B. VELEZ</t>
  </si>
  <si>
    <t>02-101101-2023-01-000072</t>
  </si>
  <si>
    <t>ANDREA JANE M. ANTIPAS</t>
  </si>
  <si>
    <t>02-101101-2023-01-000073</t>
  </si>
  <si>
    <t>JUN CHRISTOPHER C. BALANGATAN</t>
  </si>
  <si>
    <t>02-101101-2023-01-000074</t>
  </si>
  <si>
    <t>JENNY ROSE B. GABAO</t>
  </si>
  <si>
    <t>02-101101-2023-01-000075</t>
  </si>
  <si>
    <t>CHRISTIAN JOSEPH P. LAMPAS</t>
  </si>
  <si>
    <t>02-101101-2023-01-000076</t>
  </si>
  <si>
    <t>AVE M. MANDANI</t>
  </si>
  <si>
    <t>02-101101-2023-01-000077</t>
  </si>
  <si>
    <t>JONAS PERNIA</t>
  </si>
  <si>
    <t>02-101101-2023-01-000078</t>
  </si>
  <si>
    <t>ANGELIA KAY N. SAREFE</t>
  </si>
  <si>
    <t>02-101101-2023-01-000079</t>
  </si>
  <si>
    <t>GOVERNMENT SERVICE INSURANCE SYSTEM</t>
  </si>
  <si>
    <t>02-101101-2023-01-000080</t>
  </si>
  <si>
    <t>02-101101-2023-01-000081</t>
  </si>
  <si>
    <t>02-101101-2023-01-000082</t>
  </si>
  <si>
    <t>CENTREX CORPORATION</t>
  </si>
  <si>
    <t>02-101101-2023-01-000083</t>
  </si>
  <si>
    <t>PUNO FOOD SERVICES</t>
  </si>
  <si>
    <t>02-101101-2023-01-000084</t>
  </si>
  <si>
    <t>TOYOTA QUEZON AVENUE, INC.</t>
  </si>
  <si>
    <t>02-101101-2023-01-000085</t>
  </si>
  <si>
    <t>E-COPY CORPORATION</t>
  </si>
  <si>
    <t>02-101101-2023-01-000086</t>
  </si>
  <si>
    <t>KING OF KINGS TRADING</t>
  </si>
  <si>
    <t>02-101101-2023-01-000087</t>
  </si>
  <si>
    <t>02-101101-2023-01-000088</t>
  </si>
  <si>
    <t>02-101101-2023-01-000089</t>
  </si>
  <si>
    <t>AZAFRAN CATERING SERVICES</t>
  </si>
  <si>
    <t>02-101101-2023-01-000090</t>
  </si>
  <si>
    <t>02-101101-2023-01-000091</t>
  </si>
  <si>
    <t>BASIL F. NUÑEZ</t>
  </si>
  <si>
    <t>02-101101-2023-01-000092</t>
  </si>
  <si>
    <t>02-101101-2023-01-000093</t>
  </si>
  <si>
    <t>CINDY C. ALFONSO</t>
  </si>
  <si>
    <t>02-101101-2023-01-000094</t>
  </si>
  <si>
    <t>GODRICK M. ESPEÑA</t>
  </si>
  <si>
    <t>02-101101-2023-01-000095</t>
  </si>
  <si>
    <t>BERNARD JAMES R. TANDANG</t>
  </si>
  <si>
    <t>02-101101-2023-01-000096</t>
  </si>
  <si>
    <t>RACHEL R. RAVAL</t>
  </si>
  <si>
    <t>02-101101-2023-01-000097</t>
  </si>
  <si>
    <t>ROYSON R. DELA CRUZ</t>
  </si>
  <si>
    <t>02-101101-2023-01-000098</t>
  </si>
  <si>
    <t>CHANDRA RACHEL C. PANOL</t>
  </si>
  <si>
    <t>02-101101-2023-01-000099</t>
  </si>
  <si>
    <t>JOSHUA G. ANINACION</t>
  </si>
  <si>
    <t>02-101101-2023-01-000100</t>
  </si>
  <si>
    <t>G. MARK ANTHONY C. ALFORQUE I</t>
  </si>
  <si>
    <t>02-101101-2023-01-000101</t>
  </si>
  <si>
    <t>02-101101-2023-01-000102</t>
  </si>
  <si>
    <t>MOO C. RODRIGUEZ</t>
  </si>
  <si>
    <t>02-101101-2023-01-000103</t>
  </si>
  <si>
    <t>REIN C. LAO</t>
  </si>
  <si>
    <t>02-101101-2023-01-000104</t>
  </si>
  <si>
    <t>KIM MAVERICK C. NARVAEZ</t>
  </si>
  <si>
    <t>02-101101-2023-01-000105</t>
  </si>
  <si>
    <t>ERICKA SHANE R. LABILLES</t>
  </si>
  <si>
    <t>02-101101-2023-01-000106</t>
  </si>
  <si>
    <t>LYKA B. MERCADER</t>
  </si>
  <si>
    <t>02-101101-2023-01-000107</t>
  </si>
  <si>
    <t>GAY RITCHEL GQ. DIANALA</t>
  </si>
  <si>
    <t>02-101101-2023-01-000108</t>
  </si>
  <si>
    <t>ARNEL R. BUNDA</t>
  </si>
  <si>
    <t>02-101101-2023-01-000109</t>
  </si>
  <si>
    <t>MARK NELLO B. ALVAREZ</t>
  </si>
  <si>
    <t>02-101101-2023-01-000110</t>
  </si>
  <si>
    <t>ROSE ANN P. LEONOR</t>
  </si>
  <si>
    <t>02-101101-2023-01-000111</t>
  </si>
  <si>
    <t>RENELLE JOY A. TABINAS</t>
  </si>
  <si>
    <t>02-101101-2023-01-000112</t>
  </si>
  <si>
    <t>02-101101-2023-01-000113</t>
  </si>
  <si>
    <t>02-101101-2023-01-000114</t>
  </si>
  <si>
    <t>EAST SHERPA MANAGEMENT TRAINING AND CONSULTING SERVICES</t>
  </si>
  <si>
    <t>02-101101-2023-01-000115</t>
  </si>
  <si>
    <t>COSTALES NATURE FARMS, INC.</t>
  </si>
  <si>
    <t>02-101101-2023-01-000116</t>
  </si>
  <si>
    <t>MERALCO</t>
  </si>
  <si>
    <t>02-101101-2023-01-000117</t>
  </si>
  <si>
    <t>HACIENDA GRACIA RESORT AND HOTEL</t>
  </si>
  <si>
    <t>COUNTA of  5</t>
  </si>
  <si>
    <t>Grand Total</t>
  </si>
  <si>
    <t xml:space="preserve"> 5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</si>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</sst>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m/d/yyyy"/>
    <numFmt numFmtId="166" formatCode="h&quot;:&quot;mm&quot; &quot;AM/PM"/>
    <numFmt numFmtId="167" formatCode="#,##0.00;\(#,##0.00\)"/>
    <numFmt numFmtId="168" formatCode="m\-d"/>
  </numFmts>
  <fonts count="18">
    <font>
      <sz val="11"/>
      <color theme="1"/>
      <name val="Calibri"/>
      <scheme val="minor"/>
    </font>
    <font>
      <b/>
      <sz val="2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20"/>
      <color theme="1"/>
      <name val="Calibri"/>
    </font>
    <font>
      <sz val="16"/>
      <color theme="1"/>
      <name val="Calibri"/>
    </font>
    <font>
      <sz val="14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name val="Calibri"/>
    </font>
    <font>
      <b/>
      <i/>
      <sz val="11"/>
      <color theme="1"/>
      <name val="Calibri"/>
    </font>
    <font>
      <b/>
      <sz val="8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b/>
      <sz val="25"/>
      <color theme="1"/>
      <name val="Calibri"/>
    </font>
    <font>
      <sz val="12"/>
      <color theme="1"/>
      <name val="Calibri"/>
    </font>
    <font>
      <b/>
      <sz val="14"/>
      <color theme="1"/>
      <name val="Calibri"/>
    </font>
    <font>
      <sz val="11"/>
      <color theme="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F4CCCC"/>
        <bgColor rgb="FFF4CCCC"/>
      </patternFill>
    </fill>
    <fill>
      <patternFill patternType="solid">
        <fgColor rgb="FFC5E0B3"/>
        <bgColor rgb="FFC5E0B3"/>
      </patternFill>
    </fill>
    <fill>
      <patternFill patternType="solid">
        <fgColor rgb="FFCCCCFF"/>
        <bgColor rgb="FFCCCCFF"/>
      </patternFill>
    </fill>
    <fill>
      <patternFill patternType="solid">
        <fgColor rgb="FFED7D31"/>
        <bgColor rgb="FFED7D31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9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14" fontId="2" fillId="0" borderId="0" xfId="0" applyNumberFormat="1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/>
    </xf>
    <xf numFmtId="164" fontId="2" fillId="0" borderId="0" xfId="0" applyNumberFormat="1" applyFont="1"/>
    <xf numFmtId="1" fontId="2" fillId="0" borderId="0" xfId="0" applyNumberFormat="1" applyFont="1" applyAlignment="1">
      <alignment horizontal="center"/>
    </xf>
    <xf numFmtId="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  <xf numFmtId="14" fontId="7" fillId="2" borderId="2" xfId="0" applyNumberFormat="1" applyFont="1" applyFill="1" applyBorder="1" applyAlignment="1">
      <alignment horizontal="center" vertical="center"/>
    </xf>
    <xf numFmtId="164" fontId="3" fillId="7" borderId="8" xfId="0" applyNumberFormat="1" applyFont="1" applyFill="1" applyBorder="1" applyAlignment="1">
      <alignment vertical="center"/>
    </xf>
    <xf numFmtId="164" fontId="8" fillId="8" borderId="9" xfId="0" applyNumberFormat="1" applyFont="1" applyFill="1" applyBorder="1" applyAlignment="1">
      <alignment horizontal="center" wrapText="1"/>
    </xf>
    <xf numFmtId="164" fontId="7" fillId="0" borderId="8" xfId="0" applyNumberFormat="1" applyFont="1" applyBorder="1" applyAlignment="1">
      <alignment horizontal="center" vertical="center"/>
    </xf>
    <xf numFmtId="14" fontId="7" fillId="2" borderId="11" xfId="0" applyNumberFormat="1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164" fontId="10" fillId="4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vertical="center"/>
    </xf>
    <xf numFmtId="0" fontId="3" fillId="5" borderId="8" xfId="0" applyFont="1" applyFill="1" applyBorder="1"/>
    <xf numFmtId="0" fontId="10" fillId="5" borderId="8" xfId="0" applyFont="1" applyFill="1" applyBorder="1" applyAlignment="1">
      <alignment horizontal="center"/>
    </xf>
    <xf numFmtId="164" fontId="10" fillId="6" borderId="8" xfId="0" applyNumberFormat="1" applyFont="1" applyFill="1" applyBorder="1" applyAlignment="1">
      <alignment horizontal="center" vertical="center"/>
    </xf>
    <xf numFmtId="164" fontId="8" fillId="8" borderId="8" xfId="0" applyNumberFormat="1" applyFont="1" applyFill="1" applyBorder="1" applyAlignment="1">
      <alignment horizontal="center"/>
    </xf>
    <xf numFmtId="164" fontId="8" fillId="8" borderId="14" xfId="0" applyNumberFormat="1" applyFont="1" applyFill="1" applyBorder="1" applyAlignment="1">
      <alignment horizontal="center"/>
    </xf>
    <xf numFmtId="14" fontId="7" fillId="2" borderId="14" xfId="0" applyNumberFormat="1" applyFont="1" applyFill="1" applyBorder="1" applyAlignment="1">
      <alignment horizontal="center" vertical="center"/>
    </xf>
    <xf numFmtId="164" fontId="8" fillId="2" borderId="14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164" fontId="3" fillId="4" borderId="8" xfId="0" applyNumberFormat="1" applyFont="1" applyFill="1" applyBorder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/>
    </xf>
    <xf numFmtId="164" fontId="3" fillId="6" borderId="8" xfId="0" applyNumberFormat="1" applyFont="1" applyFill="1" applyBorder="1" applyAlignment="1">
      <alignment horizontal="center" vertical="center"/>
    </xf>
    <xf numFmtId="9" fontId="8" fillId="2" borderId="8" xfId="0" applyNumberFormat="1" applyFont="1" applyFill="1" applyBorder="1" applyAlignment="1">
      <alignment horizontal="center"/>
    </xf>
    <xf numFmtId="9" fontId="8" fillId="8" borderId="14" xfId="0" applyNumberFormat="1" applyFont="1" applyFill="1" applyBorder="1" applyAlignment="1">
      <alignment horizontal="center"/>
    </xf>
    <xf numFmtId="0" fontId="11" fillId="9" borderId="2" xfId="0" quotePrefix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left" vertical="center"/>
    </xf>
    <xf numFmtId="0" fontId="11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165" fontId="12" fillId="0" borderId="7" xfId="0" applyNumberFormat="1" applyFont="1" applyBorder="1" applyAlignment="1">
      <alignment horizontal="left"/>
    </xf>
    <xf numFmtId="14" fontId="2" fillId="0" borderId="8" xfId="0" applyNumberFormat="1" applyFont="1" applyBorder="1"/>
    <xf numFmtId="0" fontId="2" fillId="0" borderId="8" xfId="0" applyFont="1" applyBorder="1" applyAlignment="1">
      <alignment wrapText="1"/>
    </xf>
    <xf numFmtId="0" fontId="2" fillId="0" borderId="8" xfId="0" applyFont="1" applyBorder="1"/>
    <xf numFmtId="3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right"/>
    </xf>
    <xf numFmtId="166" fontId="2" fillId="0" borderId="7" xfId="0" applyNumberFormat="1" applyFont="1" applyBorder="1" applyAlignment="1">
      <alignment horizontal="right"/>
    </xf>
    <xf numFmtId="164" fontId="2" fillId="10" borderId="2" xfId="0" applyNumberFormat="1" applyFont="1" applyFill="1" applyBorder="1"/>
    <xf numFmtId="164" fontId="2" fillId="0" borderId="8" xfId="0" applyNumberFormat="1" applyFont="1" applyBorder="1"/>
    <xf numFmtId="1" fontId="2" fillId="0" borderId="8" xfId="0" applyNumberFormat="1" applyFont="1" applyBorder="1" applyAlignment="1">
      <alignment horizontal="center"/>
    </xf>
    <xf numFmtId="0" fontId="2" fillId="3" borderId="8" xfId="0" applyFont="1" applyFill="1" applyBorder="1"/>
    <xf numFmtId="164" fontId="2" fillId="3" borderId="8" xfId="0" applyNumberFormat="1" applyFont="1" applyFill="1" applyBorder="1"/>
    <xf numFmtId="0" fontId="2" fillId="4" borderId="8" xfId="0" applyFont="1" applyFill="1" applyBorder="1"/>
    <xf numFmtId="164" fontId="2" fillId="4" borderId="8" xfId="0" applyNumberFormat="1" applyFont="1" applyFill="1" applyBorder="1"/>
    <xf numFmtId="0" fontId="2" fillId="5" borderId="8" xfId="0" applyFont="1" applyFill="1" applyBorder="1"/>
    <xf numFmtId="164" fontId="2" fillId="5" borderId="8" xfId="0" applyNumberFormat="1" applyFont="1" applyFill="1" applyBorder="1"/>
    <xf numFmtId="164" fontId="2" fillId="6" borderId="8" xfId="0" applyNumberFormat="1" applyFont="1" applyFill="1" applyBorder="1"/>
    <xf numFmtId="164" fontId="2" fillId="7" borderId="8" xfId="0" applyNumberFormat="1" applyFont="1" applyFill="1" applyBorder="1"/>
    <xf numFmtId="164" fontId="2" fillId="0" borderId="8" xfId="0" applyNumberFormat="1" applyFont="1" applyBorder="1" applyAlignment="1">
      <alignment horizontal="right"/>
    </xf>
    <xf numFmtId="166" fontId="2" fillId="0" borderId="15" xfId="0" applyNumberFormat="1" applyFont="1" applyBorder="1" applyAlignment="1">
      <alignment horizontal="right"/>
    </xf>
    <xf numFmtId="166" fontId="2" fillId="0" borderId="16" xfId="0" applyNumberFormat="1" applyFont="1" applyBorder="1" applyAlignment="1">
      <alignment horizontal="right"/>
    </xf>
    <xf numFmtId="0" fontId="2" fillId="11" borderId="8" xfId="0" applyFont="1" applyFill="1" applyBorder="1" applyAlignment="1">
      <alignment wrapText="1"/>
    </xf>
    <xf numFmtId="0" fontId="3" fillId="11" borderId="8" xfId="0" applyFont="1" applyFill="1" applyBorder="1" applyAlignment="1">
      <alignment horizontal="center"/>
    </xf>
    <xf numFmtId="0" fontId="2" fillId="11" borderId="8" xfId="0" applyFont="1" applyFill="1" applyBorder="1"/>
    <xf numFmtId="3" fontId="2" fillId="11" borderId="8" xfId="0" applyNumberFormat="1" applyFont="1" applyFill="1" applyBorder="1" applyAlignment="1">
      <alignment horizontal="center" vertical="center"/>
    </xf>
    <xf numFmtId="164" fontId="2" fillId="11" borderId="8" xfId="0" applyNumberFormat="1" applyFont="1" applyFill="1" applyBorder="1" applyAlignment="1">
      <alignment horizontal="center"/>
    </xf>
    <xf numFmtId="166" fontId="2" fillId="11" borderId="15" xfId="0" applyNumberFormat="1" applyFont="1" applyFill="1" applyBorder="1" applyAlignment="1">
      <alignment horizontal="right"/>
    </xf>
    <xf numFmtId="166" fontId="2" fillId="11" borderId="16" xfId="0" applyNumberFormat="1" applyFont="1" applyFill="1" applyBorder="1" applyAlignment="1">
      <alignment horizontal="right"/>
    </xf>
    <xf numFmtId="164" fontId="2" fillId="11" borderId="2" xfId="0" applyNumberFormat="1" applyFont="1" applyFill="1" applyBorder="1"/>
    <xf numFmtId="164" fontId="2" fillId="11" borderId="8" xfId="0" applyNumberFormat="1" applyFont="1" applyFill="1" applyBorder="1"/>
    <xf numFmtId="1" fontId="2" fillId="11" borderId="8" xfId="0" applyNumberFormat="1" applyFont="1" applyFill="1" applyBorder="1" applyAlignment="1">
      <alignment horizontal="center"/>
    </xf>
    <xf numFmtId="164" fontId="12" fillId="0" borderId="8" xfId="0" applyNumberFormat="1" applyFont="1" applyBorder="1"/>
    <xf numFmtId="14" fontId="12" fillId="0" borderId="7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164" fontId="13" fillId="0" borderId="8" xfId="0" applyNumberFormat="1" applyFont="1" applyBorder="1" applyAlignment="1">
      <alignment horizontal="right"/>
    </xf>
    <xf numFmtId="164" fontId="2" fillId="7" borderId="8" xfId="0" applyNumberFormat="1" applyFont="1" applyFill="1" applyBorder="1" applyAlignment="1">
      <alignment wrapText="1"/>
    </xf>
    <xf numFmtId="0" fontId="2" fillId="0" borderId="1" xfId="0" applyFont="1" applyBorder="1"/>
    <xf numFmtId="0" fontId="2" fillId="0" borderId="8" xfId="0" applyFont="1" applyBorder="1" applyAlignment="1">
      <alignment horizontal="center"/>
    </xf>
    <xf numFmtId="164" fontId="2" fillId="12" borderId="8" xfId="0" applyNumberFormat="1" applyFont="1" applyFill="1" applyBorder="1" applyAlignment="1">
      <alignment horizontal="center"/>
    </xf>
    <xf numFmtId="0" fontId="13" fillId="0" borderId="8" xfId="0" applyFont="1" applyBorder="1" applyAlignment="1">
      <alignment wrapText="1"/>
    </xf>
    <xf numFmtId="3" fontId="13" fillId="11" borderId="8" xfId="0" applyNumberFormat="1" applyFont="1" applyFill="1" applyBorder="1" applyAlignment="1">
      <alignment horizontal="center" vertical="center"/>
    </xf>
    <xf numFmtId="164" fontId="13" fillId="11" borderId="2" xfId="0" applyNumberFormat="1" applyFont="1" applyFill="1" applyBorder="1"/>
    <xf numFmtId="1" fontId="2" fillId="0" borderId="1" xfId="0" applyNumberFormat="1" applyFont="1" applyBorder="1" applyAlignment="1">
      <alignment horizontal="center"/>
    </xf>
    <xf numFmtId="0" fontId="12" fillId="13" borderId="8" xfId="0" applyFont="1" applyFill="1" applyBorder="1" applyAlignment="1">
      <alignment horizontal="left"/>
    </xf>
    <xf numFmtId="14" fontId="12" fillId="13" borderId="7" xfId="0" applyNumberFormat="1" applyFont="1" applyFill="1" applyBorder="1" applyAlignment="1">
      <alignment horizontal="left"/>
    </xf>
    <xf numFmtId="14" fontId="2" fillId="13" borderId="8" xfId="0" applyNumberFormat="1" applyFont="1" applyFill="1" applyBorder="1"/>
    <xf numFmtId="0" fontId="2" fillId="13" borderId="8" xfId="0" applyFont="1" applyFill="1" applyBorder="1" applyAlignment="1">
      <alignment wrapText="1"/>
    </xf>
    <xf numFmtId="0" fontId="3" fillId="13" borderId="8" xfId="0" applyFont="1" applyFill="1" applyBorder="1" applyAlignment="1">
      <alignment horizontal="center"/>
    </xf>
    <xf numFmtId="0" fontId="2" fillId="13" borderId="8" xfId="0" applyFont="1" applyFill="1" applyBorder="1"/>
    <xf numFmtId="3" fontId="2" fillId="13" borderId="8" xfId="0" applyNumberFormat="1" applyFont="1" applyFill="1" applyBorder="1" applyAlignment="1">
      <alignment horizontal="center" vertical="center"/>
    </xf>
    <xf numFmtId="164" fontId="2" fillId="13" borderId="8" xfId="0" applyNumberFormat="1" applyFont="1" applyFill="1" applyBorder="1" applyAlignment="1">
      <alignment horizontal="center"/>
    </xf>
    <xf numFmtId="166" fontId="2" fillId="13" borderId="15" xfId="0" applyNumberFormat="1" applyFont="1" applyFill="1" applyBorder="1" applyAlignment="1">
      <alignment horizontal="right"/>
    </xf>
    <xf numFmtId="166" fontId="2" fillId="13" borderId="16" xfId="0" applyNumberFormat="1" applyFont="1" applyFill="1" applyBorder="1" applyAlignment="1">
      <alignment horizontal="right"/>
    </xf>
    <xf numFmtId="164" fontId="2" fillId="13" borderId="2" xfId="0" applyNumberFormat="1" applyFont="1" applyFill="1" applyBorder="1"/>
    <xf numFmtId="164" fontId="2" fillId="13" borderId="8" xfId="0" applyNumberFormat="1" applyFont="1" applyFill="1" applyBorder="1"/>
    <xf numFmtId="1" fontId="2" fillId="13" borderId="1" xfId="0" applyNumberFormat="1" applyFont="1" applyFill="1" applyBorder="1" applyAlignment="1">
      <alignment horizontal="center"/>
    </xf>
    <xf numFmtId="164" fontId="2" fillId="11" borderId="1" xfId="0" applyNumberFormat="1" applyFont="1" applyFill="1" applyBorder="1"/>
    <xf numFmtId="1" fontId="2" fillId="11" borderId="1" xfId="0" applyNumberFormat="1" applyFont="1" applyFill="1" applyBorder="1" applyAlignment="1">
      <alignment horizontal="center"/>
    </xf>
    <xf numFmtId="165" fontId="12" fillId="13" borderId="17" xfId="0" applyNumberFormat="1" applyFont="1" applyFill="1" applyBorder="1" applyAlignment="1">
      <alignment horizontal="left"/>
    </xf>
    <xf numFmtId="166" fontId="2" fillId="13" borderId="14" xfId="0" applyNumberFormat="1" applyFont="1" applyFill="1" applyBorder="1" applyAlignment="1">
      <alignment horizontal="right"/>
    </xf>
    <xf numFmtId="166" fontId="2" fillId="13" borderId="18" xfId="0" applyNumberFormat="1" applyFont="1" applyFill="1" applyBorder="1" applyAlignment="1">
      <alignment horizontal="right"/>
    </xf>
    <xf numFmtId="1" fontId="2" fillId="13" borderId="2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left"/>
    </xf>
    <xf numFmtId="165" fontId="2" fillId="0" borderId="17" xfId="0" applyNumberFormat="1" applyFont="1" applyBorder="1" applyAlignment="1">
      <alignment horizontal="left"/>
    </xf>
    <xf numFmtId="164" fontId="2" fillId="0" borderId="1" xfId="0" applyNumberFormat="1" applyFont="1" applyBorder="1"/>
    <xf numFmtId="0" fontId="12" fillId="0" borderId="7" xfId="0" applyFont="1" applyBorder="1"/>
    <xf numFmtId="0" fontId="12" fillId="0" borderId="16" xfId="0" applyFont="1" applyBorder="1"/>
    <xf numFmtId="0" fontId="12" fillId="14" borderId="14" xfId="0" applyFont="1" applyFill="1" applyBorder="1" applyAlignment="1">
      <alignment horizontal="left"/>
    </xf>
    <xf numFmtId="165" fontId="12" fillId="14" borderId="17" xfId="0" applyNumberFormat="1" applyFont="1" applyFill="1" applyBorder="1" applyAlignment="1">
      <alignment horizontal="left"/>
    </xf>
    <xf numFmtId="0" fontId="12" fillId="14" borderId="18" xfId="0" applyFont="1" applyFill="1" applyBorder="1"/>
    <xf numFmtId="0" fontId="3" fillId="14" borderId="8" xfId="0" applyFont="1" applyFill="1" applyBorder="1" applyAlignment="1">
      <alignment horizontal="center"/>
    </xf>
    <xf numFmtId="0" fontId="2" fillId="14" borderId="8" xfId="0" applyFont="1" applyFill="1" applyBorder="1"/>
    <xf numFmtId="3" fontId="2" fillId="14" borderId="8" xfId="0" applyNumberFormat="1" applyFont="1" applyFill="1" applyBorder="1" applyAlignment="1">
      <alignment horizontal="center" vertical="center"/>
    </xf>
    <xf numFmtId="164" fontId="2" fillId="14" borderId="8" xfId="0" applyNumberFormat="1" applyFont="1" applyFill="1" applyBorder="1" applyAlignment="1">
      <alignment horizontal="center"/>
    </xf>
    <xf numFmtId="14" fontId="12" fillId="14" borderId="17" xfId="0" applyNumberFormat="1" applyFont="1" applyFill="1" applyBorder="1" applyAlignment="1">
      <alignment horizontal="left"/>
    </xf>
    <xf numFmtId="0" fontId="12" fillId="14" borderId="8" xfId="0" applyFont="1" applyFill="1" applyBorder="1" applyAlignment="1">
      <alignment horizontal="left"/>
    </xf>
    <xf numFmtId="0" fontId="12" fillId="14" borderId="17" xfId="0" applyFont="1" applyFill="1" applyBorder="1"/>
    <xf numFmtId="14" fontId="12" fillId="13" borderId="18" xfId="0" applyNumberFormat="1" applyFont="1" applyFill="1" applyBorder="1" applyAlignment="1">
      <alignment horizontal="left"/>
    </xf>
    <xf numFmtId="0" fontId="12" fillId="13" borderId="18" xfId="0" applyFont="1" applyFill="1" applyBorder="1"/>
    <xf numFmtId="0" fontId="13" fillId="13" borderId="8" xfId="0" applyFont="1" applyFill="1" applyBorder="1"/>
    <xf numFmtId="1" fontId="2" fillId="13" borderId="8" xfId="0" applyNumberFormat="1" applyFont="1" applyFill="1" applyBorder="1" applyAlignment="1">
      <alignment horizontal="center"/>
    </xf>
    <xf numFmtId="165" fontId="12" fillId="14" borderId="18" xfId="0" applyNumberFormat="1" applyFont="1" applyFill="1" applyBorder="1" applyAlignment="1">
      <alignment horizontal="left"/>
    </xf>
    <xf numFmtId="165" fontId="12" fillId="0" borderId="16" xfId="0" applyNumberFormat="1" applyFont="1" applyBorder="1" applyAlignment="1">
      <alignment horizontal="left"/>
    </xf>
    <xf numFmtId="14" fontId="12" fillId="0" borderId="16" xfId="0" applyNumberFormat="1" applyFont="1" applyBorder="1" applyAlignment="1">
      <alignment horizontal="left"/>
    </xf>
    <xf numFmtId="0" fontId="13" fillId="0" borderId="8" xfId="0" applyFont="1" applyBorder="1"/>
    <xf numFmtId="14" fontId="2" fillId="14" borderId="8" xfId="0" applyNumberFormat="1" applyFont="1" applyFill="1" applyBorder="1"/>
    <xf numFmtId="14" fontId="2" fillId="0" borderId="8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165" fontId="2" fillId="0" borderId="8" xfId="0" applyNumberFormat="1" applyFont="1" applyBorder="1" applyAlignment="1">
      <alignment horizontal="left"/>
    </xf>
    <xf numFmtId="0" fontId="2" fillId="0" borderId="0" xfId="0" applyFont="1"/>
    <xf numFmtId="164" fontId="12" fillId="0" borderId="8" xfId="0" applyNumberFormat="1" applyFont="1" applyBorder="1" applyAlignment="1">
      <alignment horizontal="center"/>
    </xf>
    <xf numFmtId="14" fontId="12" fillId="0" borderId="4" xfId="0" applyNumberFormat="1" applyFont="1" applyBorder="1" applyAlignment="1">
      <alignment horizontal="left"/>
    </xf>
    <xf numFmtId="14" fontId="2" fillId="0" borderId="1" xfId="0" applyNumberFormat="1" applyFont="1" applyBorder="1"/>
    <xf numFmtId="164" fontId="12" fillId="12" borderId="8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4" borderId="2" xfId="0" applyFont="1" applyFill="1" applyBorder="1"/>
    <xf numFmtId="0" fontId="3" fillId="0" borderId="19" xfId="0" applyFont="1" applyBorder="1"/>
    <xf numFmtId="0" fontId="3" fillId="0" borderId="20" xfId="0" applyFont="1" applyBorder="1" applyAlignment="1">
      <alignment horizontal="left"/>
    </xf>
    <xf numFmtId="14" fontId="2" fillId="0" borderId="20" xfId="0" applyNumberFormat="1" applyFont="1" applyBorder="1" applyAlignment="1">
      <alignment horizontal="left"/>
    </xf>
    <xf numFmtId="14" fontId="2" fillId="0" borderId="20" xfId="0" applyNumberFormat="1" applyFont="1" applyBorder="1"/>
    <xf numFmtId="0" fontId="2" fillId="0" borderId="20" xfId="0" applyFont="1" applyBorder="1" applyAlignment="1">
      <alignment wrapText="1"/>
    </xf>
    <xf numFmtId="0" fontId="3" fillId="0" borderId="20" xfId="0" applyFont="1" applyBorder="1" applyAlignment="1">
      <alignment horizontal="center"/>
    </xf>
    <xf numFmtId="0" fontId="2" fillId="0" borderId="20" xfId="0" applyFont="1" applyBorder="1"/>
    <xf numFmtId="164" fontId="2" fillId="0" borderId="20" xfId="0" applyNumberFormat="1" applyFont="1" applyBorder="1"/>
    <xf numFmtId="164" fontId="3" fillId="0" borderId="21" xfId="0" applyNumberFormat="1" applyFont="1" applyBorder="1"/>
    <xf numFmtId="1" fontId="2" fillId="0" borderId="20" xfId="0" applyNumberFormat="1" applyFont="1" applyBorder="1" applyAlignment="1">
      <alignment horizontal="center"/>
    </xf>
    <xf numFmtId="0" fontId="3" fillId="3" borderId="20" xfId="0" applyFont="1" applyFill="1" applyBorder="1"/>
    <xf numFmtId="164" fontId="3" fillId="3" borderId="20" xfId="0" applyNumberFormat="1" applyFont="1" applyFill="1" applyBorder="1"/>
    <xf numFmtId="0" fontId="3" fillId="4" borderId="20" xfId="0" applyFont="1" applyFill="1" applyBorder="1"/>
    <xf numFmtId="164" fontId="3" fillId="4" borderId="20" xfId="0" applyNumberFormat="1" applyFont="1" applyFill="1" applyBorder="1"/>
    <xf numFmtId="164" fontId="3" fillId="5" borderId="20" xfId="0" applyNumberFormat="1" applyFont="1" applyFill="1" applyBorder="1"/>
    <xf numFmtId="164" fontId="3" fillId="0" borderId="20" xfId="0" applyNumberFormat="1" applyFont="1" applyBorder="1"/>
    <xf numFmtId="164" fontId="3" fillId="0" borderId="22" xfId="0" applyNumberFormat="1" applyFont="1" applyBorder="1" applyAlignment="1">
      <alignment horizontal="right"/>
    </xf>
    <xf numFmtId="164" fontId="3" fillId="0" borderId="23" xfId="0" applyNumberFormat="1" applyFont="1" applyBorder="1" applyAlignment="1">
      <alignment horizontal="right"/>
    </xf>
    <xf numFmtId="0" fontId="2" fillId="14" borderId="24" xfId="0" applyFont="1" applyFill="1" applyBorder="1" applyAlignment="1">
      <alignment horizontal="left"/>
    </xf>
    <xf numFmtId="0" fontId="13" fillId="0" borderId="0" xfId="0" applyFont="1" applyAlignment="1">
      <alignment wrapText="1"/>
    </xf>
    <xf numFmtId="0" fontId="2" fillId="15" borderId="24" xfId="0" applyFont="1" applyFill="1" applyBorder="1" applyAlignment="1">
      <alignment horizontal="left"/>
    </xf>
    <xf numFmtId="0" fontId="2" fillId="16" borderId="24" xfId="0" applyFont="1" applyFill="1" applyBorder="1" applyAlignment="1">
      <alignment horizontal="left"/>
    </xf>
    <xf numFmtId="0" fontId="2" fillId="13" borderId="24" xfId="0" applyFont="1" applyFill="1" applyBorder="1" applyAlignment="1">
      <alignment horizontal="left"/>
    </xf>
    <xf numFmtId="0" fontId="2" fillId="12" borderId="0" xfId="0" applyFont="1" applyFill="1" applyAlignment="1">
      <alignment horizontal="left"/>
    </xf>
    <xf numFmtId="164" fontId="3" fillId="0" borderId="0" xfId="0" applyNumberFormat="1" applyFont="1"/>
    <xf numFmtId="164" fontId="14" fillId="0" borderId="0" xfId="0" applyNumberFormat="1" applyFont="1"/>
    <xf numFmtId="0" fontId="15" fillId="0" borderId="0" xfId="0" applyFont="1"/>
    <xf numFmtId="0" fontId="15" fillId="0" borderId="25" xfId="0" applyFont="1" applyBorder="1"/>
    <xf numFmtId="0" fontId="2" fillId="0" borderId="25" xfId="0" applyFont="1" applyBorder="1" applyAlignment="1">
      <alignment wrapText="1"/>
    </xf>
    <xf numFmtId="164" fontId="3" fillId="17" borderId="8" xfId="0" applyNumberFormat="1" applyFont="1" applyFill="1" applyBorder="1" applyAlignment="1">
      <alignment horizontal="center" vertical="center"/>
    </xf>
    <xf numFmtId="164" fontId="3" fillId="17" borderId="8" xfId="0" applyNumberFormat="1" applyFont="1" applyFill="1" applyBorder="1" applyAlignment="1">
      <alignment horizontal="center" vertical="center" wrapText="1"/>
    </xf>
    <xf numFmtId="164" fontId="3" fillId="17" borderId="8" xfId="0" applyNumberFormat="1" applyFont="1" applyFill="1" applyBorder="1" applyAlignment="1">
      <alignment horizontal="center"/>
    </xf>
    <xf numFmtId="9" fontId="3" fillId="17" borderId="8" xfId="0" applyNumberFormat="1" applyFont="1" applyFill="1" applyBorder="1" applyAlignment="1">
      <alignment horizontal="center" vertical="center"/>
    </xf>
    <xf numFmtId="9" fontId="3" fillId="17" borderId="8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1" fontId="2" fillId="0" borderId="8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vertical="center" wrapText="1"/>
    </xf>
    <xf numFmtId="164" fontId="2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64" fontId="3" fillId="0" borderId="8" xfId="0" applyNumberFormat="1" applyFont="1" applyBorder="1"/>
    <xf numFmtId="0" fontId="2" fillId="0" borderId="3" xfId="0" applyFont="1" applyBorder="1"/>
    <xf numFmtId="0" fontId="2" fillId="0" borderId="29" xfId="0" applyFont="1" applyBorder="1"/>
    <xf numFmtId="0" fontId="2" fillId="0" borderId="29" xfId="0" applyFont="1" applyBorder="1" applyAlignment="1">
      <alignment wrapText="1"/>
    </xf>
    <xf numFmtId="164" fontId="2" fillId="0" borderId="29" xfId="0" applyNumberFormat="1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0" fontId="2" fillId="0" borderId="26" xfId="0" applyFont="1" applyBorder="1"/>
    <xf numFmtId="164" fontId="2" fillId="0" borderId="26" xfId="0" applyNumberFormat="1" applyFont="1" applyBorder="1"/>
    <xf numFmtId="164" fontId="2" fillId="0" borderId="27" xfId="0" applyNumberFormat="1" applyFont="1" applyBorder="1"/>
    <xf numFmtId="0" fontId="2" fillId="0" borderId="28" xfId="0" applyFont="1" applyBorder="1"/>
    <xf numFmtId="164" fontId="2" fillId="0" borderId="25" xfId="0" applyNumberFormat="1" applyFont="1" applyBorder="1"/>
    <xf numFmtId="164" fontId="2" fillId="0" borderId="16" xfId="0" applyNumberFormat="1" applyFont="1" applyBorder="1"/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6" fillId="0" borderId="0" xfId="0" applyFont="1"/>
    <xf numFmtId="164" fontId="7" fillId="2" borderId="8" xfId="0" applyNumberFormat="1" applyFont="1" applyFill="1" applyBorder="1" applyAlignment="1">
      <alignment horizontal="center"/>
    </xf>
    <xf numFmtId="164" fontId="8" fillId="2" borderId="8" xfId="0" applyNumberFormat="1" applyFont="1" applyFill="1" applyBorder="1" applyAlignment="1">
      <alignment horizontal="center" vertical="center" wrapText="1"/>
    </xf>
    <xf numFmtId="9" fontId="7" fillId="2" borderId="8" xfId="0" applyNumberFormat="1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 vertical="center"/>
    </xf>
    <xf numFmtId="0" fontId="12" fillId="0" borderId="8" xfId="0" applyFont="1" applyBorder="1"/>
    <xf numFmtId="14" fontId="12" fillId="0" borderId="7" xfId="0" applyNumberFormat="1" applyFont="1" applyBorder="1" applyAlignment="1">
      <alignment horizontal="right"/>
    </xf>
    <xf numFmtId="0" fontId="12" fillId="0" borderId="15" xfId="0" applyFont="1" applyBorder="1"/>
    <xf numFmtId="14" fontId="12" fillId="0" borderId="16" xfId="0" applyNumberFormat="1" applyFont="1" applyBorder="1" applyAlignment="1">
      <alignment horizontal="right"/>
    </xf>
    <xf numFmtId="164" fontId="2" fillId="14" borderId="8" xfId="0" applyNumberFormat="1" applyFont="1" applyFill="1" applyBorder="1"/>
    <xf numFmtId="0" fontId="12" fillId="14" borderId="8" xfId="0" applyFont="1" applyFill="1" applyBorder="1"/>
    <xf numFmtId="14" fontId="12" fillId="14" borderId="17" xfId="0" applyNumberFormat="1" applyFont="1" applyFill="1" applyBorder="1" applyAlignment="1">
      <alignment horizontal="right"/>
    </xf>
    <xf numFmtId="0" fontId="12" fillId="14" borderId="14" xfId="0" applyFont="1" applyFill="1" applyBorder="1"/>
    <xf numFmtId="14" fontId="12" fillId="14" borderId="18" xfId="0" applyNumberFormat="1" applyFont="1" applyFill="1" applyBorder="1" applyAlignment="1">
      <alignment horizontal="right"/>
    </xf>
    <xf numFmtId="0" fontId="12" fillId="0" borderId="1" xfId="0" applyFont="1" applyBorder="1"/>
    <xf numFmtId="14" fontId="12" fillId="0" borderId="4" xfId="0" applyNumberFormat="1" applyFont="1" applyBorder="1" applyAlignment="1">
      <alignment horizontal="right"/>
    </xf>
    <xf numFmtId="0" fontId="3" fillId="0" borderId="20" xfId="0" applyFont="1" applyBorder="1"/>
    <xf numFmtId="164" fontId="2" fillId="0" borderId="21" xfId="0" applyNumberFormat="1" applyFont="1" applyBorder="1"/>
    <xf numFmtId="0" fontId="10" fillId="0" borderId="0" xfId="0" applyFont="1"/>
    <xf numFmtId="0" fontId="2" fillId="14" borderId="24" xfId="0" applyFont="1" applyFill="1" applyBorder="1"/>
    <xf numFmtId="0" fontId="2" fillId="18" borderId="24" xfId="0" applyFont="1" applyFill="1" applyBorder="1"/>
    <xf numFmtId="0" fontId="3" fillId="3" borderId="24" xfId="0" applyFont="1" applyFill="1" applyBorder="1" applyAlignment="1">
      <alignment horizontal="center"/>
    </xf>
    <xf numFmtId="167" fontId="2" fillId="0" borderId="0" xfId="0" applyNumberFormat="1" applyFont="1"/>
    <xf numFmtId="167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center"/>
    </xf>
    <xf numFmtId="168" fontId="3" fillId="0" borderId="0" xfId="0" applyNumberFormat="1" applyFont="1" applyAlignment="1">
      <alignment horizontal="center"/>
    </xf>
    <xf numFmtId="167" fontId="3" fillId="0" borderId="0" xfId="0" applyNumberFormat="1" applyFont="1"/>
    <xf numFmtId="0" fontId="2" fillId="3" borderId="24" xfId="0" applyFont="1" applyFill="1" applyBorder="1"/>
    <xf numFmtId="165" fontId="2" fillId="0" borderId="0" xfId="0" applyNumberFormat="1" applyFont="1"/>
    <xf numFmtId="0" fontId="17" fillId="0" borderId="0" xfId="0" applyFont="1"/>
    <xf numFmtId="0" fontId="13" fillId="0" borderId="0" xfId="0" applyFont="1"/>
    <xf numFmtId="0" fontId="2" fillId="0" borderId="0" xfId="0" applyFont="1" applyAlignment="1">
      <alignment horizontal="center" vertical="center"/>
    </xf>
    <xf numFmtId="0" fontId="2" fillId="0" borderId="34" xfId="0" applyFont="1" applyBorder="1"/>
    <xf numFmtId="0" fontId="2" fillId="0" borderId="35" xfId="0" applyFont="1" applyBorder="1"/>
    <xf numFmtId="0" fontId="7" fillId="2" borderId="1" xfId="0" applyFont="1" applyFill="1" applyBorder="1" applyAlignment="1">
      <alignment horizontal="center" vertical="center"/>
    </xf>
    <xf numFmtId="0" fontId="9" fillId="0" borderId="10" xfId="0" applyFont="1" applyBorder="1"/>
    <xf numFmtId="0" fontId="9" fillId="0" borderId="15" xfId="0" applyFont="1" applyBorder="1"/>
    <xf numFmtId="0" fontId="7" fillId="2" borderId="1" xfId="0" applyFont="1" applyFill="1" applyBorder="1" applyAlignment="1">
      <alignment horizontal="left" vertical="center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2" borderId="3" xfId="0" applyNumberFormat="1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12" xfId="0" applyFont="1" applyBorder="1"/>
    <xf numFmtId="0" fontId="9" fillId="0" borderId="13" xfId="0" applyFont="1" applyBorder="1"/>
    <xf numFmtId="164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9" fillId="0" borderId="6" xfId="0" applyFont="1" applyBorder="1"/>
    <xf numFmtId="0" fontId="9" fillId="0" borderId="7" xfId="0" applyFont="1" applyBorder="1"/>
    <xf numFmtId="164" fontId="3" fillId="4" borderId="5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/>
    </xf>
    <xf numFmtId="164" fontId="3" fillId="7" borderId="5" xfId="0" applyNumberFormat="1" applyFont="1" applyFill="1" applyBorder="1" applyAlignment="1">
      <alignment horizontal="center" vertical="center"/>
    </xf>
    <xf numFmtId="164" fontId="3" fillId="6" borderId="5" xfId="0" applyNumberFormat="1" applyFont="1" applyFill="1" applyBorder="1" applyAlignment="1">
      <alignment horizontal="center" vertical="center"/>
    </xf>
    <xf numFmtId="164" fontId="3" fillId="17" borderId="5" xfId="0" applyNumberFormat="1" applyFont="1" applyFill="1" applyBorder="1" applyAlignment="1">
      <alignment horizontal="center" vertical="center"/>
    </xf>
    <xf numFmtId="164" fontId="3" fillId="17" borderId="1" xfId="0" applyNumberFormat="1" applyFont="1" applyFill="1" applyBorder="1" applyAlignment="1">
      <alignment horizontal="center" vertical="center"/>
    </xf>
    <xf numFmtId="164" fontId="3" fillId="17" borderId="1" xfId="0" applyNumberFormat="1" applyFont="1" applyFill="1" applyBorder="1" applyAlignment="1">
      <alignment horizontal="center" vertical="center" wrapText="1"/>
    </xf>
    <xf numFmtId="164" fontId="3" fillId="17" borderId="5" xfId="0" applyNumberFormat="1" applyFont="1" applyFill="1" applyBorder="1" applyAlignment="1">
      <alignment horizontal="center"/>
    </xf>
    <xf numFmtId="0" fontId="3" fillId="17" borderId="3" xfId="0" applyFont="1" applyFill="1" applyBorder="1" applyAlignment="1">
      <alignment horizontal="center" vertical="center"/>
    </xf>
    <xf numFmtId="0" fontId="9" fillId="0" borderId="26" xfId="0" applyFont="1" applyBorder="1"/>
    <xf numFmtId="0" fontId="9" fillId="0" borderId="27" xfId="0" applyFont="1" applyBorder="1"/>
    <xf numFmtId="0" fontId="9" fillId="0" borderId="28" xfId="0" applyFont="1" applyBorder="1"/>
    <xf numFmtId="0" fontId="9" fillId="0" borderId="16" xfId="0" applyFont="1" applyBorder="1"/>
    <xf numFmtId="0" fontId="3" fillId="17" borderId="1" xfId="0" applyFont="1" applyFill="1" applyBorder="1" applyAlignment="1">
      <alignment horizontal="center" vertical="center" wrapText="1"/>
    </xf>
    <xf numFmtId="164" fontId="2" fillId="0" borderId="5" xfId="0" applyNumberFormat="1" applyFont="1" applyBorder="1"/>
    <xf numFmtId="0" fontId="3" fillId="0" borderId="0" xfId="0" applyFont="1" applyAlignment="1">
      <alignment horizontal="center"/>
    </xf>
    <xf numFmtId="0" fontId="0" fillId="0" borderId="0" xfId="0"/>
    <xf numFmtId="164" fontId="3" fillId="0" borderId="26" xfId="0" applyNumberFormat="1" applyFont="1" applyBorder="1" applyAlignment="1">
      <alignment horizontal="center"/>
    </xf>
    <xf numFmtId="164" fontId="2" fillId="0" borderId="25" xfId="0" applyNumberFormat="1" applyFont="1" applyBorder="1"/>
    <xf numFmtId="0" fontId="9" fillId="0" borderId="25" xfId="0" applyFont="1" applyBorder="1"/>
    <xf numFmtId="0" fontId="2" fillId="0" borderId="25" xfId="0" applyFont="1" applyBorder="1" applyAlignment="1">
      <alignment horizontal="center"/>
    </xf>
    <xf numFmtId="164" fontId="2" fillId="0" borderId="28" xfId="0" applyNumberFormat="1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164" fontId="2" fillId="0" borderId="26" xfId="0" applyNumberFormat="1" applyFont="1" applyBorder="1" applyAlignment="1">
      <alignment horizontal="left"/>
    </xf>
    <xf numFmtId="14" fontId="7" fillId="2" borderId="1" xfId="0" applyNumberFormat="1" applyFont="1" applyFill="1" applyBorder="1" applyAlignment="1">
      <alignment horizontal="center" vertical="center"/>
    </xf>
    <xf numFmtId="0" fontId="0" fillId="0" borderId="30" xfId="0" pivotButton="1" applyBorder="1"/>
    <xf numFmtId="0" fontId="0" fillId="0" borderId="31" xfId="0" applyBorder="1"/>
    <xf numFmtId="0" fontId="0" fillId="0" borderId="30" xfId="0" applyBorder="1"/>
    <xf numFmtId="0" fontId="0" fillId="0" borderId="31" xfId="0" applyNumberFormat="1" applyBorder="1"/>
    <xf numFmtId="0" fontId="0" fillId="0" borderId="32" xfId="0" applyBorder="1"/>
    <xf numFmtId="0" fontId="0" fillId="0" borderId="33" xfId="0" applyNumberFormat="1" applyBorder="1"/>
    <xf numFmtId="0" fontId="0" fillId="0" borderId="34" xfId="0" applyBorder="1"/>
    <xf numFmtId="0" fontId="0" fillId="0" borderId="35" xfId="0" applyNumberFormat="1" applyBorder="1"/>
  </cellXfs>
  <cellStyles count="1">
    <cellStyle name="Normal" xfId="0" builtinId="0"/>
  </cellStyles>
  <dxfs count="6">
    <dxf>
      <font>
        <b/>
        <color rgb="FFFF0000"/>
      </font>
      <fill>
        <patternFill patternType="none"/>
      </fill>
    </dxf>
    <dxf>
      <font>
        <b/>
        <color rgb="FF38761D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1</xdr:row>
      <xdr:rowOff>9525</xdr:rowOff>
    </xdr:from>
    <xdr:ext cx="6467475" cy="10858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ser-PC" refreshedDate="46086.64309513889" refreshedVersion="8" recordCount="268" xr:uid="{00000000-000A-0000-FFFF-FFFF00000000}">
  <cacheSource type="worksheet">
    <worksheetSource ref="A1:F269" sheet="CODE"/>
  </cacheSource>
  <cacheFields count="6">
    <cacheField name=" " numFmtId="0">
      <sharedItems containsBlank="1" containsMixedTypes="1" containsNumber="1" containsInteger="1" minValue="1" maxValue="10"/>
    </cacheField>
    <cacheField name=" 2" numFmtId="0">
      <sharedItems containsBlank="1"/>
    </cacheField>
    <cacheField name=" 3" numFmtId="0">
      <sharedItems containsBlank="1" containsMixedTypes="1" containsNumber="1" containsInteger="1" minValue="1" maxValue="68"/>
    </cacheField>
    <cacheField name=" 4" numFmtId="0">
      <sharedItems containsBlank="1"/>
    </cacheField>
    <cacheField name=" 5" numFmtId="0">
      <sharedItems containsBlank="1" count="19">
        <m/>
        <s v="OFFICE"/>
        <s v="CDMD"/>
        <s v="PPD"/>
        <s v="ISD"/>
        <s v="ADO"/>
        <s v="BGT."/>
        <s v="ACCTG."/>
        <s v="HRMO"/>
        <s v="CASHIER"/>
        <s v="IAU"/>
        <s v="RCRDS"/>
        <s v="GSS"/>
        <s v="INFRA"/>
        <s v="COA"/>
        <s v="SMS"/>
        <s v="BAC"/>
        <s v="DO"/>
        <s v="PAD"/>
      </sharedItems>
    </cacheField>
    <cacheField name=" 6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8">
  <r>
    <m/>
    <m/>
    <m/>
    <m/>
    <x v="0"/>
    <m/>
  </r>
  <r>
    <s v="SERIES"/>
    <s v="CODE"/>
    <s v="NO."/>
    <s v="NAME"/>
    <x v="1"/>
    <s v="POSITION"/>
  </r>
  <r>
    <n v="1"/>
    <s v="1-CDMD"/>
    <n v="1"/>
    <s v="AUSTRIA, CHRISTIAN JOCEF B."/>
    <x v="2"/>
    <s v="Administrative Asst. II"/>
  </r>
  <r>
    <n v="2"/>
    <s v="2-CDMD"/>
    <n v="2"/>
    <s v="PASTOR, JANELLE E."/>
    <x v="2"/>
    <s v="Development Management Officer I"/>
  </r>
  <r>
    <n v="3"/>
    <s v="3-CDMD"/>
    <n v="3"/>
    <s v="RODRIGUEZ, MA. RUFFA A. "/>
    <x v="2"/>
    <s v="Development Management Officer II"/>
  </r>
  <r>
    <n v="4"/>
    <s v="4-CDMD"/>
    <n v="4"/>
    <s v="OQUINDO, SHEILA JANE G."/>
    <x v="2"/>
    <s v="Development Management Officer I"/>
  </r>
  <r>
    <n v="1"/>
    <s v="1-PPD"/>
    <n v="5"/>
    <s v="ESMER, GLECY R."/>
    <x v="3"/>
    <s v="Administrative Asst. II"/>
  </r>
  <r>
    <n v="2"/>
    <s v="2-PPD"/>
    <n v="6"/>
    <s v="GALABAY, CHRISTIANEL B."/>
    <x v="3"/>
    <s v="Planning Officer II"/>
  </r>
  <r>
    <n v="3"/>
    <s v="3-PPD"/>
    <n v="7"/>
    <s v="GABUYO, DYNA ROSE M."/>
    <x v="3"/>
    <s v="Planning Officer II"/>
  </r>
  <r>
    <n v="4"/>
    <s v="4-PPD"/>
    <n v="7"/>
    <s v="NILO, FAITH PERL A."/>
    <x v="3"/>
    <s v="Planning Officer I"/>
  </r>
  <r>
    <n v="5"/>
    <s v="5-PPD"/>
    <n v="8"/>
    <s v="VERINO, ALLYSON RYAN T."/>
    <x v="3"/>
    <s v="Project Development Officer I"/>
  </r>
  <r>
    <n v="1"/>
    <s v="1-ISD"/>
    <n v="10"/>
    <s v="LAMPAS, CHRISTIAN JOSEPH P"/>
    <x v="4"/>
    <s v="Computer Maintenance Tech. I"/>
  </r>
  <r>
    <n v="2"/>
    <s v="2-ISD"/>
    <n v="11"/>
    <s v="MANDANI, AVE M."/>
    <x v="4"/>
    <s v="Bookbinder III"/>
  </r>
  <r>
    <n v="3"/>
    <s v="3-ISD"/>
    <n v="12"/>
    <s v="PERNIA, JONAS S."/>
    <x v="4"/>
    <s v="Administrative Asst. II"/>
  </r>
  <r>
    <n v="4"/>
    <s v="4-ISD"/>
    <n v="13"/>
    <s v="BALANGATAN, JUN CHRISTOPHER C."/>
    <x v="4"/>
    <s v="Media Production Specialist I"/>
  </r>
  <r>
    <n v="5"/>
    <s v="5-ISD"/>
    <n v="14"/>
    <s v="LIM, KLEIN ANSON G."/>
    <x v="4"/>
    <s v="Agriculturist I"/>
  </r>
  <r>
    <n v="6"/>
    <s v="6-ISD"/>
    <n v="15"/>
    <s v="AGUAS, DERICKE DUANE C."/>
    <x v="4"/>
    <s v="Information Officer I"/>
  </r>
  <r>
    <n v="7"/>
    <s v="7-ISD"/>
    <n v="16"/>
    <s v="BALA, ANGEL D."/>
    <x v="4"/>
    <s v="Information Officer I"/>
  </r>
  <r>
    <n v="1"/>
    <s v="1-ADO"/>
    <n v="17"/>
    <s v="CAGUMBAY, LIYANNE M."/>
    <x v="5"/>
    <s v="Administrative Asst. II"/>
  </r>
  <r>
    <n v="2"/>
    <s v="2-ADO"/>
    <n v="18"/>
    <s v="DE GUZMAN, SWEET JESSABEL M."/>
    <x v="5"/>
    <s v="Executive Assistant II"/>
  </r>
  <r>
    <n v="1"/>
    <s v="1-BGT."/>
    <n v="19"/>
    <s v="SASIS, BRINGKLY B."/>
    <x v="6"/>
    <s v="Administrative Asst. II"/>
  </r>
  <r>
    <n v="2"/>
    <s v="2-BGT."/>
    <n v="20"/>
    <s v="SALVA, IRENE U"/>
    <x v="6"/>
    <s v="Administrative Asst. II"/>
  </r>
  <r>
    <n v="3"/>
    <s v="3-BGT."/>
    <n v="21"/>
    <s v="CAIZ, LEONILA D."/>
    <x v="6"/>
    <s v="Financial Analyst "/>
  </r>
  <r>
    <n v="1"/>
    <s v="1-ACCTG."/>
    <n v="22"/>
    <s v="SALVANIA, JEFFREY"/>
    <x v="7"/>
    <s v="Administrative Asst. II"/>
  </r>
  <r>
    <n v="2"/>
    <s v="2-ACCTG."/>
    <n v="23"/>
    <s v="ESTAPON, LESLIE DC."/>
    <x v="7"/>
    <s v="Administrative Asst. II"/>
  </r>
  <r>
    <n v="3"/>
    <s v="3-ACCTG."/>
    <n v="24"/>
    <s v="MARTIN, ORLAN LEONARD E."/>
    <x v="7"/>
    <s v="Administrative Asst. II"/>
  </r>
  <r>
    <n v="4"/>
    <s v="4-ACCTG."/>
    <n v="25"/>
    <s v="MAGDARAOG, CHRISTINE NAZEL C."/>
    <x v="7"/>
    <s v="Administrative Asst. II"/>
  </r>
  <r>
    <n v="5"/>
    <s v="5-ACCTG."/>
    <n v="26"/>
    <s v="LOZANO, ADRIAN D."/>
    <x v="7"/>
    <s v="Administrative Asst. II"/>
  </r>
  <r>
    <n v="6"/>
    <s v="6-ACCTG."/>
    <n v="27"/>
    <s v="OLIVO, JENNA P."/>
    <x v="7"/>
    <s v="Technical Support Staff"/>
  </r>
  <r>
    <n v="7"/>
    <s v="7-ACCTG."/>
    <n v="28"/>
    <s v="CALDITO, CHARISSE D."/>
    <x v="7"/>
    <s v="Administrative Asst. II"/>
  </r>
  <r>
    <n v="8"/>
    <s v="8-ACCTG."/>
    <n v="29"/>
    <s v="YUGA, MYKA ALEXZA B."/>
    <x v="7"/>
    <s v="Administrative Asst. II"/>
  </r>
  <r>
    <n v="1"/>
    <s v="1-HRMO"/>
    <n v="30"/>
    <s v="DE GALICIA, JACQUELINE C."/>
    <x v="8"/>
    <s v="Training Specialist II"/>
  </r>
  <r>
    <n v="2"/>
    <s v="2-HRMO"/>
    <n v="31"/>
    <s v="ANDAYA, APRIL JANE G."/>
    <x v="8"/>
    <s v="Administrative Asst. II"/>
  </r>
  <r>
    <n v="3"/>
    <s v="3-HRMO"/>
    <n v="32"/>
    <s v="AMBROSIO, JOHN HAROLD F."/>
    <x v="8"/>
    <s v="Training Specialist II"/>
  </r>
  <r>
    <n v="4"/>
    <s v="4-HRMO"/>
    <m/>
    <s v="NIÑO, COLENE MAE B."/>
    <x v="8"/>
    <s v="Training Specialist II"/>
  </r>
  <r>
    <n v="1"/>
    <s v="1-CASHIER"/>
    <n v="34"/>
    <s v="EMBALZADO, SHERYL P."/>
    <x v="9"/>
    <s v="Administrative Asst. II"/>
  </r>
  <r>
    <n v="1"/>
    <s v="1-IAU"/>
    <n v="35"/>
    <s v="CRUZ, CLAIRE JOYCE B."/>
    <x v="10"/>
    <s v="Administrative Asst. II"/>
  </r>
  <r>
    <n v="2"/>
    <s v="2-IAU"/>
    <n v="36"/>
    <s v="MARTIN, SHAIRA LEA E."/>
    <x v="10"/>
    <s v="Administrative Asst. II"/>
  </r>
  <r>
    <n v="1"/>
    <s v="1-RCRDS"/>
    <n v="37"/>
    <s v="CAPONGCOL, MARY JANE "/>
    <x v="11"/>
    <s v="Administrative Asst. II"/>
  </r>
  <r>
    <n v="2"/>
    <s v="2-RCRDS"/>
    <n v="38"/>
    <s v="FERNANDEZ, YARI E."/>
    <x v="11"/>
    <s v="Administrative Asst. II"/>
  </r>
  <r>
    <n v="1"/>
    <s v="1-GSS"/>
    <n v="39"/>
    <s v="CUARTERON, JOSEN L."/>
    <x v="12"/>
    <s v="Administrative Asst. I"/>
  </r>
  <r>
    <n v="2"/>
    <s v="2-GSS"/>
    <n v="40"/>
    <s v="CATUBAY, ELVIS JOHN L."/>
    <x v="12"/>
    <s v="Administrative Asst. II"/>
  </r>
  <r>
    <n v="3"/>
    <s v="3-GSS"/>
    <n v="41"/>
    <s v="MARCELO, FERDINAND S."/>
    <x v="12"/>
    <s v="Administrative Asst. I"/>
  </r>
  <r>
    <n v="4"/>
    <s v="4-GSS"/>
    <n v="42"/>
    <s v="TAPIADOR, JACKSON T. "/>
    <x v="12"/>
    <s v="Administrative Asst. I"/>
  </r>
  <r>
    <n v="5"/>
    <s v="5-GSS"/>
    <n v="43"/>
    <s v="GAMBOA, ELGIE F."/>
    <x v="12"/>
    <s v="Administrative Asst. I"/>
  </r>
  <r>
    <n v="6"/>
    <s v="6-GSS"/>
    <n v="44"/>
    <s v="TORIO, MARLON P."/>
    <x v="12"/>
    <s v="Administrative Asst. I (Bus Driver)"/>
  </r>
  <r>
    <n v="7"/>
    <s v="7-GSS"/>
    <n v="45"/>
    <s v="NAMOCA, SANTIAGO J."/>
    <x v="12"/>
    <s v="Administrative Asst. I (Bus Driver)"/>
  </r>
  <r>
    <n v="8"/>
    <s v="8-GSS"/>
    <n v="46"/>
    <s v="GUTIERREZ, DACHIEL P.  "/>
    <x v="12"/>
    <s v="Administrative Asst. I"/>
  </r>
  <r>
    <n v="1"/>
    <s v="1-INFRA"/>
    <n v="47"/>
    <s v="PERALTA, JONEL"/>
    <x v="13"/>
    <s v="Civil Engineer II"/>
  </r>
  <r>
    <n v="2"/>
    <s v="2-INFRA"/>
    <n v="48"/>
    <s v="RIVAS, JOSEPH S."/>
    <x v="13"/>
    <s v="Electrician General Forman"/>
  </r>
  <r>
    <n v="3"/>
    <s v="3-INFRA"/>
    <n v="49"/>
    <s v="PATAN, LIOMYR A. "/>
    <x v="13"/>
    <s v="Electrical Engineer I"/>
  </r>
  <r>
    <n v="1"/>
    <s v="1-COA"/>
    <n v="50"/>
    <s v="LORENA, SUSAN G"/>
    <x v="14"/>
    <s v="Administrative Asst. II"/>
  </r>
  <r>
    <n v="2"/>
    <s v="2-COA"/>
    <n v="51"/>
    <s v="GUZMAN, JESSA MAE G."/>
    <x v="14"/>
    <s v="Administrative Asst. II"/>
  </r>
  <r>
    <n v="3"/>
    <s v="3-COA"/>
    <n v="52"/>
    <s v="SERDONCILLO, RANIL G."/>
    <x v="14"/>
    <s v="Administrative Asst. I"/>
  </r>
  <r>
    <n v="4"/>
    <s v="4-COA"/>
    <n v="53"/>
    <s v="COMPLETO, CRIZANTO E."/>
    <x v="14"/>
    <s v="Administrative Asst. I"/>
  </r>
  <r>
    <n v="1"/>
    <s v="1-SMS"/>
    <n v="54"/>
    <s v="GAGUCAS, MICHAEL B."/>
    <x v="15"/>
    <s v="Administrative Asst. II"/>
  </r>
  <r>
    <n v="2"/>
    <s v="2-SMS"/>
    <n v="55"/>
    <s v="WALICAN, CARLA S."/>
    <x v="15"/>
    <s v="Administrative Asst. II"/>
  </r>
  <r>
    <n v="1"/>
    <s v="1-BAC"/>
    <n v="56"/>
    <s v="AKUT, FILSAN G."/>
    <x v="16"/>
    <s v="Administrative Asst. IV"/>
  </r>
  <r>
    <n v="2"/>
    <s v="2-BAC"/>
    <n v="57"/>
    <s v="LIPAN, AGNES J."/>
    <x v="16"/>
    <s v="Administrative Asst. II"/>
  </r>
  <r>
    <n v="1"/>
    <s v="1-DO"/>
    <n v="58"/>
    <s v="CELOCIA, ROSELY-ANN G."/>
    <x v="17"/>
    <s v="Administrative Asst. II"/>
  </r>
  <r>
    <n v="1"/>
    <s v="1-PAD"/>
    <n v="59"/>
    <s v="BRUZON, ANGENNITTE F."/>
    <x v="18"/>
    <s v="Administrative Asst. II"/>
  </r>
  <r>
    <n v="2"/>
    <s v="2-PAD"/>
    <n v="60"/>
    <s v="BADILLO, ALBINO M."/>
    <x v="18"/>
    <s v="Administrative Aide VI (Gardener)"/>
  </r>
  <r>
    <n v="3"/>
    <s v="3-PAD"/>
    <n v="61"/>
    <s v="BELO, JOSHUA G."/>
    <x v="18"/>
    <s v="Administrative Aide VI (Gardener)"/>
  </r>
  <r>
    <n v="4"/>
    <s v="4-PAD"/>
    <n v="62"/>
    <s v="CATIMBANG, SHANDEE FAY O."/>
    <x v="18"/>
    <s v="Agriculturist I"/>
  </r>
  <r>
    <n v="5"/>
    <s v="5-PAD"/>
    <n v="63"/>
    <s v="MANGILOG, ERICCA MAE V."/>
    <x v="18"/>
    <s v="Technical Support Staff IV"/>
  </r>
  <r>
    <n v="6"/>
    <s v="6-PAD"/>
    <n v="64"/>
    <s v="FRANCISCO, ULYSSES H."/>
    <x v="18"/>
    <s v="Development Management Officer II"/>
  </r>
  <r>
    <n v="7"/>
    <s v="7-PAD"/>
    <n v="65"/>
    <s v="DITCHE, ALLIAH LYN P."/>
    <x v="18"/>
    <s v="Development Management Officer II"/>
  </r>
  <r>
    <n v="8"/>
    <s v="8-PAD"/>
    <n v="66"/>
    <s v="CORDOVA, JOEL M."/>
    <x v="18"/>
    <s v="Encoder "/>
  </r>
  <r>
    <n v="9"/>
    <s v="9-PAD"/>
    <n v="67"/>
    <s v="ARANAZ, CZAREE JOSIAH A."/>
    <x v="18"/>
    <s v="Agriculturist I"/>
  </r>
  <r>
    <n v="10"/>
    <s v="10-PAD"/>
    <n v="68"/>
    <s v="AGUSTIN, PAULYN B."/>
    <x v="18"/>
    <s v="Agriculturist I"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  <r>
    <m/>
    <m/>
    <m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 Table 1" cacheId="17" applyNumberFormats="0" applyBorderFormats="0" applyFontFormats="0" applyPatternFormats="0" applyAlignmentFormats="0" applyWidthHeightFormats="0" dataCaption="" updatedVersion="8" compact="0" compactData="0">
  <location ref="A1:B21" firstHeaderRow="1" firstDataRow="1" firstDataCol="1"/>
  <pivotFields count="6">
    <pivotField name=" 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axis="axisRow" dataField="1" compact="0" outline="0" multipleItemSelectionAllowed="1" showAll="0" sortType="ascending">
      <items count="20">
        <item x="7"/>
        <item x="5"/>
        <item x="16"/>
        <item x="6"/>
        <item x="9"/>
        <item x="2"/>
        <item x="14"/>
        <item x="17"/>
        <item x="12"/>
        <item x="8"/>
        <item x="10"/>
        <item x="13"/>
        <item x="4"/>
        <item x="1"/>
        <item x="18"/>
        <item x="3"/>
        <item x="11"/>
        <item x="15"/>
        <item x="0"/>
        <item t="default"/>
      </items>
    </pivotField>
    <pivotField name=" 6" compact="0" outline="0" multipleItemSelectionAllowed="1" showAll="0"/>
  </pivotFields>
  <rowFields count="1">
    <field x="4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A of  5" fld="4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9"/>
  <sheetViews>
    <sheetView tabSelected="1" topLeftCell="A37" workbookViewId="0">
      <pane xSplit="5" topLeftCell="T1" activePane="topRight" state="frozen"/>
      <selection pane="topRight" activeCell="V46" sqref="V46"/>
    </sheetView>
  </sheetViews>
  <sheetFormatPr defaultColWidth="14.42578125" defaultRowHeight="15" customHeight="1" outlineLevelCol="1"/>
  <cols>
    <col min="1" max="1" width="5.28515625" customWidth="1"/>
    <col min="2" max="2" width="13.28515625" customWidth="1"/>
    <col min="3" max="4" width="13.5703125" customWidth="1"/>
    <col min="5" max="5" width="30.85546875" customWidth="1"/>
    <col min="6" max="6" width="8" customWidth="1"/>
    <col min="7" max="7" width="43.140625" customWidth="1"/>
    <col min="8" max="10" width="16.7109375" customWidth="1"/>
    <col min="11" max="12" width="16.7109375" hidden="1" customWidth="1"/>
    <col min="13" max="13" width="16.7109375" customWidth="1"/>
    <col min="14" max="17" width="17.5703125" customWidth="1"/>
    <col min="18" max="18" width="8.5703125" customWidth="1"/>
    <col min="19" max="19" width="19.140625" customWidth="1"/>
    <col min="20" max="22" width="9.140625" customWidth="1"/>
    <col min="23" max="25" width="15.28515625" customWidth="1"/>
    <col min="26" max="28" width="9.140625" customWidth="1"/>
    <col min="29" max="31" width="15.28515625" customWidth="1"/>
    <col min="32" max="34" width="9.140625" hidden="1" customWidth="1" outlineLevel="1"/>
    <col min="35" max="37" width="15.28515625" hidden="1" customWidth="1" outlineLevel="1"/>
    <col min="38" max="38" width="15.28515625" customWidth="1" collapsed="1"/>
    <col min="39" max="40" width="15.28515625" customWidth="1"/>
    <col min="41" max="41" width="18" customWidth="1"/>
    <col min="42" max="42" width="18.5703125" customWidth="1"/>
    <col min="43" max="43" width="32.85546875" customWidth="1"/>
    <col min="44" max="44" width="18.7109375" customWidth="1"/>
    <col min="45" max="46" width="15.140625" customWidth="1"/>
    <col min="47" max="52" width="18.5703125" customWidth="1"/>
    <col min="53" max="55" width="18.7109375" customWidth="1"/>
  </cols>
  <sheetData>
    <row r="1" spans="1:55" ht="28.5">
      <c r="A1" s="1"/>
      <c r="B1" s="2"/>
      <c r="C1" s="3"/>
      <c r="D1" s="4"/>
      <c r="E1" s="5"/>
      <c r="F1" s="6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7"/>
      <c r="T1" s="9"/>
      <c r="U1" s="9"/>
      <c r="V1" s="9"/>
      <c r="W1" s="7"/>
      <c r="X1" s="7"/>
      <c r="Y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</row>
    <row r="2" spans="1:55" ht="26.25">
      <c r="A2" s="10" t="s">
        <v>0</v>
      </c>
      <c r="B2" s="2"/>
      <c r="C2" s="3"/>
      <c r="D2" s="4"/>
      <c r="E2" s="5"/>
      <c r="F2" s="6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7"/>
      <c r="T2" s="9"/>
      <c r="U2" s="9"/>
      <c r="V2" s="9"/>
      <c r="W2" s="7"/>
      <c r="X2" s="7"/>
      <c r="Y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</row>
    <row r="3" spans="1:55" ht="21">
      <c r="A3" s="11" t="s">
        <v>1</v>
      </c>
      <c r="B3" s="2"/>
      <c r="C3" s="3"/>
      <c r="D3" s="4"/>
      <c r="E3" s="5"/>
      <c r="F3" s="6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7"/>
      <c r="T3" s="9"/>
      <c r="U3" s="9"/>
      <c r="V3" s="9"/>
      <c r="W3" s="7"/>
      <c r="X3" s="7"/>
      <c r="Y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V3" s="7"/>
      <c r="AW3" s="7"/>
      <c r="AX3" s="7"/>
      <c r="AY3" s="7"/>
      <c r="AZ3" s="7"/>
      <c r="BA3" s="7"/>
      <c r="BB3" s="7"/>
      <c r="BC3" s="7"/>
    </row>
    <row r="4" spans="1:55" ht="18.75">
      <c r="A4" s="12" t="s">
        <v>2</v>
      </c>
      <c r="B4" s="2"/>
      <c r="C4" s="2"/>
      <c r="D4" s="4"/>
      <c r="E4" s="5"/>
      <c r="F4" s="6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7"/>
      <c r="T4" s="9"/>
      <c r="U4" s="9"/>
      <c r="V4" s="9"/>
      <c r="W4" s="7"/>
      <c r="X4" s="7"/>
      <c r="Y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</row>
    <row r="5" spans="1:55">
      <c r="B5" s="2"/>
      <c r="C5" s="3"/>
      <c r="D5" s="4"/>
      <c r="E5" s="5"/>
      <c r="F5" s="6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7"/>
      <c r="T5" s="9"/>
      <c r="U5" s="9"/>
      <c r="V5" s="9"/>
      <c r="W5" s="7"/>
      <c r="X5" s="7"/>
      <c r="Y5" s="7"/>
      <c r="Z5" s="13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6" spans="1:55" ht="14.25" customHeight="1">
      <c r="A6" s="238" t="s">
        <v>3</v>
      </c>
      <c r="B6" s="241" t="s">
        <v>4</v>
      </c>
      <c r="C6" s="242" t="s">
        <v>5</v>
      </c>
      <c r="D6" s="14"/>
      <c r="E6" s="243" t="s">
        <v>6</v>
      </c>
      <c r="F6" s="238" t="s">
        <v>7</v>
      </c>
      <c r="G6" s="238" t="s">
        <v>8</v>
      </c>
      <c r="H6" s="244" t="s">
        <v>9</v>
      </c>
      <c r="I6" s="244" t="s">
        <v>10</v>
      </c>
      <c r="J6" s="245" t="s">
        <v>11</v>
      </c>
      <c r="K6" s="246" t="s">
        <v>12</v>
      </c>
      <c r="L6" s="247"/>
      <c r="M6" s="250" t="s">
        <v>13</v>
      </c>
      <c r="N6" s="250" t="s">
        <v>14</v>
      </c>
      <c r="O6" s="250" t="s">
        <v>15</v>
      </c>
      <c r="P6" s="250" t="s">
        <v>16</v>
      </c>
      <c r="Q6" s="250" t="s">
        <v>17</v>
      </c>
      <c r="R6" s="257" t="s">
        <v>18</v>
      </c>
      <c r="S6" s="251" t="s">
        <v>19</v>
      </c>
      <c r="T6" s="258" t="s">
        <v>20</v>
      </c>
      <c r="U6" s="254"/>
      <c r="V6" s="255"/>
      <c r="W6" s="258" t="str">
        <f>T6</f>
        <v>02-01-15-2026</v>
      </c>
      <c r="X6" s="254"/>
      <c r="Y6" s="255"/>
      <c r="Z6" s="253" t="s">
        <v>2</v>
      </c>
      <c r="AA6" s="254"/>
      <c r="AB6" s="255"/>
      <c r="AC6" s="253" t="str">
        <f>Z6</f>
        <v>02-16-28-2026</v>
      </c>
      <c r="AD6" s="254"/>
      <c r="AE6" s="255"/>
      <c r="AF6" s="262"/>
      <c r="AG6" s="254"/>
      <c r="AH6" s="255"/>
      <c r="AI6" s="262"/>
      <c r="AJ6" s="254"/>
      <c r="AK6" s="255"/>
      <c r="AL6" s="263"/>
      <c r="AM6" s="254"/>
      <c r="AN6" s="255"/>
      <c r="AO6" s="250" t="s">
        <v>21</v>
      </c>
      <c r="AP6" s="264" t="s">
        <v>22</v>
      </c>
      <c r="AQ6" s="255"/>
      <c r="AR6" s="250" t="s">
        <v>23</v>
      </c>
      <c r="AS6" s="261" t="s">
        <v>24</v>
      </c>
      <c r="AT6" s="255"/>
      <c r="AU6" s="15" t="s">
        <v>25</v>
      </c>
      <c r="AV6" s="15"/>
      <c r="AW6" s="15"/>
      <c r="AX6" s="15"/>
      <c r="AY6" s="251" t="s">
        <v>26</v>
      </c>
      <c r="AZ6" s="251" t="s">
        <v>27</v>
      </c>
      <c r="BA6" s="252"/>
      <c r="BB6" s="16"/>
      <c r="BC6" s="17"/>
    </row>
    <row r="7" spans="1:55" ht="14.25" customHeight="1">
      <c r="A7" s="239"/>
      <c r="B7" s="239"/>
      <c r="C7" s="239"/>
      <c r="D7" s="18"/>
      <c r="E7" s="239"/>
      <c r="F7" s="239"/>
      <c r="G7" s="239"/>
      <c r="H7" s="239"/>
      <c r="I7" s="239"/>
      <c r="J7" s="239"/>
      <c r="K7" s="248"/>
      <c r="L7" s="249"/>
      <c r="M7" s="239"/>
      <c r="N7" s="239"/>
      <c r="O7" s="239"/>
      <c r="P7" s="239"/>
      <c r="Q7" s="239"/>
      <c r="R7" s="239"/>
      <c r="S7" s="239"/>
      <c r="T7" s="19" t="s">
        <v>28</v>
      </c>
      <c r="U7" s="20" t="s">
        <v>29</v>
      </c>
      <c r="V7" s="20"/>
      <c r="W7" s="19" t="s">
        <v>28</v>
      </c>
      <c r="X7" s="259" t="s">
        <v>29</v>
      </c>
      <c r="Y7" s="255"/>
      <c r="Z7" s="21" t="s">
        <v>28</v>
      </c>
      <c r="AA7" s="22" t="s">
        <v>29</v>
      </c>
      <c r="AB7" s="22"/>
      <c r="AC7" s="21" t="s">
        <v>28</v>
      </c>
      <c r="AD7" s="256" t="s">
        <v>29</v>
      </c>
      <c r="AE7" s="255"/>
      <c r="AF7" s="23"/>
      <c r="AG7" s="23" t="s">
        <v>29</v>
      </c>
      <c r="AH7" s="23"/>
      <c r="AI7" s="24" t="s">
        <v>28</v>
      </c>
      <c r="AJ7" s="23" t="s">
        <v>29</v>
      </c>
      <c r="AK7" s="23"/>
      <c r="AL7" s="25"/>
      <c r="AM7" s="265" t="s">
        <v>29</v>
      </c>
      <c r="AN7" s="255"/>
      <c r="AO7" s="239"/>
      <c r="AP7" s="260" t="s">
        <v>30</v>
      </c>
      <c r="AQ7" s="260" t="s">
        <v>27</v>
      </c>
      <c r="AR7" s="239"/>
      <c r="AS7" s="26" t="s">
        <v>31</v>
      </c>
      <c r="AT7" s="26" t="s">
        <v>32</v>
      </c>
      <c r="AU7" s="260" t="s">
        <v>33</v>
      </c>
      <c r="AV7" s="260" t="s">
        <v>34</v>
      </c>
      <c r="AW7" s="260" t="s">
        <v>35</v>
      </c>
      <c r="AX7" s="260" t="s">
        <v>36</v>
      </c>
      <c r="AY7" s="239"/>
      <c r="AZ7" s="239"/>
      <c r="BA7" s="239"/>
      <c r="BB7" s="27"/>
      <c r="BC7" s="17"/>
    </row>
    <row r="8" spans="1:55">
      <c r="A8" s="240"/>
      <c r="B8" s="240"/>
      <c r="C8" s="240"/>
      <c r="D8" s="28"/>
      <c r="E8" s="240"/>
      <c r="F8" s="240"/>
      <c r="G8" s="240"/>
      <c r="H8" s="240"/>
      <c r="I8" s="240"/>
      <c r="J8" s="240"/>
      <c r="K8" s="29" t="s">
        <v>37</v>
      </c>
      <c r="L8" s="29" t="s">
        <v>38</v>
      </c>
      <c r="M8" s="240"/>
      <c r="N8" s="240"/>
      <c r="O8" s="240"/>
      <c r="P8" s="240"/>
      <c r="Q8" s="240"/>
      <c r="R8" s="240"/>
      <c r="S8" s="240"/>
      <c r="T8" s="30" t="s">
        <v>39</v>
      </c>
      <c r="U8" s="30" t="s">
        <v>40</v>
      </c>
      <c r="V8" s="30" t="s">
        <v>41</v>
      </c>
      <c r="W8" s="31" t="s">
        <v>39</v>
      </c>
      <c r="X8" s="31" t="s">
        <v>40</v>
      </c>
      <c r="Y8" s="31" t="s">
        <v>41</v>
      </c>
      <c r="Z8" s="32" t="s">
        <v>39</v>
      </c>
      <c r="AA8" s="32" t="s">
        <v>40</v>
      </c>
      <c r="AB8" s="32" t="s">
        <v>41</v>
      </c>
      <c r="AC8" s="33" t="s">
        <v>39</v>
      </c>
      <c r="AD8" s="33" t="s">
        <v>40</v>
      </c>
      <c r="AE8" s="33" t="s">
        <v>41</v>
      </c>
      <c r="AF8" s="34" t="s">
        <v>39</v>
      </c>
      <c r="AG8" s="34" t="s">
        <v>40</v>
      </c>
      <c r="AH8" s="34" t="s">
        <v>41</v>
      </c>
      <c r="AI8" s="34" t="s">
        <v>39</v>
      </c>
      <c r="AJ8" s="34" t="s">
        <v>40</v>
      </c>
      <c r="AK8" s="34" t="s">
        <v>41</v>
      </c>
      <c r="AL8" s="35" t="s">
        <v>39</v>
      </c>
      <c r="AM8" s="35" t="s">
        <v>40</v>
      </c>
      <c r="AN8" s="35" t="s">
        <v>41</v>
      </c>
      <c r="AO8" s="240"/>
      <c r="AP8" s="240"/>
      <c r="AQ8" s="240"/>
      <c r="AR8" s="240"/>
      <c r="AS8" s="36">
        <v>0.02</v>
      </c>
      <c r="AT8" s="36">
        <v>0.1</v>
      </c>
      <c r="AU8" s="240"/>
      <c r="AV8" s="240"/>
      <c r="AW8" s="240"/>
      <c r="AX8" s="240"/>
      <c r="AY8" s="240"/>
      <c r="AZ8" s="240"/>
      <c r="BA8" s="240"/>
      <c r="BB8" s="37"/>
      <c r="BC8" s="17"/>
    </row>
    <row r="9" spans="1:55" ht="18" customHeight="1">
      <c r="A9" s="38" t="s">
        <v>42</v>
      </c>
      <c r="B9" s="39">
        <v>2</v>
      </c>
      <c r="C9" s="39">
        <v>3</v>
      </c>
      <c r="D9" s="38" t="s">
        <v>43</v>
      </c>
      <c r="E9" s="40">
        <v>5</v>
      </c>
      <c r="F9" s="41">
        <v>6</v>
      </c>
      <c r="G9" s="41">
        <v>7</v>
      </c>
      <c r="H9" s="38" t="s">
        <v>44</v>
      </c>
      <c r="I9" s="41"/>
      <c r="J9" s="41"/>
      <c r="K9" s="41"/>
      <c r="L9" s="41" t="s">
        <v>45</v>
      </c>
      <c r="M9" s="41" t="s">
        <v>46</v>
      </c>
      <c r="N9" s="41" t="s">
        <v>47</v>
      </c>
      <c r="O9" s="41" t="s">
        <v>48</v>
      </c>
      <c r="P9" s="41" t="s">
        <v>49</v>
      </c>
      <c r="Q9" s="41" t="s">
        <v>50</v>
      </c>
      <c r="R9" s="41" t="s">
        <v>51</v>
      </c>
      <c r="S9" s="41" t="s">
        <v>52</v>
      </c>
      <c r="T9" s="41" t="s">
        <v>53</v>
      </c>
      <c r="U9" s="41" t="s">
        <v>54</v>
      </c>
      <c r="V9" s="41" t="s">
        <v>55</v>
      </c>
      <c r="W9" s="41" t="s">
        <v>56</v>
      </c>
      <c r="X9" s="41" t="s">
        <v>57</v>
      </c>
      <c r="Y9" s="41" t="s">
        <v>58</v>
      </c>
      <c r="Z9" s="41" t="s">
        <v>59</v>
      </c>
      <c r="AA9" s="41" t="s">
        <v>60</v>
      </c>
      <c r="AB9" s="41" t="s">
        <v>61</v>
      </c>
      <c r="AC9" s="41" t="s">
        <v>62</v>
      </c>
      <c r="AD9" s="41" t="s">
        <v>63</v>
      </c>
      <c r="AE9" s="41" t="s">
        <v>64</v>
      </c>
      <c r="AF9" s="41" t="s">
        <v>59</v>
      </c>
      <c r="AG9" s="41" t="s">
        <v>60</v>
      </c>
      <c r="AH9" s="41" t="s">
        <v>61</v>
      </c>
      <c r="AI9" s="41"/>
      <c r="AJ9" s="41" t="s">
        <v>63</v>
      </c>
      <c r="AK9" s="41" t="s">
        <v>64</v>
      </c>
      <c r="AL9" s="41"/>
      <c r="AM9" s="41" t="s">
        <v>65</v>
      </c>
      <c r="AN9" s="41" t="s">
        <v>66</v>
      </c>
      <c r="AO9" s="41" t="s">
        <v>67</v>
      </c>
      <c r="AP9" s="41" t="s">
        <v>68</v>
      </c>
      <c r="AQ9" s="41" t="s">
        <v>69</v>
      </c>
      <c r="AR9" s="41" t="s">
        <v>70</v>
      </c>
      <c r="AS9" s="41" t="s">
        <v>71</v>
      </c>
      <c r="AT9" s="41" t="s">
        <v>72</v>
      </c>
      <c r="AU9" s="41" t="s">
        <v>73</v>
      </c>
      <c r="AV9" s="41" t="s">
        <v>74</v>
      </c>
      <c r="AW9" s="41"/>
      <c r="AX9" s="41" t="s">
        <v>75</v>
      </c>
      <c r="AY9" s="41" t="s">
        <v>76</v>
      </c>
      <c r="AZ9" s="41">
        <v>43</v>
      </c>
      <c r="BA9" s="42"/>
      <c r="BB9" s="43"/>
      <c r="BC9" s="43"/>
    </row>
    <row r="10" spans="1:55">
      <c r="A10" s="44">
        <f t="shared" ref="A10:A75" si="0">IF(B10="","",COUNTA($B$10:B10))</f>
        <v>1</v>
      </c>
      <c r="B10" s="45" t="s">
        <v>77</v>
      </c>
      <c r="C10" s="46">
        <v>46036</v>
      </c>
      <c r="D10" s="47"/>
      <c r="E10" s="48" t="s">
        <v>78</v>
      </c>
      <c r="F10" s="44" t="s">
        <v>79</v>
      </c>
      <c r="G10" s="49" t="s">
        <v>80</v>
      </c>
      <c r="H10" s="50">
        <f>IF(AZ10="Payroll",VLOOKUP(E10,'CODE 2'!$R:$S,2,FALSE),"0")</f>
        <v>8</v>
      </c>
      <c r="I10" s="51" t="s">
        <v>81</v>
      </c>
      <c r="J10" s="51" t="s">
        <v>82</v>
      </c>
      <c r="K10" s="52"/>
      <c r="L10" s="53"/>
      <c r="M10" s="54">
        <f>IFERROR(VLOOKUP($H10,'CODE 2'!$J:$K,2,FALSE)," ")</f>
        <v>19744</v>
      </c>
      <c r="N10" s="55">
        <f t="shared" ref="N10:N75" si="1">IFERROR(ROUND((M10/2),2),"")</f>
        <v>9872</v>
      </c>
      <c r="O10" s="55">
        <f t="shared" ref="O10:O75" si="2">IFERROR((M10/22)," ")</f>
        <v>897.4545454545455</v>
      </c>
      <c r="P10" s="55">
        <f t="shared" ref="P10:P75" si="3">IFERROR((O10/8),"")</f>
        <v>112.18181818181819</v>
      </c>
      <c r="Q10" s="55">
        <f t="shared" ref="Q10:Q75" si="4">IFERROR((P10/60),"")</f>
        <v>1.8696969696969699</v>
      </c>
      <c r="R10" s="56" t="str">
        <f>IF(AZ10="Payroll","11","")</f>
        <v>11</v>
      </c>
      <c r="S10" s="55">
        <f t="shared" ref="S10:S75" si="5">IFERROR(ROUND((O10*R10),2)," ")</f>
        <v>9872</v>
      </c>
      <c r="T10" s="57">
        <v>0</v>
      </c>
      <c r="U10" s="57">
        <v>0</v>
      </c>
      <c r="V10" s="57">
        <v>0</v>
      </c>
      <c r="W10" s="58">
        <f t="shared" ref="W10:W27" si="6">IFERROR(ROUND(($O10*$T10),2)," ")</f>
        <v>0</v>
      </c>
      <c r="X10" s="58">
        <f t="shared" ref="X10:X76" si="7">IFERROR(ROUND(($P10*$U10),2),"")</f>
        <v>0</v>
      </c>
      <c r="Y10" s="58">
        <f t="shared" ref="Y10:Y76" si="8">IFERROR(ROUND(($Q10*$V10),2),"")</f>
        <v>0</v>
      </c>
      <c r="Z10" s="59"/>
      <c r="AA10" s="59"/>
      <c r="AB10" s="59"/>
      <c r="AC10" s="60">
        <f t="shared" ref="AC10:AC75" si="9">IFERROR(ROUND(($O10*$Z10),2)," ")</f>
        <v>0</v>
      </c>
      <c r="AD10" s="60">
        <f t="shared" ref="AD10:AD75" si="10">IFERROR(ROUND(($P10*$AA10),2),"")</f>
        <v>0</v>
      </c>
      <c r="AE10" s="60">
        <f t="shared" ref="AE10:AE75" si="11">IFERROR(ROUND(($Q10*$AB10),2),"")</f>
        <v>0</v>
      </c>
      <c r="AF10" s="61"/>
      <c r="AG10" s="61"/>
      <c r="AH10" s="61"/>
      <c r="AI10" s="62">
        <f t="shared" ref="AI10:AI76" si="12">IFERROR(ROUND(($O10*$AF10),2)," ")</f>
        <v>0</v>
      </c>
      <c r="AJ10" s="62">
        <f t="shared" ref="AJ10:AJ76" si="13">IFERROR(ROUND(($P10*$AG10),2),"")</f>
        <v>0</v>
      </c>
      <c r="AK10" s="62">
        <f t="shared" ref="AK10:AK76" si="14">IFERROR(ROUND(($Q10*$AH10),2),"")</f>
        <v>0</v>
      </c>
      <c r="AL10" s="63">
        <f t="shared" ref="AL10:AL76" si="15">IFERROR(ROUND(($W10+$AC10+$AI10),2),"")</f>
        <v>0</v>
      </c>
      <c r="AM10" s="63">
        <f t="shared" ref="AM10:AM76" si="16">IFERROR(ROUND(($X10+$AD10+$AJ10),2),"")</f>
        <v>0</v>
      </c>
      <c r="AN10" s="63">
        <f t="shared" ref="AN10:AN76" si="17">IFERROR(ROUND(($Y10+$AE10+$AK10),2),"")</f>
        <v>0</v>
      </c>
      <c r="AO10" s="55">
        <f t="shared" ref="AO10:AO76" si="18">SUM(AL10:AN10)</f>
        <v>0</v>
      </c>
      <c r="AP10" s="64"/>
      <c r="AQ10" s="64"/>
      <c r="AR10" s="55">
        <f t="shared" ref="AR10:AR37" si="19">IFERROR(ROUND((S10-AO10-AP10),2),"")</f>
        <v>9872</v>
      </c>
      <c r="AS10" s="55"/>
      <c r="AT10" s="55"/>
      <c r="AU10" s="64"/>
      <c r="AV10" s="64"/>
      <c r="AW10" s="64"/>
      <c r="AX10" s="64"/>
      <c r="AY10" s="55">
        <f t="shared" ref="AY10:AY75" si="20">IFERROR(ROUND((AR10-AS10-AT10-AU10-AV10-AW10-AX10),2),"")</f>
        <v>9872</v>
      </c>
      <c r="AZ10" s="55" t="s">
        <v>83</v>
      </c>
      <c r="BA10" s="55" t="s">
        <v>133</v>
      </c>
      <c r="BB10" s="65"/>
      <c r="BC10" s="65"/>
    </row>
    <row r="11" spans="1:55">
      <c r="A11" s="44">
        <f t="shared" si="0"/>
        <v>2</v>
      </c>
      <c r="B11" s="45" t="s">
        <v>84</v>
      </c>
      <c r="C11" s="46">
        <v>46036</v>
      </c>
      <c r="D11" s="47"/>
      <c r="E11" s="48" t="s">
        <v>85</v>
      </c>
      <c r="F11" s="44" t="s">
        <v>79</v>
      </c>
      <c r="G11" s="49" t="s">
        <v>86</v>
      </c>
      <c r="H11" s="50">
        <f>IF(AZ11="Payroll",VLOOKUP(E11,'CODE 2'!$R:$S,2,FALSE),"0")</f>
        <v>11</v>
      </c>
      <c r="I11" s="51" t="s">
        <v>81</v>
      </c>
      <c r="J11" s="51" t="s">
        <v>82</v>
      </c>
      <c r="K11" s="66"/>
      <c r="L11" s="67"/>
      <c r="M11" s="54">
        <f>IFERROR(VLOOKUP($H11,'CODE 2'!$J:$K,2,FALSE)," ")</f>
        <v>27000</v>
      </c>
      <c r="N11" s="55">
        <f t="shared" si="1"/>
        <v>13500</v>
      </c>
      <c r="O11" s="55">
        <f t="shared" si="2"/>
        <v>1227.2727272727273</v>
      </c>
      <c r="P11" s="55">
        <f t="shared" si="3"/>
        <v>153.40909090909091</v>
      </c>
      <c r="Q11" s="55">
        <f t="shared" si="4"/>
        <v>2.5568181818181817</v>
      </c>
      <c r="R11" s="56">
        <v>11</v>
      </c>
      <c r="S11" s="55">
        <f t="shared" si="5"/>
        <v>13500</v>
      </c>
      <c r="T11" s="57">
        <v>0</v>
      </c>
      <c r="U11" s="57">
        <v>0</v>
      </c>
      <c r="V11" s="57">
        <v>0</v>
      </c>
      <c r="W11" s="58">
        <f t="shared" si="6"/>
        <v>0</v>
      </c>
      <c r="X11" s="58">
        <f t="shared" si="7"/>
        <v>0</v>
      </c>
      <c r="Y11" s="58">
        <f t="shared" si="8"/>
        <v>0</v>
      </c>
      <c r="Z11" s="59"/>
      <c r="AA11" s="59"/>
      <c r="AB11" s="59"/>
      <c r="AC11" s="60">
        <f t="shared" si="9"/>
        <v>0</v>
      </c>
      <c r="AD11" s="60">
        <f t="shared" si="10"/>
        <v>0</v>
      </c>
      <c r="AE11" s="60">
        <f t="shared" si="11"/>
        <v>0</v>
      </c>
      <c r="AF11" s="61"/>
      <c r="AG11" s="61"/>
      <c r="AH11" s="61"/>
      <c r="AI11" s="62">
        <f t="shared" si="12"/>
        <v>0</v>
      </c>
      <c r="AJ11" s="62">
        <f t="shared" si="13"/>
        <v>0</v>
      </c>
      <c r="AK11" s="62">
        <f t="shared" si="14"/>
        <v>0</v>
      </c>
      <c r="AL11" s="63">
        <f t="shared" si="15"/>
        <v>0</v>
      </c>
      <c r="AM11" s="63">
        <f t="shared" si="16"/>
        <v>0</v>
      </c>
      <c r="AN11" s="63">
        <f t="shared" si="17"/>
        <v>0</v>
      </c>
      <c r="AO11" s="55">
        <f t="shared" si="18"/>
        <v>0</v>
      </c>
      <c r="AP11" s="64"/>
      <c r="AQ11" s="64"/>
      <c r="AR11" s="55">
        <f t="shared" si="19"/>
        <v>13500</v>
      </c>
      <c r="AS11" s="55"/>
      <c r="AT11" s="55"/>
      <c r="AU11" s="64"/>
      <c r="AV11" s="64"/>
      <c r="AW11" s="64"/>
      <c r="AX11" s="64"/>
      <c r="AY11" s="55">
        <f t="shared" si="20"/>
        <v>13500</v>
      </c>
      <c r="AZ11" s="55" t="s">
        <v>83</v>
      </c>
      <c r="BA11" s="55" t="s">
        <v>87</v>
      </c>
      <c r="BB11" s="65"/>
      <c r="BC11" s="65"/>
    </row>
    <row r="12" spans="1:55">
      <c r="A12" s="44">
        <f t="shared" si="0"/>
        <v>3</v>
      </c>
      <c r="B12" s="45" t="s">
        <v>88</v>
      </c>
      <c r="C12" s="46">
        <v>46036</v>
      </c>
      <c r="D12" s="47"/>
      <c r="E12" s="48" t="s">
        <v>89</v>
      </c>
      <c r="F12" s="44" t="s">
        <v>79</v>
      </c>
      <c r="G12" s="49" t="s">
        <v>90</v>
      </c>
      <c r="H12" s="50">
        <v>15</v>
      </c>
      <c r="I12" s="51" t="s">
        <v>81</v>
      </c>
      <c r="J12" s="51" t="s">
        <v>82</v>
      </c>
      <c r="K12" s="66"/>
      <c r="L12" s="67"/>
      <c r="M12" s="54">
        <f>IFERROR(VLOOKUP($H12,'CODE 2'!$J:$K,2,FALSE)," ")</f>
        <v>36619</v>
      </c>
      <c r="N12" s="55">
        <f t="shared" si="1"/>
        <v>18309.5</v>
      </c>
      <c r="O12" s="55">
        <f t="shared" si="2"/>
        <v>1664.5</v>
      </c>
      <c r="P12" s="55">
        <f t="shared" si="3"/>
        <v>208.0625</v>
      </c>
      <c r="Q12" s="55">
        <f t="shared" si="4"/>
        <v>3.4677083333333334</v>
      </c>
      <c r="R12" s="56">
        <v>11</v>
      </c>
      <c r="S12" s="55">
        <f t="shared" si="5"/>
        <v>18309.5</v>
      </c>
      <c r="T12" s="57">
        <v>0</v>
      </c>
      <c r="U12" s="57">
        <v>0</v>
      </c>
      <c r="V12" s="57">
        <v>0</v>
      </c>
      <c r="W12" s="58">
        <f t="shared" si="6"/>
        <v>0</v>
      </c>
      <c r="X12" s="58">
        <f t="shared" si="7"/>
        <v>0</v>
      </c>
      <c r="Y12" s="58">
        <f t="shared" si="8"/>
        <v>0</v>
      </c>
      <c r="Z12" s="59"/>
      <c r="AA12" s="59"/>
      <c r="AB12" s="59"/>
      <c r="AC12" s="60">
        <f t="shared" si="9"/>
        <v>0</v>
      </c>
      <c r="AD12" s="60">
        <f t="shared" si="10"/>
        <v>0</v>
      </c>
      <c r="AE12" s="60">
        <f t="shared" si="11"/>
        <v>0</v>
      </c>
      <c r="AF12" s="61"/>
      <c r="AG12" s="61"/>
      <c r="AH12" s="61"/>
      <c r="AI12" s="62">
        <f t="shared" si="12"/>
        <v>0</v>
      </c>
      <c r="AJ12" s="62">
        <f t="shared" si="13"/>
        <v>0</v>
      </c>
      <c r="AK12" s="62">
        <f t="shared" si="14"/>
        <v>0</v>
      </c>
      <c r="AL12" s="63">
        <f t="shared" si="15"/>
        <v>0</v>
      </c>
      <c r="AM12" s="63">
        <f t="shared" si="16"/>
        <v>0</v>
      </c>
      <c r="AN12" s="63">
        <f t="shared" si="17"/>
        <v>0</v>
      </c>
      <c r="AO12" s="55">
        <f t="shared" si="18"/>
        <v>0</v>
      </c>
      <c r="AP12" s="64"/>
      <c r="AQ12" s="64"/>
      <c r="AR12" s="55">
        <f t="shared" si="19"/>
        <v>18309.5</v>
      </c>
      <c r="AS12" s="55"/>
      <c r="AT12" s="55"/>
      <c r="AU12" s="64"/>
      <c r="AV12" s="64"/>
      <c r="AW12" s="64"/>
      <c r="AX12" s="64"/>
      <c r="AY12" s="55">
        <f t="shared" si="20"/>
        <v>18309.5</v>
      </c>
      <c r="AZ12" s="55" t="s">
        <v>83</v>
      </c>
      <c r="BA12" s="55" t="s">
        <v>91</v>
      </c>
      <c r="BB12" s="65"/>
      <c r="BC12" s="65"/>
    </row>
    <row r="13" spans="1:55">
      <c r="A13" s="44">
        <f t="shared" si="0"/>
        <v>4</v>
      </c>
      <c r="B13" s="45" t="s">
        <v>92</v>
      </c>
      <c r="C13" s="46">
        <v>46035</v>
      </c>
      <c r="D13" s="47"/>
      <c r="E13" s="68" t="s">
        <v>93</v>
      </c>
      <c r="F13" s="69" t="s">
        <v>79</v>
      </c>
      <c r="G13" s="70" t="s">
        <v>86</v>
      </c>
      <c r="H13" s="71" t="str">
        <f>IF(AZ13="Payroll",VLOOKUP(E13,'CODE 2'!$R:$S,2,FALSE),"0")</f>
        <v>0</v>
      </c>
      <c r="I13" s="72" t="s">
        <v>94</v>
      </c>
      <c r="J13" s="72" t="s">
        <v>82</v>
      </c>
      <c r="K13" s="73"/>
      <c r="L13" s="74"/>
      <c r="M13" s="75" t="str">
        <f>IFERROR(VLOOKUP($H13,'CODE 2'!$J:$K,2,FALSE)," ")</f>
        <v xml:space="preserve"> </v>
      </c>
      <c r="N13" s="76" t="str">
        <f t="shared" si="1"/>
        <v/>
      </c>
      <c r="O13" s="76" t="str">
        <f t="shared" si="2"/>
        <v xml:space="preserve"> </v>
      </c>
      <c r="P13" s="76" t="str">
        <f t="shared" si="3"/>
        <v/>
      </c>
      <c r="Q13" s="76" t="str">
        <f t="shared" si="4"/>
        <v/>
      </c>
      <c r="R13" s="77">
        <v>11</v>
      </c>
      <c r="S13" s="76" t="str">
        <f t="shared" si="5"/>
        <v xml:space="preserve"> </v>
      </c>
      <c r="T13" s="57">
        <v>0</v>
      </c>
      <c r="U13" s="57">
        <v>0</v>
      </c>
      <c r="V13" s="57">
        <v>0</v>
      </c>
      <c r="W13" s="58" t="str">
        <f t="shared" si="6"/>
        <v xml:space="preserve"> </v>
      </c>
      <c r="X13" s="58" t="str">
        <f t="shared" si="7"/>
        <v/>
      </c>
      <c r="Y13" s="58" t="str">
        <f t="shared" si="8"/>
        <v/>
      </c>
      <c r="Z13" s="59"/>
      <c r="AA13" s="59"/>
      <c r="AB13" s="59"/>
      <c r="AC13" s="60" t="str">
        <f t="shared" si="9"/>
        <v xml:space="preserve"> </v>
      </c>
      <c r="AD13" s="60" t="str">
        <f t="shared" si="10"/>
        <v/>
      </c>
      <c r="AE13" s="60" t="str">
        <f t="shared" si="11"/>
        <v/>
      </c>
      <c r="AF13" s="61"/>
      <c r="AG13" s="61"/>
      <c r="AH13" s="61"/>
      <c r="AI13" s="62" t="str">
        <f t="shared" si="12"/>
        <v xml:space="preserve"> </v>
      </c>
      <c r="AJ13" s="62" t="str">
        <f t="shared" si="13"/>
        <v/>
      </c>
      <c r="AK13" s="62" t="str">
        <f t="shared" si="14"/>
        <v/>
      </c>
      <c r="AL13" s="63" t="str">
        <f t="shared" si="15"/>
        <v/>
      </c>
      <c r="AM13" s="63" t="str">
        <f t="shared" si="16"/>
        <v/>
      </c>
      <c r="AN13" s="63" t="str">
        <f t="shared" si="17"/>
        <v/>
      </c>
      <c r="AO13" s="55">
        <f t="shared" si="18"/>
        <v>0</v>
      </c>
      <c r="AP13" s="64"/>
      <c r="AQ13" s="64"/>
      <c r="AR13" s="55" t="str">
        <f t="shared" si="19"/>
        <v/>
      </c>
      <c r="AS13" s="55"/>
      <c r="AT13" s="55"/>
      <c r="AU13" s="64"/>
      <c r="AV13" s="64"/>
      <c r="AW13" s="64"/>
      <c r="AX13" s="64"/>
      <c r="AY13" s="55" t="str">
        <f t="shared" si="20"/>
        <v/>
      </c>
      <c r="AZ13" s="55" t="s">
        <v>95</v>
      </c>
      <c r="BA13" s="55" t="s">
        <v>96</v>
      </c>
      <c r="BB13" s="65"/>
      <c r="BC13" s="65"/>
    </row>
    <row r="14" spans="1:55">
      <c r="A14" s="44">
        <f t="shared" si="0"/>
        <v>5</v>
      </c>
      <c r="B14" s="45" t="s">
        <v>97</v>
      </c>
      <c r="C14" s="46">
        <v>46036</v>
      </c>
      <c r="D14" s="47"/>
      <c r="E14" s="48" t="s">
        <v>98</v>
      </c>
      <c r="F14" s="44" t="s">
        <v>99</v>
      </c>
      <c r="G14" s="49" t="s">
        <v>80</v>
      </c>
      <c r="H14" s="50">
        <f>IF(AZ14="Payroll",VLOOKUP(E14,'CODE 2'!$R:$S,2,FALSE),"0")</f>
        <v>8</v>
      </c>
      <c r="I14" s="51" t="s">
        <v>81</v>
      </c>
      <c r="J14" s="51" t="s">
        <v>82</v>
      </c>
      <c r="K14" s="66"/>
      <c r="L14" s="67"/>
      <c r="M14" s="54">
        <f>IFERROR(VLOOKUP($H14,'CODE 2'!$J:$K,2,FALSE)," ")</f>
        <v>19744</v>
      </c>
      <c r="N14" s="55">
        <f t="shared" si="1"/>
        <v>9872</v>
      </c>
      <c r="O14" s="55">
        <f t="shared" si="2"/>
        <v>897.4545454545455</v>
      </c>
      <c r="P14" s="55">
        <f t="shared" si="3"/>
        <v>112.18181818181819</v>
      </c>
      <c r="Q14" s="55">
        <f t="shared" si="4"/>
        <v>1.8696969696969699</v>
      </c>
      <c r="R14" s="56" t="str">
        <f t="shared" ref="R14:R30" si="21">IF(AZ14="Payroll","11","")</f>
        <v>11</v>
      </c>
      <c r="S14" s="55">
        <f t="shared" si="5"/>
        <v>9872</v>
      </c>
      <c r="T14" s="57">
        <v>0</v>
      </c>
      <c r="U14" s="57">
        <v>0</v>
      </c>
      <c r="V14" s="57">
        <v>0</v>
      </c>
      <c r="W14" s="58">
        <f t="shared" si="6"/>
        <v>0</v>
      </c>
      <c r="X14" s="58">
        <f t="shared" si="7"/>
        <v>0</v>
      </c>
      <c r="Y14" s="58">
        <f t="shared" si="8"/>
        <v>0</v>
      </c>
      <c r="Z14" s="59"/>
      <c r="AA14" s="59"/>
      <c r="AB14" s="59"/>
      <c r="AC14" s="60">
        <f t="shared" si="9"/>
        <v>0</v>
      </c>
      <c r="AD14" s="60">
        <f t="shared" si="10"/>
        <v>0</v>
      </c>
      <c r="AE14" s="60">
        <f t="shared" si="11"/>
        <v>0</v>
      </c>
      <c r="AF14" s="61"/>
      <c r="AG14" s="61"/>
      <c r="AH14" s="61"/>
      <c r="AI14" s="62">
        <f t="shared" si="12"/>
        <v>0</v>
      </c>
      <c r="AJ14" s="62">
        <f t="shared" si="13"/>
        <v>0</v>
      </c>
      <c r="AK14" s="62">
        <f t="shared" si="14"/>
        <v>0</v>
      </c>
      <c r="AL14" s="63">
        <f t="shared" si="15"/>
        <v>0</v>
      </c>
      <c r="AM14" s="63">
        <f t="shared" si="16"/>
        <v>0</v>
      </c>
      <c r="AN14" s="63">
        <f t="shared" si="17"/>
        <v>0</v>
      </c>
      <c r="AO14" s="55">
        <f t="shared" si="18"/>
        <v>0</v>
      </c>
      <c r="AP14" s="64"/>
      <c r="AQ14" s="64"/>
      <c r="AR14" s="55">
        <f t="shared" si="19"/>
        <v>9872</v>
      </c>
      <c r="AS14" s="78"/>
      <c r="AT14" s="55"/>
      <c r="AU14" s="64">
        <v>2000</v>
      </c>
      <c r="AV14" s="64">
        <v>395.48</v>
      </c>
      <c r="AW14" s="64"/>
      <c r="AX14" s="64"/>
      <c r="AY14" s="55">
        <f t="shared" si="20"/>
        <v>7476.52</v>
      </c>
      <c r="AZ14" s="55" t="s">
        <v>83</v>
      </c>
      <c r="BA14" s="55" t="s">
        <v>100</v>
      </c>
      <c r="BB14" s="65"/>
      <c r="BC14" s="65"/>
    </row>
    <row r="15" spans="1:55">
      <c r="A15" s="44">
        <f t="shared" si="0"/>
        <v>6</v>
      </c>
      <c r="B15" s="45" t="s">
        <v>101</v>
      </c>
      <c r="C15" s="79">
        <v>46035</v>
      </c>
      <c r="D15" s="47"/>
      <c r="E15" s="68" t="s">
        <v>102</v>
      </c>
      <c r="F15" s="69" t="s">
        <v>99</v>
      </c>
      <c r="G15" s="70" t="s">
        <v>103</v>
      </c>
      <c r="H15" s="71" t="str">
        <f>IF(AZ15="Payroll",VLOOKUP(E15,'CODE 2'!$R:$S,2,FALSE),"0")</f>
        <v>0</v>
      </c>
      <c r="I15" s="72" t="s">
        <v>94</v>
      </c>
      <c r="J15" s="72" t="s">
        <v>82</v>
      </c>
      <c r="K15" s="73"/>
      <c r="L15" s="74"/>
      <c r="M15" s="75" t="str">
        <f>IFERROR(VLOOKUP($H15,'CODE 2'!$J:$K,2,FALSE)," ")</f>
        <v xml:space="preserve"> </v>
      </c>
      <c r="N15" s="76" t="str">
        <f t="shared" si="1"/>
        <v/>
      </c>
      <c r="O15" s="76" t="str">
        <f t="shared" si="2"/>
        <v xml:space="preserve"> </v>
      </c>
      <c r="P15" s="76" t="str">
        <f t="shared" si="3"/>
        <v/>
      </c>
      <c r="Q15" s="76" t="str">
        <f t="shared" si="4"/>
        <v/>
      </c>
      <c r="R15" s="77" t="str">
        <f t="shared" si="21"/>
        <v/>
      </c>
      <c r="S15" s="76" t="str">
        <f t="shared" si="5"/>
        <v xml:space="preserve"> </v>
      </c>
      <c r="T15" s="57">
        <v>0</v>
      </c>
      <c r="U15" s="57">
        <v>0</v>
      </c>
      <c r="V15" s="57">
        <v>0</v>
      </c>
      <c r="W15" s="58" t="str">
        <f t="shared" si="6"/>
        <v xml:space="preserve"> </v>
      </c>
      <c r="X15" s="58" t="str">
        <f t="shared" si="7"/>
        <v/>
      </c>
      <c r="Y15" s="58" t="str">
        <f t="shared" si="8"/>
        <v/>
      </c>
      <c r="Z15" s="59"/>
      <c r="AA15" s="59"/>
      <c r="AB15" s="59"/>
      <c r="AC15" s="60" t="str">
        <f t="shared" si="9"/>
        <v xml:space="preserve"> </v>
      </c>
      <c r="AD15" s="60" t="str">
        <f t="shared" si="10"/>
        <v/>
      </c>
      <c r="AE15" s="60" t="str">
        <f t="shared" si="11"/>
        <v/>
      </c>
      <c r="AF15" s="61"/>
      <c r="AG15" s="61"/>
      <c r="AH15" s="61"/>
      <c r="AI15" s="62" t="str">
        <f t="shared" si="12"/>
        <v xml:space="preserve"> </v>
      </c>
      <c r="AJ15" s="62" t="str">
        <f t="shared" si="13"/>
        <v/>
      </c>
      <c r="AK15" s="62" t="str">
        <f t="shared" si="14"/>
        <v/>
      </c>
      <c r="AL15" s="63" t="str">
        <f t="shared" si="15"/>
        <v/>
      </c>
      <c r="AM15" s="63" t="str">
        <f t="shared" si="16"/>
        <v/>
      </c>
      <c r="AN15" s="63" t="str">
        <f t="shared" si="17"/>
        <v/>
      </c>
      <c r="AO15" s="55">
        <f t="shared" si="18"/>
        <v>0</v>
      </c>
      <c r="AP15" s="64"/>
      <c r="AQ15" s="64"/>
      <c r="AR15" s="55" t="str">
        <f t="shared" si="19"/>
        <v/>
      </c>
      <c r="AS15" s="55"/>
      <c r="AT15" s="55"/>
      <c r="AU15" s="64"/>
      <c r="AV15" s="64"/>
      <c r="AW15" s="64"/>
      <c r="AX15" s="64"/>
      <c r="AY15" s="55" t="str">
        <f t="shared" si="20"/>
        <v/>
      </c>
      <c r="AZ15" s="55" t="s">
        <v>95</v>
      </c>
      <c r="BA15" s="55" t="s">
        <v>104</v>
      </c>
      <c r="BB15" s="65"/>
      <c r="BC15" s="65"/>
    </row>
    <row r="16" spans="1:55">
      <c r="A16" s="44">
        <f t="shared" si="0"/>
        <v>7</v>
      </c>
      <c r="B16" s="45" t="s">
        <v>105</v>
      </c>
      <c r="C16" s="46">
        <v>46036</v>
      </c>
      <c r="D16" s="47"/>
      <c r="E16" s="48" t="s">
        <v>106</v>
      </c>
      <c r="F16" s="44" t="s">
        <v>99</v>
      </c>
      <c r="G16" s="49" t="s">
        <v>107</v>
      </c>
      <c r="H16" s="50">
        <f>IF(AZ16="Payroll",VLOOKUP(E16,'CODE 2'!$R:$S,2,FALSE),"0")</f>
        <v>11</v>
      </c>
      <c r="I16" s="51" t="s">
        <v>81</v>
      </c>
      <c r="J16" s="51" t="s">
        <v>82</v>
      </c>
      <c r="K16" s="66"/>
      <c r="L16" s="67"/>
      <c r="M16" s="54">
        <f>IFERROR(VLOOKUP($H16,'CODE 2'!$J:$K,2,FALSE)," ")</f>
        <v>27000</v>
      </c>
      <c r="N16" s="55">
        <f t="shared" si="1"/>
        <v>13500</v>
      </c>
      <c r="O16" s="55">
        <f t="shared" si="2"/>
        <v>1227.2727272727273</v>
      </c>
      <c r="P16" s="55">
        <f t="shared" si="3"/>
        <v>153.40909090909091</v>
      </c>
      <c r="Q16" s="55">
        <f t="shared" si="4"/>
        <v>2.5568181818181817</v>
      </c>
      <c r="R16" s="56" t="str">
        <f t="shared" si="21"/>
        <v>11</v>
      </c>
      <c r="S16" s="55">
        <f t="shared" si="5"/>
        <v>13500</v>
      </c>
      <c r="T16" s="57">
        <v>0</v>
      </c>
      <c r="U16" s="57">
        <v>0</v>
      </c>
      <c r="V16" s="57">
        <v>4</v>
      </c>
      <c r="W16" s="58">
        <f t="shared" si="6"/>
        <v>0</v>
      </c>
      <c r="X16" s="58">
        <f t="shared" si="7"/>
        <v>0</v>
      </c>
      <c r="Y16" s="58">
        <f t="shared" si="8"/>
        <v>10.23</v>
      </c>
      <c r="Z16" s="59"/>
      <c r="AA16" s="59"/>
      <c r="AB16" s="59"/>
      <c r="AC16" s="60">
        <f t="shared" si="9"/>
        <v>0</v>
      </c>
      <c r="AD16" s="60">
        <f t="shared" si="10"/>
        <v>0</v>
      </c>
      <c r="AE16" s="60">
        <f t="shared" si="11"/>
        <v>0</v>
      </c>
      <c r="AF16" s="61"/>
      <c r="AG16" s="61"/>
      <c r="AH16" s="61"/>
      <c r="AI16" s="62">
        <f t="shared" si="12"/>
        <v>0</v>
      </c>
      <c r="AJ16" s="62">
        <f t="shared" si="13"/>
        <v>0</v>
      </c>
      <c r="AK16" s="62">
        <f t="shared" si="14"/>
        <v>0</v>
      </c>
      <c r="AL16" s="63">
        <f t="shared" si="15"/>
        <v>0</v>
      </c>
      <c r="AM16" s="63">
        <f t="shared" si="16"/>
        <v>0</v>
      </c>
      <c r="AN16" s="63">
        <f t="shared" si="17"/>
        <v>10.23</v>
      </c>
      <c r="AO16" s="55">
        <f t="shared" si="18"/>
        <v>10.23</v>
      </c>
      <c r="AP16" s="64"/>
      <c r="AQ16" s="64"/>
      <c r="AR16" s="55">
        <f t="shared" si="19"/>
        <v>13489.77</v>
      </c>
      <c r="AS16" s="55"/>
      <c r="AT16" s="55"/>
      <c r="AU16" s="64"/>
      <c r="AV16" s="64"/>
      <c r="AW16" s="64"/>
      <c r="AX16" s="64"/>
      <c r="AY16" s="55">
        <f t="shared" si="20"/>
        <v>13489.77</v>
      </c>
      <c r="AZ16" s="55" t="s">
        <v>83</v>
      </c>
      <c r="BA16" s="55" t="s">
        <v>78</v>
      </c>
      <c r="BB16" s="65"/>
      <c r="BC16" s="65"/>
    </row>
    <row r="17" spans="1:55">
      <c r="A17" s="44">
        <f t="shared" si="0"/>
        <v>8</v>
      </c>
      <c r="B17" s="45" t="s">
        <v>108</v>
      </c>
      <c r="C17" s="46">
        <v>46036</v>
      </c>
      <c r="D17" s="47"/>
      <c r="E17" s="48" t="s">
        <v>109</v>
      </c>
      <c r="F17" s="44" t="s">
        <v>99</v>
      </c>
      <c r="G17" s="49" t="s">
        <v>110</v>
      </c>
      <c r="H17" s="50">
        <f>IF(AZ17="Payroll",VLOOKUP(E17,'CODE 2'!$R:$S,2,FALSE),"0")</f>
        <v>11</v>
      </c>
      <c r="I17" s="51" t="s">
        <v>81</v>
      </c>
      <c r="J17" s="51" t="s">
        <v>82</v>
      </c>
      <c r="K17" s="66"/>
      <c r="L17" s="67"/>
      <c r="M17" s="54">
        <f>IFERROR(VLOOKUP($H17,'CODE 2'!$J:$K,2,FALSE)," ")</f>
        <v>27000</v>
      </c>
      <c r="N17" s="55">
        <f t="shared" si="1"/>
        <v>13500</v>
      </c>
      <c r="O17" s="55">
        <f t="shared" si="2"/>
        <v>1227.2727272727273</v>
      </c>
      <c r="P17" s="55">
        <f t="shared" si="3"/>
        <v>153.40909090909091</v>
      </c>
      <c r="Q17" s="55">
        <f t="shared" si="4"/>
        <v>2.5568181818181817</v>
      </c>
      <c r="R17" s="56" t="str">
        <f t="shared" si="21"/>
        <v>11</v>
      </c>
      <c r="S17" s="55">
        <f t="shared" si="5"/>
        <v>13500</v>
      </c>
      <c r="T17" s="57">
        <v>0</v>
      </c>
      <c r="U17" s="57">
        <v>0</v>
      </c>
      <c r="V17" s="57">
        <v>0</v>
      </c>
      <c r="W17" s="58">
        <f t="shared" si="6"/>
        <v>0</v>
      </c>
      <c r="X17" s="58">
        <f t="shared" si="7"/>
        <v>0</v>
      </c>
      <c r="Y17" s="58">
        <f t="shared" si="8"/>
        <v>0</v>
      </c>
      <c r="Z17" s="59"/>
      <c r="AA17" s="59"/>
      <c r="AB17" s="59"/>
      <c r="AC17" s="60">
        <f t="shared" si="9"/>
        <v>0</v>
      </c>
      <c r="AD17" s="60">
        <f t="shared" si="10"/>
        <v>0</v>
      </c>
      <c r="AE17" s="60">
        <f t="shared" si="11"/>
        <v>0</v>
      </c>
      <c r="AF17" s="61"/>
      <c r="AG17" s="61"/>
      <c r="AH17" s="61"/>
      <c r="AI17" s="62">
        <f t="shared" si="12"/>
        <v>0</v>
      </c>
      <c r="AJ17" s="62">
        <f t="shared" si="13"/>
        <v>0</v>
      </c>
      <c r="AK17" s="62">
        <f t="shared" si="14"/>
        <v>0</v>
      </c>
      <c r="AL17" s="63">
        <f t="shared" si="15"/>
        <v>0</v>
      </c>
      <c r="AM17" s="63">
        <f t="shared" si="16"/>
        <v>0</v>
      </c>
      <c r="AN17" s="63">
        <f t="shared" si="17"/>
        <v>0</v>
      </c>
      <c r="AO17" s="55">
        <f t="shared" si="18"/>
        <v>0</v>
      </c>
      <c r="AP17" s="64"/>
      <c r="AQ17" s="64"/>
      <c r="AR17" s="55">
        <f t="shared" si="19"/>
        <v>13500</v>
      </c>
      <c r="AS17" s="55"/>
      <c r="AT17" s="55"/>
      <c r="AU17" s="64"/>
      <c r="AV17" s="64"/>
      <c r="AW17" s="64"/>
      <c r="AX17" s="64"/>
      <c r="AY17" s="55">
        <f t="shared" si="20"/>
        <v>13500</v>
      </c>
      <c r="AZ17" s="55" t="s">
        <v>83</v>
      </c>
      <c r="BA17" s="55" t="s">
        <v>111</v>
      </c>
      <c r="BB17" s="65"/>
      <c r="BC17" s="65"/>
    </row>
    <row r="18" spans="1:55">
      <c r="A18" s="44">
        <f t="shared" si="0"/>
        <v>9</v>
      </c>
      <c r="B18" s="45" t="s">
        <v>112</v>
      </c>
      <c r="C18" s="79">
        <v>46036</v>
      </c>
      <c r="D18" s="47"/>
      <c r="E18" s="48" t="s">
        <v>113</v>
      </c>
      <c r="F18" s="44" t="s">
        <v>114</v>
      </c>
      <c r="G18" s="49" t="s">
        <v>115</v>
      </c>
      <c r="H18" s="50">
        <f>IF(AZ18="Payroll",VLOOKUP(E18,'CODE 2'!$R:$S,2,FALSE),"0")</f>
        <v>11</v>
      </c>
      <c r="I18" s="80" t="s">
        <v>116</v>
      </c>
      <c r="J18" s="51" t="s">
        <v>82</v>
      </c>
      <c r="K18" s="66"/>
      <c r="L18" s="67"/>
      <c r="M18" s="54">
        <f>IFERROR(VLOOKUP($H18,'CODE 2'!$J:$K,2,FALSE)," ")</f>
        <v>27000</v>
      </c>
      <c r="N18" s="55">
        <f t="shared" si="1"/>
        <v>13500</v>
      </c>
      <c r="O18" s="55">
        <f t="shared" si="2"/>
        <v>1227.2727272727273</v>
      </c>
      <c r="P18" s="55">
        <f t="shared" si="3"/>
        <v>153.40909090909091</v>
      </c>
      <c r="Q18" s="55">
        <f t="shared" si="4"/>
        <v>2.5568181818181817</v>
      </c>
      <c r="R18" s="56" t="str">
        <f t="shared" si="21"/>
        <v>11</v>
      </c>
      <c r="S18" s="55">
        <f t="shared" si="5"/>
        <v>13500</v>
      </c>
      <c r="T18" s="57">
        <v>1</v>
      </c>
      <c r="U18" s="57">
        <v>0</v>
      </c>
      <c r="V18" s="57">
        <v>0</v>
      </c>
      <c r="W18" s="58">
        <f t="shared" si="6"/>
        <v>1227.27</v>
      </c>
      <c r="X18" s="58">
        <f t="shared" si="7"/>
        <v>0</v>
      </c>
      <c r="Y18" s="58">
        <f t="shared" si="8"/>
        <v>0</v>
      </c>
      <c r="Z18" s="59"/>
      <c r="AA18" s="59"/>
      <c r="AB18" s="59"/>
      <c r="AC18" s="60">
        <f t="shared" si="9"/>
        <v>0</v>
      </c>
      <c r="AD18" s="60">
        <f t="shared" si="10"/>
        <v>0</v>
      </c>
      <c r="AE18" s="60">
        <f t="shared" si="11"/>
        <v>0</v>
      </c>
      <c r="AF18" s="61"/>
      <c r="AG18" s="61"/>
      <c r="AH18" s="61"/>
      <c r="AI18" s="62">
        <f t="shared" si="12"/>
        <v>0</v>
      </c>
      <c r="AJ18" s="62">
        <f t="shared" si="13"/>
        <v>0</v>
      </c>
      <c r="AK18" s="62">
        <f t="shared" si="14"/>
        <v>0</v>
      </c>
      <c r="AL18" s="63">
        <f t="shared" si="15"/>
        <v>1227.27</v>
      </c>
      <c r="AM18" s="63">
        <f t="shared" si="16"/>
        <v>0</v>
      </c>
      <c r="AN18" s="63">
        <f t="shared" si="17"/>
        <v>0</v>
      </c>
      <c r="AO18" s="55">
        <f t="shared" si="18"/>
        <v>1227.27</v>
      </c>
      <c r="AP18" s="64"/>
      <c r="AQ18" s="64"/>
      <c r="AR18" s="55">
        <f t="shared" si="19"/>
        <v>12272.73</v>
      </c>
      <c r="AS18" s="55"/>
      <c r="AT18" s="55"/>
      <c r="AU18" s="64"/>
      <c r="AV18" s="64"/>
      <c r="AW18" s="64"/>
      <c r="AX18" s="64"/>
      <c r="AY18" s="55">
        <f t="shared" si="20"/>
        <v>12272.73</v>
      </c>
      <c r="AZ18" s="55" t="s">
        <v>83</v>
      </c>
      <c r="BA18" s="55" t="s">
        <v>117</v>
      </c>
      <c r="BB18" s="65"/>
      <c r="BC18" s="65"/>
    </row>
    <row r="19" spans="1:55">
      <c r="A19" s="44">
        <f t="shared" si="0"/>
        <v>10</v>
      </c>
      <c r="B19" s="45" t="s">
        <v>118</v>
      </c>
      <c r="C19" s="79">
        <v>46036</v>
      </c>
      <c r="D19" s="47"/>
      <c r="E19" s="48" t="s">
        <v>119</v>
      </c>
      <c r="F19" s="44" t="s">
        <v>114</v>
      </c>
      <c r="G19" s="49" t="s">
        <v>120</v>
      </c>
      <c r="H19" s="50">
        <f>IF(AZ19="Payroll",VLOOKUP(E19,'CODE 2'!$R:$S,2,FALSE),"0")</f>
        <v>7</v>
      </c>
      <c r="I19" s="51" t="s">
        <v>81</v>
      </c>
      <c r="J19" s="51" t="s">
        <v>82</v>
      </c>
      <c r="K19" s="66"/>
      <c r="L19" s="67"/>
      <c r="M19" s="54">
        <f>IFERROR(VLOOKUP($H19,'CODE 2'!$J:$K,2,FALSE)," ")</f>
        <v>18620</v>
      </c>
      <c r="N19" s="55">
        <f t="shared" si="1"/>
        <v>9310</v>
      </c>
      <c r="O19" s="55">
        <f t="shared" si="2"/>
        <v>846.36363636363637</v>
      </c>
      <c r="P19" s="55">
        <f t="shared" si="3"/>
        <v>105.79545454545455</v>
      </c>
      <c r="Q19" s="55">
        <f t="shared" si="4"/>
        <v>1.7632575757575757</v>
      </c>
      <c r="R19" s="56" t="str">
        <f t="shared" si="21"/>
        <v>11</v>
      </c>
      <c r="S19" s="55">
        <f t="shared" si="5"/>
        <v>9310</v>
      </c>
      <c r="T19" s="57">
        <v>0</v>
      </c>
      <c r="U19" s="57">
        <v>0</v>
      </c>
      <c r="V19" s="57">
        <v>0</v>
      </c>
      <c r="W19" s="58">
        <f t="shared" si="6"/>
        <v>0</v>
      </c>
      <c r="X19" s="58">
        <f t="shared" si="7"/>
        <v>0</v>
      </c>
      <c r="Y19" s="58">
        <f t="shared" si="8"/>
        <v>0</v>
      </c>
      <c r="Z19" s="59"/>
      <c r="AA19" s="59"/>
      <c r="AB19" s="59"/>
      <c r="AC19" s="60">
        <f t="shared" si="9"/>
        <v>0</v>
      </c>
      <c r="AD19" s="60">
        <f t="shared" si="10"/>
        <v>0</v>
      </c>
      <c r="AE19" s="60">
        <f t="shared" si="11"/>
        <v>0</v>
      </c>
      <c r="AF19" s="61"/>
      <c r="AG19" s="61"/>
      <c r="AH19" s="61"/>
      <c r="AI19" s="62">
        <f t="shared" si="12"/>
        <v>0</v>
      </c>
      <c r="AJ19" s="62">
        <f t="shared" si="13"/>
        <v>0</v>
      </c>
      <c r="AK19" s="62">
        <f t="shared" si="14"/>
        <v>0</v>
      </c>
      <c r="AL19" s="63">
        <f t="shared" si="15"/>
        <v>0</v>
      </c>
      <c r="AM19" s="63">
        <f t="shared" si="16"/>
        <v>0</v>
      </c>
      <c r="AN19" s="63">
        <f t="shared" si="17"/>
        <v>0</v>
      </c>
      <c r="AO19" s="55">
        <f t="shared" si="18"/>
        <v>0</v>
      </c>
      <c r="AP19" s="64"/>
      <c r="AQ19" s="64"/>
      <c r="AR19" s="55">
        <f t="shared" si="19"/>
        <v>9310</v>
      </c>
      <c r="AS19" s="55"/>
      <c r="AT19" s="55"/>
      <c r="AU19" s="64"/>
      <c r="AV19" s="64"/>
      <c r="AW19" s="64"/>
      <c r="AX19" s="64"/>
      <c r="AY19" s="55">
        <f t="shared" si="20"/>
        <v>9310</v>
      </c>
      <c r="AZ19" s="55" t="s">
        <v>83</v>
      </c>
      <c r="BA19" s="55" t="s">
        <v>121</v>
      </c>
      <c r="BB19" s="81"/>
      <c r="BC19" s="81"/>
    </row>
    <row r="20" spans="1:55">
      <c r="A20" s="44">
        <f t="shared" si="0"/>
        <v>11</v>
      </c>
      <c r="B20" s="45" t="s">
        <v>122</v>
      </c>
      <c r="C20" s="79">
        <v>46036</v>
      </c>
      <c r="D20" s="47"/>
      <c r="E20" s="48" t="s">
        <v>123</v>
      </c>
      <c r="F20" s="44" t="s">
        <v>114</v>
      </c>
      <c r="G20" s="49" t="s">
        <v>80</v>
      </c>
      <c r="H20" s="50">
        <f>IF(AZ20="Payroll",VLOOKUP(E20,'CODE 2'!$R:$S,2,FALSE),"0")</f>
        <v>8</v>
      </c>
      <c r="I20" s="51" t="s">
        <v>81</v>
      </c>
      <c r="J20" s="51" t="s">
        <v>82</v>
      </c>
      <c r="K20" s="66"/>
      <c r="L20" s="67"/>
      <c r="M20" s="54">
        <f>IFERROR(VLOOKUP($H20,'CODE 2'!$J:$K,2,FALSE)," ")</f>
        <v>19744</v>
      </c>
      <c r="N20" s="55">
        <f t="shared" si="1"/>
        <v>9872</v>
      </c>
      <c r="O20" s="55">
        <f t="shared" si="2"/>
        <v>897.4545454545455</v>
      </c>
      <c r="P20" s="55">
        <f t="shared" si="3"/>
        <v>112.18181818181819</v>
      </c>
      <c r="Q20" s="55">
        <f t="shared" si="4"/>
        <v>1.8696969696969699</v>
      </c>
      <c r="R20" s="56" t="str">
        <f t="shared" si="21"/>
        <v>11</v>
      </c>
      <c r="S20" s="55">
        <f t="shared" si="5"/>
        <v>9872</v>
      </c>
      <c r="T20" s="57">
        <v>0</v>
      </c>
      <c r="U20" s="57">
        <v>0</v>
      </c>
      <c r="V20" s="57">
        <v>0</v>
      </c>
      <c r="W20" s="58">
        <f t="shared" si="6"/>
        <v>0</v>
      </c>
      <c r="X20" s="58">
        <f t="shared" si="7"/>
        <v>0</v>
      </c>
      <c r="Y20" s="58">
        <f t="shared" si="8"/>
        <v>0</v>
      </c>
      <c r="Z20" s="59"/>
      <c r="AA20" s="59"/>
      <c r="AB20" s="59"/>
      <c r="AC20" s="60">
        <f t="shared" si="9"/>
        <v>0</v>
      </c>
      <c r="AD20" s="60">
        <f t="shared" si="10"/>
        <v>0</v>
      </c>
      <c r="AE20" s="60">
        <f t="shared" si="11"/>
        <v>0</v>
      </c>
      <c r="AF20" s="61"/>
      <c r="AG20" s="61"/>
      <c r="AH20" s="61"/>
      <c r="AI20" s="62">
        <f t="shared" si="12"/>
        <v>0</v>
      </c>
      <c r="AJ20" s="62">
        <f t="shared" si="13"/>
        <v>0</v>
      </c>
      <c r="AK20" s="62">
        <f t="shared" si="14"/>
        <v>0</v>
      </c>
      <c r="AL20" s="63">
        <f t="shared" si="15"/>
        <v>0</v>
      </c>
      <c r="AM20" s="63">
        <f t="shared" si="16"/>
        <v>0</v>
      </c>
      <c r="AN20" s="63">
        <f t="shared" si="17"/>
        <v>0</v>
      </c>
      <c r="AO20" s="55">
        <f t="shared" si="18"/>
        <v>0</v>
      </c>
      <c r="AP20" s="64"/>
      <c r="AQ20" s="82"/>
      <c r="AR20" s="55">
        <f t="shared" si="19"/>
        <v>9872</v>
      </c>
      <c r="AS20" s="55"/>
      <c r="AT20" s="55"/>
      <c r="AU20" s="64"/>
      <c r="AV20" s="64"/>
      <c r="AW20" s="64"/>
      <c r="AX20" s="64"/>
      <c r="AY20" s="55">
        <f t="shared" si="20"/>
        <v>9872</v>
      </c>
      <c r="AZ20" s="55" t="s">
        <v>83</v>
      </c>
      <c r="BA20" s="55" t="s">
        <v>124</v>
      </c>
      <c r="BB20" s="65"/>
      <c r="BC20" s="65"/>
    </row>
    <row r="21" spans="1:55" ht="18" customHeight="1">
      <c r="A21" s="44">
        <f t="shared" si="0"/>
        <v>12</v>
      </c>
      <c r="B21" s="45" t="s">
        <v>125</v>
      </c>
      <c r="C21" s="79">
        <v>46036</v>
      </c>
      <c r="D21" s="47"/>
      <c r="E21" s="48" t="s">
        <v>121</v>
      </c>
      <c r="F21" s="44" t="s">
        <v>114</v>
      </c>
      <c r="G21" s="49" t="s">
        <v>126</v>
      </c>
      <c r="H21" s="50">
        <f>IF(AZ21="Payroll",VLOOKUP(E21,'CODE 2'!$R:$S,2,FALSE),"0")</f>
        <v>11</v>
      </c>
      <c r="I21" s="51" t="s">
        <v>81</v>
      </c>
      <c r="J21" s="51" t="s">
        <v>82</v>
      </c>
      <c r="K21" s="66"/>
      <c r="L21" s="67"/>
      <c r="M21" s="54">
        <f>IFERROR(VLOOKUP($H21,'CODE 2'!$J:$K,2,FALSE)," ")</f>
        <v>27000</v>
      </c>
      <c r="N21" s="55">
        <f t="shared" si="1"/>
        <v>13500</v>
      </c>
      <c r="O21" s="55">
        <f t="shared" si="2"/>
        <v>1227.2727272727273</v>
      </c>
      <c r="P21" s="55">
        <f t="shared" si="3"/>
        <v>153.40909090909091</v>
      </c>
      <c r="Q21" s="55">
        <f t="shared" si="4"/>
        <v>2.5568181818181817</v>
      </c>
      <c r="R21" s="56" t="str">
        <f t="shared" si="21"/>
        <v>11</v>
      </c>
      <c r="S21" s="55">
        <f t="shared" si="5"/>
        <v>13500</v>
      </c>
      <c r="T21" s="57">
        <v>0</v>
      </c>
      <c r="U21" s="57">
        <v>0</v>
      </c>
      <c r="V21" s="57">
        <v>0</v>
      </c>
      <c r="W21" s="58">
        <f t="shared" si="6"/>
        <v>0</v>
      </c>
      <c r="X21" s="58">
        <f t="shared" si="7"/>
        <v>0</v>
      </c>
      <c r="Y21" s="58">
        <f t="shared" si="8"/>
        <v>0</v>
      </c>
      <c r="Z21" s="59"/>
      <c r="AA21" s="59"/>
      <c r="AB21" s="59"/>
      <c r="AC21" s="60">
        <f t="shared" si="9"/>
        <v>0</v>
      </c>
      <c r="AD21" s="60">
        <f t="shared" si="10"/>
        <v>0</v>
      </c>
      <c r="AE21" s="60">
        <f t="shared" si="11"/>
        <v>0</v>
      </c>
      <c r="AF21" s="61"/>
      <c r="AG21" s="61"/>
      <c r="AH21" s="61"/>
      <c r="AI21" s="62">
        <f t="shared" si="12"/>
        <v>0</v>
      </c>
      <c r="AJ21" s="62">
        <f t="shared" si="13"/>
        <v>0</v>
      </c>
      <c r="AK21" s="62">
        <f t="shared" si="14"/>
        <v>0</v>
      </c>
      <c r="AL21" s="63">
        <f t="shared" si="15"/>
        <v>0</v>
      </c>
      <c r="AM21" s="63">
        <f t="shared" si="16"/>
        <v>0</v>
      </c>
      <c r="AN21" s="63">
        <f t="shared" si="17"/>
        <v>0</v>
      </c>
      <c r="AO21" s="55">
        <f t="shared" si="18"/>
        <v>0</v>
      </c>
      <c r="AP21" s="64"/>
      <c r="AQ21" s="64"/>
      <c r="AR21" s="55">
        <f t="shared" si="19"/>
        <v>13500</v>
      </c>
      <c r="AS21" s="55"/>
      <c r="AT21" s="55"/>
      <c r="AU21" s="64"/>
      <c r="AV21" s="64"/>
      <c r="AW21" s="64"/>
      <c r="AX21" s="64"/>
      <c r="AY21" s="55">
        <f t="shared" si="20"/>
        <v>13500</v>
      </c>
      <c r="AZ21" s="55" t="s">
        <v>83</v>
      </c>
      <c r="BA21" s="55" t="s">
        <v>127</v>
      </c>
      <c r="BB21" s="81"/>
      <c r="BC21" s="81"/>
    </row>
    <row r="22" spans="1:55" ht="18" customHeight="1">
      <c r="A22" s="44">
        <f t="shared" si="0"/>
        <v>13</v>
      </c>
      <c r="B22" s="45" t="s">
        <v>128</v>
      </c>
      <c r="C22" s="79">
        <v>46036</v>
      </c>
      <c r="D22" s="47"/>
      <c r="E22" s="48" t="s">
        <v>129</v>
      </c>
      <c r="F22" s="44" t="s">
        <v>114</v>
      </c>
      <c r="G22" s="83" t="s">
        <v>130</v>
      </c>
      <c r="H22" s="50">
        <f>IF(AZ22="Payroll",VLOOKUP(E22,'CODE 2'!$R:$S,2,FALSE),"0")</f>
        <v>11</v>
      </c>
      <c r="I22" s="84" t="s">
        <v>116</v>
      </c>
      <c r="J22" s="51" t="s">
        <v>82</v>
      </c>
      <c r="K22" s="66"/>
      <c r="L22" s="67"/>
      <c r="M22" s="54">
        <f>IFERROR(VLOOKUP($H22,'CODE 2'!$J:$K,2,FALSE)," ")</f>
        <v>27000</v>
      </c>
      <c r="N22" s="55">
        <f t="shared" si="1"/>
        <v>13500</v>
      </c>
      <c r="O22" s="55">
        <f t="shared" si="2"/>
        <v>1227.2727272727273</v>
      </c>
      <c r="P22" s="55">
        <f t="shared" si="3"/>
        <v>153.40909090909091</v>
      </c>
      <c r="Q22" s="55">
        <f t="shared" si="4"/>
        <v>2.5568181818181817</v>
      </c>
      <c r="R22" s="56" t="str">
        <f t="shared" si="21"/>
        <v>11</v>
      </c>
      <c r="S22" s="55">
        <f t="shared" si="5"/>
        <v>13500</v>
      </c>
      <c r="T22" s="57">
        <v>0</v>
      </c>
      <c r="U22" s="57">
        <v>0</v>
      </c>
      <c r="V22" s="57">
        <v>9</v>
      </c>
      <c r="W22" s="58">
        <f t="shared" si="6"/>
        <v>0</v>
      </c>
      <c r="X22" s="58">
        <f t="shared" si="7"/>
        <v>0</v>
      </c>
      <c r="Y22" s="58">
        <f t="shared" si="8"/>
        <v>23.01</v>
      </c>
      <c r="Z22" s="59"/>
      <c r="AA22" s="59"/>
      <c r="AB22" s="59"/>
      <c r="AC22" s="60">
        <f t="shared" si="9"/>
        <v>0</v>
      </c>
      <c r="AD22" s="60">
        <f t="shared" si="10"/>
        <v>0</v>
      </c>
      <c r="AE22" s="60">
        <f t="shared" si="11"/>
        <v>0</v>
      </c>
      <c r="AF22" s="61"/>
      <c r="AG22" s="61"/>
      <c r="AH22" s="61"/>
      <c r="AI22" s="62">
        <f t="shared" si="12"/>
        <v>0</v>
      </c>
      <c r="AJ22" s="62">
        <f t="shared" si="13"/>
        <v>0</v>
      </c>
      <c r="AK22" s="62">
        <f t="shared" si="14"/>
        <v>0</v>
      </c>
      <c r="AL22" s="63">
        <f t="shared" si="15"/>
        <v>0</v>
      </c>
      <c r="AM22" s="63">
        <f t="shared" si="16"/>
        <v>0</v>
      </c>
      <c r="AN22" s="63">
        <f t="shared" si="17"/>
        <v>23.01</v>
      </c>
      <c r="AO22" s="55">
        <f t="shared" si="18"/>
        <v>23.01</v>
      </c>
      <c r="AP22" s="64"/>
      <c r="AQ22" s="64"/>
      <c r="AR22" s="55">
        <f t="shared" si="19"/>
        <v>13476.99</v>
      </c>
      <c r="AS22" s="55"/>
      <c r="AT22" s="55"/>
      <c r="AU22" s="64"/>
      <c r="AV22" s="64"/>
      <c r="AW22" s="64"/>
      <c r="AX22" s="64"/>
      <c r="AY22" s="55">
        <f t="shared" si="20"/>
        <v>13476.99</v>
      </c>
      <c r="AZ22" s="55" t="s">
        <v>83</v>
      </c>
      <c r="BA22" s="55" t="s">
        <v>131</v>
      </c>
      <c r="BB22" s="81"/>
      <c r="BC22" s="81"/>
    </row>
    <row r="23" spans="1:55" ht="15.75" customHeight="1">
      <c r="A23" s="44">
        <f t="shared" si="0"/>
        <v>14</v>
      </c>
      <c r="B23" s="45" t="s">
        <v>132</v>
      </c>
      <c r="C23" s="79">
        <v>46036</v>
      </c>
      <c r="D23" s="47"/>
      <c r="E23" s="48" t="s">
        <v>133</v>
      </c>
      <c r="F23" s="44" t="s">
        <v>114</v>
      </c>
      <c r="G23" s="83" t="s">
        <v>134</v>
      </c>
      <c r="H23" s="50">
        <v>11</v>
      </c>
      <c r="I23" s="85" t="s">
        <v>81</v>
      </c>
      <c r="J23" s="51" t="s">
        <v>82</v>
      </c>
      <c r="K23" s="66"/>
      <c r="L23" s="67"/>
      <c r="M23" s="54">
        <f>IFERROR(VLOOKUP($H23,'CODE 2'!$J:$K,2,FALSE)," ")</f>
        <v>27000</v>
      </c>
      <c r="N23" s="55">
        <f t="shared" si="1"/>
        <v>13500</v>
      </c>
      <c r="O23" s="55">
        <f t="shared" si="2"/>
        <v>1227.2727272727273</v>
      </c>
      <c r="P23" s="55">
        <f t="shared" si="3"/>
        <v>153.40909090909091</v>
      </c>
      <c r="Q23" s="55">
        <f t="shared" si="4"/>
        <v>2.5568181818181817</v>
      </c>
      <c r="R23" s="56" t="str">
        <f t="shared" si="21"/>
        <v>11</v>
      </c>
      <c r="S23" s="55">
        <f t="shared" si="5"/>
        <v>13500</v>
      </c>
      <c r="T23" s="57">
        <v>0</v>
      </c>
      <c r="U23" s="57">
        <v>0</v>
      </c>
      <c r="V23" s="57">
        <v>0</v>
      </c>
      <c r="W23" s="58">
        <f t="shared" si="6"/>
        <v>0</v>
      </c>
      <c r="X23" s="58">
        <f t="shared" si="7"/>
        <v>0</v>
      </c>
      <c r="Y23" s="58">
        <f t="shared" si="8"/>
        <v>0</v>
      </c>
      <c r="Z23" s="59"/>
      <c r="AA23" s="59"/>
      <c r="AB23" s="59"/>
      <c r="AC23" s="60">
        <f t="shared" si="9"/>
        <v>0</v>
      </c>
      <c r="AD23" s="60">
        <f t="shared" si="10"/>
        <v>0</v>
      </c>
      <c r="AE23" s="60">
        <f t="shared" si="11"/>
        <v>0</v>
      </c>
      <c r="AF23" s="61"/>
      <c r="AG23" s="61"/>
      <c r="AH23" s="61"/>
      <c r="AI23" s="62">
        <f t="shared" si="12"/>
        <v>0</v>
      </c>
      <c r="AJ23" s="62">
        <f t="shared" si="13"/>
        <v>0</v>
      </c>
      <c r="AK23" s="62">
        <f t="shared" si="14"/>
        <v>0</v>
      </c>
      <c r="AL23" s="63">
        <f t="shared" si="15"/>
        <v>0</v>
      </c>
      <c r="AM23" s="63">
        <f t="shared" si="16"/>
        <v>0</v>
      </c>
      <c r="AN23" s="63">
        <f t="shared" si="17"/>
        <v>0</v>
      </c>
      <c r="AO23" s="55">
        <f t="shared" si="18"/>
        <v>0</v>
      </c>
      <c r="AP23" s="64"/>
      <c r="AQ23" s="64"/>
      <c r="AR23" s="55">
        <f t="shared" si="19"/>
        <v>13500</v>
      </c>
      <c r="AS23" s="55"/>
      <c r="AT23" s="55"/>
      <c r="AU23" s="64"/>
      <c r="AV23" s="64"/>
      <c r="AW23" s="64"/>
      <c r="AX23" s="64"/>
      <c r="AY23" s="55">
        <f t="shared" si="20"/>
        <v>13500</v>
      </c>
      <c r="AZ23" s="55" t="s">
        <v>83</v>
      </c>
      <c r="BA23" s="55" t="s">
        <v>135</v>
      </c>
      <c r="BB23" s="65"/>
      <c r="BC23" s="65"/>
    </row>
    <row r="24" spans="1:55" ht="15.75" customHeight="1">
      <c r="A24" s="44">
        <f t="shared" si="0"/>
        <v>15</v>
      </c>
      <c r="B24" s="45" t="s">
        <v>136</v>
      </c>
      <c r="C24" s="79">
        <v>46036</v>
      </c>
      <c r="D24" s="47"/>
      <c r="E24" s="48" t="s">
        <v>117</v>
      </c>
      <c r="F24" s="44" t="s">
        <v>114</v>
      </c>
      <c r="G24" s="83" t="s">
        <v>134</v>
      </c>
      <c r="H24" s="50">
        <v>11</v>
      </c>
      <c r="I24" s="51" t="s">
        <v>81</v>
      </c>
      <c r="J24" s="51" t="s">
        <v>82</v>
      </c>
      <c r="K24" s="66"/>
      <c r="L24" s="67"/>
      <c r="M24" s="54">
        <f>IFERROR(VLOOKUP($H24,'CODE 2'!$J:$K,2,FALSE)," ")</f>
        <v>27000</v>
      </c>
      <c r="N24" s="55">
        <f t="shared" si="1"/>
        <v>13500</v>
      </c>
      <c r="O24" s="55">
        <f t="shared" si="2"/>
        <v>1227.2727272727273</v>
      </c>
      <c r="P24" s="55">
        <f t="shared" si="3"/>
        <v>153.40909090909091</v>
      </c>
      <c r="Q24" s="55">
        <f t="shared" si="4"/>
        <v>2.5568181818181817</v>
      </c>
      <c r="R24" s="56" t="str">
        <f t="shared" si="21"/>
        <v>11</v>
      </c>
      <c r="S24" s="55">
        <f t="shared" si="5"/>
        <v>13500</v>
      </c>
      <c r="T24" s="57">
        <v>0</v>
      </c>
      <c r="U24" s="57">
        <v>0</v>
      </c>
      <c r="V24" s="57">
        <v>0</v>
      </c>
      <c r="W24" s="58">
        <f t="shared" si="6"/>
        <v>0</v>
      </c>
      <c r="X24" s="58">
        <f t="shared" si="7"/>
        <v>0</v>
      </c>
      <c r="Y24" s="58">
        <f t="shared" si="8"/>
        <v>0</v>
      </c>
      <c r="Z24" s="59"/>
      <c r="AA24" s="59"/>
      <c r="AB24" s="59"/>
      <c r="AC24" s="60">
        <f t="shared" si="9"/>
        <v>0</v>
      </c>
      <c r="AD24" s="60">
        <f t="shared" si="10"/>
        <v>0</v>
      </c>
      <c r="AE24" s="60">
        <f t="shared" si="11"/>
        <v>0</v>
      </c>
      <c r="AF24" s="61"/>
      <c r="AG24" s="61"/>
      <c r="AH24" s="61"/>
      <c r="AI24" s="62">
        <f t="shared" si="12"/>
        <v>0</v>
      </c>
      <c r="AJ24" s="62">
        <f t="shared" si="13"/>
        <v>0</v>
      </c>
      <c r="AK24" s="62">
        <f t="shared" si="14"/>
        <v>0</v>
      </c>
      <c r="AL24" s="63">
        <f t="shared" si="15"/>
        <v>0</v>
      </c>
      <c r="AM24" s="63">
        <f t="shared" si="16"/>
        <v>0</v>
      </c>
      <c r="AN24" s="63">
        <f t="shared" si="17"/>
        <v>0</v>
      </c>
      <c r="AO24" s="55">
        <f t="shared" si="18"/>
        <v>0</v>
      </c>
      <c r="AP24" s="64"/>
      <c r="AQ24" s="64"/>
      <c r="AR24" s="55">
        <f t="shared" si="19"/>
        <v>13500</v>
      </c>
      <c r="AS24" s="55"/>
      <c r="AT24" s="55"/>
      <c r="AU24" s="64">
        <v>2000</v>
      </c>
      <c r="AV24" s="64"/>
      <c r="AW24" s="64"/>
      <c r="AX24" s="64"/>
      <c r="AY24" s="55">
        <f t="shared" si="20"/>
        <v>11500</v>
      </c>
      <c r="AZ24" s="55" t="s">
        <v>83</v>
      </c>
      <c r="BA24" s="55" t="s">
        <v>137</v>
      </c>
      <c r="BB24" s="65"/>
      <c r="BC24" s="65"/>
    </row>
    <row r="25" spans="1:55" ht="15.75" customHeight="1">
      <c r="A25" s="44">
        <f t="shared" si="0"/>
        <v>16</v>
      </c>
      <c r="B25" s="45" t="s">
        <v>138</v>
      </c>
      <c r="C25" s="79">
        <v>46036</v>
      </c>
      <c r="D25" s="47"/>
      <c r="E25" s="86" t="s">
        <v>131</v>
      </c>
      <c r="F25" s="44" t="s">
        <v>139</v>
      </c>
      <c r="G25" s="49" t="s">
        <v>80</v>
      </c>
      <c r="H25" s="50">
        <f>IF(AZ25="Payroll",VLOOKUP(E25,'CODE 2'!$R:$S,2,FALSE),"0")</f>
        <v>8</v>
      </c>
      <c r="I25" s="51" t="s">
        <v>140</v>
      </c>
      <c r="J25" s="51" t="s">
        <v>82</v>
      </c>
      <c r="K25" s="66"/>
      <c r="L25" s="67"/>
      <c r="M25" s="54">
        <f>IFERROR(VLOOKUP($H25,'CODE 2'!$J:$K,2,FALSE)," ")</f>
        <v>19744</v>
      </c>
      <c r="N25" s="55">
        <f t="shared" si="1"/>
        <v>9872</v>
      </c>
      <c r="O25" s="55">
        <f t="shared" si="2"/>
        <v>897.4545454545455</v>
      </c>
      <c r="P25" s="55">
        <f t="shared" si="3"/>
        <v>112.18181818181819</v>
      </c>
      <c r="Q25" s="55">
        <f t="shared" si="4"/>
        <v>1.8696969696969699</v>
      </c>
      <c r="R25" s="56" t="str">
        <f t="shared" si="21"/>
        <v>11</v>
      </c>
      <c r="S25" s="55">
        <f t="shared" si="5"/>
        <v>9872</v>
      </c>
      <c r="T25" s="57">
        <v>0</v>
      </c>
      <c r="U25" s="57">
        <v>0</v>
      </c>
      <c r="V25" s="57">
        <v>0</v>
      </c>
      <c r="W25" s="58">
        <f t="shared" si="6"/>
        <v>0</v>
      </c>
      <c r="X25" s="58">
        <f t="shared" si="7"/>
        <v>0</v>
      </c>
      <c r="Y25" s="58">
        <f t="shared" si="8"/>
        <v>0</v>
      </c>
      <c r="Z25" s="59"/>
      <c r="AA25" s="59"/>
      <c r="AB25" s="59"/>
      <c r="AC25" s="60">
        <f t="shared" si="9"/>
        <v>0</v>
      </c>
      <c r="AD25" s="60">
        <f t="shared" si="10"/>
        <v>0</v>
      </c>
      <c r="AE25" s="60">
        <f t="shared" si="11"/>
        <v>0</v>
      </c>
      <c r="AF25" s="61"/>
      <c r="AG25" s="61"/>
      <c r="AH25" s="61"/>
      <c r="AI25" s="62">
        <f t="shared" si="12"/>
        <v>0</v>
      </c>
      <c r="AJ25" s="62">
        <f t="shared" si="13"/>
        <v>0</v>
      </c>
      <c r="AK25" s="62">
        <f t="shared" si="14"/>
        <v>0</v>
      </c>
      <c r="AL25" s="63">
        <f t="shared" si="15"/>
        <v>0</v>
      </c>
      <c r="AM25" s="63">
        <f t="shared" si="16"/>
        <v>0</v>
      </c>
      <c r="AN25" s="63">
        <f t="shared" si="17"/>
        <v>0</v>
      </c>
      <c r="AO25" s="55">
        <f t="shared" si="18"/>
        <v>0</v>
      </c>
      <c r="AP25" s="64"/>
      <c r="AQ25" s="64"/>
      <c r="AR25" s="55">
        <f t="shared" si="19"/>
        <v>9872</v>
      </c>
      <c r="AS25" s="55"/>
      <c r="AT25" s="55"/>
      <c r="AU25" s="64"/>
      <c r="AV25" s="64"/>
      <c r="AW25" s="64"/>
      <c r="AX25" s="64"/>
      <c r="AY25" s="55">
        <f t="shared" si="20"/>
        <v>9872</v>
      </c>
      <c r="AZ25" s="55" t="s">
        <v>83</v>
      </c>
      <c r="BA25" s="55" t="s">
        <v>141</v>
      </c>
      <c r="BB25" s="65"/>
      <c r="BC25" s="65"/>
    </row>
    <row r="26" spans="1:55" ht="15.75" customHeight="1">
      <c r="A26" s="44">
        <f t="shared" si="0"/>
        <v>17</v>
      </c>
      <c r="B26" s="45" t="s">
        <v>142</v>
      </c>
      <c r="C26" s="79">
        <v>46036</v>
      </c>
      <c r="D26" s="47"/>
      <c r="E26" s="86" t="s">
        <v>143</v>
      </c>
      <c r="F26" s="44" t="s">
        <v>139</v>
      </c>
      <c r="G26" s="49" t="s">
        <v>144</v>
      </c>
      <c r="H26" s="50">
        <f>IF(AZ26="Payroll",VLOOKUP(E26,'CODE 2'!$R:$S,2,FALSE),"0")</f>
        <v>17</v>
      </c>
      <c r="I26" s="51" t="s">
        <v>81</v>
      </c>
      <c r="J26" s="51" t="s">
        <v>82</v>
      </c>
      <c r="K26" s="66"/>
      <c r="L26" s="67"/>
      <c r="M26" s="54">
        <f>IFERROR(VLOOKUP($H26,'CODE 2'!$J:$K,2,FALSE)," ")</f>
        <v>43030</v>
      </c>
      <c r="N26" s="55">
        <f t="shared" si="1"/>
        <v>21515</v>
      </c>
      <c r="O26" s="55">
        <f t="shared" si="2"/>
        <v>1955.909090909091</v>
      </c>
      <c r="P26" s="55">
        <f t="shared" si="3"/>
        <v>244.48863636363637</v>
      </c>
      <c r="Q26" s="55">
        <f t="shared" si="4"/>
        <v>4.0748106060606064</v>
      </c>
      <c r="R26" s="56" t="str">
        <f t="shared" si="21"/>
        <v>11</v>
      </c>
      <c r="S26" s="55">
        <f t="shared" si="5"/>
        <v>21515</v>
      </c>
      <c r="T26" s="57">
        <v>0</v>
      </c>
      <c r="U26" s="57">
        <v>0</v>
      </c>
      <c r="V26" s="57">
        <v>0</v>
      </c>
      <c r="W26" s="58">
        <f t="shared" si="6"/>
        <v>0</v>
      </c>
      <c r="X26" s="58">
        <f t="shared" si="7"/>
        <v>0</v>
      </c>
      <c r="Y26" s="58">
        <f t="shared" si="8"/>
        <v>0</v>
      </c>
      <c r="Z26" s="59"/>
      <c r="AA26" s="59"/>
      <c r="AB26" s="59"/>
      <c r="AC26" s="60">
        <f t="shared" si="9"/>
        <v>0</v>
      </c>
      <c r="AD26" s="60">
        <f t="shared" si="10"/>
        <v>0</v>
      </c>
      <c r="AE26" s="60">
        <f t="shared" si="11"/>
        <v>0</v>
      </c>
      <c r="AF26" s="61"/>
      <c r="AG26" s="61"/>
      <c r="AH26" s="61"/>
      <c r="AI26" s="62">
        <f t="shared" si="12"/>
        <v>0</v>
      </c>
      <c r="AJ26" s="62">
        <f t="shared" si="13"/>
        <v>0</v>
      </c>
      <c r="AK26" s="62">
        <f t="shared" si="14"/>
        <v>0</v>
      </c>
      <c r="AL26" s="63">
        <f t="shared" si="15"/>
        <v>0</v>
      </c>
      <c r="AM26" s="63">
        <f t="shared" si="16"/>
        <v>0</v>
      </c>
      <c r="AN26" s="63">
        <f t="shared" si="17"/>
        <v>0</v>
      </c>
      <c r="AO26" s="55">
        <f t="shared" si="18"/>
        <v>0</v>
      </c>
      <c r="AP26" s="64"/>
      <c r="AQ26" s="64"/>
      <c r="AR26" s="55">
        <f t="shared" si="19"/>
        <v>21515</v>
      </c>
      <c r="AS26" s="55"/>
      <c r="AT26" s="55"/>
      <c r="AU26" s="64"/>
      <c r="AV26" s="64"/>
      <c r="AW26" s="64"/>
      <c r="AX26" s="64"/>
      <c r="AY26" s="55">
        <f t="shared" si="20"/>
        <v>21515</v>
      </c>
      <c r="AZ26" s="55" t="s">
        <v>83</v>
      </c>
      <c r="BA26" s="55" t="s">
        <v>145</v>
      </c>
      <c r="BB26" s="65"/>
      <c r="BC26" s="65"/>
    </row>
    <row r="27" spans="1:55" ht="15.75" customHeight="1">
      <c r="A27" s="44">
        <f t="shared" si="0"/>
        <v>18</v>
      </c>
      <c r="B27" s="45" t="s">
        <v>146</v>
      </c>
      <c r="C27" s="46">
        <v>46036</v>
      </c>
      <c r="D27" s="47"/>
      <c r="E27" s="48" t="s">
        <v>147</v>
      </c>
      <c r="F27" s="44" t="s">
        <v>148</v>
      </c>
      <c r="G27" s="49" t="s">
        <v>80</v>
      </c>
      <c r="H27" s="50">
        <f>IF(AZ27="Payroll",VLOOKUP(E27,'CODE 2'!$R:$S,2,FALSE),"0")</f>
        <v>8</v>
      </c>
      <c r="I27" s="51" t="s">
        <v>81</v>
      </c>
      <c r="J27" s="51" t="s">
        <v>82</v>
      </c>
      <c r="K27" s="66"/>
      <c r="L27" s="67"/>
      <c r="M27" s="54">
        <f>IFERROR(VLOOKUP($H27,'CODE 2'!$J:$K,2,FALSE)," ")</f>
        <v>19744</v>
      </c>
      <c r="N27" s="55">
        <f t="shared" si="1"/>
        <v>9872</v>
      </c>
      <c r="O27" s="55">
        <f t="shared" si="2"/>
        <v>897.4545454545455</v>
      </c>
      <c r="P27" s="55">
        <f t="shared" si="3"/>
        <v>112.18181818181819</v>
      </c>
      <c r="Q27" s="55">
        <f t="shared" si="4"/>
        <v>1.8696969696969699</v>
      </c>
      <c r="R27" s="56" t="str">
        <f t="shared" si="21"/>
        <v>11</v>
      </c>
      <c r="S27" s="55">
        <f t="shared" si="5"/>
        <v>9872</v>
      </c>
      <c r="T27" s="57">
        <v>0</v>
      </c>
      <c r="U27" s="57">
        <v>0</v>
      </c>
      <c r="V27" s="57">
        <v>0</v>
      </c>
      <c r="W27" s="58">
        <f t="shared" si="6"/>
        <v>0</v>
      </c>
      <c r="X27" s="58">
        <f t="shared" si="7"/>
        <v>0</v>
      </c>
      <c r="Y27" s="58">
        <f t="shared" si="8"/>
        <v>0</v>
      </c>
      <c r="Z27" s="59"/>
      <c r="AA27" s="59"/>
      <c r="AB27" s="59"/>
      <c r="AC27" s="60">
        <f t="shared" si="9"/>
        <v>0</v>
      </c>
      <c r="AD27" s="60">
        <f t="shared" si="10"/>
        <v>0</v>
      </c>
      <c r="AE27" s="60">
        <f t="shared" si="11"/>
        <v>0</v>
      </c>
      <c r="AF27" s="61"/>
      <c r="AG27" s="61"/>
      <c r="AH27" s="61"/>
      <c r="AI27" s="62">
        <f t="shared" si="12"/>
        <v>0</v>
      </c>
      <c r="AJ27" s="62">
        <f t="shared" si="13"/>
        <v>0</v>
      </c>
      <c r="AK27" s="62">
        <f t="shared" si="14"/>
        <v>0</v>
      </c>
      <c r="AL27" s="63">
        <f t="shared" si="15"/>
        <v>0</v>
      </c>
      <c r="AM27" s="63">
        <f t="shared" si="16"/>
        <v>0</v>
      </c>
      <c r="AN27" s="63">
        <f t="shared" si="17"/>
        <v>0</v>
      </c>
      <c r="AO27" s="55">
        <f t="shared" si="18"/>
        <v>0</v>
      </c>
      <c r="AP27" s="64"/>
      <c r="AQ27" s="64"/>
      <c r="AR27" s="55">
        <f t="shared" si="19"/>
        <v>9872</v>
      </c>
      <c r="AS27" s="55"/>
      <c r="AT27" s="55"/>
      <c r="AU27" s="64"/>
      <c r="AV27" s="64"/>
      <c r="AW27" s="64"/>
      <c r="AX27" s="64"/>
      <c r="AY27" s="55">
        <f t="shared" si="20"/>
        <v>9872</v>
      </c>
      <c r="AZ27" s="55" t="s">
        <v>83</v>
      </c>
      <c r="BA27" s="55" t="s">
        <v>149</v>
      </c>
      <c r="BB27" s="65"/>
      <c r="BC27" s="65"/>
    </row>
    <row r="28" spans="1:55" ht="15.75" customHeight="1">
      <c r="A28" s="44">
        <f t="shared" si="0"/>
        <v>19</v>
      </c>
      <c r="B28" s="45" t="s">
        <v>150</v>
      </c>
      <c r="C28" s="79">
        <v>46035</v>
      </c>
      <c r="D28" s="47"/>
      <c r="E28" s="68" t="s">
        <v>151</v>
      </c>
      <c r="F28" s="69" t="s">
        <v>148</v>
      </c>
      <c r="G28" s="70" t="s">
        <v>80</v>
      </c>
      <c r="H28" s="87" t="str">
        <f>IF(AZ28="Payroll",VLOOKUP(E28,'CODE 2'!$R:$S,2,FALSE),"0")</f>
        <v>0</v>
      </c>
      <c r="I28" s="72" t="s">
        <v>94</v>
      </c>
      <c r="J28" s="72" t="s">
        <v>82</v>
      </c>
      <c r="K28" s="73"/>
      <c r="L28" s="74"/>
      <c r="M28" s="88" t="str">
        <f>IFERROR(VLOOKUP($H28,'CODE 2'!$J:$K,2,FALSE)," ")</f>
        <v xml:space="preserve"> </v>
      </c>
      <c r="N28" s="76" t="str">
        <f t="shared" si="1"/>
        <v/>
      </c>
      <c r="O28" s="76" t="str">
        <f t="shared" si="2"/>
        <v xml:space="preserve"> </v>
      </c>
      <c r="P28" s="76" t="str">
        <f t="shared" si="3"/>
        <v/>
      </c>
      <c r="Q28" s="76" t="str">
        <f t="shared" si="4"/>
        <v/>
      </c>
      <c r="R28" s="77" t="str">
        <f t="shared" si="21"/>
        <v/>
      </c>
      <c r="S28" s="76" t="str">
        <f t="shared" si="5"/>
        <v xml:space="preserve"> </v>
      </c>
      <c r="T28" s="57">
        <v>0</v>
      </c>
      <c r="U28" s="57">
        <v>0</v>
      </c>
      <c r="V28" s="57">
        <v>0</v>
      </c>
      <c r="W28" s="58" t="str">
        <f>IFERROR(ROUND(($O28*#REF!),2)," ")</f>
        <v xml:space="preserve"> </v>
      </c>
      <c r="X28" s="58" t="str">
        <f t="shared" si="7"/>
        <v/>
      </c>
      <c r="Y28" s="58" t="str">
        <f t="shared" si="8"/>
        <v/>
      </c>
      <c r="Z28" s="59"/>
      <c r="AA28" s="59"/>
      <c r="AB28" s="59"/>
      <c r="AC28" s="60" t="str">
        <f t="shared" si="9"/>
        <v xml:space="preserve"> </v>
      </c>
      <c r="AD28" s="60" t="str">
        <f t="shared" si="10"/>
        <v/>
      </c>
      <c r="AE28" s="60" t="str">
        <f t="shared" si="11"/>
        <v/>
      </c>
      <c r="AF28" s="61"/>
      <c r="AG28" s="61"/>
      <c r="AH28" s="61"/>
      <c r="AI28" s="62" t="str">
        <f t="shared" si="12"/>
        <v xml:space="preserve"> </v>
      </c>
      <c r="AJ28" s="62" t="str">
        <f t="shared" si="13"/>
        <v/>
      </c>
      <c r="AK28" s="62" t="str">
        <f t="shared" si="14"/>
        <v/>
      </c>
      <c r="AL28" s="63" t="str">
        <f t="shared" si="15"/>
        <v/>
      </c>
      <c r="AM28" s="63" t="str">
        <f t="shared" si="16"/>
        <v/>
      </c>
      <c r="AN28" s="63" t="str">
        <f t="shared" si="17"/>
        <v/>
      </c>
      <c r="AO28" s="55">
        <f t="shared" si="18"/>
        <v>0</v>
      </c>
      <c r="AP28" s="64"/>
      <c r="AQ28" s="64"/>
      <c r="AR28" s="55" t="str">
        <f t="shared" si="19"/>
        <v/>
      </c>
      <c r="AS28" s="55"/>
      <c r="AT28" s="55"/>
      <c r="AU28" s="64"/>
      <c r="AV28" s="64"/>
      <c r="AW28" s="64"/>
      <c r="AX28" s="64"/>
      <c r="AY28" s="55" t="str">
        <f t="shared" si="20"/>
        <v/>
      </c>
      <c r="AZ28" s="55" t="s">
        <v>95</v>
      </c>
      <c r="BA28" s="55" t="s">
        <v>152</v>
      </c>
      <c r="BB28" s="65"/>
      <c r="BC28" s="65"/>
    </row>
    <row r="29" spans="1:55" ht="15.75" customHeight="1">
      <c r="A29" s="44">
        <f t="shared" si="0"/>
        <v>20</v>
      </c>
      <c r="B29" s="45" t="s">
        <v>153</v>
      </c>
      <c r="C29" s="46">
        <v>46036</v>
      </c>
      <c r="D29" s="47"/>
      <c r="E29" s="86" t="s">
        <v>135</v>
      </c>
      <c r="F29" s="44" t="s">
        <v>148</v>
      </c>
      <c r="G29" s="49" t="s">
        <v>154</v>
      </c>
      <c r="H29" s="50"/>
      <c r="I29" s="51" t="s">
        <v>81</v>
      </c>
      <c r="J29" s="51"/>
      <c r="K29" s="66"/>
      <c r="L29" s="67"/>
      <c r="M29" s="54">
        <f>IFERROR(VLOOKUP($H29,'CODE 2'!$J:$K,2,FALSE)," ")</f>
        <v>50617</v>
      </c>
      <c r="N29" s="55">
        <f t="shared" si="1"/>
        <v>25308.5</v>
      </c>
      <c r="O29" s="55">
        <f t="shared" si="2"/>
        <v>2300.7727272727275</v>
      </c>
      <c r="P29" s="55">
        <f t="shared" si="3"/>
        <v>287.59659090909093</v>
      </c>
      <c r="Q29" s="55">
        <f t="shared" si="4"/>
        <v>4.7932765151515158</v>
      </c>
      <c r="R29" s="56" t="str">
        <f t="shared" si="21"/>
        <v>11</v>
      </c>
      <c r="S29" s="55">
        <f t="shared" si="5"/>
        <v>25308.5</v>
      </c>
      <c r="T29" s="57">
        <v>5</v>
      </c>
      <c r="U29" s="57">
        <v>1</v>
      </c>
      <c r="V29" s="57">
        <v>43</v>
      </c>
      <c r="W29" s="58">
        <f>IFERROR(ROUND(($O29*$T29),2)," ")</f>
        <v>11503.86</v>
      </c>
      <c r="X29" s="58">
        <f t="shared" si="7"/>
        <v>287.60000000000002</v>
      </c>
      <c r="Y29" s="58">
        <f t="shared" si="8"/>
        <v>206.11</v>
      </c>
      <c r="Z29" s="59"/>
      <c r="AA29" s="59"/>
      <c r="AB29" s="59"/>
      <c r="AC29" s="60">
        <f t="shared" si="9"/>
        <v>0</v>
      </c>
      <c r="AD29" s="60">
        <f t="shared" si="10"/>
        <v>0</v>
      </c>
      <c r="AE29" s="60">
        <f t="shared" si="11"/>
        <v>0</v>
      </c>
      <c r="AF29" s="61"/>
      <c r="AG29" s="61"/>
      <c r="AH29" s="61"/>
      <c r="AI29" s="62">
        <f t="shared" si="12"/>
        <v>0</v>
      </c>
      <c r="AJ29" s="62">
        <f t="shared" si="13"/>
        <v>0</v>
      </c>
      <c r="AK29" s="62">
        <f t="shared" si="14"/>
        <v>0</v>
      </c>
      <c r="AL29" s="63">
        <f t="shared" si="15"/>
        <v>11503.86</v>
      </c>
      <c r="AM29" s="63">
        <f t="shared" si="16"/>
        <v>287.60000000000002</v>
      </c>
      <c r="AN29" s="63">
        <f t="shared" si="17"/>
        <v>206.11</v>
      </c>
      <c r="AO29" s="55">
        <f t="shared" si="18"/>
        <v>11997.570000000002</v>
      </c>
      <c r="AP29" s="64"/>
      <c r="AQ29" s="64"/>
      <c r="AR29" s="55">
        <f t="shared" si="19"/>
        <v>13310.93</v>
      </c>
      <c r="AS29" s="55"/>
      <c r="AT29" s="55"/>
      <c r="AU29" s="64"/>
      <c r="AV29" s="64"/>
      <c r="AW29" s="64"/>
      <c r="AX29" s="64"/>
      <c r="AY29" s="55">
        <f t="shared" si="20"/>
        <v>13310.93</v>
      </c>
      <c r="AZ29" s="55" t="s">
        <v>83</v>
      </c>
      <c r="BA29" s="55" t="s">
        <v>155</v>
      </c>
      <c r="BB29" s="65"/>
      <c r="BC29" s="65"/>
    </row>
    <row r="30" spans="1:55" ht="15.75" customHeight="1">
      <c r="A30" s="44">
        <f t="shared" si="0"/>
        <v>21</v>
      </c>
      <c r="B30" s="45" t="s">
        <v>156</v>
      </c>
      <c r="C30" s="79">
        <v>46036</v>
      </c>
      <c r="D30" s="47"/>
      <c r="E30" s="48" t="s">
        <v>157</v>
      </c>
      <c r="F30" s="44" t="s">
        <v>158</v>
      </c>
      <c r="G30" s="49" t="s">
        <v>80</v>
      </c>
      <c r="H30" s="50">
        <f>IF(AZ30="Payroll",VLOOKUP(E30,'CODE 2'!$R:$S,2,FALSE),"0")</f>
        <v>8</v>
      </c>
      <c r="I30" s="51" t="s">
        <v>81</v>
      </c>
      <c r="J30" s="51" t="s">
        <v>82</v>
      </c>
      <c r="K30" s="66"/>
      <c r="L30" s="67"/>
      <c r="M30" s="54">
        <f>IFERROR(VLOOKUP($H30,'CODE 2'!$J:$K,2,FALSE)," ")</f>
        <v>19744</v>
      </c>
      <c r="N30" s="55">
        <f t="shared" si="1"/>
        <v>9872</v>
      </c>
      <c r="O30" s="55">
        <f t="shared" si="2"/>
        <v>897.4545454545455</v>
      </c>
      <c r="P30" s="55">
        <f t="shared" si="3"/>
        <v>112.18181818181819</v>
      </c>
      <c r="Q30" s="55">
        <f t="shared" si="4"/>
        <v>1.8696969696969699</v>
      </c>
      <c r="R30" s="89" t="str">
        <f t="shared" si="21"/>
        <v>11</v>
      </c>
      <c r="S30" s="55">
        <f t="shared" si="5"/>
        <v>9872</v>
      </c>
      <c r="T30" s="57">
        <v>0</v>
      </c>
      <c r="U30" s="57">
        <v>0</v>
      </c>
      <c r="V30" s="57">
        <v>0</v>
      </c>
      <c r="W30" s="58">
        <f>IFERROR(ROUND(($O30*$T28),2)," ")</f>
        <v>0</v>
      </c>
      <c r="X30" s="58">
        <f t="shared" si="7"/>
        <v>0</v>
      </c>
      <c r="Y30" s="58">
        <f t="shared" si="8"/>
        <v>0</v>
      </c>
      <c r="Z30" s="59"/>
      <c r="AA30" s="59"/>
      <c r="AB30" s="59"/>
      <c r="AC30" s="60">
        <f t="shared" si="9"/>
        <v>0</v>
      </c>
      <c r="AD30" s="60">
        <f t="shared" si="10"/>
        <v>0</v>
      </c>
      <c r="AE30" s="60">
        <f t="shared" si="11"/>
        <v>0</v>
      </c>
      <c r="AF30" s="61"/>
      <c r="AG30" s="61"/>
      <c r="AH30" s="61"/>
      <c r="AI30" s="62">
        <f t="shared" si="12"/>
        <v>0</v>
      </c>
      <c r="AJ30" s="62">
        <f t="shared" si="13"/>
        <v>0</v>
      </c>
      <c r="AK30" s="62">
        <f t="shared" si="14"/>
        <v>0</v>
      </c>
      <c r="AL30" s="63">
        <f t="shared" si="15"/>
        <v>0</v>
      </c>
      <c r="AM30" s="63">
        <f t="shared" si="16"/>
        <v>0</v>
      </c>
      <c r="AN30" s="63">
        <f t="shared" si="17"/>
        <v>0</v>
      </c>
      <c r="AO30" s="55">
        <f t="shared" si="18"/>
        <v>0</v>
      </c>
      <c r="AP30" s="64"/>
      <c r="AQ30" s="64"/>
      <c r="AR30" s="55">
        <f t="shared" si="19"/>
        <v>9872</v>
      </c>
      <c r="AS30" s="55"/>
      <c r="AT30" s="55"/>
      <c r="AU30" s="64"/>
      <c r="AV30" s="64"/>
      <c r="AW30" s="64"/>
      <c r="AX30" s="64"/>
      <c r="AY30" s="55">
        <f t="shared" si="20"/>
        <v>9872</v>
      </c>
      <c r="AZ30" s="55" t="s">
        <v>83</v>
      </c>
      <c r="BA30" s="55" t="s">
        <v>159</v>
      </c>
      <c r="BB30" s="65"/>
      <c r="BC30" s="65"/>
    </row>
    <row r="31" spans="1:55" ht="15.75" customHeight="1">
      <c r="A31" s="44">
        <f t="shared" si="0"/>
        <v>22</v>
      </c>
      <c r="B31" s="90" t="s">
        <v>160</v>
      </c>
      <c r="C31" s="91">
        <v>46036</v>
      </c>
      <c r="D31" s="92"/>
      <c r="E31" s="93" t="s">
        <v>161</v>
      </c>
      <c r="F31" s="94" t="s">
        <v>158</v>
      </c>
      <c r="G31" s="95" t="s">
        <v>80</v>
      </c>
      <c r="H31" s="96" t="str">
        <f>IF(AZ31="Payroll",VLOOKUP(E31,'CODE 2'!$R:$S,2,FALSE),"0")</f>
        <v>0</v>
      </c>
      <c r="I31" s="97" t="s">
        <v>162</v>
      </c>
      <c r="J31" s="97" t="s">
        <v>82</v>
      </c>
      <c r="K31" s="98"/>
      <c r="L31" s="99"/>
      <c r="M31" s="100" t="str">
        <f>IFERROR(VLOOKUP($H31,'CODE 2'!$J:$K,2,FALSE)," ")</f>
        <v xml:space="preserve"> </v>
      </c>
      <c r="N31" s="101" t="str">
        <f t="shared" si="1"/>
        <v/>
      </c>
      <c r="O31" s="101" t="str">
        <f t="shared" si="2"/>
        <v xml:space="preserve"> </v>
      </c>
      <c r="P31" s="101" t="str">
        <f t="shared" si="3"/>
        <v/>
      </c>
      <c r="Q31" s="101" t="str">
        <f t="shared" si="4"/>
        <v/>
      </c>
      <c r="R31" s="102">
        <v>11</v>
      </c>
      <c r="S31" s="101" t="str">
        <f t="shared" si="5"/>
        <v xml:space="preserve"> </v>
      </c>
      <c r="T31" s="57">
        <v>0</v>
      </c>
      <c r="U31" s="57">
        <v>0</v>
      </c>
      <c r="V31" s="57">
        <v>18</v>
      </c>
      <c r="W31" s="58" t="str">
        <f t="shared" ref="W31:W76" si="22">IFERROR(ROUND(($O31*$T31),2)," ")</f>
        <v xml:space="preserve"> </v>
      </c>
      <c r="X31" s="58" t="str">
        <f t="shared" si="7"/>
        <v/>
      </c>
      <c r="Y31" s="58" t="str">
        <f t="shared" si="8"/>
        <v/>
      </c>
      <c r="Z31" s="59"/>
      <c r="AA31" s="59"/>
      <c r="AB31" s="59"/>
      <c r="AC31" s="60" t="str">
        <f t="shared" si="9"/>
        <v xml:space="preserve"> </v>
      </c>
      <c r="AD31" s="60" t="str">
        <f t="shared" si="10"/>
        <v/>
      </c>
      <c r="AE31" s="60" t="str">
        <f t="shared" si="11"/>
        <v/>
      </c>
      <c r="AF31" s="61"/>
      <c r="AG31" s="61"/>
      <c r="AH31" s="61"/>
      <c r="AI31" s="62" t="str">
        <f t="shared" si="12"/>
        <v xml:space="preserve"> </v>
      </c>
      <c r="AJ31" s="62" t="str">
        <f t="shared" si="13"/>
        <v/>
      </c>
      <c r="AK31" s="62" t="str">
        <f t="shared" si="14"/>
        <v/>
      </c>
      <c r="AL31" s="63" t="str">
        <f t="shared" si="15"/>
        <v/>
      </c>
      <c r="AM31" s="63" t="str">
        <f t="shared" si="16"/>
        <v/>
      </c>
      <c r="AN31" s="63" t="str">
        <f t="shared" si="17"/>
        <v/>
      </c>
      <c r="AO31" s="55">
        <f t="shared" si="18"/>
        <v>0</v>
      </c>
      <c r="AP31" s="64"/>
      <c r="AQ31" s="64"/>
      <c r="AR31" s="55" t="str">
        <f t="shared" si="19"/>
        <v/>
      </c>
      <c r="AS31" s="55"/>
      <c r="AT31" s="55"/>
      <c r="AU31" s="64"/>
      <c r="AV31" s="64"/>
      <c r="AW31" s="64"/>
      <c r="AX31" s="64"/>
      <c r="AY31" s="55" t="str">
        <f t="shared" si="20"/>
        <v/>
      </c>
      <c r="AZ31" s="55" t="s">
        <v>95</v>
      </c>
      <c r="BA31" s="55" t="s">
        <v>163</v>
      </c>
      <c r="BB31" s="65"/>
      <c r="BC31" s="65"/>
    </row>
    <row r="32" spans="1:55" ht="15.75" customHeight="1">
      <c r="A32" s="44">
        <f t="shared" si="0"/>
        <v>23</v>
      </c>
      <c r="B32" s="45" t="s">
        <v>164</v>
      </c>
      <c r="C32" s="79">
        <v>46036</v>
      </c>
      <c r="D32" s="47"/>
      <c r="E32" s="48" t="s">
        <v>165</v>
      </c>
      <c r="F32" s="44" t="s">
        <v>158</v>
      </c>
      <c r="G32" s="49" t="s">
        <v>80</v>
      </c>
      <c r="H32" s="50">
        <f>IF(AZ32="Payroll",VLOOKUP(E32,'CODE 2'!$R:$S,2,FALSE),"0")</f>
        <v>8</v>
      </c>
      <c r="I32" s="51" t="s">
        <v>81</v>
      </c>
      <c r="J32" s="51" t="s">
        <v>82</v>
      </c>
      <c r="K32" s="66"/>
      <c r="L32" s="67"/>
      <c r="M32" s="54">
        <f>IFERROR(VLOOKUP($H32,'CODE 2'!$J:$K,2,FALSE)," ")</f>
        <v>19744</v>
      </c>
      <c r="N32" s="55">
        <f t="shared" si="1"/>
        <v>9872</v>
      </c>
      <c r="O32" s="55">
        <f t="shared" si="2"/>
        <v>897.4545454545455</v>
      </c>
      <c r="P32" s="55">
        <f t="shared" si="3"/>
        <v>112.18181818181819</v>
      </c>
      <c r="Q32" s="55">
        <f t="shared" si="4"/>
        <v>1.8696969696969699</v>
      </c>
      <c r="R32" s="89">
        <v>11</v>
      </c>
      <c r="S32" s="55">
        <f t="shared" si="5"/>
        <v>9872</v>
      </c>
      <c r="T32" s="57">
        <v>0</v>
      </c>
      <c r="U32" s="57">
        <v>0</v>
      </c>
      <c r="V32" s="57">
        <v>32</v>
      </c>
      <c r="W32" s="58">
        <f t="shared" si="22"/>
        <v>0</v>
      </c>
      <c r="X32" s="58">
        <f t="shared" si="7"/>
        <v>0</v>
      </c>
      <c r="Y32" s="58">
        <f t="shared" si="8"/>
        <v>59.83</v>
      </c>
      <c r="Z32" s="59"/>
      <c r="AA32" s="59"/>
      <c r="AB32" s="59"/>
      <c r="AC32" s="60">
        <f t="shared" si="9"/>
        <v>0</v>
      </c>
      <c r="AD32" s="60">
        <f t="shared" si="10"/>
        <v>0</v>
      </c>
      <c r="AE32" s="60">
        <f t="shared" si="11"/>
        <v>0</v>
      </c>
      <c r="AF32" s="61"/>
      <c r="AG32" s="61"/>
      <c r="AH32" s="61"/>
      <c r="AI32" s="62">
        <f t="shared" si="12"/>
        <v>0</v>
      </c>
      <c r="AJ32" s="62">
        <f t="shared" si="13"/>
        <v>0</v>
      </c>
      <c r="AK32" s="62">
        <f t="shared" si="14"/>
        <v>0</v>
      </c>
      <c r="AL32" s="63">
        <f t="shared" si="15"/>
        <v>0</v>
      </c>
      <c r="AM32" s="63">
        <f t="shared" si="16"/>
        <v>0</v>
      </c>
      <c r="AN32" s="63">
        <f t="shared" si="17"/>
        <v>59.83</v>
      </c>
      <c r="AO32" s="55">
        <f t="shared" si="18"/>
        <v>59.83</v>
      </c>
      <c r="AP32" s="64"/>
      <c r="AQ32" s="64"/>
      <c r="AR32" s="55">
        <f t="shared" si="19"/>
        <v>9812.17</v>
      </c>
      <c r="AS32" s="55"/>
      <c r="AT32" s="55"/>
      <c r="AU32" s="64"/>
      <c r="AV32" s="64"/>
      <c r="AW32" s="64"/>
      <c r="AX32" s="64"/>
      <c r="AY32" s="55">
        <f t="shared" si="20"/>
        <v>9812.17</v>
      </c>
      <c r="AZ32" s="55" t="s">
        <v>83</v>
      </c>
      <c r="BA32" s="55" t="s">
        <v>166</v>
      </c>
      <c r="BB32" s="65"/>
      <c r="BC32" s="65"/>
    </row>
    <row r="33" spans="1:55" ht="15.75" customHeight="1">
      <c r="A33" s="44">
        <f t="shared" si="0"/>
        <v>24</v>
      </c>
      <c r="B33" s="45" t="s">
        <v>167</v>
      </c>
      <c r="C33" s="79">
        <v>46035</v>
      </c>
      <c r="D33" s="47"/>
      <c r="E33" s="68" t="s">
        <v>168</v>
      </c>
      <c r="F33" s="69" t="s">
        <v>158</v>
      </c>
      <c r="G33" s="70" t="s">
        <v>80</v>
      </c>
      <c r="H33" s="71" t="str">
        <f>IF(AZ33="Payroll",VLOOKUP(E33,'CODE 2'!$R:$S,2,FALSE),"0")</f>
        <v>0</v>
      </c>
      <c r="I33" s="72" t="s">
        <v>94</v>
      </c>
      <c r="J33" s="72" t="s">
        <v>82</v>
      </c>
      <c r="K33" s="73"/>
      <c r="L33" s="74"/>
      <c r="M33" s="103" t="str">
        <f>IFERROR(VLOOKUP($H33,'CODE 2'!$J:$K,2,FALSE)," ")</f>
        <v xml:space="preserve"> </v>
      </c>
      <c r="N33" s="76" t="str">
        <f t="shared" si="1"/>
        <v/>
      </c>
      <c r="O33" s="76" t="str">
        <f t="shared" si="2"/>
        <v xml:space="preserve"> </v>
      </c>
      <c r="P33" s="76" t="str">
        <f t="shared" si="3"/>
        <v/>
      </c>
      <c r="Q33" s="76" t="str">
        <f t="shared" si="4"/>
        <v/>
      </c>
      <c r="R33" s="104">
        <v>11</v>
      </c>
      <c r="S33" s="76" t="str">
        <f t="shared" si="5"/>
        <v xml:space="preserve"> </v>
      </c>
      <c r="T33" s="57">
        <v>0</v>
      </c>
      <c r="U33" s="57">
        <v>0</v>
      </c>
      <c r="V33" s="57">
        <v>0</v>
      </c>
      <c r="W33" s="58" t="str">
        <f t="shared" si="22"/>
        <v xml:space="preserve"> </v>
      </c>
      <c r="X33" s="58" t="str">
        <f t="shared" si="7"/>
        <v/>
      </c>
      <c r="Y33" s="58" t="str">
        <f t="shared" si="8"/>
        <v/>
      </c>
      <c r="Z33" s="59"/>
      <c r="AA33" s="59"/>
      <c r="AB33" s="59"/>
      <c r="AC33" s="60" t="str">
        <f t="shared" si="9"/>
        <v xml:space="preserve"> </v>
      </c>
      <c r="AD33" s="60" t="str">
        <f t="shared" si="10"/>
        <v/>
      </c>
      <c r="AE33" s="60" t="str">
        <f t="shared" si="11"/>
        <v/>
      </c>
      <c r="AF33" s="61"/>
      <c r="AG33" s="61"/>
      <c r="AH33" s="61"/>
      <c r="AI33" s="62" t="str">
        <f t="shared" si="12"/>
        <v xml:space="preserve"> </v>
      </c>
      <c r="AJ33" s="62" t="str">
        <f t="shared" si="13"/>
        <v/>
      </c>
      <c r="AK33" s="62" t="str">
        <f t="shared" si="14"/>
        <v/>
      </c>
      <c r="AL33" s="63" t="str">
        <f t="shared" si="15"/>
        <v/>
      </c>
      <c r="AM33" s="63" t="str">
        <f t="shared" si="16"/>
        <v/>
      </c>
      <c r="AN33" s="63" t="str">
        <f t="shared" si="17"/>
        <v/>
      </c>
      <c r="AO33" s="55">
        <f t="shared" si="18"/>
        <v>0</v>
      </c>
      <c r="AP33" s="64"/>
      <c r="AQ33" s="64"/>
      <c r="AR33" s="55" t="str">
        <f t="shared" si="19"/>
        <v/>
      </c>
      <c r="AS33" s="55"/>
      <c r="AT33" s="55"/>
      <c r="AU33" s="64"/>
      <c r="AV33" s="64"/>
      <c r="AW33" s="64"/>
      <c r="AX33" s="64"/>
      <c r="AY33" s="55" t="str">
        <f t="shared" si="20"/>
        <v/>
      </c>
      <c r="AZ33" s="55" t="s">
        <v>95</v>
      </c>
      <c r="BA33" s="55" t="s">
        <v>143</v>
      </c>
      <c r="BB33" s="65"/>
      <c r="BC33" s="65"/>
    </row>
    <row r="34" spans="1:55" ht="15.75" customHeight="1">
      <c r="A34" s="44">
        <f t="shared" si="0"/>
        <v>25</v>
      </c>
      <c r="B34" s="90" t="s">
        <v>169</v>
      </c>
      <c r="C34" s="105">
        <v>46036</v>
      </c>
      <c r="D34" s="92"/>
      <c r="E34" s="93" t="s">
        <v>170</v>
      </c>
      <c r="F34" s="94" t="s">
        <v>158</v>
      </c>
      <c r="G34" s="95" t="s">
        <v>80</v>
      </c>
      <c r="H34" s="96" t="str">
        <f>IF(AZ34="Payroll",VLOOKUP(E34,'CODE 2'!$R:$S,2,FALSE),"0")</f>
        <v>0</v>
      </c>
      <c r="I34" s="97" t="s">
        <v>162</v>
      </c>
      <c r="J34" s="97" t="s">
        <v>82</v>
      </c>
      <c r="K34" s="106"/>
      <c r="L34" s="107"/>
      <c r="M34" s="100" t="str">
        <f>IFERROR(VLOOKUP($H34,'CODE 2'!$J:$K,2,FALSE)," ")</f>
        <v xml:space="preserve"> </v>
      </c>
      <c r="N34" s="101" t="str">
        <f t="shared" si="1"/>
        <v/>
      </c>
      <c r="O34" s="101" t="str">
        <f t="shared" si="2"/>
        <v xml:space="preserve"> </v>
      </c>
      <c r="P34" s="101" t="str">
        <f t="shared" si="3"/>
        <v/>
      </c>
      <c r="Q34" s="101" t="str">
        <f t="shared" si="4"/>
        <v/>
      </c>
      <c r="R34" s="108">
        <v>11</v>
      </c>
      <c r="S34" s="101" t="str">
        <f t="shared" si="5"/>
        <v xml:space="preserve"> </v>
      </c>
      <c r="T34" s="57">
        <v>0</v>
      </c>
      <c r="U34" s="57">
        <v>0</v>
      </c>
      <c r="V34" s="57">
        <v>5</v>
      </c>
      <c r="W34" s="58" t="str">
        <f t="shared" si="22"/>
        <v xml:space="preserve"> </v>
      </c>
      <c r="X34" s="58" t="str">
        <f t="shared" si="7"/>
        <v/>
      </c>
      <c r="Y34" s="58" t="str">
        <f t="shared" si="8"/>
        <v/>
      </c>
      <c r="Z34" s="59"/>
      <c r="AA34" s="59"/>
      <c r="AB34" s="59"/>
      <c r="AC34" s="60" t="str">
        <f t="shared" si="9"/>
        <v xml:space="preserve"> </v>
      </c>
      <c r="AD34" s="60" t="str">
        <f t="shared" si="10"/>
        <v/>
      </c>
      <c r="AE34" s="60" t="str">
        <f t="shared" si="11"/>
        <v/>
      </c>
      <c r="AF34" s="61"/>
      <c r="AG34" s="61"/>
      <c r="AH34" s="61"/>
      <c r="AI34" s="62" t="str">
        <f t="shared" si="12"/>
        <v xml:space="preserve"> </v>
      </c>
      <c r="AJ34" s="62" t="str">
        <f t="shared" si="13"/>
        <v/>
      </c>
      <c r="AK34" s="62" t="str">
        <f t="shared" si="14"/>
        <v/>
      </c>
      <c r="AL34" s="63" t="str">
        <f t="shared" si="15"/>
        <v/>
      </c>
      <c r="AM34" s="63" t="str">
        <f t="shared" si="16"/>
        <v/>
      </c>
      <c r="AN34" s="63" t="str">
        <f t="shared" si="17"/>
        <v/>
      </c>
      <c r="AO34" s="55">
        <f t="shared" si="18"/>
        <v>0</v>
      </c>
      <c r="AP34" s="64"/>
      <c r="AQ34" s="64"/>
      <c r="AR34" s="55" t="str">
        <f t="shared" si="19"/>
        <v/>
      </c>
      <c r="AS34" s="55"/>
      <c r="AT34" s="55"/>
      <c r="AU34" s="64"/>
      <c r="AV34" s="64"/>
      <c r="AW34" s="64"/>
      <c r="AX34" s="64"/>
      <c r="AY34" s="55" t="str">
        <f t="shared" si="20"/>
        <v/>
      </c>
      <c r="AZ34" s="55" t="s">
        <v>95</v>
      </c>
      <c r="BA34" s="55" t="s">
        <v>171</v>
      </c>
      <c r="BB34" s="65"/>
      <c r="BC34" s="65"/>
    </row>
    <row r="35" spans="1:55" ht="15.75" customHeight="1">
      <c r="A35" s="44">
        <f t="shared" si="0"/>
        <v>26</v>
      </c>
      <c r="B35" s="45" t="s">
        <v>172</v>
      </c>
      <c r="C35" s="79">
        <v>46035</v>
      </c>
      <c r="D35" s="47"/>
      <c r="E35" s="68" t="s">
        <v>173</v>
      </c>
      <c r="F35" s="69" t="s">
        <v>158</v>
      </c>
      <c r="G35" s="70" t="s">
        <v>174</v>
      </c>
      <c r="H35" s="71" t="str">
        <f>IF(AZ35="Payroll",VLOOKUP(E35,'CODE 2'!$R:$S,2,FALSE),"0")</f>
        <v>0</v>
      </c>
      <c r="I35" s="72" t="s">
        <v>94</v>
      </c>
      <c r="J35" s="72" t="s">
        <v>82</v>
      </c>
      <c r="K35" s="73"/>
      <c r="L35" s="74"/>
      <c r="M35" s="75" t="str">
        <f>IFERROR(VLOOKUP($H35,'CODE 2'!$J:$K,2,FALSE)," ")</f>
        <v xml:space="preserve"> </v>
      </c>
      <c r="N35" s="76" t="str">
        <f t="shared" si="1"/>
        <v/>
      </c>
      <c r="O35" s="76" t="str">
        <f t="shared" si="2"/>
        <v xml:space="preserve"> </v>
      </c>
      <c r="P35" s="76" t="str">
        <f t="shared" si="3"/>
        <v/>
      </c>
      <c r="Q35" s="76" t="str">
        <f t="shared" si="4"/>
        <v/>
      </c>
      <c r="R35" s="104">
        <v>11</v>
      </c>
      <c r="S35" s="76" t="str">
        <f t="shared" si="5"/>
        <v xml:space="preserve"> </v>
      </c>
      <c r="T35" s="57">
        <v>0</v>
      </c>
      <c r="U35" s="57">
        <v>0</v>
      </c>
      <c r="V35" s="57">
        <v>0</v>
      </c>
      <c r="W35" s="58" t="str">
        <f t="shared" si="22"/>
        <v xml:space="preserve"> </v>
      </c>
      <c r="X35" s="58" t="str">
        <f t="shared" si="7"/>
        <v/>
      </c>
      <c r="Y35" s="58" t="str">
        <f t="shared" si="8"/>
        <v/>
      </c>
      <c r="Z35" s="59"/>
      <c r="AA35" s="59"/>
      <c r="AB35" s="59"/>
      <c r="AC35" s="60" t="str">
        <f t="shared" si="9"/>
        <v xml:space="preserve"> </v>
      </c>
      <c r="AD35" s="60" t="str">
        <f t="shared" si="10"/>
        <v/>
      </c>
      <c r="AE35" s="60" t="str">
        <f t="shared" si="11"/>
        <v/>
      </c>
      <c r="AF35" s="61"/>
      <c r="AG35" s="61"/>
      <c r="AH35" s="61"/>
      <c r="AI35" s="62" t="str">
        <f t="shared" si="12"/>
        <v xml:space="preserve"> </v>
      </c>
      <c r="AJ35" s="62" t="str">
        <f t="shared" si="13"/>
        <v/>
      </c>
      <c r="AK35" s="62" t="str">
        <f t="shared" si="14"/>
        <v/>
      </c>
      <c r="AL35" s="63" t="str">
        <f t="shared" si="15"/>
        <v/>
      </c>
      <c r="AM35" s="63" t="str">
        <f t="shared" si="16"/>
        <v/>
      </c>
      <c r="AN35" s="63" t="str">
        <f t="shared" si="17"/>
        <v/>
      </c>
      <c r="AO35" s="55">
        <f t="shared" si="18"/>
        <v>0</v>
      </c>
      <c r="AP35" s="64"/>
      <c r="AQ35" s="64"/>
      <c r="AR35" s="55" t="str">
        <f t="shared" si="19"/>
        <v/>
      </c>
      <c r="AS35" s="55"/>
      <c r="AT35" s="55"/>
      <c r="AU35" s="64"/>
      <c r="AV35" s="64"/>
      <c r="AW35" s="64"/>
      <c r="AX35" s="64"/>
      <c r="AY35" s="55" t="str">
        <f t="shared" si="20"/>
        <v/>
      </c>
      <c r="AZ35" s="55" t="s">
        <v>95</v>
      </c>
      <c r="BA35" s="55" t="s">
        <v>175</v>
      </c>
      <c r="BB35" s="65"/>
      <c r="BC35" s="65"/>
    </row>
    <row r="36" spans="1:55" ht="15.75" customHeight="1">
      <c r="A36" s="44">
        <f t="shared" si="0"/>
        <v>27</v>
      </c>
      <c r="B36" s="109" t="s">
        <v>176</v>
      </c>
      <c r="C36" s="110">
        <v>46035</v>
      </c>
      <c r="D36" s="47"/>
      <c r="E36" s="68" t="s">
        <v>137</v>
      </c>
      <c r="F36" s="69" t="s">
        <v>158</v>
      </c>
      <c r="G36" s="70" t="s">
        <v>80</v>
      </c>
      <c r="H36" s="71" t="str">
        <f>IF(AZ36="Payroll",VLOOKUP(E36,'CODE 2'!$R:$S,2,FALSE),"0")</f>
        <v>0</v>
      </c>
      <c r="I36" s="72" t="s">
        <v>94</v>
      </c>
      <c r="J36" s="72" t="s">
        <v>82</v>
      </c>
      <c r="K36" s="73"/>
      <c r="L36" s="74"/>
      <c r="M36" s="103" t="str">
        <f>IFERROR(VLOOKUP($H36,'CODE 2'!$J:$K,2,FALSE)," ")</f>
        <v xml:space="preserve"> </v>
      </c>
      <c r="N36" s="76" t="str">
        <f t="shared" si="1"/>
        <v/>
      </c>
      <c r="O36" s="76" t="str">
        <f t="shared" si="2"/>
        <v xml:space="preserve"> </v>
      </c>
      <c r="P36" s="76" t="str">
        <f t="shared" si="3"/>
        <v/>
      </c>
      <c r="Q36" s="76" t="str">
        <f t="shared" si="4"/>
        <v/>
      </c>
      <c r="R36" s="104">
        <v>11</v>
      </c>
      <c r="S36" s="76" t="str">
        <f t="shared" si="5"/>
        <v xml:space="preserve"> </v>
      </c>
      <c r="T36" s="57">
        <v>0</v>
      </c>
      <c r="U36" s="57">
        <v>0</v>
      </c>
      <c r="V36" s="57">
        <v>29</v>
      </c>
      <c r="W36" s="58" t="str">
        <f t="shared" si="22"/>
        <v xml:space="preserve"> </v>
      </c>
      <c r="X36" s="58" t="str">
        <f t="shared" si="7"/>
        <v/>
      </c>
      <c r="Y36" s="58" t="str">
        <f t="shared" si="8"/>
        <v/>
      </c>
      <c r="Z36" s="59"/>
      <c r="AA36" s="59"/>
      <c r="AB36" s="59"/>
      <c r="AC36" s="60" t="str">
        <f t="shared" si="9"/>
        <v xml:space="preserve"> </v>
      </c>
      <c r="AD36" s="60" t="str">
        <f t="shared" si="10"/>
        <v/>
      </c>
      <c r="AE36" s="60" t="str">
        <f t="shared" si="11"/>
        <v/>
      </c>
      <c r="AF36" s="61"/>
      <c r="AG36" s="61"/>
      <c r="AH36" s="61"/>
      <c r="AI36" s="62" t="str">
        <f t="shared" si="12"/>
        <v xml:space="preserve"> </v>
      </c>
      <c r="AJ36" s="62" t="str">
        <f t="shared" si="13"/>
        <v/>
      </c>
      <c r="AK36" s="62" t="str">
        <f t="shared" si="14"/>
        <v/>
      </c>
      <c r="AL36" s="63" t="str">
        <f t="shared" si="15"/>
        <v/>
      </c>
      <c r="AM36" s="63" t="str">
        <f t="shared" si="16"/>
        <v/>
      </c>
      <c r="AN36" s="63" t="str">
        <f t="shared" si="17"/>
        <v/>
      </c>
      <c r="AO36" s="55">
        <f t="shared" si="18"/>
        <v>0</v>
      </c>
      <c r="AP36" s="64"/>
      <c r="AQ36" s="64"/>
      <c r="AR36" s="55" t="str">
        <f t="shared" si="19"/>
        <v/>
      </c>
      <c r="AS36" s="55"/>
      <c r="AT36" s="55"/>
      <c r="AU36" s="64"/>
      <c r="AV36" s="64"/>
      <c r="AW36" s="64"/>
      <c r="AX36" s="64"/>
      <c r="AY36" s="55" t="str">
        <f t="shared" si="20"/>
        <v/>
      </c>
      <c r="AZ36" s="55" t="s">
        <v>95</v>
      </c>
      <c r="BA36" s="55" t="s">
        <v>98</v>
      </c>
      <c r="BB36" s="65"/>
      <c r="BC36" s="65"/>
    </row>
    <row r="37" spans="1:55" ht="15.75" customHeight="1">
      <c r="A37" s="44">
        <f t="shared" si="0"/>
        <v>28</v>
      </c>
      <c r="B37" s="45" t="s">
        <v>177</v>
      </c>
      <c r="C37" s="110">
        <v>46036</v>
      </c>
      <c r="D37" s="47"/>
      <c r="E37" s="48" t="s">
        <v>178</v>
      </c>
      <c r="F37" s="44" t="s">
        <v>158</v>
      </c>
      <c r="G37" s="49" t="s">
        <v>80</v>
      </c>
      <c r="H37" s="50">
        <f>IF(AZ37="Payroll",VLOOKUP(E37,'CODE 2'!$R:$S,2,FALSE),"0")</f>
        <v>8</v>
      </c>
      <c r="I37" s="51" t="s">
        <v>81</v>
      </c>
      <c r="J37" s="51" t="s">
        <v>82</v>
      </c>
      <c r="K37" s="66"/>
      <c r="L37" s="67"/>
      <c r="M37" s="111">
        <f>IFERROR(VLOOKUP($H37,'CODE 2'!$J:$K,2,FALSE)," ")</f>
        <v>19744</v>
      </c>
      <c r="N37" s="55">
        <f t="shared" si="1"/>
        <v>9872</v>
      </c>
      <c r="O37" s="55">
        <f t="shared" si="2"/>
        <v>897.4545454545455</v>
      </c>
      <c r="P37" s="55">
        <f t="shared" si="3"/>
        <v>112.18181818181819</v>
      </c>
      <c r="Q37" s="55">
        <f t="shared" si="4"/>
        <v>1.8696969696969699</v>
      </c>
      <c r="R37" s="89">
        <v>11</v>
      </c>
      <c r="S37" s="55">
        <f t="shared" si="5"/>
        <v>9872</v>
      </c>
      <c r="T37" s="57">
        <v>0</v>
      </c>
      <c r="U37" s="57">
        <v>0</v>
      </c>
      <c r="V37" s="57">
        <v>0</v>
      </c>
      <c r="W37" s="58">
        <f t="shared" si="22"/>
        <v>0</v>
      </c>
      <c r="X37" s="58">
        <f t="shared" si="7"/>
        <v>0</v>
      </c>
      <c r="Y37" s="58">
        <f t="shared" si="8"/>
        <v>0</v>
      </c>
      <c r="Z37" s="59"/>
      <c r="AA37" s="59"/>
      <c r="AB37" s="59"/>
      <c r="AC37" s="60">
        <f t="shared" si="9"/>
        <v>0</v>
      </c>
      <c r="AD37" s="60">
        <f t="shared" si="10"/>
        <v>0</v>
      </c>
      <c r="AE37" s="60">
        <f t="shared" si="11"/>
        <v>0</v>
      </c>
      <c r="AF37" s="61"/>
      <c r="AG37" s="61"/>
      <c r="AH37" s="61"/>
      <c r="AI37" s="62">
        <f t="shared" si="12"/>
        <v>0</v>
      </c>
      <c r="AJ37" s="62">
        <f t="shared" si="13"/>
        <v>0</v>
      </c>
      <c r="AK37" s="62">
        <f t="shared" si="14"/>
        <v>0</v>
      </c>
      <c r="AL37" s="63">
        <f t="shared" si="15"/>
        <v>0</v>
      </c>
      <c r="AM37" s="63">
        <f t="shared" si="16"/>
        <v>0</v>
      </c>
      <c r="AN37" s="63">
        <f t="shared" si="17"/>
        <v>0</v>
      </c>
      <c r="AO37" s="55">
        <f t="shared" si="18"/>
        <v>0</v>
      </c>
      <c r="AP37" s="64"/>
      <c r="AQ37" s="64"/>
      <c r="AR37" s="55">
        <f t="shared" si="19"/>
        <v>9872</v>
      </c>
      <c r="AS37" s="55"/>
      <c r="AT37" s="55"/>
      <c r="AU37" s="64"/>
      <c r="AV37" s="64"/>
      <c r="AW37" s="64"/>
      <c r="AX37" s="64"/>
      <c r="AY37" s="55">
        <f t="shared" si="20"/>
        <v>9872</v>
      </c>
      <c r="AZ37" s="55" t="s">
        <v>83</v>
      </c>
      <c r="BA37" s="55" t="s">
        <v>161</v>
      </c>
      <c r="BB37" s="65"/>
      <c r="BC37" s="65"/>
    </row>
    <row r="38" spans="1:55" ht="15.75" customHeight="1">
      <c r="A38" s="44">
        <f t="shared" si="0"/>
        <v>29</v>
      </c>
      <c r="B38" s="45" t="s">
        <v>179</v>
      </c>
      <c r="C38" s="46">
        <v>46035</v>
      </c>
      <c r="D38" s="47"/>
      <c r="E38" s="68" t="s">
        <v>175</v>
      </c>
      <c r="F38" s="69" t="s">
        <v>180</v>
      </c>
      <c r="G38" s="70" t="s">
        <v>80</v>
      </c>
      <c r="H38" s="71" t="str">
        <f>IF(AZ38="Payroll",VLOOKUP(E38,'CODE 2'!$R:$S,2,FALSE),"0")</f>
        <v>0</v>
      </c>
      <c r="I38" s="72" t="s">
        <v>94</v>
      </c>
      <c r="J38" s="72" t="s">
        <v>82</v>
      </c>
      <c r="K38" s="73"/>
      <c r="L38" s="74"/>
      <c r="M38" s="75" t="str">
        <f>IFERROR(VLOOKUP($H38,'CODE 2'!$J:$K,2,FALSE)," ")</f>
        <v xml:space="preserve"> </v>
      </c>
      <c r="N38" s="76" t="str">
        <f t="shared" si="1"/>
        <v/>
      </c>
      <c r="O38" s="76" t="str">
        <f t="shared" si="2"/>
        <v xml:space="preserve"> </v>
      </c>
      <c r="P38" s="76" t="str">
        <f t="shared" si="3"/>
        <v/>
      </c>
      <c r="Q38" s="76" t="str">
        <f t="shared" si="4"/>
        <v/>
      </c>
      <c r="R38" s="77">
        <v>11</v>
      </c>
      <c r="S38" s="76" t="str">
        <f t="shared" si="5"/>
        <v xml:space="preserve"> </v>
      </c>
      <c r="T38" s="57">
        <v>0</v>
      </c>
      <c r="U38" s="57">
        <v>0</v>
      </c>
      <c r="V38" s="57">
        <v>0</v>
      </c>
      <c r="W38" s="58" t="str">
        <f t="shared" si="22"/>
        <v xml:space="preserve"> </v>
      </c>
      <c r="X38" s="58" t="str">
        <f t="shared" si="7"/>
        <v/>
      </c>
      <c r="Y38" s="58" t="str">
        <f t="shared" si="8"/>
        <v/>
      </c>
      <c r="Z38" s="59"/>
      <c r="AA38" s="59"/>
      <c r="AB38" s="59"/>
      <c r="AC38" s="60" t="str">
        <f t="shared" si="9"/>
        <v xml:space="preserve"> </v>
      </c>
      <c r="AD38" s="60" t="str">
        <f t="shared" si="10"/>
        <v/>
      </c>
      <c r="AE38" s="60" t="str">
        <f t="shared" si="11"/>
        <v/>
      </c>
      <c r="AF38" s="61"/>
      <c r="AG38" s="61"/>
      <c r="AH38" s="61"/>
      <c r="AI38" s="62" t="str">
        <f t="shared" si="12"/>
        <v xml:space="preserve"> </v>
      </c>
      <c r="AJ38" s="62" t="str">
        <f t="shared" si="13"/>
        <v/>
      </c>
      <c r="AK38" s="62" t="str">
        <f t="shared" si="14"/>
        <v/>
      </c>
      <c r="AL38" s="63" t="str">
        <f t="shared" si="15"/>
        <v/>
      </c>
      <c r="AM38" s="63" t="str">
        <f t="shared" si="16"/>
        <v/>
      </c>
      <c r="AN38" s="63" t="str">
        <f t="shared" si="17"/>
        <v/>
      </c>
      <c r="AO38" s="55">
        <f t="shared" si="18"/>
        <v>0</v>
      </c>
      <c r="AP38" s="64"/>
      <c r="AQ38" s="64"/>
      <c r="AR38" s="55" t="str">
        <f>IFERROR(ROUND((S38-AO38+AP38),2),"")</f>
        <v/>
      </c>
      <c r="AS38" s="55"/>
      <c r="AT38" s="55"/>
      <c r="AU38" s="64"/>
      <c r="AV38" s="64"/>
      <c r="AW38" s="64"/>
      <c r="AX38" s="64"/>
      <c r="AY38" s="55" t="str">
        <f t="shared" si="20"/>
        <v/>
      </c>
      <c r="AZ38" s="55" t="s">
        <v>95</v>
      </c>
      <c r="BA38" s="55" t="s">
        <v>181</v>
      </c>
      <c r="BB38" s="65"/>
      <c r="BC38" s="65"/>
    </row>
    <row r="39" spans="1:55" ht="17.25" customHeight="1">
      <c r="A39" s="44">
        <f t="shared" si="0"/>
        <v>30</v>
      </c>
      <c r="B39" s="45" t="s">
        <v>182</v>
      </c>
      <c r="C39" s="46">
        <v>46036</v>
      </c>
      <c r="D39" s="47"/>
      <c r="E39" s="48" t="s">
        <v>163</v>
      </c>
      <c r="F39" s="44" t="s">
        <v>183</v>
      </c>
      <c r="G39" s="49" t="s">
        <v>80</v>
      </c>
      <c r="H39" s="50">
        <f>IF(AZ39="Payroll",VLOOKUP(E39,'CODE 2'!$R:$S,2,FALSE),"0")</f>
        <v>8</v>
      </c>
      <c r="I39" s="51" t="s">
        <v>81</v>
      </c>
      <c r="J39" s="51" t="s">
        <v>82</v>
      </c>
      <c r="K39" s="66"/>
      <c r="L39" s="67"/>
      <c r="M39" s="54">
        <f>IFERROR(VLOOKUP($H39,'CODE 2'!$J:$K,2,FALSE)," ")</f>
        <v>19744</v>
      </c>
      <c r="N39" s="55">
        <f t="shared" si="1"/>
        <v>9872</v>
      </c>
      <c r="O39" s="55">
        <f t="shared" si="2"/>
        <v>897.4545454545455</v>
      </c>
      <c r="P39" s="55">
        <f t="shared" si="3"/>
        <v>112.18181818181819</v>
      </c>
      <c r="Q39" s="55">
        <f t="shared" si="4"/>
        <v>1.8696969696969699</v>
      </c>
      <c r="R39" s="56" t="str">
        <f>IF(AZ39="Payroll","11","")</f>
        <v>11</v>
      </c>
      <c r="S39" s="55">
        <f t="shared" si="5"/>
        <v>9872</v>
      </c>
      <c r="T39" s="57">
        <v>0</v>
      </c>
      <c r="U39" s="57">
        <v>0</v>
      </c>
      <c r="V39" s="57">
        <v>0</v>
      </c>
      <c r="W39" s="58">
        <f t="shared" si="22"/>
        <v>0</v>
      </c>
      <c r="X39" s="58">
        <f t="shared" si="7"/>
        <v>0</v>
      </c>
      <c r="Y39" s="58">
        <f t="shared" si="8"/>
        <v>0</v>
      </c>
      <c r="Z39" s="59"/>
      <c r="AA39" s="59"/>
      <c r="AB39" s="59"/>
      <c r="AC39" s="60">
        <f t="shared" si="9"/>
        <v>0</v>
      </c>
      <c r="AD39" s="60">
        <f t="shared" si="10"/>
        <v>0</v>
      </c>
      <c r="AE39" s="60">
        <f t="shared" si="11"/>
        <v>0</v>
      </c>
      <c r="AF39" s="61"/>
      <c r="AG39" s="61"/>
      <c r="AH39" s="61"/>
      <c r="AI39" s="62">
        <f t="shared" si="12"/>
        <v>0</v>
      </c>
      <c r="AJ39" s="62">
        <f t="shared" si="13"/>
        <v>0</v>
      </c>
      <c r="AK39" s="62">
        <f t="shared" si="14"/>
        <v>0</v>
      </c>
      <c r="AL39" s="63">
        <f t="shared" si="15"/>
        <v>0</v>
      </c>
      <c r="AM39" s="63">
        <f t="shared" si="16"/>
        <v>0</v>
      </c>
      <c r="AN39" s="63">
        <f t="shared" si="17"/>
        <v>0</v>
      </c>
      <c r="AO39" s="55">
        <f t="shared" si="18"/>
        <v>0</v>
      </c>
      <c r="AP39" s="64"/>
      <c r="AQ39" s="64"/>
      <c r="AR39" s="55">
        <f>IFERROR(ROUND((S39-AO39-AP39),2),"")</f>
        <v>9872</v>
      </c>
      <c r="AS39" s="55"/>
      <c r="AT39" s="55"/>
      <c r="AU39" s="64"/>
      <c r="AV39" s="64"/>
      <c r="AW39" s="64"/>
      <c r="AX39" s="64"/>
      <c r="AY39" s="55">
        <f t="shared" si="20"/>
        <v>9872</v>
      </c>
      <c r="AZ39" s="55" t="s">
        <v>83</v>
      </c>
      <c r="BA39" s="55" t="s">
        <v>184</v>
      </c>
      <c r="BB39" s="65"/>
      <c r="BC39" s="65"/>
    </row>
    <row r="40" spans="1:55" ht="15.75" customHeight="1">
      <c r="A40" s="44">
        <f t="shared" si="0"/>
        <v>31</v>
      </c>
      <c r="B40" s="45" t="s">
        <v>185</v>
      </c>
      <c r="C40" s="46">
        <v>46036</v>
      </c>
      <c r="D40" s="47"/>
      <c r="E40" s="48" t="s">
        <v>186</v>
      </c>
      <c r="F40" s="44" t="s">
        <v>183</v>
      </c>
      <c r="G40" s="49" t="s">
        <v>80</v>
      </c>
      <c r="H40" s="50">
        <f>IF(AZ40="Payroll",VLOOKUP(E40,'CODE 2'!$R:$S,2,FALSE),"0")</f>
        <v>8</v>
      </c>
      <c r="I40" s="51" t="s">
        <v>81</v>
      </c>
      <c r="J40" s="51" t="s">
        <v>82</v>
      </c>
      <c r="K40" s="66"/>
      <c r="L40" s="67"/>
      <c r="M40" s="54">
        <f>IFERROR(VLOOKUP($H40,'CODE 2'!$J:$K,2,FALSE)," ")</f>
        <v>19744</v>
      </c>
      <c r="N40" s="55">
        <f t="shared" si="1"/>
        <v>9872</v>
      </c>
      <c r="O40" s="55">
        <f t="shared" si="2"/>
        <v>897.4545454545455</v>
      </c>
      <c r="P40" s="55">
        <f t="shared" si="3"/>
        <v>112.18181818181819</v>
      </c>
      <c r="Q40" s="55">
        <f t="shared" si="4"/>
        <v>1.8696969696969699</v>
      </c>
      <c r="R40" s="56">
        <v>11</v>
      </c>
      <c r="S40" s="55">
        <f t="shared" si="5"/>
        <v>9872</v>
      </c>
      <c r="T40" s="57">
        <v>0</v>
      </c>
      <c r="U40" s="57">
        <v>0</v>
      </c>
      <c r="V40" s="57">
        <v>0</v>
      </c>
      <c r="W40" s="58">
        <f t="shared" si="22"/>
        <v>0</v>
      </c>
      <c r="X40" s="58">
        <f t="shared" si="7"/>
        <v>0</v>
      </c>
      <c r="Y40" s="58">
        <f t="shared" si="8"/>
        <v>0</v>
      </c>
      <c r="Z40" s="59"/>
      <c r="AA40" s="59"/>
      <c r="AB40" s="59"/>
      <c r="AC40" s="60">
        <f t="shared" si="9"/>
        <v>0</v>
      </c>
      <c r="AD40" s="60">
        <f t="shared" si="10"/>
        <v>0</v>
      </c>
      <c r="AE40" s="60">
        <f t="shared" si="11"/>
        <v>0</v>
      </c>
      <c r="AF40" s="61"/>
      <c r="AG40" s="61"/>
      <c r="AH40" s="61"/>
      <c r="AI40" s="62">
        <f t="shared" si="12"/>
        <v>0</v>
      </c>
      <c r="AJ40" s="62">
        <f t="shared" si="13"/>
        <v>0</v>
      </c>
      <c r="AK40" s="62">
        <f t="shared" si="14"/>
        <v>0</v>
      </c>
      <c r="AL40" s="63">
        <f t="shared" si="15"/>
        <v>0</v>
      </c>
      <c r="AM40" s="63">
        <f t="shared" si="16"/>
        <v>0</v>
      </c>
      <c r="AN40" s="63">
        <f t="shared" si="17"/>
        <v>0</v>
      </c>
      <c r="AO40" s="55">
        <f t="shared" si="18"/>
        <v>0</v>
      </c>
      <c r="AP40" s="64"/>
      <c r="AQ40" s="64"/>
      <c r="AR40" s="55">
        <f t="shared" ref="AR40:AR41" si="23">IFERROR(ROUND((S40-AO40+AP40),2),"")</f>
        <v>9872</v>
      </c>
      <c r="AS40" s="55"/>
      <c r="AT40" s="55"/>
      <c r="AU40" s="64"/>
      <c r="AV40" s="64"/>
      <c r="AW40" s="64"/>
      <c r="AX40" s="64"/>
      <c r="AY40" s="55">
        <f t="shared" si="20"/>
        <v>9872</v>
      </c>
      <c r="AZ40" s="55" t="s">
        <v>83</v>
      </c>
      <c r="BA40" s="55" t="s">
        <v>187</v>
      </c>
      <c r="BB40" s="65"/>
      <c r="BC40" s="65"/>
    </row>
    <row r="41" spans="1:55" ht="14.25" customHeight="1">
      <c r="A41" s="44">
        <f t="shared" si="0"/>
        <v>32</v>
      </c>
      <c r="B41" s="45" t="s">
        <v>188</v>
      </c>
      <c r="C41" s="46">
        <v>46036</v>
      </c>
      <c r="D41" s="47"/>
      <c r="E41" s="48" t="s">
        <v>141</v>
      </c>
      <c r="F41" s="44" t="s">
        <v>189</v>
      </c>
      <c r="G41" s="49" t="s">
        <v>80</v>
      </c>
      <c r="H41" s="50">
        <f>IF(AZ41="Payroll",VLOOKUP(E41,'CODE 2'!$R:$S,2,FALSE),"0")</f>
        <v>8</v>
      </c>
      <c r="I41" s="51" t="s">
        <v>81</v>
      </c>
      <c r="J41" s="51" t="s">
        <v>82</v>
      </c>
      <c r="K41" s="66"/>
      <c r="L41" s="67"/>
      <c r="M41" s="54">
        <f>IFERROR(VLOOKUP($H41,'CODE 2'!$J:$K,2,FALSE)," ")</f>
        <v>19744</v>
      </c>
      <c r="N41" s="55">
        <f t="shared" si="1"/>
        <v>9872</v>
      </c>
      <c r="O41" s="55">
        <f t="shared" si="2"/>
        <v>897.4545454545455</v>
      </c>
      <c r="P41" s="55">
        <f t="shared" si="3"/>
        <v>112.18181818181819</v>
      </c>
      <c r="Q41" s="55">
        <f t="shared" si="4"/>
        <v>1.8696969696969699</v>
      </c>
      <c r="R41" s="56" t="str">
        <f t="shared" ref="R41:R61" si="24">IF(AZ41="Payroll","11","")</f>
        <v>11</v>
      </c>
      <c r="S41" s="55">
        <f t="shared" si="5"/>
        <v>9872</v>
      </c>
      <c r="T41" s="57">
        <v>0</v>
      </c>
      <c r="U41" s="57">
        <v>0</v>
      </c>
      <c r="V41" s="57">
        <v>0</v>
      </c>
      <c r="W41" s="58">
        <f t="shared" si="22"/>
        <v>0</v>
      </c>
      <c r="X41" s="58">
        <f t="shared" si="7"/>
        <v>0</v>
      </c>
      <c r="Y41" s="58">
        <f t="shared" si="8"/>
        <v>0</v>
      </c>
      <c r="Z41" s="59"/>
      <c r="AA41" s="59"/>
      <c r="AB41" s="59"/>
      <c r="AC41" s="60">
        <f t="shared" si="9"/>
        <v>0</v>
      </c>
      <c r="AD41" s="60">
        <f t="shared" si="10"/>
        <v>0</v>
      </c>
      <c r="AE41" s="60">
        <f t="shared" si="11"/>
        <v>0</v>
      </c>
      <c r="AF41" s="61"/>
      <c r="AG41" s="61"/>
      <c r="AH41" s="61"/>
      <c r="AI41" s="62">
        <f t="shared" si="12"/>
        <v>0</v>
      </c>
      <c r="AJ41" s="62">
        <f t="shared" si="13"/>
        <v>0</v>
      </c>
      <c r="AK41" s="62">
        <f t="shared" si="14"/>
        <v>0</v>
      </c>
      <c r="AL41" s="63">
        <f t="shared" si="15"/>
        <v>0</v>
      </c>
      <c r="AM41" s="63">
        <f t="shared" si="16"/>
        <v>0</v>
      </c>
      <c r="AN41" s="63">
        <f t="shared" si="17"/>
        <v>0</v>
      </c>
      <c r="AO41" s="55">
        <f t="shared" si="18"/>
        <v>0</v>
      </c>
      <c r="AP41" s="64"/>
      <c r="AQ41" s="64"/>
      <c r="AR41" s="55">
        <f t="shared" si="23"/>
        <v>9872</v>
      </c>
      <c r="AS41" s="55"/>
      <c r="AT41" s="55"/>
      <c r="AU41" s="64">
        <v>2000</v>
      </c>
      <c r="AV41" s="64">
        <v>461.39</v>
      </c>
      <c r="AW41" s="64"/>
      <c r="AX41" s="64"/>
      <c r="AY41" s="55">
        <f t="shared" si="20"/>
        <v>7410.61</v>
      </c>
      <c r="AZ41" s="55" t="s">
        <v>83</v>
      </c>
      <c r="BA41" s="55" t="s">
        <v>102</v>
      </c>
      <c r="BB41" s="65"/>
      <c r="BC41" s="65"/>
    </row>
    <row r="42" spans="1:55" ht="15.75" customHeight="1">
      <c r="A42" s="44">
        <f t="shared" si="0"/>
        <v>33</v>
      </c>
      <c r="B42" s="45" t="s">
        <v>190</v>
      </c>
      <c r="C42" s="46">
        <v>46036</v>
      </c>
      <c r="D42" s="47"/>
      <c r="E42" s="48" t="s">
        <v>181</v>
      </c>
      <c r="F42" s="44" t="s">
        <v>189</v>
      </c>
      <c r="G42" s="49" t="s">
        <v>80</v>
      </c>
      <c r="H42" s="50">
        <f>IF(AZ42="Payroll",VLOOKUP(E42,'CODE 2'!$R:$S,2,FALSE),"0")</f>
        <v>8</v>
      </c>
      <c r="I42" s="51" t="s">
        <v>81</v>
      </c>
      <c r="J42" s="51" t="s">
        <v>82</v>
      </c>
      <c r="K42" s="66"/>
      <c r="L42" s="67"/>
      <c r="M42" s="54">
        <f>IFERROR(VLOOKUP($H42,'CODE 2'!$J:$K,2,FALSE)," ")</f>
        <v>19744</v>
      </c>
      <c r="N42" s="55">
        <f t="shared" si="1"/>
        <v>9872</v>
      </c>
      <c r="O42" s="55">
        <f t="shared" si="2"/>
        <v>897.4545454545455</v>
      </c>
      <c r="P42" s="55">
        <f t="shared" si="3"/>
        <v>112.18181818181819</v>
      </c>
      <c r="Q42" s="55">
        <f t="shared" si="4"/>
        <v>1.8696969696969699</v>
      </c>
      <c r="R42" s="56" t="str">
        <f t="shared" si="24"/>
        <v>11</v>
      </c>
      <c r="S42" s="55">
        <f t="shared" si="5"/>
        <v>9872</v>
      </c>
      <c r="T42" s="57">
        <v>0</v>
      </c>
      <c r="U42" s="57">
        <v>4</v>
      </c>
      <c r="V42" s="57">
        <v>58</v>
      </c>
      <c r="W42" s="58">
        <f t="shared" si="22"/>
        <v>0</v>
      </c>
      <c r="X42" s="58">
        <f t="shared" si="7"/>
        <v>448.73</v>
      </c>
      <c r="Y42" s="58">
        <f t="shared" si="8"/>
        <v>108.44</v>
      </c>
      <c r="Z42" s="59"/>
      <c r="AA42" s="59"/>
      <c r="AB42" s="59"/>
      <c r="AC42" s="60">
        <f t="shared" si="9"/>
        <v>0</v>
      </c>
      <c r="AD42" s="60">
        <f t="shared" si="10"/>
        <v>0</v>
      </c>
      <c r="AE42" s="60">
        <f t="shared" si="11"/>
        <v>0</v>
      </c>
      <c r="AF42" s="61"/>
      <c r="AG42" s="61"/>
      <c r="AH42" s="61"/>
      <c r="AI42" s="62">
        <f t="shared" si="12"/>
        <v>0</v>
      </c>
      <c r="AJ42" s="62">
        <f t="shared" si="13"/>
        <v>0</v>
      </c>
      <c r="AK42" s="62">
        <f t="shared" si="14"/>
        <v>0</v>
      </c>
      <c r="AL42" s="63">
        <f t="shared" si="15"/>
        <v>0</v>
      </c>
      <c r="AM42" s="63">
        <f t="shared" si="16"/>
        <v>448.73</v>
      </c>
      <c r="AN42" s="63">
        <f t="shared" si="17"/>
        <v>108.44</v>
      </c>
      <c r="AO42" s="55">
        <f t="shared" si="18"/>
        <v>557.17000000000007</v>
      </c>
      <c r="AP42" s="64"/>
      <c r="AQ42" s="64"/>
      <c r="AR42" s="55">
        <f t="shared" ref="AR42:AR47" si="25">IFERROR(ROUND((S42-AO42-AP42),2),"")</f>
        <v>9314.83</v>
      </c>
      <c r="AS42" s="55"/>
      <c r="AT42" s="55"/>
      <c r="AU42" s="64"/>
      <c r="AV42" s="64"/>
      <c r="AW42" s="64"/>
      <c r="AX42" s="64"/>
      <c r="AY42" s="55">
        <f t="shared" si="20"/>
        <v>9314.83</v>
      </c>
      <c r="AZ42" s="55" t="s">
        <v>83</v>
      </c>
      <c r="BA42" s="55" t="s">
        <v>191</v>
      </c>
      <c r="BB42" s="65"/>
      <c r="BC42" s="65"/>
    </row>
    <row r="43" spans="1:55" ht="15.75" customHeight="1">
      <c r="A43" s="44">
        <f t="shared" si="0"/>
        <v>34</v>
      </c>
      <c r="B43" s="45" t="s">
        <v>192</v>
      </c>
      <c r="C43" s="46">
        <v>46036</v>
      </c>
      <c r="D43" s="112"/>
      <c r="E43" s="48" t="s">
        <v>166</v>
      </c>
      <c r="F43" s="44" t="s">
        <v>193</v>
      </c>
      <c r="G43" s="49" t="s">
        <v>194</v>
      </c>
      <c r="H43" s="50">
        <f>IF(AZ43="Payroll",VLOOKUP(E43,'CODE 2'!$R:$S,2,FALSE),"0")</f>
        <v>7</v>
      </c>
      <c r="I43" s="51" t="s">
        <v>81</v>
      </c>
      <c r="J43" s="51" t="s">
        <v>82</v>
      </c>
      <c r="K43" s="66"/>
      <c r="L43" s="67"/>
      <c r="M43" s="54">
        <f>IFERROR(VLOOKUP($H43,'CODE 2'!$J:$K,2,FALSE)," ")</f>
        <v>18620</v>
      </c>
      <c r="N43" s="55">
        <f t="shared" si="1"/>
        <v>9310</v>
      </c>
      <c r="O43" s="55">
        <f t="shared" si="2"/>
        <v>846.36363636363637</v>
      </c>
      <c r="P43" s="55">
        <f t="shared" si="3"/>
        <v>105.79545454545455</v>
      </c>
      <c r="Q43" s="55">
        <f t="shared" si="4"/>
        <v>1.7632575757575757</v>
      </c>
      <c r="R43" s="56" t="str">
        <f t="shared" si="24"/>
        <v>11</v>
      </c>
      <c r="S43" s="55">
        <f t="shared" si="5"/>
        <v>9310</v>
      </c>
      <c r="T43" s="57">
        <v>0</v>
      </c>
      <c r="U43" s="57">
        <v>0</v>
      </c>
      <c r="V43" s="57">
        <v>37</v>
      </c>
      <c r="W43" s="58">
        <f t="shared" si="22"/>
        <v>0</v>
      </c>
      <c r="X43" s="58">
        <f t="shared" si="7"/>
        <v>0</v>
      </c>
      <c r="Y43" s="58">
        <f t="shared" si="8"/>
        <v>65.239999999999995</v>
      </c>
      <c r="Z43" s="59"/>
      <c r="AA43" s="59"/>
      <c r="AB43" s="59"/>
      <c r="AC43" s="60">
        <f t="shared" si="9"/>
        <v>0</v>
      </c>
      <c r="AD43" s="60">
        <f t="shared" si="10"/>
        <v>0</v>
      </c>
      <c r="AE43" s="60">
        <f t="shared" si="11"/>
        <v>0</v>
      </c>
      <c r="AF43" s="61"/>
      <c r="AG43" s="61"/>
      <c r="AH43" s="61"/>
      <c r="AI43" s="62">
        <f t="shared" si="12"/>
        <v>0</v>
      </c>
      <c r="AJ43" s="62">
        <f t="shared" si="13"/>
        <v>0</v>
      </c>
      <c r="AK43" s="62">
        <f t="shared" si="14"/>
        <v>0</v>
      </c>
      <c r="AL43" s="63">
        <f t="shared" si="15"/>
        <v>0</v>
      </c>
      <c r="AM43" s="63">
        <f t="shared" si="16"/>
        <v>0</v>
      </c>
      <c r="AN43" s="63">
        <f t="shared" si="17"/>
        <v>65.239999999999995</v>
      </c>
      <c r="AO43" s="55">
        <f t="shared" si="18"/>
        <v>65.239999999999995</v>
      </c>
      <c r="AP43" s="64"/>
      <c r="AQ43" s="64"/>
      <c r="AR43" s="55">
        <f t="shared" si="25"/>
        <v>9244.76</v>
      </c>
      <c r="AS43" s="55"/>
      <c r="AT43" s="55"/>
      <c r="AU43" s="64"/>
      <c r="AV43" s="64"/>
      <c r="AW43" s="64"/>
      <c r="AX43" s="64"/>
      <c r="AY43" s="55">
        <f t="shared" si="20"/>
        <v>9244.76</v>
      </c>
      <c r="AZ43" s="55" t="s">
        <v>83</v>
      </c>
      <c r="BA43" s="55" t="s">
        <v>195</v>
      </c>
      <c r="BB43" s="81"/>
      <c r="BC43" s="81"/>
    </row>
    <row r="44" spans="1:55" ht="15.75" customHeight="1">
      <c r="A44" s="44">
        <f t="shared" si="0"/>
        <v>35</v>
      </c>
      <c r="B44" s="45" t="s">
        <v>196</v>
      </c>
      <c r="C44" s="46">
        <v>46036</v>
      </c>
      <c r="D44" s="113"/>
      <c r="E44" s="48" t="s">
        <v>149</v>
      </c>
      <c r="F44" s="44" t="s">
        <v>193</v>
      </c>
      <c r="G44" s="49" t="s">
        <v>80</v>
      </c>
      <c r="H44" s="50">
        <f>IF(AZ44="Payroll",VLOOKUP(E44,'CODE 2'!$R:$S,2,FALSE),"0")</f>
        <v>8</v>
      </c>
      <c r="I44" s="51" t="s">
        <v>81</v>
      </c>
      <c r="J44" s="51" t="s">
        <v>82</v>
      </c>
      <c r="K44" s="66"/>
      <c r="L44" s="67"/>
      <c r="M44" s="54">
        <f>IFERROR(VLOOKUP($H44,'CODE 2'!$J:$K,2,FALSE)," ")</f>
        <v>19744</v>
      </c>
      <c r="N44" s="55">
        <f t="shared" si="1"/>
        <v>9872</v>
      </c>
      <c r="O44" s="55">
        <f t="shared" si="2"/>
        <v>897.4545454545455</v>
      </c>
      <c r="P44" s="55">
        <f t="shared" si="3"/>
        <v>112.18181818181819</v>
      </c>
      <c r="Q44" s="55">
        <f t="shared" si="4"/>
        <v>1.8696969696969699</v>
      </c>
      <c r="R44" s="56" t="str">
        <f t="shared" si="24"/>
        <v>11</v>
      </c>
      <c r="S44" s="55">
        <f t="shared" si="5"/>
        <v>9872</v>
      </c>
      <c r="T44" s="57">
        <v>1</v>
      </c>
      <c r="U44" s="57">
        <v>0</v>
      </c>
      <c r="V44" s="57">
        <v>0</v>
      </c>
      <c r="W44" s="58">
        <f t="shared" si="22"/>
        <v>897.45</v>
      </c>
      <c r="X44" s="58">
        <f t="shared" si="7"/>
        <v>0</v>
      </c>
      <c r="Y44" s="58">
        <f t="shared" si="8"/>
        <v>0</v>
      </c>
      <c r="Z44" s="59"/>
      <c r="AA44" s="59"/>
      <c r="AB44" s="59"/>
      <c r="AC44" s="60">
        <f t="shared" si="9"/>
        <v>0</v>
      </c>
      <c r="AD44" s="60">
        <f t="shared" si="10"/>
        <v>0</v>
      </c>
      <c r="AE44" s="60">
        <f t="shared" si="11"/>
        <v>0</v>
      </c>
      <c r="AF44" s="61"/>
      <c r="AG44" s="61"/>
      <c r="AH44" s="61"/>
      <c r="AI44" s="62">
        <f t="shared" si="12"/>
        <v>0</v>
      </c>
      <c r="AJ44" s="62">
        <f t="shared" si="13"/>
        <v>0</v>
      </c>
      <c r="AK44" s="62">
        <f t="shared" si="14"/>
        <v>0</v>
      </c>
      <c r="AL44" s="63">
        <f t="shared" si="15"/>
        <v>897.45</v>
      </c>
      <c r="AM44" s="63">
        <f t="shared" si="16"/>
        <v>0</v>
      </c>
      <c r="AN44" s="63">
        <f t="shared" si="17"/>
        <v>0</v>
      </c>
      <c r="AO44" s="55">
        <f t="shared" si="18"/>
        <v>897.45</v>
      </c>
      <c r="AP44" s="64"/>
      <c r="AQ44" s="64"/>
      <c r="AR44" s="55">
        <f t="shared" si="25"/>
        <v>8974.5499999999993</v>
      </c>
      <c r="AS44" s="55"/>
      <c r="AT44" s="55"/>
      <c r="AU44" s="64"/>
      <c r="AV44" s="64"/>
      <c r="AW44" s="64"/>
      <c r="AX44" s="64"/>
      <c r="AY44" s="55">
        <f t="shared" si="20"/>
        <v>8974.5499999999993</v>
      </c>
      <c r="AZ44" s="55" t="s">
        <v>83</v>
      </c>
      <c r="BA44" s="55" t="s">
        <v>197</v>
      </c>
      <c r="BB44" s="65"/>
      <c r="BC44" s="65"/>
    </row>
    <row r="45" spans="1:55" ht="15.75" customHeight="1">
      <c r="A45" s="44">
        <f t="shared" si="0"/>
        <v>36</v>
      </c>
      <c r="B45" s="114" t="s">
        <v>198</v>
      </c>
      <c r="C45" s="115">
        <v>46036</v>
      </c>
      <c r="D45" s="116"/>
      <c r="E45" s="48" t="s">
        <v>199</v>
      </c>
      <c r="F45" s="117" t="s">
        <v>193</v>
      </c>
      <c r="G45" s="118" t="s">
        <v>194</v>
      </c>
      <c r="H45" s="119">
        <f>IF(AZ45="Payroll",VLOOKUP(E45,'CODE 2'!$R:$S,2,FALSE),"0")</f>
        <v>7</v>
      </c>
      <c r="I45" s="120" t="s">
        <v>81</v>
      </c>
      <c r="J45" s="120"/>
      <c r="K45" s="66"/>
      <c r="L45" s="67"/>
      <c r="M45" s="54">
        <f>IFERROR(VLOOKUP($H45,'CODE 2'!$J:$K,2,FALSE)," ")</f>
        <v>18620</v>
      </c>
      <c r="N45" s="55">
        <f t="shared" si="1"/>
        <v>9310</v>
      </c>
      <c r="O45" s="55">
        <f t="shared" si="2"/>
        <v>846.36363636363637</v>
      </c>
      <c r="P45" s="55">
        <f t="shared" si="3"/>
        <v>105.79545454545455</v>
      </c>
      <c r="Q45" s="55">
        <f t="shared" si="4"/>
        <v>1.7632575757575757</v>
      </c>
      <c r="R45" s="56" t="str">
        <f t="shared" si="24"/>
        <v>11</v>
      </c>
      <c r="S45" s="55">
        <f t="shared" si="5"/>
        <v>9310</v>
      </c>
      <c r="T45" s="57">
        <v>0</v>
      </c>
      <c r="U45" s="57">
        <v>0</v>
      </c>
      <c r="V45" s="57">
        <v>0</v>
      </c>
      <c r="W45" s="58">
        <f t="shared" si="22"/>
        <v>0</v>
      </c>
      <c r="X45" s="58">
        <f t="shared" si="7"/>
        <v>0</v>
      </c>
      <c r="Y45" s="58">
        <f t="shared" si="8"/>
        <v>0</v>
      </c>
      <c r="Z45" s="59"/>
      <c r="AA45" s="59"/>
      <c r="AB45" s="59"/>
      <c r="AC45" s="60">
        <f t="shared" si="9"/>
        <v>0</v>
      </c>
      <c r="AD45" s="60">
        <f t="shared" si="10"/>
        <v>0</v>
      </c>
      <c r="AE45" s="60">
        <f t="shared" si="11"/>
        <v>0</v>
      </c>
      <c r="AF45" s="61"/>
      <c r="AG45" s="61"/>
      <c r="AH45" s="61"/>
      <c r="AI45" s="62">
        <f t="shared" si="12"/>
        <v>0</v>
      </c>
      <c r="AJ45" s="62">
        <f t="shared" si="13"/>
        <v>0</v>
      </c>
      <c r="AK45" s="62">
        <f t="shared" si="14"/>
        <v>0</v>
      </c>
      <c r="AL45" s="63">
        <f t="shared" si="15"/>
        <v>0</v>
      </c>
      <c r="AM45" s="63">
        <f t="shared" si="16"/>
        <v>0</v>
      </c>
      <c r="AN45" s="63">
        <f t="shared" si="17"/>
        <v>0</v>
      </c>
      <c r="AO45" s="55">
        <f t="shared" si="18"/>
        <v>0</v>
      </c>
      <c r="AP45" s="64"/>
      <c r="AQ45" s="64"/>
      <c r="AR45" s="55">
        <f t="shared" si="25"/>
        <v>9310</v>
      </c>
      <c r="AS45" s="55"/>
      <c r="AT45" s="55"/>
      <c r="AU45" s="64"/>
      <c r="AV45" s="64"/>
      <c r="AW45" s="64"/>
      <c r="AX45" s="64"/>
      <c r="AY45" s="55">
        <f t="shared" si="20"/>
        <v>9310</v>
      </c>
      <c r="AZ45" s="55" t="s">
        <v>83</v>
      </c>
      <c r="BA45" s="55" t="s">
        <v>113</v>
      </c>
      <c r="BB45" s="65"/>
      <c r="BC45" s="65"/>
    </row>
    <row r="46" spans="1:55" ht="15.75" customHeight="1">
      <c r="A46" s="44">
        <f t="shared" si="0"/>
        <v>37</v>
      </c>
      <c r="B46" s="114" t="s">
        <v>200</v>
      </c>
      <c r="C46" s="121">
        <v>46036</v>
      </c>
      <c r="D46" s="116"/>
      <c r="E46" s="48" t="s">
        <v>201</v>
      </c>
      <c r="F46" s="117" t="s">
        <v>193</v>
      </c>
      <c r="G46" s="118" t="s">
        <v>194</v>
      </c>
      <c r="H46" s="119">
        <f>IF(AZ46="Payroll",VLOOKUP(E46,'CODE 2'!$R:$S,2,FALSE),"0")</f>
        <v>7</v>
      </c>
      <c r="I46" s="120" t="s">
        <v>81</v>
      </c>
      <c r="J46" s="120"/>
      <c r="K46" s="66"/>
      <c r="L46" s="67"/>
      <c r="M46" s="54">
        <f>IFERROR(VLOOKUP($H46,'CODE 2'!$J:$K,2,FALSE)," ")</f>
        <v>18620</v>
      </c>
      <c r="N46" s="55">
        <f t="shared" si="1"/>
        <v>9310</v>
      </c>
      <c r="O46" s="55">
        <f t="shared" si="2"/>
        <v>846.36363636363637</v>
      </c>
      <c r="P46" s="55">
        <f t="shared" si="3"/>
        <v>105.79545454545455</v>
      </c>
      <c r="Q46" s="55">
        <f t="shared" si="4"/>
        <v>1.7632575757575757</v>
      </c>
      <c r="R46" s="56" t="str">
        <f t="shared" si="24"/>
        <v>11</v>
      </c>
      <c r="S46" s="55">
        <f t="shared" si="5"/>
        <v>9310</v>
      </c>
      <c r="T46" s="57">
        <v>0</v>
      </c>
      <c r="U46" s="57">
        <v>0</v>
      </c>
      <c r="V46" s="57">
        <v>0</v>
      </c>
      <c r="W46" s="58">
        <f t="shared" si="22"/>
        <v>0</v>
      </c>
      <c r="X46" s="58">
        <f t="shared" si="7"/>
        <v>0</v>
      </c>
      <c r="Y46" s="58">
        <f t="shared" si="8"/>
        <v>0</v>
      </c>
      <c r="Z46" s="59"/>
      <c r="AA46" s="59"/>
      <c r="AB46" s="59"/>
      <c r="AC46" s="60">
        <f t="shared" si="9"/>
        <v>0</v>
      </c>
      <c r="AD46" s="60">
        <f t="shared" si="10"/>
        <v>0</v>
      </c>
      <c r="AE46" s="60">
        <f t="shared" si="11"/>
        <v>0</v>
      </c>
      <c r="AF46" s="61"/>
      <c r="AG46" s="61"/>
      <c r="AH46" s="61"/>
      <c r="AI46" s="62">
        <f t="shared" si="12"/>
        <v>0</v>
      </c>
      <c r="AJ46" s="62">
        <f t="shared" si="13"/>
        <v>0</v>
      </c>
      <c r="AK46" s="62">
        <f t="shared" si="14"/>
        <v>0</v>
      </c>
      <c r="AL46" s="63">
        <f t="shared" si="15"/>
        <v>0</v>
      </c>
      <c r="AM46" s="63">
        <f t="shared" si="16"/>
        <v>0</v>
      </c>
      <c r="AN46" s="63">
        <f t="shared" si="17"/>
        <v>0</v>
      </c>
      <c r="AO46" s="55">
        <f t="shared" si="18"/>
        <v>0</v>
      </c>
      <c r="AP46" s="64"/>
      <c r="AQ46" s="64"/>
      <c r="AR46" s="55">
        <f t="shared" si="25"/>
        <v>9310</v>
      </c>
      <c r="AS46" s="55"/>
      <c r="AT46" s="55"/>
      <c r="AU46" s="64"/>
      <c r="AV46" s="64"/>
      <c r="AW46" s="64"/>
      <c r="AX46" s="64"/>
      <c r="AY46" s="55">
        <f t="shared" si="20"/>
        <v>9310</v>
      </c>
      <c r="AZ46" s="55" t="s">
        <v>83</v>
      </c>
      <c r="BA46" s="55" t="s">
        <v>129</v>
      </c>
      <c r="BB46" s="65"/>
      <c r="BC46" s="65"/>
    </row>
    <row r="47" spans="1:55" ht="15.75" customHeight="1">
      <c r="A47" s="44">
        <f t="shared" si="0"/>
        <v>38</v>
      </c>
      <c r="B47" s="114" t="s">
        <v>202</v>
      </c>
      <c r="C47" s="121">
        <v>46036</v>
      </c>
      <c r="D47" s="116"/>
      <c r="E47" s="48" t="s">
        <v>191</v>
      </c>
      <c r="F47" s="117" t="s">
        <v>193</v>
      </c>
      <c r="G47" s="118" t="s">
        <v>194</v>
      </c>
      <c r="H47" s="119">
        <f>IF(AZ47="Payroll",VLOOKUP(E47,'CODE 2'!$R:$S,2,FALSE),"0")</f>
        <v>7</v>
      </c>
      <c r="I47" s="120" t="s">
        <v>81</v>
      </c>
      <c r="J47" s="120"/>
      <c r="K47" s="66"/>
      <c r="L47" s="67"/>
      <c r="M47" s="54">
        <f>IFERROR(VLOOKUP($H47,'CODE 2'!$J:$K,2,FALSE)," ")</f>
        <v>18620</v>
      </c>
      <c r="N47" s="55">
        <f t="shared" si="1"/>
        <v>9310</v>
      </c>
      <c r="O47" s="55">
        <f t="shared" si="2"/>
        <v>846.36363636363637</v>
      </c>
      <c r="P47" s="55">
        <f t="shared" si="3"/>
        <v>105.79545454545455</v>
      </c>
      <c r="Q47" s="55">
        <f t="shared" si="4"/>
        <v>1.7632575757575757</v>
      </c>
      <c r="R47" s="56" t="str">
        <f t="shared" si="24"/>
        <v>11</v>
      </c>
      <c r="S47" s="55">
        <f t="shared" si="5"/>
        <v>9310</v>
      </c>
      <c r="T47" s="57">
        <v>3</v>
      </c>
      <c r="U47" s="57">
        <v>0</v>
      </c>
      <c r="V47" s="57">
        <v>0</v>
      </c>
      <c r="W47" s="58">
        <f t="shared" si="22"/>
        <v>2539.09</v>
      </c>
      <c r="X47" s="58">
        <f t="shared" si="7"/>
        <v>0</v>
      </c>
      <c r="Y47" s="58">
        <f t="shared" si="8"/>
        <v>0</v>
      </c>
      <c r="Z47" s="59"/>
      <c r="AA47" s="59"/>
      <c r="AB47" s="59"/>
      <c r="AC47" s="60">
        <f t="shared" si="9"/>
        <v>0</v>
      </c>
      <c r="AD47" s="60">
        <f t="shared" si="10"/>
        <v>0</v>
      </c>
      <c r="AE47" s="60">
        <f t="shared" si="11"/>
        <v>0</v>
      </c>
      <c r="AF47" s="61"/>
      <c r="AG47" s="61"/>
      <c r="AH47" s="61"/>
      <c r="AI47" s="62">
        <f t="shared" si="12"/>
        <v>0</v>
      </c>
      <c r="AJ47" s="62">
        <f t="shared" si="13"/>
        <v>0</v>
      </c>
      <c r="AK47" s="62">
        <f t="shared" si="14"/>
        <v>0</v>
      </c>
      <c r="AL47" s="63">
        <f t="shared" si="15"/>
        <v>2539.09</v>
      </c>
      <c r="AM47" s="63">
        <f t="shared" si="16"/>
        <v>0</v>
      </c>
      <c r="AN47" s="63">
        <f t="shared" si="17"/>
        <v>0</v>
      </c>
      <c r="AO47" s="55">
        <f t="shared" si="18"/>
        <v>2539.09</v>
      </c>
      <c r="AP47" s="64"/>
      <c r="AQ47" s="64"/>
      <c r="AR47" s="55">
        <f t="shared" si="25"/>
        <v>6770.91</v>
      </c>
      <c r="AS47" s="55"/>
      <c r="AT47" s="55"/>
      <c r="AU47" s="64"/>
      <c r="AV47" s="64"/>
      <c r="AW47" s="64"/>
      <c r="AX47" s="64"/>
      <c r="AY47" s="55">
        <f t="shared" si="20"/>
        <v>6770.91</v>
      </c>
      <c r="AZ47" s="55" t="s">
        <v>83</v>
      </c>
      <c r="BA47" s="55" t="s">
        <v>203</v>
      </c>
      <c r="BB47" s="65"/>
      <c r="BC47" s="65"/>
    </row>
    <row r="48" spans="1:55" ht="15.75" customHeight="1">
      <c r="A48" s="44">
        <f t="shared" si="0"/>
        <v>39</v>
      </c>
      <c r="B48" s="114" t="s">
        <v>204</v>
      </c>
      <c r="C48" s="121">
        <v>46036</v>
      </c>
      <c r="D48" s="116"/>
      <c r="E48" s="48" t="s">
        <v>205</v>
      </c>
      <c r="F48" s="117" t="s">
        <v>193</v>
      </c>
      <c r="G48" s="118" t="s">
        <v>206</v>
      </c>
      <c r="H48" s="119">
        <f>IF(AZ48="Payroll",VLOOKUP(E48,'CODE 2'!$R:$S,2,FALSE),"0")</f>
        <v>7</v>
      </c>
      <c r="I48" s="120" t="s">
        <v>81</v>
      </c>
      <c r="J48" s="120"/>
      <c r="K48" s="66"/>
      <c r="L48" s="67"/>
      <c r="M48" s="54">
        <f>IFERROR(VLOOKUP($H48,'CODE 2'!$J:$K,2,FALSE)," ")</f>
        <v>18620</v>
      </c>
      <c r="N48" s="55">
        <f t="shared" si="1"/>
        <v>9310</v>
      </c>
      <c r="O48" s="55">
        <f t="shared" si="2"/>
        <v>846.36363636363637</v>
      </c>
      <c r="P48" s="55">
        <f t="shared" si="3"/>
        <v>105.79545454545455</v>
      </c>
      <c r="Q48" s="55">
        <f t="shared" si="4"/>
        <v>1.7632575757575757</v>
      </c>
      <c r="R48" s="56" t="str">
        <f t="shared" si="24"/>
        <v>11</v>
      </c>
      <c r="S48" s="55">
        <f t="shared" si="5"/>
        <v>9310</v>
      </c>
      <c r="T48" s="57">
        <v>0</v>
      </c>
      <c r="U48" s="57">
        <v>0</v>
      </c>
      <c r="V48" s="57">
        <v>0</v>
      </c>
      <c r="W48" s="58">
        <f t="shared" si="22"/>
        <v>0</v>
      </c>
      <c r="X48" s="58">
        <f t="shared" si="7"/>
        <v>0</v>
      </c>
      <c r="Y48" s="58">
        <f t="shared" si="8"/>
        <v>0</v>
      </c>
      <c r="Z48" s="59"/>
      <c r="AA48" s="59"/>
      <c r="AB48" s="59"/>
      <c r="AC48" s="60">
        <f t="shared" si="9"/>
        <v>0</v>
      </c>
      <c r="AD48" s="60">
        <f t="shared" si="10"/>
        <v>0</v>
      </c>
      <c r="AE48" s="60">
        <f t="shared" si="11"/>
        <v>0</v>
      </c>
      <c r="AF48" s="61"/>
      <c r="AG48" s="61"/>
      <c r="AH48" s="61"/>
      <c r="AI48" s="62">
        <f t="shared" si="12"/>
        <v>0</v>
      </c>
      <c r="AJ48" s="62">
        <f t="shared" si="13"/>
        <v>0</v>
      </c>
      <c r="AK48" s="62">
        <f t="shared" si="14"/>
        <v>0</v>
      </c>
      <c r="AL48" s="63">
        <f t="shared" si="15"/>
        <v>0</v>
      </c>
      <c r="AM48" s="63">
        <f t="shared" si="16"/>
        <v>0</v>
      </c>
      <c r="AN48" s="63">
        <f t="shared" si="17"/>
        <v>0</v>
      </c>
      <c r="AO48" s="55">
        <f t="shared" si="18"/>
        <v>0</v>
      </c>
      <c r="AP48" s="64"/>
      <c r="AQ48" s="64"/>
      <c r="AR48" s="55">
        <f>IFERROR(ROUND((S48-AO48+AP48),2),"")</f>
        <v>9310</v>
      </c>
      <c r="AS48" s="55"/>
      <c r="AT48" s="55"/>
      <c r="AU48" s="64"/>
      <c r="AV48" s="64"/>
      <c r="AW48" s="64"/>
      <c r="AX48" s="64"/>
      <c r="AY48" s="55">
        <f t="shared" si="20"/>
        <v>9310</v>
      </c>
      <c r="AZ48" s="55" t="s">
        <v>83</v>
      </c>
      <c r="BA48" s="55" t="s">
        <v>207</v>
      </c>
      <c r="BB48" s="65"/>
      <c r="BC48" s="65"/>
    </row>
    <row r="49" spans="1:55" ht="15.75" customHeight="1">
      <c r="A49" s="44">
        <f t="shared" si="0"/>
        <v>40</v>
      </c>
      <c r="B49" s="114" t="s">
        <v>208</v>
      </c>
      <c r="C49" s="115">
        <v>46036</v>
      </c>
      <c r="D49" s="116"/>
      <c r="E49" s="48" t="s">
        <v>209</v>
      </c>
      <c r="F49" s="117" t="s">
        <v>193</v>
      </c>
      <c r="G49" s="118" t="s">
        <v>206</v>
      </c>
      <c r="H49" s="119">
        <f>IF(AZ49="Payroll",VLOOKUP(E49,'CODE 2'!$R:$S,2,FALSE),"0")</f>
        <v>7</v>
      </c>
      <c r="I49" s="120" t="s">
        <v>81</v>
      </c>
      <c r="J49" s="120"/>
      <c r="K49" s="66"/>
      <c r="L49" s="67"/>
      <c r="M49" s="54">
        <f>IFERROR(VLOOKUP($H49,'CODE 2'!$J:$K,2,FALSE)," ")</f>
        <v>18620</v>
      </c>
      <c r="N49" s="55">
        <f t="shared" si="1"/>
        <v>9310</v>
      </c>
      <c r="O49" s="55">
        <f t="shared" si="2"/>
        <v>846.36363636363637</v>
      </c>
      <c r="P49" s="55">
        <f t="shared" si="3"/>
        <v>105.79545454545455</v>
      </c>
      <c r="Q49" s="55">
        <f t="shared" si="4"/>
        <v>1.7632575757575757</v>
      </c>
      <c r="R49" s="56" t="str">
        <f t="shared" si="24"/>
        <v>11</v>
      </c>
      <c r="S49" s="55">
        <f t="shared" si="5"/>
        <v>9310</v>
      </c>
      <c r="T49" s="57">
        <v>0</v>
      </c>
      <c r="U49" s="57">
        <v>0</v>
      </c>
      <c r="V49" s="57">
        <v>0</v>
      </c>
      <c r="W49" s="58">
        <f t="shared" si="22"/>
        <v>0</v>
      </c>
      <c r="X49" s="58">
        <f t="shared" si="7"/>
        <v>0</v>
      </c>
      <c r="Y49" s="58">
        <f t="shared" si="8"/>
        <v>0</v>
      </c>
      <c r="Z49" s="59"/>
      <c r="AA49" s="59"/>
      <c r="AB49" s="59"/>
      <c r="AC49" s="60">
        <f t="shared" si="9"/>
        <v>0</v>
      </c>
      <c r="AD49" s="60">
        <f t="shared" si="10"/>
        <v>0</v>
      </c>
      <c r="AE49" s="60">
        <f t="shared" si="11"/>
        <v>0</v>
      </c>
      <c r="AF49" s="61"/>
      <c r="AG49" s="61"/>
      <c r="AH49" s="61"/>
      <c r="AI49" s="62">
        <f t="shared" si="12"/>
        <v>0</v>
      </c>
      <c r="AJ49" s="62">
        <f t="shared" si="13"/>
        <v>0</v>
      </c>
      <c r="AK49" s="62">
        <f t="shared" si="14"/>
        <v>0</v>
      </c>
      <c r="AL49" s="63">
        <f t="shared" si="15"/>
        <v>0</v>
      </c>
      <c r="AM49" s="63">
        <f t="shared" si="16"/>
        <v>0</v>
      </c>
      <c r="AN49" s="63">
        <f t="shared" si="17"/>
        <v>0</v>
      </c>
      <c r="AO49" s="55">
        <f t="shared" si="18"/>
        <v>0</v>
      </c>
      <c r="AP49" s="64"/>
      <c r="AQ49" s="64"/>
      <c r="AR49" s="55">
        <f t="shared" ref="AR49:AR52" si="26">IFERROR(ROUND((S49-AO49-AP49),2),"")</f>
        <v>9310</v>
      </c>
      <c r="AS49" s="55"/>
      <c r="AT49" s="55"/>
      <c r="AU49" s="64"/>
      <c r="AV49" s="64"/>
      <c r="AW49" s="64"/>
      <c r="AX49" s="64"/>
      <c r="AY49" s="55">
        <f t="shared" si="20"/>
        <v>9310</v>
      </c>
      <c r="AZ49" s="55" t="s">
        <v>83</v>
      </c>
      <c r="BA49" s="55" t="s">
        <v>170</v>
      </c>
      <c r="BB49" s="65"/>
      <c r="BC49" s="65"/>
    </row>
    <row r="50" spans="1:55" ht="15.75" customHeight="1">
      <c r="A50" s="44">
        <f t="shared" si="0"/>
        <v>41</v>
      </c>
      <c r="B50" s="114" t="s">
        <v>210</v>
      </c>
      <c r="C50" s="115">
        <v>46036</v>
      </c>
      <c r="D50" s="116"/>
      <c r="E50" s="48" t="s">
        <v>195</v>
      </c>
      <c r="F50" s="117" t="s">
        <v>193</v>
      </c>
      <c r="G50" s="118" t="s">
        <v>206</v>
      </c>
      <c r="H50" s="119">
        <f>IF(AZ50="Payroll",VLOOKUP(E50,'CODE 2'!$R:$S,2,FALSE),"0")</f>
        <v>7</v>
      </c>
      <c r="I50" s="120" t="s">
        <v>81</v>
      </c>
      <c r="J50" s="120"/>
      <c r="K50" s="66"/>
      <c r="L50" s="67"/>
      <c r="M50" s="54">
        <f>IFERROR(VLOOKUP($H50,'CODE 2'!$J:$K,2,FALSE)," ")</f>
        <v>18620</v>
      </c>
      <c r="N50" s="55">
        <f t="shared" si="1"/>
        <v>9310</v>
      </c>
      <c r="O50" s="55">
        <f t="shared" si="2"/>
        <v>846.36363636363637</v>
      </c>
      <c r="P50" s="55">
        <f t="shared" si="3"/>
        <v>105.79545454545455</v>
      </c>
      <c r="Q50" s="55">
        <f t="shared" si="4"/>
        <v>1.7632575757575757</v>
      </c>
      <c r="R50" s="56" t="str">
        <f t="shared" si="24"/>
        <v>11</v>
      </c>
      <c r="S50" s="55">
        <f t="shared" si="5"/>
        <v>9310</v>
      </c>
      <c r="T50" s="57">
        <v>0</v>
      </c>
      <c r="U50" s="57">
        <v>0</v>
      </c>
      <c r="V50" s="57">
        <v>23</v>
      </c>
      <c r="W50" s="58">
        <f t="shared" si="22"/>
        <v>0</v>
      </c>
      <c r="X50" s="58">
        <f t="shared" si="7"/>
        <v>0</v>
      </c>
      <c r="Y50" s="58">
        <f t="shared" si="8"/>
        <v>40.549999999999997</v>
      </c>
      <c r="Z50" s="59"/>
      <c r="AA50" s="59"/>
      <c r="AB50" s="59"/>
      <c r="AC50" s="60">
        <f t="shared" si="9"/>
        <v>0</v>
      </c>
      <c r="AD50" s="60">
        <f t="shared" si="10"/>
        <v>0</v>
      </c>
      <c r="AE50" s="60">
        <f t="shared" si="11"/>
        <v>0</v>
      </c>
      <c r="AF50" s="61"/>
      <c r="AG50" s="61"/>
      <c r="AH50" s="61"/>
      <c r="AI50" s="62">
        <f t="shared" si="12"/>
        <v>0</v>
      </c>
      <c r="AJ50" s="62">
        <f t="shared" si="13"/>
        <v>0</v>
      </c>
      <c r="AK50" s="62">
        <f t="shared" si="14"/>
        <v>0</v>
      </c>
      <c r="AL50" s="63">
        <f t="shared" si="15"/>
        <v>0</v>
      </c>
      <c r="AM50" s="63">
        <f t="shared" si="16"/>
        <v>0</v>
      </c>
      <c r="AN50" s="63">
        <f t="shared" si="17"/>
        <v>40.549999999999997</v>
      </c>
      <c r="AO50" s="55">
        <f t="shared" si="18"/>
        <v>40.549999999999997</v>
      </c>
      <c r="AP50" s="64"/>
      <c r="AQ50" s="64"/>
      <c r="AR50" s="55">
        <f t="shared" si="26"/>
        <v>9269.4500000000007</v>
      </c>
      <c r="AS50" s="55"/>
      <c r="AT50" s="55"/>
      <c r="AU50" s="64"/>
      <c r="AV50" s="64"/>
      <c r="AW50" s="64"/>
      <c r="AX50" s="64"/>
      <c r="AY50" s="55">
        <f t="shared" si="20"/>
        <v>9269.4500000000007</v>
      </c>
      <c r="AZ50" s="55" t="s">
        <v>83</v>
      </c>
      <c r="BA50" s="55" t="s">
        <v>168</v>
      </c>
      <c r="BB50" s="65"/>
      <c r="BC50" s="65"/>
    </row>
    <row r="51" spans="1:55" ht="15.75" customHeight="1">
      <c r="A51" s="44">
        <f t="shared" si="0"/>
        <v>42</v>
      </c>
      <c r="B51" s="122" t="s">
        <v>211</v>
      </c>
      <c r="C51" s="115">
        <v>46036</v>
      </c>
      <c r="D51" s="123"/>
      <c r="E51" s="48" t="s">
        <v>212</v>
      </c>
      <c r="F51" s="117" t="s">
        <v>213</v>
      </c>
      <c r="G51" s="118" t="s">
        <v>214</v>
      </c>
      <c r="H51" s="119">
        <f>IF(AZ51="Payroll",VLOOKUP(E51,'CODE 2'!$R:$S,2,FALSE),"0")</f>
        <v>16</v>
      </c>
      <c r="I51" s="120" t="s">
        <v>81</v>
      </c>
      <c r="J51" s="120"/>
      <c r="K51" s="66"/>
      <c r="L51" s="67"/>
      <c r="M51" s="54">
        <f>IFERROR(VLOOKUP($H51,'CODE 2'!$J:$K,2,FALSE)," ")</f>
        <v>39672</v>
      </c>
      <c r="N51" s="55">
        <f t="shared" si="1"/>
        <v>19836</v>
      </c>
      <c r="O51" s="55">
        <f t="shared" si="2"/>
        <v>1803.2727272727273</v>
      </c>
      <c r="P51" s="55">
        <f t="shared" si="3"/>
        <v>225.40909090909091</v>
      </c>
      <c r="Q51" s="55">
        <f t="shared" si="4"/>
        <v>3.7568181818181818</v>
      </c>
      <c r="R51" s="56" t="str">
        <f t="shared" si="24"/>
        <v>11</v>
      </c>
      <c r="S51" s="55">
        <f t="shared" si="5"/>
        <v>19836</v>
      </c>
      <c r="T51" s="57">
        <v>0</v>
      </c>
      <c r="U51" s="57">
        <v>0</v>
      </c>
      <c r="V51" s="57">
        <v>0</v>
      </c>
      <c r="W51" s="58">
        <f t="shared" si="22"/>
        <v>0</v>
      </c>
      <c r="X51" s="58">
        <f t="shared" si="7"/>
        <v>0</v>
      </c>
      <c r="Y51" s="58">
        <f t="shared" si="8"/>
        <v>0</v>
      </c>
      <c r="Z51" s="59"/>
      <c r="AA51" s="59"/>
      <c r="AB51" s="59"/>
      <c r="AC51" s="60">
        <f t="shared" si="9"/>
        <v>0</v>
      </c>
      <c r="AD51" s="60">
        <f t="shared" si="10"/>
        <v>0</v>
      </c>
      <c r="AE51" s="60">
        <f t="shared" si="11"/>
        <v>0</v>
      </c>
      <c r="AF51" s="61"/>
      <c r="AG51" s="61"/>
      <c r="AH51" s="61"/>
      <c r="AI51" s="62">
        <f t="shared" si="12"/>
        <v>0</v>
      </c>
      <c r="AJ51" s="62">
        <f t="shared" si="13"/>
        <v>0</v>
      </c>
      <c r="AK51" s="62">
        <f t="shared" si="14"/>
        <v>0</v>
      </c>
      <c r="AL51" s="63">
        <f t="shared" si="15"/>
        <v>0</v>
      </c>
      <c r="AM51" s="63">
        <f t="shared" si="16"/>
        <v>0</v>
      </c>
      <c r="AN51" s="63">
        <f t="shared" si="17"/>
        <v>0</v>
      </c>
      <c r="AO51" s="55">
        <f t="shared" si="18"/>
        <v>0</v>
      </c>
      <c r="AP51" s="64"/>
      <c r="AQ51" s="64"/>
      <c r="AR51" s="55">
        <f t="shared" si="26"/>
        <v>19836</v>
      </c>
      <c r="AS51" s="55"/>
      <c r="AT51" s="55">
        <f>IFERROR(ROUND((AR51*$AT$8),2),"")</f>
        <v>1983.6</v>
      </c>
      <c r="AU51" s="64">
        <v>2000</v>
      </c>
      <c r="AV51" s="64">
        <v>922.78</v>
      </c>
      <c r="AW51" s="64"/>
      <c r="AX51" s="64"/>
      <c r="AY51" s="55">
        <f t="shared" si="20"/>
        <v>14929.62</v>
      </c>
      <c r="AZ51" s="55" t="s">
        <v>83</v>
      </c>
      <c r="BA51" s="55" t="s">
        <v>119</v>
      </c>
      <c r="BB51" s="65"/>
      <c r="BC51" s="65"/>
    </row>
    <row r="52" spans="1:55" ht="15.75" customHeight="1">
      <c r="A52" s="44">
        <f t="shared" si="0"/>
        <v>43</v>
      </c>
      <c r="B52" s="90" t="s">
        <v>176</v>
      </c>
      <c r="C52" s="124">
        <v>46036</v>
      </c>
      <c r="D52" s="125"/>
      <c r="E52" s="93" t="s">
        <v>215</v>
      </c>
      <c r="F52" s="94" t="s">
        <v>213</v>
      </c>
      <c r="G52" s="126" t="s">
        <v>216</v>
      </c>
      <c r="H52" s="96" t="str">
        <f>IF(AZ52="Payroll",VLOOKUP(E52,'CODE 2'!$R:$S,2,FALSE),"0")</f>
        <v>0</v>
      </c>
      <c r="I52" s="97" t="s">
        <v>162</v>
      </c>
      <c r="J52" s="97" t="s">
        <v>82</v>
      </c>
      <c r="K52" s="106"/>
      <c r="L52" s="107"/>
      <c r="M52" s="100" t="str">
        <f>IFERROR(VLOOKUP($H52,'CODE 2'!$J:$K,2,FALSE)," ")</f>
        <v xml:space="preserve"> </v>
      </c>
      <c r="N52" s="101" t="str">
        <f t="shared" si="1"/>
        <v/>
      </c>
      <c r="O52" s="101" t="str">
        <f t="shared" si="2"/>
        <v xml:space="preserve"> </v>
      </c>
      <c r="P52" s="101" t="str">
        <f t="shared" si="3"/>
        <v/>
      </c>
      <c r="Q52" s="101" t="str">
        <f t="shared" si="4"/>
        <v/>
      </c>
      <c r="R52" s="127" t="str">
        <f t="shared" si="24"/>
        <v/>
      </c>
      <c r="S52" s="101" t="str">
        <f t="shared" si="5"/>
        <v xml:space="preserve"> </v>
      </c>
      <c r="T52" s="57">
        <v>0</v>
      </c>
      <c r="U52" s="57">
        <v>0</v>
      </c>
      <c r="V52" s="57">
        <v>3</v>
      </c>
      <c r="W52" s="58" t="str">
        <f t="shared" si="22"/>
        <v xml:space="preserve"> </v>
      </c>
      <c r="X52" s="58" t="str">
        <f t="shared" si="7"/>
        <v/>
      </c>
      <c r="Y52" s="58" t="str">
        <f t="shared" si="8"/>
        <v/>
      </c>
      <c r="Z52" s="59"/>
      <c r="AA52" s="59"/>
      <c r="AB52" s="59"/>
      <c r="AC52" s="60" t="str">
        <f t="shared" si="9"/>
        <v xml:space="preserve"> </v>
      </c>
      <c r="AD52" s="60" t="str">
        <f t="shared" si="10"/>
        <v/>
      </c>
      <c r="AE52" s="60" t="str">
        <f t="shared" si="11"/>
        <v/>
      </c>
      <c r="AF52" s="61"/>
      <c r="AG52" s="61"/>
      <c r="AH52" s="61"/>
      <c r="AI52" s="62" t="str">
        <f t="shared" si="12"/>
        <v xml:space="preserve"> </v>
      </c>
      <c r="AJ52" s="62" t="str">
        <f t="shared" si="13"/>
        <v/>
      </c>
      <c r="AK52" s="62" t="str">
        <f t="shared" si="14"/>
        <v/>
      </c>
      <c r="AL52" s="63" t="str">
        <f t="shared" si="15"/>
        <v/>
      </c>
      <c r="AM52" s="63" t="str">
        <f t="shared" si="16"/>
        <v/>
      </c>
      <c r="AN52" s="63" t="str">
        <f t="shared" si="17"/>
        <v/>
      </c>
      <c r="AO52" s="55">
        <f t="shared" si="18"/>
        <v>0</v>
      </c>
      <c r="AP52" s="64"/>
      <c r="AQ52" s="64"/>
      <c r="AR52" s="55" t="str">
        <f t="shared" si="26"/>
        <v/>
      </c>
      <c r="AS52" s="55"/>
      <c r="AT52" s="55"/>
      <c r="AU52" s="64"/>
      <c r="AV52" s="64"/>
      <c r="AW52" s="64"/>
      <c r="AX52" s="64"/>
      <c r="AY52" s="55" t="str">
        <f t="shared" si="20"/>
        <v/>
      </c>
      <c r="AZ52" s="55" t="s">
        <v>95</v>
      </c>
      <c r="BA52" s="55" t="s">
        <v>217</v>
      </c>
      <c r="BB52" s="65"/>
      <c r="BC52" s="65"/>
    </row>
    <row r="53" spans="1:55" ht="15.75" customHeight="1">
      <c r="A53" s="44">
        <f t="shared" si="0"/>
        <v>44</v>
      </c>
      <c r="B53" s="122" t="s">
        <v>218</v>
      </c>
      <c r="C53" s="128">
        <v>46036</v>
      </c>
      <c r="D53" s="116"/>
      <c r="E53" s="48" t="s">
        <v>219</v>
      </c>
      <c r="F53" s="44" t="s">
        <v>213</v>
      </c>
      <c r="G53" s="49" t="s">
        <v>220</v>
      </c>
      <c r="H53" s="50">
        <f>IF(AZ53="Payroll",VLOOKUP(E53,'CODE 2'!$R:$S,2,FALSE),"0")</f>
        <v>14</v>
      </c>
      <c r="I53" s="51" t="s">
        <v>81</v>
      </c>
      <c r="J53" s="51" t="s">
        <v>82</v>
      </c>
      <c r="K53" s="66"/>
      <c r="L53" s="67"/>
      <c r="M53" s="54">
        <f>IFERROR(VLOOKUP($H53,'CODE 2'!$J:$K,2,FALSE)," ")</f>
        <v>33843</v>
      </c>
      <c r="N53" s="55">
        <f t="shared" si="1"/>
        <v>16921.5</v>
      </c>
      <c r="O53" s="55">
        <f t="shared" si="2"/>
        <v>1538.3181818181818</v>
      </c>
      <c r="P53" s="55">
        <f t="shared" si="3"/>
        <v>192.28977272727272</v>
      </c>
      <c r="Q53" s="55">
        <f t="shared" si="4"/>
        <v>3.2048295454545452</v>
      </c>
      <c r="R53" s="56" t="str">
        <f t="shared" si="24"/>
        <v>11</v>
      </c>
      <c r="S53" s="55">
        <f t="shared" si="5"/>
        <v>16921.5</v>
      </c>
      <c r="T53" s="57">
        <v>1</v>
      </c>
      <c r="U53" s="57">
        <v>2</v>
      </c>
      <c r="V53" s="57">
        <v>23</v>
      </c>
      <c r="W53" s="58">
        <f t="shared" si="22"/>
        <v>1538.32</v>
      </c>
      <c r="X53" s="58">
        <f t="shared" si="7"/>
        <v>384.58</v>
      </c>
      <c r="Y53" s="58">
        <f t="shared" si="8"/>
        <v>73.709999999999994</v>
      </c>
      <c r="Z53" s="59"/>
      <c r="AA53" s="59"/>
      <c r="AB53" s="59"/>
      <c r="AC53" s="60">
        <f t="shared" si="9"/>
        <v>0</v>
      </c>
      <c r="AD53" s="60">
        <f t="shared" si="10"/>
        <v>0</v>
      </c>
      <c r="AE53" s="60">
        <f t="shared" si="11"/>
        <v>0</v>
      </c>
      <c r="AF53" s="61"/>
      <c r="AG53" s="61"/>
      <c r="AH53" s="61"/>
      <c r="AI53" s="62">
        <f t="shared" si="12"/>
        <v>0</v>
      </c>
      <c r="AJ53" s="62">
        <f t="shared" si="13"/>
        <v>0</v>
      </c>
      <c r="AK53" s="62">
        <f t="shared" si="14"/>
        <v>0</v>
      </c>
      <c r="AL53" s="63">
        <f t="shared" si="15"/>
        <v>1538.32</v>
      </c>
      <c r="AM53" s="63">
        <f t="shared" si="16"/>
        <v>384.58</v>
      </c>
      <c r="AN53" s="63">
        <f t="shared" si="17"/>
        <v>73.709999999999994</v>
      </c>
      <c r="AO53" s="55">
        <f t="shared" si="18"/>
        <v>1996.61</v>
      </c>
      <c r="AP53" s="64">
        <v>0.03</v>
      </c>
      <c r="AQ53" s="64" t="s">
        <v>221</v>
      </c>
      <c r="AR53" s="55">
        <f>IFERROR(ROUND((S53-AO53+AP53),2),"")</f>
        <v>14924.92</v>
      </c>
      <c r="AS53" s="55"/>
      <c r="AT53" s="55">
        <f>IFERROR(ROUND((AR53*$AT$8),2),"")</f>
        <v>1492.49</v>
      </c>
      <c r="AU53" s="64"/>
      <c r="AV53" s="64"/>
      <c r="AW53" s="64"/>
      <c r="AX53" s="64"/>
      <c r="AY53" s="55">
        <f t="shared" si="20"/>
        <v>13432.43</v>
      </c>
      <c r="AZ53" s="55" t="s">
        <v>83</v>
      </c>
      <c r="BA53" s="55" t="s">
        <v>199</v>
      </c>
      <c r="BB53" s="65"/>
      <c r="BC53" s="65"/>
    </row>
    <row r="54" spans="1:55" ht="15.75" customHeight="1">
      <c r="A54" s="44">
        <f t="shared" si="0"/>
        <v>45</v>
      </c>
      <c r="B54" s="45" t="s">
        <v>222</v>
      </c>
      <c r="C54" s="129">
        <v>46036</v>
      </c>
      <c r="D54" s="112"/>
      <c r="E54" s="48" t="s">
        <v>207</v>
      </c>
      <c r="F54" s="44" t="s">
        <v>223</v>
      </c>
      <c r="G54" s="49" t="s">
        <v>80</v>
      </c>
      <c r="H54" s="50">
        <f>IF(AZ54="Payroll",VLOOKUP(E54,'CODE 2'!$R:$S,2,FALSE),"0")</f>
        <v>8</v>
      </c>
      <c r="I54" s="51" t="s">
        <v>81</v>
      </c>
      <c r="J54" s="51" t="s">
        <v>82</v>
      </c>
      <c r="K54" s="66"/>
      <c r="L54" s="67"/>
      <c r="M54" s="54">
        <f>IFERROR(VLOOKUP($H54,'CODE 2'!$J:$K,2,FALSE)," ")</f>
        <v>19744</v>
      </c>
      <c r="N54" s="55">
        <f t="shared" si="1"/>
        <v>9872</v>
      </c>
      <c r="O54" s="55">
        <f t="shared" si="2"/>
        <v>897.4545454545455</v>
      </c>
      <c r="P54" s="55">
        <f t="shared" si="3"/>
        <v>112.18181818181819</v>
      </c>
      <c r="Q54" s="55">
        <f t="shared" si="4"/>
        <v>1.8696969696969699</v>
      </c>
      <c r="R54" s="56" t="str">
        <f t="shared" si="24"/>
        <v>11</v>
      </c>
      <c r="S54" s="55">
        <f t="shared" si="5"/>
        <v>9872</v>
      </c>
      <c r="T54" s="57">
        <v>0</v>
      </c>
      <c r="U54" s="57">
        <v>0</v>
      </c>
      <c r="V54" s="57">
        <v>0</v>
      </c>
      <c r="W54" s="58">
        <f t="shared" si="22"/>
        <v>0</v>
      </c>
      <c r="X54" s="58">
        <f t="shared" si="7"/>
        <v>0</v>
      </c>
      <c r="Y54" s="58">
        <f t="shared" si="8"/>
        <v>0</v>
      </c>
      <c r="Z54" s="59"/>
      <c r="AA54" s="59"/>
      <c r="AB54" s="59"/>
      <c r="AC54" s="60">
        <f t="shared" si="9"/>
        <v>0</v>
      </c>
      <c r="AD54" s="60">
        <f t="shared" si="10"/>
        <v>0</v>
      </c>
      <c r="AE54" s="60">
        <f t="shared" si="11"/>
        <v>0</v>
      </c>
      <c r="AF54" s="61"/>
      <c r="AG54" s="61"/>
      <c r="AH54" s="61"/>
      <c r="AI54" s="62">
        <f t="shared" si="12"/>
        <v>0</v>
      </c>
      <c r="AJ54" s="62">
        <f t="shared" si="13"/>
        <v>0</v>
      </c>
      <c r="AK54" s="62">
        <f t="shared" si="14"/>
        <v>0</v>
      </c>
      <c r="AL54" s="63">
        <f t="shared" si="15"/>
        <v>0</v>
      </c>
      <c r="AM54" s="63">
        <f t="shared" si="16"/>
        <v>0</v>
      </c>
      <c r="AN54" s="63">
        <f t="shared" si="17"/>
        <v>0</v>
      </c>
      <c r="AO54" s="55">
        <f t="shared" si="18"/>
        <v>0</v>
      </c>
      <c r="AP54" s="64"/>
      <c r="AQ54" s="64"/>
      <c r="AR54" s="55">
        <f t="shared" ref="AR54:AR75" si="27">IFERROR(ROUND((S54-AO54-AP54),2),"")</f>
        <v>9872</v>
      </c>
      <c r="AS54" s="55"/>
      <c r="AT54" s="55"/>
      <c r="AU54" s="64"/>
      <c r="AV54" s="64"/>
      <c r="AW54" s="64"/>
      <c r="AX54" s="64"/>
      <c r="AY54" s="55">
        <f t="shared" si="20"/>
        <v>9872</v>
      </c>
      <c r="AZ54" s="55" t="s">
        <v>83</v>
      </c>
      <c r="BA54" s="55" t="s">
        <v>165</v>
      </c>
      <c r="BB54" s="65"/>
      <c r="BC54" s="65"/>
    </row>
    <row r="55" spans="1:55" ht="15.75" customHeight="1">
      <c r="A55" s="44">
        <f t="shared" si="0"/>
        <v>46</v>
      </c>
      <c r="B55" s="45" t="s">
        <v>224</v>
      </c>
      <c r="C55" s="129">
        <v>46036</v>
      </c>
      <c r="D55" s="113"/>
      <c r="E55" s="48" t="s">
        <v>197</v>
      </c>
      <c r="F55" s="44" t="s">
        <v>223</v>
      </c>
      <c r="G55" s="49" t="s">
        <v>80</v>
      </c>
      <c r="H55" s="50">
        <f>IF(AZ55="Payroll",VLOOKUP(E55,'CODE 2'!$R:$S,2,FALSE),"0")</f>
        <v>8</v>
      </c>
      <c r="I55" s="51" t="s">
        <v>81</v>
      </c>
      <c r="J55" s="51" t="s">
        <v>82</v>
      </c>
      <c r="K55" s="66"/>
      <c r="L55" s="67"/>
      <c r="M55" s="54">
        <f>IFERROR(VLOOKUP($H55,'CODE 2'!$J:$K,2,FALSE)," ")</f>
        <v>19744</v>
      </c>
      <c r="N55" s="55">
        <f t="shared" si="1"/>
        <v>9872</v>
      </c>
      <c r="O55" s="55">
        <f t="shared" si="2"/>
        <v>897.4545454545455</v>
      </c>
      <c r="P55" s="55">
        <f t="shared" si="3"/>
        <v>112.18181818181819</v>
      </c>
      <c r="Q55" s="55">
        <f t="shared" si="4"/>
        <v>1.8696969696969699</v>
      </c>
      <c r="R55" s="56" t="str">
        <f t="shared" si="24"/>
        <v>11</v>
      </c>
      <c r="S55" s="55">
        <f t="shared" si="5"/>
        <v>9872</v>
      </c>
      <c r="T55" s="57">
        <v>0</v>
      </c>
      <c r="U55" s="57">
        <v>1</v>
      </c>
      <c r="V55" s="57">
        <v>7</v>
      </c>
      <c r="W55" s="58">
        <f t="shared" si="22"/>
        <v>0</v>
      </c>
      <c r="X55" s="58">
        <f t="shared" si="7"/>
        <v>112.18</v>
      </c>
      <c r="Y55" s="58">
        <f t="shared" si="8"/>
        <v>13.09</v>
      </c>
      <c r="Z55" s="59"/>
      <c r="AA55" s="59"/>
      <c r="AB55" s="59"/>
      <c r="AC55" s="60">
        <f t="shared" si="9"/>
        <v>0</v>
      </c>
      <c r="AD55" s="60">
        <f t="shared" si="10"/>
        <v>0</v>
      </c>
      <c r="AE55" s="60">
        <f t="shared" si="11"/>
        <v>0</v>
      </c>
      <c r="AF55" s="61"/>
      <c r="AG55" s="61"/>
      <c r="AH55" s="61"/>
      <c r="AI55" s="62">
        <f t="shared" si="12"/>
        <v>0</v>
      </c>
      <c r="AJ55" s="62">
        <f t="shared" si="13"/>
        <v>0</v>
      </c>
      <c r="AK55" s="62">
        <f t="shared" si="14"/>
        <v>0</v>
      </c>
      <c r="AL55" s="63">
        <f t="shared" si="15"/>
        <v>0</v>
      </c>
      <c r="AM55" s="63">
        <f t="shared" si="16"/>
        <v>112.18</v>
      </c>
      <c r="AN55" s="63">
        <f t="shared" si="17"/>
        <v>13.09</v>
      </c>
      <c r="AO55" s="55">
        <f t="shared" si="18"/>
        <v>125.27000000000001</v>
      </c>
      <c r="AP55" s="64"/>
      <c r="AQ55" s="64"/>
      <c r="AR55" s="55">
        <f t="shared" si="27"/>
        <v>9746.73</v>
      </c>
      <c r="AS55" s="55"/>
      <c r="AT55" s="55"/>
      <c r="AU55" s="64"/>
      <c r="AV55" s="64"/>
      <c r="AW55" s="64"/>
      <c r="AX55" s="64"/>
      <c r="AY55" s="55">
        <f t="shared" si="20"/>
        <v>9746.73</v>
      </c>
      <c r="AZ55" s="55" t="s">
        <v>83</v>
      </c>
      <c r="BA55" s="55" t="s">
        <v>186</v>
      </c>
      <c r="BB55" s="65"/>
      <c r="BC55" s="65"/>
    </row>
    <row r="56" spans="1:55" ht="15.75" customHeight="1">
      <c r="A56" s="44">
        <f t="shared" si="0"/>
        <v>47</v>
      </c>
      <c r="B56" s="45" t="s">
        <v>225</v>
      </c>
      <c r="C56" s="129">
        <v>46036</v>
      </c>
      <c r="D56" s="113"/>
      <c r="E56" s="48" t="s">
        <v>226</v>
      </c>
      <c r="F56" s="44" t="s">
        <v>223</v>
      </c>
      <c r="G56" s="49" t="s">
        <v>194</v>
      </c>
      <c r="H56" s="50">
        <f>IF(AZ56="Payroll",VLOOKUP(E56,'CODE 2'!$R:$S,2,FALSE),"0")</f>
        <v>7</v>
      </c>
      <c r="I56" s="51" t="s">
        <v>81</v>
      </c>
      <c r="J56" s="51" t="s">
        <v>82</v>
      </c>
      <c r="K56" s="66"/>
      <c r="L56" s="67"/>
      <c r="M56" s="54">
        <f>IFERROR(VLOOKUP($H56,'CODE 2'!$J:$K,2,FALSE)," ")</f>
        <v>18620</v>
      </c>
      <c r="N56" s="55">
        <f t="shared" si="1"/>
        <v>9310</v>
      </c>
      <c r="O56" s="55">
        <f t="shared" si="2"/>
        <v>846.36363636363637</v>
      </c>
      <c r="P56" s="55">
        <f t="shared" si="3"/>
        <v>105.79545454545455</v>
      </c>
      <c r="Q56" s="55">
        <f t="shared" si="4"/>
        <v>1.7632575757575757</v>
      </c>
      <c r="R56" s="56" t="str">
        <f t="shared" si="24"/>
        <v>11</v>
      </c>
      <c r="S56" s="55">
        <f t="shared" si="5"/>
        <v>9310</v>
      </c>
      <c r="T56" s="57">
        <v>0</v>
      </c>
      <c r="U56" s="57">
        <v>0</v>
      </c>
      <c r="V56" s="57">
        <v>1</v>
      </c>
      <c r="W56" s="58">
        <f t="shared" si="22"/>
        <v>0</v>
      </c>
      <c r="X56" s="58">
        <f t="shared" si="7"/>
        <v>0</v>
      </c>
      <c r="Y56" s="58">
        <f t="shared" si="8"/>
        <v>1.76</v>
      </c>
      <c r="Z56" s="59"/>
      <c r="AA56" s="59"/>
      <c r="AB56" s="59"/>
      <c r="AC56" s="60">
        <f t="shared" si="9"/>
        <v>0</v>
      </c>
      <c r="AD56" s="60">
        <f t="shared" si="10"/>
        <v>0</v>
      </c>
      <c r="AE56" s="60">
        <f t="shared" si="11"/>
        <v>0</v>
      </c>
      <c r="AF56" s="61"/>
      <c r="AG56" s="61"/>
      <c r="AH56" s="61"/>
      <c r="AI56" s="62">
        <f t="shared" si="12"/>
        <v>0</v>
      </c>
      <c r="AJ56" s="62">
        <f t="shared" si="13"/>
        <v>0</v>
      </c>
      <c r="AK56" s="62">
        <f t="shared" si="14"/>
        <v>0</v>
      </c>
      <c r="AL56" s="63">
        <f t="shared" si="15"/>
        <v>0</v>
      </c>
      <c r="AM56" s="63">
        <f t="shared" si="16"/>
        <v>0</v>
      </c>
      <c r="AN56" s="63">
        <f t="shared" si="17"/>
        <v>1.76</v>
      </c>
      <c r="AO56" s="55">
        <f t="shared" si="18"/>
        <v>1.76</v>
      </c>
      <c r="AP56" s="64"/>
      <c r="AQ56" s="64"/>
      <c r="AR56" s="55">
        <f t="shared" si="27"/>
        <v>9308.24</v>
      </c>
      <c r="AS56" s="55"/>
      <c r="AT56" s="55"/>
      <c r="AU56" s="64"/>
      <c r="AV56" s="64"/>
      <c r="AW56" s="64"/>
      <c r="AX56" s="64"/>
      <c r="AY56" s="55">
        <f t="shared" si="20"/>
        <v>9308.24</v>
      </c>
      <c r="AZ56" s="55" t="s">
        <v>83</v>
      </c>
      <c r="BA56" s="55" t="s">
        <v>209</v>
      </c>
      <c r="BB56" s="65"/>
      <c r="BC56" s="65"/>
    </row>
    <row r="57" spans="1:55" ht="15.75" customHeight="1">
      <c r="A57" s="44">
        <f t="shared" si="0"/>
        <v>48</v>
      </c>
      <c r="B57" s="45" t="s">
        <v>227</v>
      </c>
      <c r="C57" s="129">
        <v>46036</v>
      </c>
      <c r="D57" s="113"/>
      <c r="E57" s="48" t="s">
        <v>155</v>
      </c>
      <c r="F57" s="44" t="s">
        <v>223</v>
      </c>
      <c r="G57" s="49" t="s">
        <v>194</v>
      </c>
      <c r="H57" s="50">
        <f>IF(AZ57="Payroll",VLOOKUP(E57,'CODE 2'!$R:$S,2,FALSE),"0")</f>
        <v>7</v>
      </c>
      <c r="I57" s="51" t="s">
        <v>81</v>
      </c>
      <c r="J57" s="51" t="s">
        <v>82</v>
      </c>
      <c r="K57" s="66"/>
      <c r="L57" s="67"/>
      <c r="M57" s="54">
        <f>IFERROR(VLOOKUP($H57,'CODE 2'!$J:$K,2,FALSE)," ")</f>
        <v>18620</v>
      </c>
      <c r="N57" s="55">
        <f t="shared" si="1"/>
        <v>9310</v>
      </c>
      <c r="O57" s="55">
        <f t="shared" si="2"/>
        <v>846.36363636363637</v>
      </c>
      <c r="P57" s="55">
        <f t="shared" si="3"/>
        <v>105.79545454545455</v>
      </c>
      <c r="Q57" s="55">
        <f t="shared" si="4"/>
        <v>1.7632575757575757</v>
      </c>
      <c r="R57" s="56" t="str">
        <f t="shared" si="24"/>
        <v>11</v>
      </c>
      <c r="S57" s="55">
        <f t="shared" si="5"/>
        <v>9310</v>
      </c>
      <c r="T57" s="57">
        <v>0</v>
      </c>
      <c r="U57" s="57">
        <v>0</v>
      </c>
      <c r="V57" s="57">
        <v>0</v>
      </c>
      <c r="W57" s="58">
        <f t="shared" si="22"/>
        <v>0</v>
      </c>
      <c r="X57" s="58">
        <f t="shared" si="7"/>
        <v>0</v>
      </c>
      <c r="Y57" s="58">
        <f t="shared" si="8"/>
        <v>0</v>
      </c>
      <c r="Z57" s="59"/>
      <c r="AA57" s="59"/>
      <c r="AB57" s="59"/>
      <c r="AC57" s="60">
        <f t="shared" si="9"/>
        <v>0</v>
      </c>
      <c r="AD57" s="60">
        <f t="shared" si="10"/>
        <v>0</v>
      </c>
      <c r="AE57" s="60">
        <f t="shared" si="11"/>
        <v>0</v>
      </c>
      <c r="AF57" s="61"/>
      <c r="AG57" s="61"/>
      <c r="AH57" s="61"/>
      <c r="AI57" s="62">
        <f t="shared" si="12"/>
        <v>0</v>
      </c>
      <c r="AJ57" s="62">
        <f t="shared" si="13"/>
        <v>0</v>
      </c>
      <c r="AK57" s="62">
        <f t="shared" si="14"/>
        <v>0</v>
      </c>
      <c r="AL57" s="63">
        <f t="shared" si="15"/>
        <v>0</v>
      </c>
      <c r="AM57" s="63">
        <f t="shared" si="16"/>
        <v>0</v>
      </c>
      <c r="AN57" s="63">
        <f t="shared" si="17"/>
        <v>0</v>
      </c>
      <c r="AO57" s="55">
        <f t="shared" si="18"/>
        <v>0</v>
      </c>
      <c r="AP57" s="64"/>
      <c r="AQ57" s="64"/>
      <c r="AR57" s="55">
        <f t="shared" si="27"/>
        <v>9310</v>
      </c>
      <c r="AS57" s="55"/>
      <c r="AT57" s="55"/>
      <c r="AU57" s="64"/>
      <c r="AV57" s="64"/>
      <c r="AW57" s="64"/>
      <c r="AX57" s="64"/>
      <c r="AY57" s="55">
        <f t="shared" si="20"/>
        <v>9310</v>
      </c>
      <c r="AZ57" s="55" t="s">
        <v>83</v>
      </c>
      <c r="BA57" s="55" t="s">
        <v>106</v>
      </c>
      <c r="BB57" s="65"/>
      <c r="BC57" s="65"/>
    </row>
    <row r="58" spans="1:55" ht="15.75" customHeight="1">
      <c r="A58" s="44">
        <f t="shared" si="0"/>
        <v>49</v>
      </c>
      <c r="B58" s="45" t="s">
        <v>228</v>
      </c>
      <c r="C58" s="130">
        <v>46036</v>
      </c>
      <c r="D58" s="47"/>
      <c r="E58" s="48" t="s">
        <v>187</v>
      </c>
      <c r="F58" s="44" t="s">
        <v>229</v>
      </c>
      <c r="G58" s="49" t="s">
        <v>80</v>
      </c>
      <c r="H58" s="50">
        <f>IF(AZ58="Payroll",VLOOKUP(E58,'CODE 2'!$R:$S,2,FALSE),"0")</f>
        <v>8</v>
      </c>
      <c r="I58" s="51" t="s">
        <v>81</v>
      </c>
      <c r="J58" s="51" t="s">
        <v>82</v>
      </c>
      <c r="K58" s="66"/>
      <c r="L58" s="67"/>
      <c r="M58" s="54">
        <f>IFERROR(VLOOKUP($H58,'CODE 2'!$J:$K,2,FALSE)," ")</f>
        <v>19744</v>
      </c>
      <c r="N58" s="55">
        <f t="shared" si="1"/>
        <v>9872</v>
      </c>
      <c r="O58" s="55">
        <f t="shared" si="2"/>
        <v>897.4545454545455</v>
      </c>
      <c r="P58" s="55">
        <f t="shared" si="3"/>
        <v>112.18181818181819</v>
      </c>
      <c r="Q58" s="55">
        <f t="shared" si="4"/>
        <v>1.8696969696969699</v>
      </c>
      <c r="R58" s="56" t="str">
        <f t="shared" si="24"/>
        <v>11</v>
      </c>
      <c r="S58" s="55">
        <f t="shared" si="5"/>
        <v>9872</v>
      </c>
      <c r="T58" s="57">
        <v>0</v>
      </c>
      <c r="U58" s="57">
        <v>1</v>
      </c>
      <c r="V58" s="57">
        <v>6</v>
      </c>
      <c r="W58" s="58">
        <f t="shared" si="22"/>
        <v>0</v>
      </c>
      <c r="X58" s="58">
        <f t="shared" si="7"/>
        <v>112.18</v>
      </c>
      <c r="Y58" s="58">
        <f t="shared" si="8"/>
        <v>11.22</v>
      </c>
      <c r="Z58" s="59"/>
      <c r="AA58" s="59"/>
      <c r="AB58" s="59"/>
      <c r="AC58" s="60">
        <f t="shared" si="9"/>
        <v>0</v>
      </c>
      <c r="AD58" s="60">
        <f t="shared" si="10"/>
        <v>0</v>
      </c>
      <c r="AE58" s="60">
        <f t="shared" si="11"/>
        <v>0</v>
      </c>
      <c r="AF58" s="61"/>
      <c r="AG58" s="61"/>
      <c r="AH58" s="61"/>
      <c r="AI58" s="62">
        <f t="shared" si="12"/>
        <v>0</v>
      </c>
      <c r="AJ58" s="62">
        <f t="shared" si="13"/>
        <v>0</v>
      </c>
      <c r="AK58" s="62">
        <f t="shared" si="14"/>
        <v>0</v>
      </c>
      <c r="AL58" s="63">
        <f t="shared" si="15"/>
        <v>0</v>
      </c>
      <c r="AM58" s="63">
        <f t="shared" si="16"/>
        <v>112.18</v>
      </c>
      <c r="AN58" s="63">
        <f t="shared" si="17"/>
        <v>11.22</v>
      </c>
      <c r="AO58" s="55">
        <f t="shared" si="18"/>
        <v>123.4</v>
      </c>
      <c r="AP58" s="64"/>
      <c r="AQ58" s="64"/>
      <c r="AR58" s="55">
        <f t="shared" si="27"/>
        <v>9748.6</v>
      </c>
      <c r="AS58" s="55"/>
      <c r="AT58" s="55"/>
      <c r="AU58" s="64"/>
      <c r="AV58" s="64"/>
      <c r="AW58" s="64"/>
      <c r="AX58" s="64"/>
      <c r="AY58" s="55">
        <f t="shared" si="20"/>
        <v>9748.6</v>
      </c>
      <c r="AZ58" s="55" t="s">
        <v>83</v>
      </c>
      <c r="BA58" s="55" t="s">
        <v>230</v>
      </c>
      <c r="BB58" s="65"/>
      <c r="BC58" s="65"/>
    </row>
    <row r="59" spans="1:55" ht="15.75" customHeight="1">
      <c r="A59" s="44">
        <f t="shared" si="0"/>
        <v>50</v>
      </c>
      <c r="B59" s="45" t="s">
        <v>231</v>
      </c>
      <c r="C59" s="130">
        <v>46036</v>
      </c>
      <c r="D59" s="47"/>
      <c r="E59" s="49" t="s">
        <v>232</v>
      </c>
      <c r="F59" s="44" t="s">
        <v>229</v>
      </c>
      <c r="G59" s="49" t="s">
        <v>80</v>
      </c>
      <c r="H59" s="50">
        <f>IF(AZ59="Payroll",VLOOKUP(E59,'CODE 2'!$R:$S,2,FALSE),"0")</f>
        <v>8</v>
      </c>
      <c r="I59" s="51" t="s">
        <v>81</v>
      </c>
      <c r="J59" s="51" t="s">
        <v>82</v>
      </c>
      <c r="K59" s="66"/>
      <c r="L59" s="67"/>
      <c r="M59" s="54">
        <f>IFERROR(VLOOKUP($H59,'CODE 2'!$J:$K,2,FALSE)," ")</f>
        <v>19744</v>
      </c>
      <c r="N59" s="55">
        <f t="shared" si="1"/>
        <v>9872</v>
      </c>
      <c r="O59" s="55">
        <f t="shared" si="2"/>
        <v>897.4545454545455</v>
      </c>
      <c r="P59" s="55">
        <f t="shared" si="3"/>
        <v>112.18181818181819</v>
      </c>
      <c r="Q59" s="55">
        <f t="shared" si="4"/>
        <v>1.8696969696969699</v>
      </c>
      <c r="R59" s="56" t="str">
        <f t="shared" si="24"/>
        <v>11</v>
      </c>
      <c r="S59" s="55">
        <f t="shared" si="5"/>
        <v>9872</v>
      </c>
      <c r="T59" s="57">
        <v>0</v>
      </c>
      <c r="U59" s="57">
        <v>0</v>
      </c>
      <c r="V59" s="57">
        <v>9</v>
      </c>
      <c r="W59" s="58">
        <f t="shared" si="22"/>
        <v>0</v>
      </c>
      <c r="X59" s="58">
        <f t="shared" si="7"/>
        <v>0</v>
      </c>
      <c r="Y59" s="58">
        <f t="shared" si="8"/>
        <v>16.829999999999998</v>
      </c>
      <c r="Z59" s="59"/>
      <c r="AA59" s="59"/>
      <c r="AB59" s="59"/>
      <c r="AC59" s="60">
        <f t="shared" si="9"/>
        <v>0</v>
      </c>
      <c r="AD59" s="60">
        <f t="shared" si="10"/>
        <v>0</v>
      </c>
      <c r="AE59" s="60">
        <f t="shared" si="11"/>
        <v>0</v>
      </c>
      <c r="AF59" s="61"/>
      <c r="AG59" s="61"/>
      <c r="AH59" s="61"/>
      <c r="AI59" s="62">
        <f t="shared" si="12"/>
        <v>0</v>
      </c>
      <c r="AJ59" s="62">
        <f t="shared" si="13"/>
        <v>0</v>
      </c>
      <c r="AK59" s="62">
        <f t="shared" si="14"/>
        <v>0</v>
      </c>
      <c r="AL59" s="63">
        <f t="shared" si="15"/>
        <v>0</v>
      </c>
      <c r="AM59" s="63">
        <f t="shared" si="16"/>
        <v>0</v>
      </c>
      <c r="AN59" s="63">
        <f t="shared" si="17"/>
        <v>16.829999999999998</v>
      </c>
      <c r="AO59" s="55">
        <f t="shared" si="18"/>
        <v>16.829999999999998</v>
      </c>
      <c r="AP59" s="64"/>
      <c r="AQ59" s="64"/>
      <c r="AR59" s="55">
        <f t="shared" si="27"/>
        <v>9855.17</v>
      </c>
      <c r="AS59" s="55"/>
      <c r="AT59" s="55"/>
      <c r="AU59" s="64"/>
      <c r="AV59" s="64"/>
      <c r="AW59" s="64"/>
      <c r="AX59" s="64"/>
      <c r="AY59" s="55">
        <f t="shared" si="20"/>
        <v>9855.17</v>
      </c>
      <c r="AZ59" s="55" t="s">
        <v>83</v>
      </c>
      <c r="BA59" s="55" t="s">
        <v>173</v>
      </c>
      <c r="BB59" s="81"/>
      <c r="BC59" s="81"/>
    </row>
    <row r="60" spans="1:55" ht="15.75" customHeight="1">
      <c r="A60" s="44">
        <f t="shared" si="0"/>
        <v>51</v>
      </c>
      <c r="B60" s="45" t="s">
        <v>233</v>
      </c>
      <c r="C60" s="79">
        <v>46036</v>
      </c>
      <c r="D60" s="47"/>
      <c r="E60" s="48" t="s">
        <v>91</v>
      </c>
      <c r="F60" s="44" t="s">
        <v>234</v>
      </c>
      <c r="G60" s="131" t="s">
        <v>235</v>
      </c>
      <c r="H60" s="50">
        <v>10</v>
      </c>
      <c r="I60" s="51" t="s">
        <v>81</v>
      </c>
      <c r="J60" s="51" t="s">
        <v>82</v>
      </c>
      <c r="K60" s="66"/>
      <c r="L60" s="67"/>
      <c r="M60" s="54">
        <f>IFERROR(VLOOKUP($H60,'CODE 2'!$J:$K,2,FALSE)," ")</f>
        <v>23176</v>
      </c>
      <c r="N60" s="55">
        <f t="shared" si="1"/>
        <v>11588</v>
      </c>
      <c r="O60" s="55">
        <f t="shared" si="2"/>
        <v>1053.4545454545455</v>
      </c>
      <c r="P60" s="55">
        <f t="shared" si="3"/>
        <v>131.68181818181819</v>
      </c>
      <c r="Q60" s="55">
        <f t="shared" si="4"/>
        <v>2.1946969696969698</v>
      </c>
      <c r="R60" s="56" t="str">
        <f t="shared" si="24"/>
        <v>11</v>
      </c>
      <c r="S60" s="55">
        <f t="shared" si="5"/>
        <v>11588</v>
      </c>
      <c r="T60" s="57">
        <v>0</v>
      </c>
      <c r="U60" s="57">
        <v>0</v>
      </c>
      <c r="V60" s="57">
        <v>0</v>
      </c>
      <c r="W60" s="58">
        <f t="shared" si="22"/>
        <v>0</v>
      </c>
      <c r="X60" s="58">
        <f t="shared" si="7"/>
        <v>0</v>
      </c>
      <c r="Y60" s="58">
        <f t="shared" si="8"/>
        <v>0</v>
      </c>
      <c r="Z60" s="59"/>
      <c r="AA60" s="59"/>
      <c r="AB60" s="59"/>
      <c r="AC60" s="60">
        <f t="shared" si="9"/>
        <v>0</v>
      </c>
      <c r="AD60" s="60">
        <f t="shared" si="10"/>
        <v>0</v>
      </c>
      <c r="AE60" s="60">
        <f t="shared" si="11"/>
        <v>0</v>
      </c>
      <c r="AF60" s="61"/>
      <c r="AG60" s="61"/>
      <c r="AH60" s="61"/>
      <c r="AI60" s="62">
        <f t="shared" si="12"/>
        <v>0</v>
      </c>
      <c r="AJ60" s="62">
        <f t="shared" si="13"/>
        <v>0</v>
      </c>
      <c r="AK60" s="62">
        <f t="shared" si="14"/>
        <v>0</v>
      </c>
      <c r="AL60" s="63">
        <f t="shared" si="15"/>
        <v>0</v>
      </c>
      <c r="AM60" s="63">
        <f t="shared" si="16"/>
        <v>0</v>
      </c>
      <c r="AN60" s="63">
        <f t="shared" si="17"/>
        <v>0</v>
      </c>
      <c r="AO60" s="55">
        <f t="shared" si="18"/>
        <v>0</v>
      </c>
      <c r="AP60" s="64"/>
      <c r="AQ60" s="64"/>
      <c r="AR60" s="55">
        <f t="shared" si="27"/>
        <v>11588</v>
      </c>
      <c r="AS60" s="55"/>
      <c r="AT60" s="55"/>
      <c r="AU60" s="64"/>
      <c r="AV60" s="64"/>
      <c r="AW60" s="64"/>
      <c r="AX60" s="64"/>
      <c r="AY60" s="55">
        <f t="shared" si="20"/>
        <v>11588</v>
      </c>
      <c r="AZ60" s="55" t="s">
        <v>83</v>
      </c>
      <c r="BA60" s="55" t="s">
        <v>93</v>
      </c>
      <c r="BB60" s="65"/>
      <c r="BC60" s="65"/>
    </row>
    <row r="61" spans="1:55" ht="15.75" customHeight="1">
      <c r="A61" s="44">
        <f t="shared" si="0"/>
        <v>52</v>
      </c>
      <c r="B61" s="45" t="s">
        <v>236</v>
      </c>
      <c r="C61" s="79">
        <v>46036</v>
      </c>
      <c r="D61" s="47"/>
      <c r="E61" s="48" t="s">
        <v>203</v>
      </c>
      <c r="F61" s="44" t="s">
        <v>234</v>
      </c>
      <c r="G61" s="49" t="s">
        <v>80</v>
      </c>
      <c r="H61" s="50">
        <v>8</v>
      </c>
      <c r="I61" s="51" t="s">
        <v>81</v>
      </c>
      <c r="J61" s="51" t="s">
        <v>82</v>
      </c>
      <c r="K61" s="66"/>
      <c r="L61" s="67"/>
      <c r="M61" s="54">
        <f>IFERROR(VLOOKUP($H61,'CODE 2'!$J:$K,2,FALSE)," ")</f>
        <v>19744</v>
      </c>
      <c r="N61" s="55">
        <f t="shared" si="1"/>
        <v>9872</v>
      </c>
      <c r="O61" s="55">
        <f t="shared" si="2"/>
        <v>897.4545454545455</v>
      </c>
      <c r="P61" s="55">
        <f t="shared" si="3"/>
        <v>112.18181818181819</v>
      </c>
      <c r="Q61" s="55">
        <f t="shared" si="4"/>
        <v>1.8696969696969699</v>
      </c>
      <c r="R61" s="56" t="str">
        <f t="shared" si="24"/>
        <v>11</v>
      </c>
      <c r="S61" s="55">
        <f t="shared" si="5"/>
        <v>9872</v>
      </c>
      <c r="T61" s="57">
        <v>0</v>
      </c>
      <c r="U61" s="57">
        <v>0</v>
      </c>
      <c r="V61" s="57">
        <v>5</v>
      </c>
      <c r="W61" s="58">
        <f t="shared" si="22"/>
        <v>0</v>
      </c>
      <c r="X61" s="58">
        <f t="shared" si="7"/>
        <v>0</v>
      </c>
      <c r="Y61" s="58">
        <f t="shared" si="8"/>
        <v>9.35</v>
      </c>
      <c r="Z61" s="59"/>
      <c r="AA61" s="59"/>
      <c r="AB61" s="59"/>
      <c r="AC61" s="60">
        <f t="shared" si="9"/>
        <v>0</v>
      </c>
      <c r="AD61" s="60">
        <f t="shared" si="10"/>
        <v>0</v>
      </c>
      <c r="AE61" s="60">
        <f t="shared" si="11"/>
        <v>0</v>
      </c>
      <c r="AF61" s="61"/>
      <c r="AG61" s="61"/>
      <c r="AH61" s="61"/>
      <c r="AI61" s="62">
        <f t="shared" si="12"/>
        <v>0</v>
      </c>
      <c r="AJ61" s="62">
        <f t="shared" si="13"/>
        <v>0</v>
      </c>
      <c r="AK61" s="62">
        <f t="shared" si="14"/>
        <v>0</v>
      </c>
      <c r="AL61" s="63">
        <f t="shared" si="15"/>
        <v>0</v>
      </c>
      <c r="AM61" s="63">
        <f t="shared" si="16"/>
        <v>0</v>
      </c>
      <c r="AN61" s="63">
        <f t="shared" si="17"/>
        <v>9.35</v>
      </c>
      <c r="AO61" s="55">
        <f t="shared" si="18"/>
        <v>9.35</v>
      </c>
      <c r="AP61" s="64"/>
      <c r="AQ61" s="64"/>
      <c r="AR61" s="55">
        <f t="shared" si="27"/>
        <v>9862.65</v>
      </c>
      <c r="AS61" s="55"/>
      <c r="AT61" s="55"/>
      <c r="AU61" s="64"/>
      <c r="AV61" s="64"/>
      <c r="AW61" s="64"/>
      <c r="AX61" s="64"/>
      <c r="AY61" s="55">
        <f t="shared" si="20"/>
        <v>9862.65</v>
      </c>
      <c r="AZ61" s="55" t="s">
        <v>83</v>
      </c>
      <c r="BA61" s="55" t="s">
        <v>85</v>
      </c>
      <c r="BB61" s="65"/>
      <c r="BC61" s="65"/>
    </row>
    <row r="62" spans="1:55" ht="15.75" customHeight="1">
      <c r="A62" s="44">
        <f t="shared" si="0"/>
        <v>53</v>
      </c>
      <c r="B62" s="122" t="s">
        <v>237</v>
      </c>
      <c r="C62" s="121">
        <v>46036</v>
      </c>
      <c r="D62" s="132"/>
      <c r="E62" s="48" t="s">
        <v>152</v>
      </c>
      <c r="F62" s="117" t="s">
        <v>238</v>
      </c>
      <c r="G62" s="118" t="s">
        <v>80</v>
      </c>
      <c r="H62" s="119">
        <f>IF(AZ62="Payroll",VLOOKUP(E62,'CODE 2'!$R:$S,2,FALSE),"0")</f>
        <v>8</v>
      </c>
      <c r="I62" s="120" t="s">
        <v>140</v>
      </c>
      <c r="J62" s="120"/>
      <c r="K62" s="66"/>
      <c r="L62" s="67"/>
      <c r="M62" s="54">
        <f>IFERROR(VLOOKUP($H62,'CODE 2'!$J:$K,2,FALSE)," ")</f>
        <v>19744</v>
      </c>
      <c r="N62" s="55">
        <f t="shared" si="1"/>
        <v>9872</v>
      </c>
      <c r="O62" s="55">
        <f t="shared" si="2"/>
        <v>897.4545454545455</v>
      </c>
      <c r="P62" s="55">
        <f t="shared" si="3"/>
        <v>112.18181818181819</v>
      </c>
      <c r="Q62" s="55">
        <f t="shared" si="4"/>
        <v>1.8696969696969699</v>
      </c>
      <c r="R62" s="56">
        <v>11</v>
      </c>
      <c r="S62" s="55">
        <f t="shared" si="5"/>
        <v>9872</v>
      </c>
      <c r="T62" s="57">
        <v>0</v>
      </c>
      <c r="U62" s="57">
        <v>4</v>
      </c>
      <c r="V62" s="57">
        <v>22</v>
      </c>
      <c r="W62" s="58">
        <f t="shared" si="22"/>
        <v>0</v>
      </c>
      <c r="X62" s="58">
        <f t="shared" si="7"/>
        <v>448.73</v>
      </c>
      <c r="Y62" s="58">
        <f t="shared" si="8"/>
        <v>41.13</v>
      </c>
      <c r="Z62" s="59"/>
      <c r="AA62" s="59"/>
      <c r="AB62" s="59"/>
      <c r="AC62" s="60">
        <f t="shared" si="9"/>
        <v>0</v>
      </c>
      <c r="AD62" s="60">
        <f t="shared" si="10"/>
        <v>0</v>
      </c>
      <c r="AE62" s="60">
        <f t="shared" si="11"/>
        <v>0</v>
      </c>
      <c r="AF62" s="61"/>
      <c r="AG62" s="61"/>
      <c r="AH62" s="61"/>
      <c r="AI62" s="62">
        <f t="shared" si="12"/>
        <v>0</v>
      </c>
      <c r="AJ62" s="62">
        <f t="shared" si="13"/>
        <v>0</v>
      </c>
      <c r="AK62" s="62">
        <f t="shared" si="14"/>
        <v>0</v>
      </c>
      <c r="AL62" s="63">
        <f t="shared" si="15"/>
        <v>0</v>
      </c>
      <c r="AM62" s="63">
        <f t="shared" si="16"/>
        <v>448.73</v>
      </c>
      <c r="AN62" s="63">
        <f t="shared" si="17"/>
        <v>41.13</v>
      </c>
      <c r="AO62" s="55">
        <f t="shared" si="18"/>
        <v>489.86</v>
      </c>
      <c r="AP62" s="64"/>
      <c r="AQ62" s="64"/>
      <c r="AR62" s="55">
        <f t="shared" si="27"/>
        <v>9382.14</v>
      </c>
      <c r="AS62" s="55"/>
      <c r="AT62" s="55"/>
      <c r="AU62" s="64"/>
      <c r="AV62" s="64"/>
      <c r="AW62" s="64"/>
      <c r="AX62" s="64"/>
      <c r="AY62" s="55">
        <f t="shared" si="20"/>
        <v>9382.14</v>
      </c>
      <c r="AZ62" s="55" t="s">
        <v>83</v>
      </c>
      <c r="BA62" s="55" t="s">
        <v>219</v>
      </c>
      <c r="BB62" s="65"/>
      <c r="BC62" s="65"/>
    </row>
    <row r="63" spans="1:55" ht="15.75" customHeight="1">
      <c r="A63" s="44">
        <f t="shared" si="0"/>
        <v>54</v>
      </c>
      <c r="B63" s="45" t="s">
        <v>239</v>
      </c>
      <c r="C63" s="133">
        <v>46036</v>
      </c>
      <c r="D63" s="47"/>
      <c r="E63" s="48" t="s">
        <v>127</v>
      </c>
      <c r="F63" s="44" t="s">
        <v>240</v>
      </c>
      <c r="G63" s="49" t="s">
        <v>80</v>
      </c>
      <c r="H63" s="50">
        <f>IF(AZ63="Payroll",VLOOKUP(E63,'CODE 2'!$R:$S,2,FALSE),"0")</f>
        <v>8</v>
      </c>
      <c r="I63" s="51" t="s">
        <v>116</v>
      </c>
      <c r="J63" s="51" t="s">
        <v>82</v>
      </c>
      <c r="K63" s="66"/>
      <c r="L63" s="67"/>
      <c r="M63" s="54">
        <f>IFERROR(VLOOKUP($H63,'CODE 2'!$J:$K,2,FALSE)," ")</f>
        <v>19744</v>
      </c>
      <c r="N63" s="55">
        <f t="shared" si="1"/>
        <v>9872</v>
      </c>
      <c r="O63" s="55">
        <f t="shared" si="2"/>
        <v>897.4545454545455</v>
      </c>
      <c r="P63" s="55">
        <f t="shared" si="3"/>
        <v>112.18181818181819</v>
      </c>
      <c r="Q63" s="55">
        <f t="shared" si="4"/>
        <v>1.8696969696969699</v>
      </c>
      <c r="R63" s="56" t="str">
        <f t="shared" ref="R63:R70" si="28">IF(AZ63="Payroll","11","")</f>
        <v>11</v>
      </c>
      <c r="S63" s="55">
        <f t="shared" si="5"/>
        <v>9872</v>
      </c>
      <c r="T63" s="57">
        <v>0</v>
      </c>
      <c r="U63" s="57">
        <v>4</v>
      </c>
      <c r="V63" s="57">
        <v>31</v>
      </c>
      <c r="W63" s="58">
        <f t="shared" si="22"/>
        <v>0</v>
      </c>
      <c r="X63" s="58">
        <f t="shared" si="7"/>
        <v>448.73</v>
      </c>
      <c r="Y63" s="58">
        <f t="shared" si="8"/>
        <v>57.96</v>
      </c>
      <c r="Z63" s="59"/>
      <c r="AA63" s="59"/>
      <c r="AB63" s="59"/>
      <c r="AC63" s="60">
        <f t="shared" si="9"/>
        <v>0</v>
      </c>
      <c r="AD63" s="60">
        <f t="shared" si="10"/>
        <v>0</v>
      </c>
      <c r="AE63" s="60">
        <f t="shared" si="11"/>
        <v>0</v>
      </c>
      <c r="AF63" s="61"/>
      <c r="AG63" s="61"/>
      <c r="AH63" s="61"/>
      <c r="AI63" s="62">
        <f t="shared" si="12"/>
        <v>0</v>
      </c>
      <c r="AJ63" s="62">
        <f t="shared" si="13"/>
        <v>0</v>
      </c>
      <c r="AK63" s="62">
        <f t="shared" si="14"/>
        <v>0</v>
      </c>
      <c r="AL63" s="63">
        <f t="shared" si="15"/>
        <v>0</v>
      </c>
      <c r="AM63" s="63">
        <f t="shared" si="16"/>
        <v>448.73</v>
      </c>
      <c r="AN63" s="63">
        <f t="shared" si="17"/>
        <v>57.96</v>
      </c>
      <c r="AO63" s="55">
        <f t="shared" si="18"/>
        <v>506.69</v>
      </c>
      <c r="AP63" s="64"/>
      <c r="AQ63" s="64"/>
      <c r="AR63" s="55">
        <f t="shared" si="27"/>
        <v>9365.31</v>
      </c>
      <c r="AS63" s="55"/>
      <c r="AT63" s="55"/>
      <c r="AU63" s="64"/>
      <c r="AV63" s="64"/>
      <c r="AW63" s="64"/>
      <c r="AX63" s="64"/>
      <c r="AY63" s="55">
        <f t="shared" si="20"/>
        <v>9365.31</v>
      </c>
      <c r="AZ63" s="55" t="s">
        <v>83</v>
      </c>
      <c r="BA63" s="55" t="s">
        <v>212</v>
      </c>
      <c r="BB63" s="65"/>
      <c r="BC63" s="65"/>
    </row>
    <row r="64" spans="1:55" ht="15.75" customHeight="1">
      <c r="A64" s="44">
        <f t="shared" si="0"/>
        <v>55</v>
      </c>
      <c r="B64" s="45" t="s">
        <v>241</v>
      </c>
      <c r="C64" s="133">
        <v>46036</v>
      </c>
      <c r="D64" s="47"/>
      <c r="E64" s="48" t="s">
        <v>111</v>
      </c>
      <c r="F64" s="44" t="s">
        <v>240</v>
      </c>
      <c r="G64" s="49" t="s">
        <v>242</v>
      </c>
      <c r="H64" s="50">
        <f>IF(AZ64="Payroll",VLOOKUP(E64,'CODE 2'!$R:$S,2,FALSE),"0")</f>
        <v>6</v>
      </c>
      <c r="I64" s="51" t="s">
        <v>243</v>
      </c>
      <c r="J64" s="51" t="s">
        <v>82</v>
      </c>
      <c r="K64" s="66"/>
      <c r="L64" s="67"/>
      <c r="M64" s="54">
        <f>IFERROR(VLOOKUP($H64,'CODE 2'!$J:$K,2,FALSE)," ")</f>
        <v>17553</v>
      </c>
      <c r="N64" s="55">
        <f t="shared" si="1"/>
        <v>8776.5</v>
      </c>
      <c r="O64" s="55">
        <f t="shared" si="2"/>
        <v>797.86363636363637</v>
      </c>
      <c r="P64" s="55">
        <f t="shared" si="3"/>
        <v>99.732954545454547</v>
      </c>
      <c r="Q64" s="55">
        <f t="shared" si="4"/>
        <v>1.6622159090909092</v>
      </c>
      <c r="R64" s="56" t="str">
        <f t="shared" si="28"/>
        <v>11</v>
      </c>
      <c r="S64" s="55">
        <f t="shared" si="5"/>
        <v>8776.5</v>
      </c>
      <c r="T64" s="57">
        <v>0</v>
      </c>
      <c r="U64" s="57">
        <v>0</v>
      </c>
      <c r="V64" s="57">
        <v>0</v>
      </c>
      <c r="W64" s="58">
        <f t="shared" si="22"/>
        <v>0</v>
      </c>
      <c r="X64" s="58">
        <f t="shared" si="7"/>
        <v>0</v>
      </c>
      <c r="Y64" s="58">
        <f t="shared" si="8"/>
        <v>0</v>
      </c>
      <c r="Z64" s="59"/>
      <c r="AA64" s="59"/>
      <c r="AB64" s="59"/>
      <c r="AC64" s="60">
        <f t="shared" si="9"/>
        <v>0</v>
      </c>
      <c r="AD64" s="60">
        <f t="shared" si="10"/>
        <v>0</v>
      </c>
      <c r="AE64" s="60">
        <f t="shared" si="11"/>
        <v>0</v>
      </c>
      <c r="AF64" s="61"/>
      <c r="AG64" s="61"/>
      <c r="AH64" s="61"/>
      <c r="AI64" s="62">
        <f t="shared" si="12"/>
        <v>0</v>
      </c>
      <c r="AJ64" s="62">
        <f t="shared" si="13"/>
        <v>0</v>
      </c>
      <c r="AK64" s="62">
        <f t="shared" si="14"/>
        <v>0</v>
      </c>
      <c r="AL64" s="63">
        <f t="shared" si="15"/>
        <v>0</v>
      </c>
      <c r="AM64" s="63">
        <f t="shared" si="16"/>
        <v>0</v>
      </c>
      <c r="AN64" s="63">
        <f t="shared" si="17"/>
        <v>0</v>
      </c>
      <c r="AO64" s="55">
        <f t="shared" si="18"/>
        <v>0</v>
      </c>
      <c r="AP64" s="64"/>
      <c r="AQ64" s="64"/>
      <c r="AR64" s="55">
        <f t="shared" si="27"/>
        <v>8776.5</v>
      </c>
      <c r="AS64" s="55"/>
      <c r="AT64" s="55"/>
      <c r="AU64" s="64"/>
      <c r="AV64" s="64"/>
      <c r="AW64" s="64"/>
      <c r="AX64" s="64"/>
      <c r="AY64" s="55">
        <f t="shared" si="20"/>
        <v>8776.5</v>
      </c>
      <c r="AZ64" s="55" t="s">
        <v>83</v>
      </c>
      <c r="BA64" s="55" t="s">
        <v>123</v>
      </c>
      <c r="BB64" s="65"/>
      <c r="BC64" s="65"/>
    </row>
    <row r="65" spans="1:55" ht="15.75" customHeight="1">
      <c r="A65" s="44">
        <f t="shared" si="0"/>
        <v>56</v>
      </c>
      <c r="B65" s="45" t="s">
        <v>244</v>
      </c>
      <c r="C65" s="133">
        <v>46036</v>
      </c>
      <c r="D65" s="47"/>
      <c r="E65" s="48" t="s">
        <v>124</v>
      </c>
      <c r="F65" s="44" t="s">
        <v>240</v>
      </c>
      <c r="G65" s="49" t="s">
        <v>242</v>
      </c>
      <c r="H65" s="50">
        <f>IF(AZ65="Payroll",VLOOKUP(E65,'CODE 2'!$R:$S,2,FALSE),"0")</f>
        <v>6</v>
      </c>
      <c r="I65" s="51" t="s">
        <v>243</v>
      </c>
      <c r="J65" s="51" t="s">
        <v>82</v>
      </c>
      <c r="K65" s="66"/>
      <c r="L65" s="67"/>
      <c r="M65" s="54">
        <f>IFERROR(VLOOKUP($H65,'CODE 2'!$J:$K,2,FALSE)," ")</f>
        <v>17553</v>
      </c>
      <c r="N65" s="55">
        <f t="shared" si="1"/>
        <v>8776.5</v>
      </c>
      <c r="O65" s="55">
        <f t="shared" si="2"/>
        <v>797.86363636363637</v>
      </c>
      <c r="P65" s="55">
        <f t="shared" si="3"/>
        <v>99.732954545454547</v>
      </c>
      <c r="Q65" s="55">
        <f t="shared" si="4"/>
        <v>1.6622159090909092</v>
      </c>
      <c r="R65" s="56" t="str">
        <f t="shared" si="28"/>
        <v>11</v>
      </c>
      <c r="S65" s="55">
        <f t="shared" si="5"/>
        <v>8776.5</v>
      </c>
      <c r="T65" s="57">
        <v>0</v>
      </c>
      <c r="U65" s="57">
        <v>0</v>
      </c>
      <c r="V65" s="57">
        <v>0</v>
      </c>
      <c r="W65" s="58">
        <f t="shared" si="22"/>
        <v>0</v>
      </c>
      <c r="X65" s="58">
        <f t="shared" si="7"/>
        <v>0</v>
      </c>
      <c r="Y65" s="58">
        <f t="shared" si="8"/>
        <v>0</v>
      </c>
      <c r="Z65" s="59"/>
      <c r="AA65" s="59"/>
      <c r="AB65" s="59"/>
      <c r="AC65" s="60">
        <f t="shared" si="9"/>
        <v>0</v>
      </c>
      <c r="AD65" s="60">
        <f t="shared" si="10"/>
        <v>0</v>
      </c>
      <c r="AE65" s="60">
        <f t="shared" si="11"/>
        <v>0</v>
      </c>
      <c r="AF65" s="61"/>
      <c r="AG65" s="61"/>
      <c r="AH65" s="61"/>
      <c r="AI65" s="62">
        <f t="shared" si="12"/>
        <v>0</v>
      </c>
      <c r="AJ65" s="62">
        <f t="shared" si="13"/>
        <v>0</v>
      </c>
      <c r="AK65" s="62">
        <f t="shared" si="14"/>
        <v>0</v>
      </c>
      <c r="AL65" s="63">
        <f t="shared" si="15"/>
        <v>0</v>
      </c>
      <c r="AM65" s="63">
        <f t="shared" si="16"/>
        <v>0</v>
      </c>
      <c r="AN65" s="63">
        <f t="shared" si="17"/>
        <v>0</v>
      </c>
      <c r="AO65" s="55">
        <f t="shared" si="18"/>
        <v>0</v>
      </c>
      <c r="AP65" s="64"/>
      <c r="AQ65" s="64"/>
      <c r="AR65" s="55">
        <f t="shared" si="27"/>
        <v>8776.5</v>
      </c>
      <c r="AS65" s="55"/>
      <c r="AT65" s="55"/>
      <c r="AU65" s="64"/>
      <c r="AV65" s="64"/>
      <c r="AW65" s="64"/>
      <c r="AX65" s="64"/>
      <c r="AY65" s="55">
        <f t="shared" si="20"/>
        <v>8776.5</v>
      </c>
      <c r="AZ65" s="55" t="s">
        <v>83</v>
      </c>
      <c r="BA65" s="55" t="s">
        <v>215</v>
      </c>
      <c r="BB65" s="65"/>
      <c r="BC65" s="65"/>
    </row>
    <row r="66" spans="1:55" ht="15.75" customHeight="1">
      <c r="A66" s="44">
        <f t="shared" si="0"/>
        <v>57</v>
      </c>
      <c r="B66" s="45" t="s">
        <v>245</v>
      </c>
      <c r="C66" s="133">
        <v>46036</v>
      </c>
      <c r="D66" s="47"/>
      <c r="E66" s="48" t="s">
        <v>145</v>
      </c>
      <c r="F66" s="44" t="s">
        <v>240</v>
      </c>
      <c r="G66" s="83" t="s">
        <v>130</v>
      </c>
      <c r="H66" s="134">
        <f>IF(AZ66="Payroll",VLOOKUP(E66,'CODE 2'!$R:$S,2,FALSE),"0")</f>
        <v>11</v>
      </c>
      <c r="I66" s="51" t="s">
        <v>243</v>
      </c>
      <c r="J66" s="51" t="s">
        <v>82</v>
      </c>
      <c r="K66" s="66"/>
      <c r="L66" s="67"/>
      <c r="M66" s="54">
        <f>IFERROR(VLOOKUP($H66,'CODE 2'!$J:$K,2,FALSE)," ")</f>
        <v>27000</v>
      </c>
      <c r="N66" s="111">
        <f t="shared" si="1"/>
        <v>13500</v>
      </c>
      <c r="O66" s="111">
        <f t="shared" si="2"/>
        <v>1227.2727272727273</v>
      </c>
      <c r="P66" s="111">
        <f t="shared" si="3"/>
        <v>153.40909090909091</v>
      </c>
      <c r="Q66" s="111">
        <f t="shared" si="4"/>
        <v>2.5568181818181817</v>
      </c>
      <c r="R66" s="56" t="str">
        <f t="shared" si="28"/>
        <v>11</v>
      </c>
      <c r="S66" s="111">
        <f t="shared" si="5"/>
        <v>13500</v>
      </c>
      <c r="T66" s="57">
        <v>0</v>
      </c>
      <c r="U66" s="57">
        <v>0</v>
      </c>
      <c r="V66" s="57">
        <v>0</v>
      </c>
      <c r="W66" s="58">
        <f t="shared" si="22"/>
        <v>0</v>
      </c>
      <c r="X66" s="58">
        <f t="shared" si="7"/>
        <v>0</v>
      </c>
      <c r="Y66" s="58">
        <f t="shared" si="8"/>
        <v>0</v>
      </c>
      <c r="Z66" s="59"/>
      <c r="AA66" s="59"/>
      <c r="AB66" s="59"/>
      <c r="AC66" s="60">
        <f t="shared" si="9"/>
        <v>0</v>
      </c>
      <c r="AD66" s="60">
        <f t="shared" si="10"/>
        <v>0</v>
      </c>
      <c r="AE66" s="60">
        <f t="shared" si="11"/>
        <v>0</v>
      </c>
      <c r="AF66" s="61"/>
      <c r="AG66" s="61"/>
      <c r="AH66" s="61"/>
      <c r="AI66" s="62">
        <f t="shared" si="12"/>
        <v>0</v>
      </c>
      <c r="AJ66" s="62">
        <f t="shared" si="13"/>
        <v>0</v>
      </c>
      <c r="AK66" s="62">
        <f t="shared" si="14"/>
        <v>0</v>
      </c>
      <c r="AL66" s="63">
        <f t="shared" si="15"/>
        <v>0</v>
      </c>
      <c r="AM66" s="63">
        <f t="shared" si="16"/>
        <v>0</v>
      </c>
      <c r="AN66" s="63">
        <f t="shared" si="17"/>
        <v>0</v>
      </c>
      <c r="AO66" s="55">
        <f t="shared" si="18"/>
        <v>0</v>
      </c>
      <c r="AP66" s="64"/>
      <c r="AQ66" s="64"/>
      <c r="AR66" s="55">
        <f t="shared" si="27"/>
        <v>13500</v>
      </c>
      <c r="AS66" s="55"/>
      <c r="AT66" s="55"/>
      <c r="AU66" s="64"/>
      <c r="AV66" s="64"/>
      <c r="AW66" s="64"/>
      <c r="AX66" s="64"/>
      <c r="AY66" s="55">
        <f t="shared" si="20"/>
        <v>13500</v>
      </c>
      <c r="AZ66" s="55" t="s">
        <v>83</v>
      </c>
      <c r="BA66" s="55" t="s">
        <v>89</v>
      </c>
      <c r="BB66" s="81"/>
      <c r="BC66" s="81"/>
    </row>
    <row r="67" spans="1:55" ht="15.75" customHeight="1">
      <c r="A67" s="44">
        <f t="shared" si="0"/>
        <v>58</v>
      </c>
      <c r="B67" s="135" t="s">
        <v>246</v>
      </c>
      <c r="C67" s="133">
        <v>46036</v>
      </c>
      <c r="D67" s="47"/>
      <c r="E67" s="48" t="s">
        <v>217</v>
      </c>
      <c r="F67" s="44" t="s">
        <v>240</v>
      </c>
      <c r="G67" s="49" t="s">
        <v>174</v>
      </c>
      <c r="H67" s="134">
        <f>IF(AZ67="Payroll",VLOOKUP(E67,'CODE 2'!$R:$S,2,FALSE),"0")</f>
        <v>11</v>
      </c>
      <c r="I67" s="51" t="s">
        <v>81</v>
      </c>
      <c r="J67" s="51" t="s">
        <v>82</v>
      </c>
      <c r="K67" s="66"/>
      <c r="L67" s="67"/>
      <c r="M67" s="54">
        <f>IFERROR(VLOOKUP($H67,'CODE 2'!$J:$K,2,FALSE)," ")</f>
        <v>27000</v>
      </c>
      <c r="N67" s="111">
        <f t="shared" si="1"/>
        <v>13500</v>
      </c>
      <c r="O67" s="111">
        <f t="shared" si="2"/>
        <v>1227.2727272727273</v>
      </c>
      <c r="P67" s="111">
        <f t="shared" si="3"/>
        <v>153.40909090909091</v>
      </c>
      <c r="Q67" s="111">
        <f t="shared" si="4"/>
        <v>2.5568181818181817</v>
      </c>
      <c r="R67" s="56" t="str">
        <f t="shared" si="28"/>
        <v>11</v>
      </c>
      <c r="S67" s="111">
        <f t="shared" si="5"/>
        <v>13500</v>
      </c>
      <c r="T67" s="57">
        <v>0</v>
      </c>
      <c r="U67" s="57">
        <v>0</v>
      </c>
      <c r="V67" s="57">
        <v>38</v>
      </c>
      <c r="W67" s="58">
        <f t="shared" si="22"/>
        <v>0</v>
      </c>
      <c r="X67" s="58">
        <f t="shared" si="7"/>
        <v>0</v>
      </c>
      <c r="Y67" s="58">
        <f t="shared" si="8"/>
        <v>97.16</v>
      </c>
      <c r="Z67" s="59"/>
      <c r="AA67" s="59"/>
      <c r="AB67" s="59"/>
      <c r="AC67" s="60">
        <f t="shared" si="9"/>
        <v>0</v>
      </c>
      <c r="AD67" s="60">
        <f t="shared" si="10"/>
        <v>0</v>
      </c>
      <c r="AE67" s="60">
        <f t="shared" si="11"/>
        <v>0</v>
      </c>
      <c r="AF67" s="61"/>
      <c r="AG67" s="61"/>
      <c r="AH67" s="61"/>
      <c r="AI67" s="62">
        <f t="shared" si="12"/>
        <v>0</v>
      </c>
      <c r="AJ67" s="62">
        <f t="shared" si="13"/>
        <v>0</v>
      </c>
      <c r="AK67" s="62">
        <f t="shared" si="14"/>
        <v>0</v>
      </c>
      <c r="AL67" s="63">
        <f t="shared" si="15"/>
        <v>0</v>
      </c>
      <c r="AM67" s="63">
        <f t="shared" si="16"/>
        <v>0</v>
      </c>
      <c r="AN67" s="63">
        <f t="shared" si="17"/>
        <v>97.16</v>
      </c>
      <c r="AO67" s="55">
        <f t="shared" si="18"/>
        <v>97.16</v>
      </c>
      <c r="AP67" s="64"/>
      <c r="AQ67" s="64"/>
      <c r="AR67" s="55">
        <f t="shared" si="27"/>
        <v>13402.84</v>
      </c>
      <c r="AS67" s="55"/>
      <c r="AT67" s="55"/>
      <c r="AU67" s="64"/>
      <c r="AV67" s="64"/>
      <c r="AW67" s="64"/>
      <c r="AX67" s="64"/>
      <c r="AY67" s="55">
        <f t="shared" si="20"/>
        <v>13402.84</v>
      </c>
      <c r="AZ67" s="55" t="s">
        <v>83</v>
      </c>
      <c r="BA67" s="55" t="s">
        <v>147</v>
      </c>
      <c r="BB67" s="81"/>
      <c r="BC67" s="81"/>
    </row>
    <row r="68" spans="1:55" ht="15.75" customHeight="1">
      <c r="A68" s="44">
        <f t="shared" si="0"/>
        <v>59</v>
      </c>
      <c r="B68" s="135" t="s">
        <v>247</v>
      </c>
      <c r="C68" s="133">
        <v>46036</v>
      </c>
      <c r="D68" s="47"/>
      <c r="E68" s="48" t="s">
        <v>184</v>
      </c>
      <c r="F68" s="44" t="s">
        <v>240</v>
      </c>
      <c r="G68" s="49" t="s">
        <v>90</v>
      </c>
      <c r="H68" s="134">
        <f>IF(AZ68="Payroll",VLOOKUP(E68,'CODE 2'!$R:$S,2,FALSE),"0")</f>
        <v>15</v>
      </c>
      <c r="I68" s="51" t="s">
        <v>81</v>
      </c>
      <c r="J68" s="51" t="s">
        <v>82</v>
      </c>
      <c r="K68" s="66"/>
      <c r="L68" s="67"/>
      <c r="M68" s="54">
        <f>IFERROR(VLOOKUP($H68,'CODE 2'!$J:$K,2,FALSE)," ")</f>
        <v>36619</v>
      </c>
      <c r="N68" s="111">
        <f t="shared" si="1"/>
        <v>18309.5</v>
      </c>
      <c r="O68" s="111">
        <f t="shared" si="2"/>
        <v>1664.5</v>
      </c>
      <c r="P68" s="111">
        <f t="shared" si="3"/>
        <v>208.0625</v>
      </c>
      <c r="Q68" s="111">
        <f t="shared" si="4"/>
        <v>3.4677083333333334</v>
      </c>
      <c r="R68" s="56" t="str">
        <f t="shared" si="28"/>
        <v>11</v>
      </c>
      <c r="S68" s="111">
        <f t="shared" si="5"/>
        <v>18309.5</v>
      </c>
      <c r="T68" s="57">
        <v>0</v>
      </c>
      <c r="U68" s="57">
        <v>0</v>
      </c>
      <c r="V68" s="57">
        <v>0</v>
      </c>
      <c r="W68" s="58">
        <f t="shared" si="22"/>
        <v>0</v>
      </c>
      <c r="X68" s="58">
        <f t="shared" si="7"/>
        <v>0</v>
      </c>
      <c r="Y68" s="58">
        <f t="shared" si="8"/>
        <v>0</v>
      </c>
      <c r="Z68" s="59"/>
      <c r="AA68" s="59"/>
      <c r="AB68" s="59"/>
      <c r="AC68" s="60">
        <f t="shared" si="9"/>
        <v>0</v>
      </c>
      <c r="AD68" s="60">
        <f t="shared" si="10"/>
        <v>0</v>
      </c>
      <c r="AE68" s="60">
        <f t="shared" si="11"/>
        <v>0</v>
      </c>
      <c r="AF68" s="61"/>
      <c r="AG68" s="61"/>
      <c r="AH68" s="61"/>
      <c r="AI68" s="62">
        <f t="shared" si="12"/>
        <v>0</v>
      </c>
      <c r="AJ68" s="62">
        <f t="shared" si="13"/>
        <v>0</v>
      </c>
      <c r="AK68" s="62">
        <f t="shared" si="14"/>
        <v>0</v>
      </c>
      <c r="AL68" s="63">
        <f t="shared" si="15"/>
        <v>0</v>
      </c>
      <c r="AM68" s="63">
        <f t="shared" si="16"/>
        <v>0</v>
      </c>
      <c r="AN68" s="63">
        <f t="shared" si="17"/>
        <v>0</v>
      </c>
      <c r="AO68" s="55">
        <f t="shared" si="18"/>
        <v>0</v>
      </c>
      <c r="AP68" s="64"/>
      <c r="AQ68" s="64"/>
      <c r="AR68" s="55">
        <f t="shared" si="27"/>
        <v>18309.5</v>
      </c>
      <c r="AS68" s="55"/>
      <c r="AT68" s="55"/>
      <c r="AU68" s="64"/>
      <c r="AV68" s="64"/>
      <c r="AW68" s="64"/>
      <c r="AX68" s="64"/>
      <c r="AY68" s="55">
        <f t="shared" si="20"/>
        <v>18309.5</v>
      </c>
      <c r="AZ68" s="55" t="s">
        <v>83</v>
      </c>
      <c r="BA68" s="55" t="s">
        <v>157</v>
      </c>
      <c r="BB68" s="81"/>
      <c r="BC68" s="81"/>
    </row>
    <row r="69" spans="1:55" ht="15.75" customHeight="1">
      <c r="A69" s="44">
        <f t="shared" si="0"/>
        <v>60</v>
      </c>
      <c r="B69" s="45" t="s">
        <v>248</v>
      </c>
      <c r="C69" s="133">
        <v>46036</v>
      </c>
      <c r="D69" s="47"/>
      <c r="E69" s="48" t="s">
        <v>171</v>
      </c>
      <c r="F69" s="44" t="s">
        <v>240</v>
      </c>
      <c r="G69" s="49" t="s">
        <v>90</v>
      </c>
      <c r="H69" s="134">
        <f>IF(AZ69="Payroll",VLOOKUP(E69,'CODE 2'!$R:$S,2,FALSE),"0")</f>
        <v>15</v>
      </c>
      <c r="I69" s="51" t="s">
        <v>81</v>
      </c>
      <c r="J69" s="51" t="s">
        <v>82</v>
      </c>
      <c r="K69" s="66"/>
      <c r="L69" s="67"/>
      <c r="M69" s="54">
        <f>IFERROR(VLOOKUP($H69,'CODE 2'!$J:$K,2,FALSE)," ")</f>
        <v>36619</v>
      </c>
      <c r="N69" s="111">
        <f t="shared" si="1"/>
        <v>18309.5</v>
      </c>
      <c r="O69" s="111">
        <f t="shared" si="2"/>
        <v>1664.5</v>
      </c>
      <c r="P69" s="111">
        <f t="shared" si="3"/>
        <v>208.0625</v>
      </c>
      <c r="Q69" s="111">
        <f t="shared" si="4"/>
        <v>3.4677083333333334</v>
      </c>
      <c r="R69" s="56" t="str">
        <f t="shared" si="28"/>
        <v>11</v>
      </c>
      <c r="S69" s="111">
        <f t="shared" si="5"/>
        <v>18309.5</v>
      </c>
      <c r="T69" s="57">
        <v>0</v>
      </c>
      <c r="U69" s="57">
        <v>0</v>
      </c>
      <c r="V69" s="57">
        <v>2</v>
      </c>
      <c r="W69" s="58">
        <f t="shared" si="22"/>
        <v>0</v>
      </c>
      <c r="X69" s="58">
        <f t="shared" si="7"/>
        <v>0</v>
      </c>
      <c r="Y69" s="58">
        <f t="shared" si="8"/>
        <v>6.94</v>
      </c>
      <c r="Z69" s="59"/>
      <c r="AA69" s="59"/>
      <c r="AB69" s="59"/>
      <c r="AC69" s="60">
        <f t="shared" si="9"/>
        <v>0</v>
      </c>
      <c r="AD69" s="60">
        <f t="shared" si="10"/>
        <v>0</v>
      </c>
      <c r="AE69" s="60">
        <f t="shared" si="11"/>
        <v>0</v>
      </c>
      <c r="AF69" s="61"/>
      <c r="AG69" s="61"/>
      <c r="AH69" s="61"/>
      <c r="AI69" s="62">
        <f t="shared" si="12"/>
        <v>0</v>
      </c>
      <c r="AJ69" s="62">
        <f t="shared" si="13"/>
        <v>0</v>
      </c>
      <c r="AK69" s="62">
        <f t="shared" si="14"/>
        <v>0</v>
      </c>
      <c r="AL69" s="63">
        <f t="shared" si="15"/>
        <v>0</v>
      </c>
      <c r="AM69" s="63">
        <f t="shared" si="16"/>
        <v>0</v>
      </c>
      <c r="AN69" s="63">
        <f t="shared" si="17"/>
        <v>6.94</v>
      </c>
      <c r="AO69" s="55">
        <f t="shared" si="18"/>
        <v>6.94</v>
      </c>
      <c r="AP69" s="64"/>
      <c r="AQ69" s="64"/>
      <c r="AR69" s="55">
        <f t="shared" si="27"/>
        <v>18302.560000000001</v>
      </c>
      <c r="AS69" s="55"/>
      <c r="AT69" s="55"/>
      <c r="AU69" s="64"/>
      <c r="AV69" s="64"/>
      <c r="AW69" s="64"/>
      <c r="AX69" s="64"/>
      <c r="AY69" s="55">
        <f t="shared" si="20"/>
        <v>18302.560000000001</v>
      </c>
      <c r="AZ69" s="55" t="s">
        <v>83</v>
      </c>
      <c r="BA69" s="55" t="s">
        <v>151</v>
      </c>
      <c r="BB69" s="81"/>
      <c r="BC69" s="81"/>
    </row>
    <row r="70" spans="1:55" ht="15.75" customHeight="1">
      <c r="A70" s="44">
        <f t="shared" si="0"/>
        <v>61</v>
      </c>
      <c r="B70" s="135" t="s">
        <v>249</v>
      </c>
      <c r="C70" s="136">
        <v>46036</v>
      </c>
      <c r="D70" s="47"/>
      <c r="E70" s="48" t="s">
        <v>159</v>
      </c>
      <c r="F70" s="44" t="s">
        <v>240</v>
      </c>
      <c r="G70" s="49" t="s">
        <v>250</v>
      </c>
      <c r="H70" s="134">
        <f>IF(AZ70="Payroll",VLOOKUP(E70,'CODE 2'!$R:$S,2,FALSE),"0")</f>
        <v>6</v>
      </c>
      <c r="I70" s="51" t="s">
        <v>251</v>
      </c>
      <c r="J70" s="51" t="s">
        <v>82</v>
      </c>
      <c r="K70" s="66"/>
      <c r="L70" s="67"/>
      <c r="M70" s="54">
        <f>IFERROR(VLOOKUP($H70,'CODE 2'!$J:$K,2,FALSE)," ")</f>
        <v>17553</v>
      </c>
      <c r="N70" s="111">
        <f t="shared" si="1"/>
        <v>8776.5</v>
      </c>
      <c r="O70" s="111">
        <f t="shared" si="2"/>
        <v>797.86363636363637</v>
      </c>
      <c r="P70" s="111">
        <f t="shared" si="3"/>
        <v>99.732954545454547</v>
      </c>
      <c r="Q70" s="111">
        <f t="shared" si="4"/>
        <v>1.6622159090909092</v>
      </c>
      <c r="R70" s="56" t="str">
        <f t="shared" si="28"/>
        <v>11</v>
      </c>
      <c r="S70" s="111">
        <f t="shared" si="5"/>
        <v>8776.5</v>
      </c>
      <c r="T70" s="57">
        <v>0</v>
      </c>
      <c r="U70" s="57">
        <v>0</v>
      </c>
      <c r="V70" s="57">
        <v>0</v>
      </c>
      <c r="W70" s="58">
        <f t="shared" si="22"/>
        <v>0</v>
      </c>
      <c r="X70" s="58">
        <f t="shared" si="7"/>
        <v>0</v>
      </c>
      <c r="Y70" s="58">
        <f t="shared" si="8"/>
        <v>0</v>
      </c>
      <c r="Z70" s="59"/>
      <c r="AA70" s="59"/>
      <c r="AB70" s="59"/>
      <c r="AC70" s="60">
        <f t="shared" si="9"/>
        <v>0</v>
      </c>
      <c r="AD70" s="60">
        <f t="shared" si="10"/>
        <v>0</v>
      </c>
      <c r="AE70" s="60">
        <f t="shared" si="11"/>
        <v>0</v>
      </c>
      <c r="AF70" s="61"/>
      <c r="AG70" s="61"/>
      <c r="AH70" s="61"/>
      <c r="AI70" s="62">
        <f t="shared" si="12"/>
        <v>0</v>
      </c>
      <c r="AJ70" s="62">
        <f t="shared" si="13"/>
        <v>0</v>
      </c>
      <c r="AK70" s="62">
        <f t="shared" si="14"/>
        <v>0</v>
      </c>
      <c r="AL70" s="63">
        <f t="shared" si="15"/>
        <v>0</v>
      </c>
      <c r="AM70" s="63">
        <f t="shared" si="16"/>
        <v>0</v>
      </c>
      <c r="AN70" s="63">
        <f t="shared" si="17"/>
        <v>0</v>
      </c>
      <c r="AO70" s="55">
        <f t="shared" si="18"/>
        <v>0</v>
      </c>
      <c r="AP70" s="64"/>
      <c r="AQ70" s="64"/>
      <c r="AR70" s="55">
        <f t="shared" si="27"/>
        <v>8776.5</v>
      </c>
      <c r="AS70" s="55"/>
      <c r="AT70" s="55"/>
      <c r="AU70" s="64"/>
      <c r="AV70" s="64"/>
      <c r="AW70" s="64"/>
      <c r="AX70" s="64"/>
      <c r="AY70" s="55">
        <f t="shared" si="20"/>
        <v>8776.5</v>
      </c>
      <c r="AZ70" s="55" t="s">
        <v>83</v>
      </c>
      <c r="BA70" s="55" t="s">
        <v>226</v>
      </c>
      <c r="BB70" s="81"/>
      <c r="BC70" s="81"/>
    </row>
    <row r="71" spans="1:55" ht="15.75" customHeight="1">
      <c r="A71" s="44">
        <f t="shared" si="0"/>
        <v>62</v>
      </c>
      <c r="B71" s="135" t="s">
        <v>252</v>
      </c>
      <c r="C71" s="136">
        <v>46036</v>
      </c>
      <c r="D71" s="47"/>
      <c r="E71" s="48" t="s">
        <v>104</v>
      </c>
      <c r="F71" s="44" t="s">
        <v>240</v>
      </c>
      <c r="G71" s="83" t="s">
        <v>130</v>
      </c>
      <c r="H71" s="134">
        <f>IF(AZ71="Payroll",VLOOKUP(E71,'CODE 2'!$R:$S,2,FALSE),"0")</f>
        <v>11</v>
      </c>
      <c r="I71" s="51" t="s">
        <v>116</v>
      </c>
      <c r="J71" s="51" t="s">
        <v>82</v>
      </c>
      <c r="K71" s="66"/>
      <c r="L71" s="67"/>
      <c r="M71" s="54">
        <f>IFERROR(VLOOKUP($H71,'CODE 2'!$J:$K,2,FALSE)," ")</f>
        <v>27000</v>
      </c>
      <c r="N71" s="111">
        <f t="shared" si="1"/>
        <v>13500</v>
      </c>
      <c r="O71" s="111">
        <f t="shared" si="2"/>
        <v>1227.2727272727273</v>
      </c>
      <c r="P71" s="111">
        <f t="shared" si="3"/>
        <v>153.40909090909091</v>
      </c>
      <c r="Q71" s="111">
        <f t="shared" si="4"/>
        <v>2.5568181818181817</v>
      </c>
      <c r="R71" s="89">
        <v>11</v>
      </c>
      <c r="S71" s="111">
        <f t="shared" si="5"/>
        <v>13500</v>
      </c>
      <c r="T71" s="57">
        <v>0</v>
      </c>
      <c r="U71" s="57">
        <v>0</v>
      </c>
      <c r="V71" s="57">
        <v>25</v>
      </c>
      <c r="W71" s="58">
        <f t="shared" si="22"/>
        <v>0</v>
      </c>
      <c r="X71" s="58">
        <f t="shared" si="7"/>
        <v>0</v>
      </c>
      <c r="Y71" s="58">
        <f t="shared" si="8"/>
        <v>63.92</v>
      </c>
      <c r="Z71" s="59"/>
      <c r="AA71" s="59"/>
      <c r="AB71" s="59"/>
      <c r="AC71" s="60">
        <f t="shared" si="9"/>
        <v>0</v>
      </c>
      <c r="AD71" s="60">
        <f t="shared" si="10"/>
        <v>0</v>
      </c>
      <c r="AE71" s="60">
        <f t="shared" si="11"/>
        <v>0</v>
      </c>
      <c r="AF71" s="61"/>
      <c r="AG71" s="61"/>
      <c r="AH71" s="61"/>
      <c r="AI71" s="62">
        <f t="shared" si="12"/>
        <v>0</v>
      </c>
      <c r="AJ71" s="62">
        <f t="shared" si="13"/>
        <v>0</v>
      </c>
      <c r="AK71" s="62">
        <f t="shared" si="14"/>
        <v>0</v>
      </c>
      <c r="AL71" s="63">
        <f t="shared" si="15"/>
        <v>0</v>
      </c>
      <c r="AM71" s="63">
        <f t="shared" si="16"/>
        <v>0</v>
      </c>
      <c r="AN71" s="63">
        <f t="shared" si="17"/>
        <v>63.92</v>
      </c>
      <c r="AO71" s="55">
        <f t="shared" si="18"/>
        <v>63.92</v>
      </c>
      <c r="AP71" s="64"/>
      <c r="AQ71" s="64"/>
      <c r="AR71" s="55">
        <f t="shared" si="27"/>
        <v>13436.08</v>
      </c>
      <c r="AS71" s="55"/>
      <c r="AT71" s="55"/>
      <c r="AU71" s="64"/>
      <c r="AV71" s="64"/>
      <c r="AW71" s="64"/>
      <c r="AX71" s="64"/>
      <c r="AY71" s="55">
        <f t="shared" si="20"/>
        <v>13436.08</v>
      </c>
      <c r="AZ71" s="55" t="s">
        <v>83</v>
      </c>
      <c r="BA71" s="55" t="s">
        <v>201</v>
      </c>
      <c r="BB71" s="81"/>
      <c r="BC71" s="81"/>
    </row>
    <row r="72" spans="1:55" ht="15.75" customHeight="1">
      <c r="A72" s="44">
        <f t="shared" si="0"/>
        <v>63</v>
      </c>
      <c r="B72" s="135" t="s">
        <v>253</v>
      </c>
      <c r="C72" s="133">
        <v>46036</v>
      </c>
      <c r="D72" s="47"/>
      <c r="E72" s="48" t="s">
        <v>87</v>
      </c>
      <c r="F72" s="44" t="s">
        <v>240</v>
      </c>
      <c r="G72" s="83" t="s">
        <v>130</v>
      </c>
      <c r="H72" s="134">
        <f>IF(AZ72="Payroll",VLOOKUP(E72,'CODE 2'!$R:$S,2,FALSE),"0")</f>
        <v>11</v>
      </c>
      <c r="I72" s="51" t="s">
        <v>243</v>
      </c>
      <c r="J72" s="51" t="s">
        <v>82</v>
      </c>
      <c r="K72" s="66"/>
      <c r="L72" s="67"/>
      <c r="M72" s="54">
        <f>IFERROR(VLOOKUP($H72,'CODE 2'!$J:$K,2,FALSE)," ")</f>
        <v>27000</v>
      </c>
      <c r="N72" s="111">
        <f t="shared" si="1"/>
        <v>13500</v>
      </c>
      <c r="O72" s="111">
        <f t="shared" si="2"/>
        <v>1227.2727272727273</v>
      </c>
      <c r="P72" s="111">
        <f t="shared" si="3"/>
        <v>153.40909090909091</v>
      </c>
      <c r="Q72" s="111">
        <f t="shared" si="4"/>
        <v>2.5568181818181817</v>
      </c>
      <c r="R72" s="89">
        <v>11</v>
      </c>
      <c r="S72" s="111">
        <f t="shared" si="5"/>
        <v>13500</v>
      </c>
      <c r="T72" s="57">
        <v>0</v>
      </c>
      <c r="U72" s="57">
        <v>0</v>
      </c>
      <c r="V72" s="57">
        <v>0</v>
      </c>
      <c r="W72" s="58">
        <f t="shared" si="22"/>
        <v>0</v>
      </c>
      <c r="X72" s="58">
        <f t="shared" si="7"/>
        <v>0</v>
      </c>
      <c r="Y72" s="58">
        <f t="shared" si="8"/>
        <v>0</v>
      </c>
      <c r="Z72" s="59"/>
      <c r="AA72" s="59"/>
      <c r="AB72" s="59"/>
      <c r="AC72" s="60">
        <f t="shared" si="9"/>
        <v>0</v>
      </c>
      <c r="AD72" s="60">
        <f t="shared" si="10"/>
        <v>0</v>
      </c>
      <c r="AE72" s="60">
        <f t="shared" si="11"/>
        <v>0</v>
      </c>
      <c r="AF72" s="61"/>
      <c r="AG72" s="61"/>
      <c r="AH72" s="61"/>
      <c r="AI72" s="62">
        <f t="shared" si="12"/>
        <v>0</v>
      </c>
      <c r="AJ72" s="62">
        <f t="shared" si="13"/>
        <v>0</v>
      </c>
      <c r="AK72" s="62">
        <f t="shared" si="14"/>
        <v>0</v>
      </c>
      <c r="AL72" s="63">
        <f t="shared" si="15"/>
        <v>0</v>
      </c>
      <c r="AM72" s="63">
        <f t="shared" si="16"/>
        <v>0</v>
      </c>
      <c r="AN72" s="63">
        <f t="shared" si="17"/>
        <v>0</v>
      </c>
      <c r="AO72" s="55">
        <f t="shared" si="18"/>
        <v>0</v>
      </c>
      <c r="AP72" s="64"/>
      <c r="AQ72" s="64"/>
      <c r="AR72" s="55">
        <f t="shared" si="27"/>
        <v>13500</v>
      </c>
      <c r="AS72" s="55"/>
      <c r="AT72" s="55"/>
      <c r="AU72" s="64"/>
      <c r="AV72" s="64"/>
      <c r="AW72" s="64"/>
      <c r="AX72" s="64"/>
      <c r="AY72" s="55">
        <f t="shared" si="20"/>
        <v>13500</v>
      </c>
      <c r="AZ72" s="55" t="s">
        <v>83</v>
      </c>
      <c r="BA72" s="55" t="s">
        <v>205</v>
      </c>
      <c r="BB72" s="81"/>
      <c r="BC72" s="81"/>
    </row>
    <row r="73" spans="1:55" ht="15.75" customHeight="1">
      <c r="A73" s="44">
        <f t="shared" si="0"/>
        <v>64</v>
      </c>
      <c r="B73" s="109" t="s">
        <v>254</v>
      </c>
      <c r="C73" s="79">
        <v>46036</v>
      </c>
      <c r="D73" s="47"/>
      <c r="E73" s="48" t="s">
        <v>100</v>
      </c>
      <c r="F73" s="44" t="s">
        <v>255</v>
      </c>
      <c r="G73" s="49" t="s">
        <v>80</v>
      </c>
      <c r="H73" s="50">
        <f>IF(AZ73="Payroll",VLOOKUP(E73,'CODE 2'!$R:$S,2,FALSE),"0")</f>
        <v>8</v>
      </c>
      <c r="I73" s="51" t="s">
        <v>81</v>
      </c>
      <c r="J73" s="51" t="s">
        <v>82</v>
      </c>
      <c r="K73" s="55"/>
      <c r="L73" s="55"/>
      <c r="M73" s="54">
        <f>IFERROR(VLOOKUP($H73,'CODE 2'!$J:$K,2,FALSE)," ")</f>
        <v>19744</v>
      </c>
      <c r="N73" s="111">
        <f t="shared" si="1"/>
        <v>9872</v>
      </c>
      <c r="O73" s="55">
        <f t="shared" si="2"/>
        <v>897.4545454545455</v>
      </c>
      <c r="P73" s="55">
        <f t="shared" si="3"/>
        <v>112.18181818181819</v>
      </c>
      <c r="Q73" s="55">
        <f t="shared" si="4"/>
        <v>1.8696969696969699</v>
      </c>
      <c r="R73" s="56" t="str">
        <f t="shared" ref="R73:R75" si="29">IF(AZ73="Payroll","11","")</f>
        <v>11</v>
      </c>
      <c r="S73" s="55">
        <f t="shared" si="5"/>
        <v>9872</v>
      </c>
      <c r="T73" s="57">
        <v>0</v>
      </c>
      <c r="U73" s="57">
        <v>4</v>
      </c>
      <c r="V73" s="57">
        <v>0</v>
      </c>
      <c r="W73" s="58">
        <f t="shared" si="22"/>
        <v>0</v>
      </c>
      <c r="X73" s="58">
        <f t="shared" si="7"/>
        <v>448.73</v>
      </c>
      <c r="Y73" s="58">
        <f t="shared" si="8"/>
        <v>0</v>
      </c>
      <c r="Z73" s="59"/>
      <c r="AA73" s="59"/>
      <c r="AB73" s="59"/>
      <c r="AC73" s="60">
        <f t="shared" si="9"/>
        <v>0</v>
      </c>
      <c r="AD73" s="60">
        <f t="shared" si="10"/>
        <v>0</v>
      </c>
      <c r="AE73" s="60">
        <f t="shared" si="11"/>
        <v>0</v>
      </c>
      <c r="AF73" s="61"/>
      <c r="AG73" s="61"/>
      <c r="AH73" s="61"/>
      <c r="AI73" s="62">
        <f t="shared" si="12"/>
        <v>0</v>
      </c>
      <c r="AJ73" s="62">
        <f t="shared" si="13"/>
        <v>0</v>
      </c>
      <c r="AK73" s="62">
        <f t="shared" si="14"/>
        <v>0</v>
      </c>
      <c r="AL73" s="63">
        <f t="shared" si="15"/>
        <v>0</v>
      </c>
      <c r="AM73" s="63">
        <f t="shared" si="16"/>
        <v>448.73</v>
      </c>
      <c r="AN73" s="63">
        <f t="shared" si="17"/>
        <v>0</v>
      </c>
      <c r="AO73" s="55">
        <f t="shared" si="18"/>
        <v>448.73</v>
      </c>
      <c r="AP73" s="64"/>
      <c r="AQ73" s="64"/>
      <c r="AR73" s="55">
        <f t="shared" si="27"/>
        <v>9423.27</v>
      </c>
      <c r="AS73" s="55"/>
      <c r="AT73" s="55"/>
      <c r="AU73" s="64"/>
      <c r="AV73" s="64"/>
      <c r="AW73" s="64"/>
      <c r="AX73" s="64"/>
      <c r="AY73" s="55">
        <f t="shared" si="20"/>
        <v>9423.27</v>
      </c>
      <c r="AZ73" s="55" t="s">
        <v>83</v>
      </c>
      <c r="BA73" s="55" t="s">
        <v>109</v>
      </c>
      <c r="BB73" s="55"/>
      <c r="BC73" s="55"/>
    </row>
    <row r="74" spans="1:55" ht="15.75" customHeight="1">
      <c r="A74" s="44">
        <f t="shared" si="0"/>
        <v>65</v>
      </c>
      <c r="B74" s="109" t="s">
        <v>256</v>
      </c>
      <c r="C74" s="79">
        <v>46036</v>
      </c>
      <c r="D74" s="47"/>
      <c r="E74" s="137" t="s">
        <v>96</v>
      </c>
      <c r="F74" s="44" t="s">
        <v>255</v>
      </c>
      <c r="G74" s="49" t="s">
        <v>257</v>
      </c>
      <c r="H74" s="50">
        <f>IF(AZ74="Payroll",VLOOKUP(E74,'CODE 2'!$R:$S,2,FALSE),"0")</f>
        <v>15</v>
      </c>
      <c r="I74" s="138" t="s">
        <v>81</v>
      </c>
      <c r="J74" s="51" t="s">
        <v>82</v>
      </c>
      <c r="K74" s="55"/>
      <c r="L74" s="55"/>
      <c r="M74" s="54">
        <f>IFERROR(VLOOKUP($H74,'CODE 2'!$J:$K,2,FALSE)," ")</f>
        <v>36619</v>
      </c>
      <c r="N74" s="111">
        <f t="shared" si="1"/>
        <v>18309.5</v>
      </c>
      <c r="O74" s="55">
        <f t="shared" si="2"/>
        <v>1664.5</v>
      </c>
      <c r="P74" s="55">
        <f t="shared" si="3"/>
        <v>208.0625</v>
      </c>
      <c r="Q74" s="55">
        <f t="shared" si="4"/>
        <v>3.4677083333333334</v>
      </c>
      <c r="R74" s="56" t="str">
        <f t="shared" si="29"/>
        <v>11</v>
      </c>
      <c r="S74" s="55">
        <f t="shared" si="5"/>
        <v>18309.5</v>
      </c>
      <c r="T74" s="57">
        <v>0</v>
      </c>
      <c r="U74" s="57">
        <v>0</v>
      </c>
      <c r="V74" s="57">
        <v>0</v>
      </c>
      <c r="W74" s="58">
        <f t="shared" si="22"/>
        <v>0</v>
      </c>
      <c r="X74" s="58">
        <f t="shared" si="7"/>
        <v>0</v>
      </c>
      <c r="Y74" s="58">
        <f t="shared" si="8"/>
        <v>0</v>
      </c>
      <c r="Z74" s="59"/>
      <c r="AA74" s="59"/>
      <c r="AB74" s="59"/>
      <c r="AC74" s="60">
        <f t="shared" si="9"/>
        <v>0</v>
      </c>
      <c r="AD74" s="60">
        <f t="shared" si="10"/>
        <v>0</v>
      </c>
      <c r="AE74" s="60">
        <f t="shared" si="11"/>
        <v>0</v>
      </c>
      <c r="AF74" s="61"/>
      <c r="AG74" s="61"/>
      <c r="AH74" s="61"/>
      <c r="AI74" s="62">
        <f t="shared" si="12"/>
        <v>0</v>
      </c>
      <c r="AJ74" s="62">
        <f t="shared" si="13"/>
        <v>0</v>
      </c>
      <c r="AK74" s="62">
        <f t="shared" si="14"/>
        <v>0</v>
      </c>
      <c r="AL74" s="63">
        <f t="shared" si="15"/>
        <v>0</v>
      </c>
      <c r="AM74" s="63">
        <f t="shared" si="16"/>
        <v>0</v>
      </c>
      <c r="AN74" s="63">
        <f t="shared" si="17"/>
        <v>0</v>
      </c>
      <c r="AO74" s="55">
        <f t="shared" si="18"/>
        <v>0</v>
      </c>
      <c r="AP74" s="64"/>
      <c r="AQ74" s="64"/>
      <c r="AR74" s="55">
        <f t="shared" si="27"/>
        <v>18309.5</v>
      </c>
      <c r="AS74" s="55"/>
      <c r="AT74" s="55"/>
      <c r="AU74" s="64"/>
      <c r="AV74" s="64"/>
      <c r="AW74" s="64"/>
      <c r="AX74" s="64"/>
      <c r="AY74" s="55">
        <f t="shared" si="20"/>
        <v>18309.5</v>
      </c>
      <c r="AZ74" s="55" t="s">
        <v>83</v>
      </c>
      <c r="BA74" s="55" t="s">
        <v>232</v>
      </c>
      <c r="BB74" s="55"/>
      <c r="BC74" s="55"/>
    </row>
    <row r="75" spans="1:55" ht="15.75" customHeight="1">
      <c r="A75" s="44">
        <f t="shared" si="0"/>
        <v>66</v>
      </c>
      <c r="B75" s="135" t="s">
        <v>258</v>
      </c>
      <c r="C75" s="139">
        <v>46036</v>
      </c>
      <c r="D75" s="140"/>
      <c r="E75" s="49" t="s">
        <v>230</v>
      </c>
      <c r="F75" s="44" t="s">
        <v>255</v>
      </c>
      <c r="G75" s="49" t="s">
        <v>257</v>
      </c>
      <c r="H75" s="50">
        <f>IF(AZ75="Payroll",VLOOKUP(E75,'CODE 2'!$R:$S,2,FALSE),"0")</f>
        <v>15</v>
      </c>
      <c r="I75" s="141" t="s">
        <v>81</v>
      </c>
      <c r="J75" s="51" t="s">
        <v>82</v>
      </c>
      <c r="K75" s="55"/>
      <c r="L75" s="55"/>
      <c r="M75" s="54">
        <f>IFERROR(VLOOKUP($H75,'CODE 2'!$J:$K,2,FALSE)," ")</f>
        <v>36619</v>
      </c>
      <c r="N75" s="111">
        <f t="shared" si="1"/>
        <v>18309.5</v>
      </c>
      <c r="O75" s="55">
        <f t="shared" si="2"/>
        <v>1664.5</v>
      </c>
      <c r="P75" s="55">
        <f t="shared" si="3"/>
        <v>208.0625</v>
      </c>
      <c r="Q75" s="55">
        <f t="shared" si="4"/>
        <v>3.4677083333333334</v>
      </c>
      <c r="R75" s="56" t="str">
        <f t="shared" si="29"/>
        <v>11</v>
      </c>
      <c r="S75" s="55">
        <f t="shared" si="5"/>
        <v>18309.5</v>
      </c>
      <c r="T75" s="57">
        <v>0</v>
      </c>
      <c r="U75" s="57">
        <v>0</v>
      </c>
      <c r="V75" s="57">
        <v>0</v>
      </c>
      <c r="W75" s="58">
        <f t="shared" si="22"/>
        <v>0</v>
      </c>
      <c r="X75" s="58">
        <f t="shared" si="7"/>
        <v>0</v>
      </c>
      <c r="Y75" s="58">
        <f t="shared" si="8"/>
        <v>0</v>
      </c>
      <c r="Z75" s="59"/>
      <c r="AA75" s="59"/>
      <c r="AB75" s="59"/>
      <c r="AC75" s="60">
        <f t="shared" si="9"/>
        <v>0</v>
      </c>
      <c r="AD75" s="60">
        <f t="shared" si="10"/>
        <v>0</v>
      </c>
      <c r="AE75" s="60">
        <f t="shared" si="11"/>
        <v>0</v>
      </c>
      <c r="AF75" s="61"/>
      <c r="AG75" s="61"/>
      <c r="AH75" s="61"/>
      <c r="AI75" s="62">
        <f t="shared" si="12"/>
        <v>0</v>
      </c>
      <c r="AJ75" s="62">
        <f t="shared" si="13"/>
        <v>0</v>
      </c>
      <c r="AK75" s="62">
        <f t="shared" si="14"/>
        <v>0</v>
      </c>
      <c r="AL75" s="63">
        <f t="shared" si="15"/>
        <v>0</v>
      </c>
      <c r="AM75" s="63">
        <f t="shared" si="16"/>
        <v>0</v>
      </c>
      <c r="AN75" s="63">
        <f t="shared" si="17"/>
        <v>0</v>
      </c>
      <c r="AO75" s="55">
        <f t="shared" si="18"/>
        <v>0</v>
      </c>
      <c r="AP75" s="64"/>
      <c r="AQ75" s="64"/>
      <c r="AR75" s="55">
        <f t="shared" si="27"/>
        <v>18309.5</v>
      </c>
      <c r="AS75" s="55"/>
      <c r="AT75" s="55"/>
      <c r="AU75" s="64"/>
      <c r="AV75" s="64"/>
      <c r="AW75" s="64"/>
      <c r="AX75" s="64"/>
      <c r="AY75" s="55">
        <f t="shared" si="20"/>
        <v>18309.5</v>
      </c>
      <c r="AZ75" s="55" t="s">
        <v>83</v>
      </c>
      <c r="BA75" s="55" t="s">
        <v>178</v>
      </c>
      <c r="BB75" s="111"/>
      <c r="BC75" s="111"/>
    </row>
    <row r="76" spans="1:55" ht="15.75" customHeight="1">
      <c r="A76" s="44"/>
      <c r="B76" s="135"/>
      <c r="C76" s="142"/>
      <c r="D76" s="140"/>
      <c r="E76" s="143"/>
      <c r="F76" s="144"/>
      <c r="G76" s="83"/>
      <c r="H76" s="134"/>
      <c r="I76" s="145"/>
      <c r="J76" s="145"/>
      <c r="K76" s="111"/>
      <c r="L76" s="55"/>
      <c r="M76" s="54"/>
      <c r="N76" s="111"/>
      <c r="O76" s="111"/>
      <c r="P76" s="111"/>
      <c r="Q76" s="111"/>
      <c r="R76" s="89"/>
      <c r="S76" s="111"/>
      <c r="T76" s="57"/>
      <c r="U76" s="57"/>
      <c r="V76" s="57"/>
      <c r="W76" s="58">
        <f t="shared" si="22"/>
        <v>0</v>
      </c>
      <c r="X76" s="58">
        <f t="shared" si="7"/>
        <v>0</v>
      </c>
      <c r="Y76" s="58">
        <f t="shared" si="8"/>
        <v>0</v>
      </c>
      <c r="Z76" s="146"/>
      <c r="AA76" s="146"/>
      <c r="AB76" s="146"/>
      <c r="AC76" s="60"/>
      <c r="AD76" s="60"/>
      <c r="AE76" s="60"/>
      <c r="AF76" s="61"/>
      <c r="AG76" s="61"/>
      <c r="AH76" s="61"/>
      <c r="AI76" s="62">
        <f t="shared" si="12"/>
        <v>0</v>
      </c>
      <c r="AJ76" s="62">
        <f t="shared" si="13"/>
        <v>0</v>
      </c>
      <c r="AK76" s="62">
        <f t="shared" si="14"/>
        <v>0</v>
      </c>
      <c r="AL76" s="63">
        <f t="shared" si="15"/>
        <v>0</v>
      </c>
      <c r="AM76" s="63">
        <f t="shared" si="16"/>
        <v>0</v>
      </c>
      <c r="AN76" s="63">
        <f t="shared" si="17"/>
        <v>0</v>
      </c>
      <c r="AO76" s="55">
        <f t="shared" si="18"/>
        <v>0</v>
      </c>
      <c r="AP76" s="64"/>
      <c r="AQ76" s="64"/>
      <c r="AR76" s="55"/>
      <c r="AS76" s="55"/>
      <c r="AT76" s="55"/>
      <c r="AU76" s="64"/>
      <c r="AV76" s="64"/>
      <c r="AW76" s="64"/>
      <c r="AX76" s="64"/>
      <c r="AY76" s="55"/>
      <c r="AZ76" s="55"/>
      <c r="BA76" s="55"/>
      <c r="BB76" s="111"/>
      <c r="BC76" s="111"/>
    </row>
    <row r="77" spans="1:55" ht="15.75" customHeight="1">
      <c r="A77" s="147" t="s">
        <v>21</v>
      </c>
      <c r="B77" s="148"/>
      <c r="C77" s="149"/>
      <c r="D77" s="150"/>
      <c r="E77" s="151"/>
      <c r="F77" s="152"/>
      <c r="G77" s="153"/>
      <c r="H77" s="154"/>
      <c r="I77" s="154"/>
      <c r="J77" s="154"/>
      <c r="K77" s="154"/>
      <c r="L77" s="154"/>
      <c r="M77" s="154"/>
      <c r="N77" s="155">
        <v>0</v>
      </c>
      <c r="O77" s="154"/>
      <c r="P77" s="154"/>
      <c r="Q77" s="154"/>
      <c r="R77" s="156"/>
      <c r="S77" s="155">
        <f>SUM(S10:S75)</f>
        <v>675458</v>
      </c>
      <c r="T77" s="157"/>
      <c r="U77" s="157"/>
      <c r="V77" s="157"/>
      <c r="W77" s="158"/>
      <c r="X77" s="158"/>
      <c r="Y77" s="158"/>
      <c r="Z77" s="159"/>
      <c r="AA77" s="159"/>
      <c r="AB77" s="159"/>
      <c r="AC77" s="160"/>
      <c r="AD77" s="160"/>
      <c r="AE77" s="160"/>
      <c r="AF77" s="161"/>
      <c r="AG77" s="161"/>
      <c r="AH77" s="161"/>
      <c r="AI77" s="161">
        <f t="shared" ref="AI77:AK77" si="30">SUM(AI10:AI76)</f>
        <v>0</v>
      </c>
      <c r="AJ77" s="161">
        <f t="shared" si="30"/>
        <v>0</v>
      </c>
      <c r="AK77" s="161">
        <f t="shared" si="30"/>
        <v>0</v>
      </c>
      <c r="AL77" s="155">
        <f t="shared" ref="AL77:AO77" si="31">SUM(AL10:AL75)</f>
        <v>17705.990000000002</v>
      </c>
      <c r="AM77" s="155">
        <f t="shared" si="31"/>
        <v>2691.4600000000005</v>
      </c>
      <c r="AN77" s="155">
        <f t="shared" si="31"/>
        <v>906.48000000000013</v>
      </c>
      <c r="AO77" s="155">
        <f t="shared" si="31"/>
        <v>21303.929999999997</v>
      </c>
      <c r="AP77" s="155">
        <f>SUM(AP10:AP74)</f>
        <v>0.03</v>
      </c>
      <c r="AQ77" s="162"/>
      <c r="AR77" s="155">
        <f t="shared" ref="AR77:AY77" si="32">SUM(AR10:AR75)</f>
        <v>654154.1</v>
      </c>
      <c r="AS77" s="155">
        <f t="shared" si="32"/>
        <v>0</v>
      </c>
      <c r="AT77" s="155">
        <f t="shared" si="32"/>
        <v>3476.09</v>
      </c>
      <c r="AU77" s="155">
        <f t="shared" si="32"/>
        <v>8000</v>
      </c>
      <c r="AV77" s="155">
        <f t="shared" si="32"/>
        <v>1779.65</v>
      </c>
      <c r="AW77" s="155">
        <f t="shared" si="32"/>
        <v>0</v>
      </c>
      <c r="AX77" s="155">
        <f t="shared" si="32"/>
        <v>0</v>
      </c>
      <c r="AY77" s="155">
        <f t="shared" si="32"/>
        <v>640898.36</v>
      </c>
      <c r="AZ77" s="155">
        <f>SUM(AZ10:AZ73)</f>
        <v>0</v>
      </c>
      <c r="BA77" s="155"/>
      <c r="BB77" s="163"/>
      <c r="BC77" s="164"/>
    </row>
    <row r="78" spans="1:55" ht="15.75" customHeight="1">
      <c r="B78" s="2"/>
      <c r="C78" s="3"/>
      <c r="D78" s="4"/>
      <c r="E78" s="5"/>
      <c r="F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8"/>
      <c r="S78" s="7"/>
      <c r="T78" s="9"/>
      <c r="U78" s="9"/>
      <c r="V78" s="9"/>
      <c r="W78" s="7"/>
      <c r="X78" s="7"/>
      <c r="Y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 ht="15.75" customHeight="1">
      <c r="B79" s="165"/>
      <c r="C79" s="2" t="s">
        <v>259</v>
      </c>
      <c r="D79" s="4"/>
      <c r="E79" s="166"/>
      <c r="F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8"/>
      <c r="S79" s="7"/>
      <c r="T79" s="9"/>
      <c r="U79" s="9"/>
      <c r="V79" s="9"/>
      <c r="W79" s="7"/>
      <c r="X79" s="7"/>
      <c r="Y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 ht="15.75" customHeight="1">
      <c r="B80" s="167"/>
      <c r="C80" s="2" t="s">
        <v>260</v>
      </c>
      <c r="D80" s="4"/>
      <c r="E80" s="5"/>
      <c r="F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8"/>
      <c r="S80" s="7"/>
      <c r="T80" s="9"/>
      <c r="U80" s="9"/>
      <c r="V80" s="9"/>
      <c r="W80" s="7" t="s">
        <v>261</v>
      </c>
      <c r="X80" s="7"/>
      <c r="Y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2:55" ht="15.75" customHeight="1">
      <c r="B81" s="2"/>
      <c r="C81" s="2"/>
      <c r="D81" s="4"/>
      <c r="E81" s="5"/>
      <c r="F81" s="6"/>
      <c r="H81" s="7"/>
      <c r="I81" s="7"/>
      <c r="J81" s="7"/>
      <c r="K81" s="7"/>
      <c r="L81" s="7"/>
      <c r="M81" s="7"/>
      <c r="N81" s="7"/>
      <c r="O81" s="7"/>
      <c r="P81" s="7"/>
      <c r="Q81" s="7"/>
      <c r="R81" s="8"/>
      <c r="S81" s="7"/>
      <c r="T81" s="9"/>
      <c r="U81" s="9"/>
      <c r="V81" s="9"/>
      <c r="W81" s="7"/>
      <c r="X81" s="7"/>
      <c r="Y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</row>
    <row r="82" spans="2:55" ht="66.75" customHeight="1">
      <c r="B82" s="168"/>
      <c r="C82" s="2" t="s">
        <v>262</v>
      </c>
      <c r="D82" s="4"/>
      <c r="E82" s="5"/>
      <c r="F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8"/>
      <c r="S82" s="7"/>
      <c r="T82" s="9"/>
      <c r="U82" s="9"/>
      <c r="V82" s="9"/>
      <c r="W82" s="7"/>
      <c r="X82" s="7"/>
      <c r="Y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 spans="2:55" ht="15.75" customHeight="1">
      <c r="B83" s="169"/>
      <c r="C83" s="2" t="s">
        <v>263</v>
      </c>
      <c r="D83" s="4"/>
      <c r="E83" s="5"/>
      <c r="F83" s="6"/>
      <c r="H83" s="7"/>
      <c r="I83" s="7"/>
      <c r="J83" s="7"/>
      <c r="K83" s="7"/>
      <c r="L83" s="7"/>
      <c r="M83" s="7"/>
      <c r="N83" s="7"/>
      <c r="O83" s="7"/>
      <c r="P83" s="7"/>
      <c r="Q83" s="7"/>
      <c r="R83" s="8"/>
      <c r="S83" s="7"/>
      <c r="T83" s="9"/>
      <c r="U83" s="9"/>
      <c r="V83" s="9"/>
      <c r="W83" s="7"/>
      <c r="X83" s="7"/>
      <c r="Y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2:55" ht="15.75" customHeight="1">
      <c r="B84" s="170"/>
      <c r="C84" s="2" t="s">
        <v>264</v>
      </c>
      <c r="D84" s="4"/>
      <c r="E84" s="5"/>
      <c r="F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8"/>
      <c r="S84" s="7"/>
      <c r="T84" s="9"/>
      <c r="U84" s="9"/>
      <c r="V84" s="9"/>
      <c r="W84" s="7"/>
      <c r="X84" s="7"/>
      <c r="Y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2:55" ht="15.75" customHeight="1">
      <c r="B85" s="2"/>
      <c r="C85" s="3"/>
      <c r="D85" s="4"/>
      <c r="E85" s="5"/>
      <c r="F85" s="6"/>
      <c r="H85" s="7"/>
      <c r="I85" s="7"/>
      <c r="J85" s="7"/>
      <c r="K85" s="7"/>
      <c r="L85" s="7"/>
      <c r="M85" s="7"/>
      <c r="N85" s="7"/>
      <c r="O85" s="7"/>
      <c r="P85" s="7"/>
      <c r="Q85" s="7"/>
      <c r="R85" s="8"/>
      <c r="S85" s="7"/>
      <c r="T85" s="9"/>
      <c r="U85" s="9"/>
      <c r="V85" s="9"/>
      <c r="W85" s="7"/>
      <c r="X85" s="7"/>
      <c r="Y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2:55" ht="15.75" customHeight="1">
      <c r="B86" s="2"/>
      <c r="C86" s="3"/>
      <c r="D86" s="4"/>
      <c r="E86" s="5"/>
      <c r="F86" s="6"/>
      <c r="H86" s="7"/>
      <c r="I86" s="7"/>
      <c r="J86" s="7"/>
      <c r="K86" s="7"/>
      <c r="L86" s="7"/>
      <c r="M86" s="7"/>
      <c r="N86" s="7"/>
      <c r="O86" s="7"/>
      <c r="P86" s="7"/>
      <c r="Q86" s="7"/>
      <c r="R86" s="8"/>
      <c r="S86" s="7"/>
      <c r="T86" s="9"/>
      <c r="U86" s="9"/>
      <c r="V86" s="9"/>
      <c r="W86" s="7"/>
      <c r="X86" s="7"/>
      <c r="Y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2:55" ht="15.75" customHeight="1">
      <c r="B87" s="2"/>
      <c r="C87" s="3"/>
      <c r="D87" s="4"/>
      <c r="E87" s="5"/>
      <c r="F87" s="6"/>
      <c r="H87" s="7"/>
      <c r="I87" s="7"/>
      <c r="J87" s="7"/>
      <c r="K87" s="7"/>
      <c r="L87" s="7"/>
      <c r="M87" s="7"/>
      <c r="N87" s="7"/>
      <c r="O87" s="7"/>
      <c r="P87" s="7"/>
      <c r="Q87" s="7"/>
      <c r="R87" s="8"/>
      <c r="S87" s="7"/>
      <c r="T87" s="9"/>
      <c r="U87" s="9"/>
      <c r="V87" s="9"/>
      <c r="W87" s="7"/>
      <c r="X87" s="7"/>
      <c r="Y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171"/>
      <c r="AV87" s="171"/>
      <c r="AW87" s="7"/>
      <c r="AX87" s="7"/>
      <c r="AY87" s="7"/>
      <c r="AZ87" s="7"/>
      <c r="BA87" s="7"/>
      <c r="BB87" s="7"/>
      <c r="BC87" s="7"/>
    </row>
    <row r="88" spans="2:55" ht="15.75" customHeight="1">
      <c r="B88" s="2"/>
      <c r="C88" s="3"/>
      <c r="D88" s="4"/>
      <c r="E88" s="5"/>
      <c r="F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8"/>
      <c r="S88" s="7"/>
      <c r="T88" s="9"/>
      <c r="U88" s="9"/>
      <c r="V88" s="9"/>
      <c r="W88" s="7"/>
      <c r="X88" s="7"/>
      <c r="Y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2:55" ht="15.75" customHeight="1">
      <c r="B89" s="2"/>
      <c r="C89" s="3"/>
      <c r="D89" s="4"/>
      <c r="E89" s="5"/>
      <c r="F89" s="6"/>
      <c r="H89" s="7"/>
      <c r="I89" s="7"/>
      <c r="J89" s="7"/>
      <c r="K89" s="7"/>
      <c r="L89" s="7"/>
      <c r="M89" s="7"/>
      <c r="N89" s="7"/>
      <c r="O89" s="7"/>
      <c r="P89" s="7"/>
      <c r="Q89" s="7"/>
      <c r="R89" s="8"/>
      <c r="S89" s="7"/>
      <c r="T89" s="9"/>
      <c r="U89" s="9"/>
      <c r="V89" s="9"/>
      <c r="W89" s="7"/>
      <c r="X89" s="7"/>
      <c r="Y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2:55" ht="15.75" customHeight="1">
      <c r="B90" s="2"/>
      <c r="C90" s="3"/>
      <c r="D90" s="4"/>
      <c r="E90" s="5"/>
      <c r="F90" s="6"/>
      <c r="H90" s="7"/>
      <c r="I90" s="7"/>
      <c r="J90" s="7"/>
      <c r="K90" s="7"/>
      <c r="L90" s="7"/>
      <c r="M90" s="7"/>
      <c r="N90" s="7"/>
      <c r="O90" s="7"/>
      <c r="P90" s="7"/>
      <c r="Q90" s="7"/>
      <c r="R90" s="8"/>
      <c r="S90" s="7"/>
      <c r="T90" s="9"/>
      <c r="U90" s="9"/>
      <c r="V90" s="9"/>
      <c r="W90" s="7"/>
      <c r="X90" s="7"/>
      <c r="Y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2:55" ht="15.75" customHeight="1">
      <c r="B91" s="2"/>
      <c r="C91" s="3"/>
      <c r="D91" s="4"/>
      <c r="E91" s="5"/>
      <c r="F91" s="6"/>
      <c r="H91" s="7"/>
      <c r="I91" s="7"/>
      <c r="J91" s="7"/>
      <c r="K91" s="7"/>
      <c r="L91" s="7"/>
      <c r="M91" s="7"/>
      <c r="N91" s="7"/>
      <c r="O91" s="7"/>
      <c r="P91" s="7"/>
      <c r="Q91" s="7"/>
      <c r="R91" s="8"/>
      <c r="S91" s="7"/>
      <c r="T91" s="9"/>
      <c r="U91" s="9"/>
      <c r="V91" s="9"/>
      <c r="W91" s="7"/>
      <c r="X91" s="7"/>
      <c r="Y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2:55" ht="15.75" customHeight="1">
      <c r="B92" s="2"/>
      <c r="C92" s="3"/>
      <c r="D92" s="4"/>
      <c r="E92" s="5"/>
      <c r="F92" s="6"/>
      <c r="H92" s="7"/>
      <c r="I92" s="7"/>
      <c r="J92" s="7"/>
      <c r="K92" s="7"/>
      <c r="L92" s="7"/>
      <c r="M92" s="7"/>
      <c r="N92" s="7"/>
      <c r="O92" s="7"/>
      <c r="P92" s="7"/>
      <c r="Q92" s="7"/>
      <c r="R92" s="8"/>
      <c r="S92" s="7"/>
      <c r="T92" s="9"/>
      <c r="U92" s="9"/>
      <c r="V92" s="9"/>
      <c r="W92" s="7"/>
      <c r="X92" s="7"/>
      <c r="Y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2:55" ht="15.75" customHeight="1">
      <c r="B93" s="2"/>
      <c r="C93" s="3"/>
      <c r="D93" s="4"/>
      <c r="E93" s="5"/>
      <c r="F93" s="6"/>
      <c r="H93" s="7"/>
      <c r="I93" s="7"/>
      <c r="J93" s="7"/>
      <c r="K93" s="7"/>
      <c r="L93" s="7"/>
      <c r="M93" s="7"/>
      <c r="N93" s="7"/>
      <c r="O93" s="7"/>
      <c r="P93" s="7"/>
      <c r="Q93" s="7"/>
      <c r="R93" s="8"/>
      <c r="S93" s="7"/>
      <c r="T93" s="9"/>
      <c r="U93" s="9"/>
      <c r="V93" s="9"/>
      <c r="W93" s="7"/>
      <c r="X93" s="7"/>
      <c r="Y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2:55" ht="15.75" customHeight="1">
      <c r="B94" s="2"/>
      <c r="C94" s="3"/>
      <c r="D94" s="4"/>
      <c r="E94" s="5"/>
      <c r="F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8"/>
      <c r="S94" s="7"/>
      <c r="T94" s="9"/>
      <c r="U94" s="9"/>
      <c r="V94" s="9"/>
      <c r="W94" s="7"/>
      <c r="X94" s="7"/>
      <c r="Y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2:55" ht="15.75" customHeight="1">
      <c r="B95" s="2"/>
      <c r="C95" s="3"/>
      <c r="D95" s="4"/>
      <c r="E95" s="5"/>
      <c r="F95" s="6"/>
      <c r="H95" s="7"/>
      <c r="I95" s="7"/>
      <c r="J95" s="7"/>
      <c r="K95" s="7"/>
      <c r="L95" s="7"/>
      <c r="M95" s="7"/>
      <c r="N95" s="7"/>
      <c r="O95" s="7"/>
      <c r="P95" s="7"/>
      <c r="Q95" s="7"/>
      <c r="R95" s="8"/>
      <c r="S95" s="7"/>
      <c r="T95" s="9"/>
      <c r="U95" s="9"/>
      <c r="V95" s="9"/>
      <c r="W95" s="7"/>
      <c r="X95" s="7"/>
      <c r="Y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2:55" ht="15.75" customHeight="1">
      <c r="B96" s="2"/>
      <c r="C96" s="3"/>
      <c r="D96" s="4"/>
      <c r="E96" s="5"/>
      <c r="F96" s="6"/>
      <c r="H96" s="7"/>
      <c r="I96" s="7"/>
      <c r="J96" s="7"/>
      <c r="K96" s="7"/>
      <c r="L96" s="7"/>
      <c r="M96" s="7"/>
      <c r="N96" s="7"/>
      <c r="O96" s="7"/>
      <c r="P96" s="7"/>
      <c r="Q96" s="7"/>
      <c r="R96" s="8"/>
      <c r="S96" s="7"/>
      <c r="T96" s="9"/>
      <c r="U96" s="9"/>
      <c r="V96" s="9"/>
      <c r="W96" s="7"/>
      <c r="X96" s="7"/>
      <c r="Y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2:55" ht="15.75" customHeight="1">
      <c r="B97" s="2"/>
      <c r="C97" s="3"/>
      <c r="D97" s="4"/>
      <c r="E97" s="5"/>
      <c r="F97" s="6"/>
      <c r="H97" s="7"/>
      <c r="I97" s="7"/>
      <c r="J97" s="7"/>
      <c r="K97" s="7"/>
      <c r="L97" s="7"/>
      <c r="M97" s="7"/>
      <c r="N97" s="7"/>
      <c r="O97" s="7"/>
      <c r="P97" s="7"/>
      <c r="Q97" s="7"/>
      <c r="R97" s="8"/>
      <c r="S97" s="7"/>
      <c r="T97" s="9"/>
      <c r="U97" s="9"/>
      <c r="V97" s="9"/>
      <c r="W97" s="7"/>
      <c r="X97" s="7"/>
      <c r="Y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2:55" ht="15.75" customHeight="1">
      <c r="B98" s="2"/>
      <c r="C98" s="3"/>
      <c r="D98" s="4"/>
      <c r="E98" s="5"/>
      <c r="F98" s="6"/>
      <c r="H98" s="7"/>
      <c r="I98" s="7"/>
      <c r="J98" s="7"/>
      <c r="K98" s="7"/>
      <c r="L98" s="7"/>
      <c r="M98" s="7"/>
      <c r="N98" s="7"/>
      <c r="O98" s="7"/>
      <c r="P98" s="7"/>
      <c r="Q98" s="7"/>
      <c r="R98" s="8"/>
      <c r="S98" s="7"/>
      <c r="T98" s="9"/>
      <c r="U98" s="9"/>
      <c r="V98" s="9"/>
      <c r="W98" s="7"/>
      <c r="X98" s="7"/>
      <c r="Y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2:55" ht="15.75" customHeight="1">
      <c r="B99" s="2"/>
      <c r="C99" s="3"/>
      <c r="D99" s="4"/>
      <c r="E99" s="5"/>
      <c r="F99" s="6"/>
      <c r="H99" s="7"/>
      <c r="I99" s="7"/>
      <c r="J99" s="7"/>
      <c r="K99" s="7"/>
      <c r="L99" s="7"/>
      <c r="M99" s="7"/>
      <c r="N99" s="7"/>
      <c r="O99" s="7"/>
      <c r="P99" s="7"/>
      <c r="Q99" s="7"/>
      <c r="R99" s="8"/>
      <c r="S99" s="7"/>
      <c r="T99" s="9"/>
      <c r="U99" s="9"/>
      <c r="V99" s="9"/>
      <c r="W99" s="7"/>
      <c r="X99" s="7"/>
      <c r="Y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2:55" ht="15.75" customHeight="1">
      <c r="B100" s="2"/>
      <c r="C100" s="3"/>
      <c r="D100" s="4"/>
      <c r="E100" s="5"/>
      <c r="F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8"/>
      <c r="S100" s="7"/>
      <c r="T100" s="9"/>
      <c r="U100" s="9"/>
      <c r="V100" s="9"/>
      <c r="W100" s="7"/>
      <c r="X100" s="7"/>
      <c r="Y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2:55" ht="15.75" customHeight="1">
      <c r="B101" s="2"/>
      <c r="C101" s="3"/>
      <c r="D101" s="4"/>
      <c r="E101" s="5"/>
      <c r="F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8"/>
      <c r="S101" s="7"/>
      <c r="T101" s="9"/>
      <c r="U101" s="9"/>
      <c r="V101" s="9"/>
      <c r="W101" s="7"/>
      <c r="X101" s="7"/>
      <c r="Y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2:55" ht="15.75" customHeight="1">
      <c r="B102" s="2"/>
      <c r="C102" s="3"/>
      <c r="D102" s="4"/>
      <c r="E102" s="5"/>
      <c r="F102" s="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8"/>
      <c r="S102" s="7"/>
      <c r="T102" s="9"/>
      <c r="U102" s="9"/>
      <c r="V102" s="9"/>
      <c r="W102" s="7"/>
      <c r="X102" s="7"/>
      <c r="Y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2:55" ht="15.75" customHeight="1">
      <c r="B103" s="2"/>
      <c r="C103" s="3"/>
      <c r="D103" s="4"/>
      <c r="E103" s="5"/>
      <c r="F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8"/>
      <c r="S103" s="7"/>
      <c r="T103" s="9"/>
      <c r="U103" s="9"/>
      <c r="V103" s="9"/>
      <c r="W103" s="7"/>
      <c r="X103" s="7"/>
      <c r="Y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2:55" ht="15.75" customHeight="1">
      <c r="B104" s="2"/>
      <c r="C104" s="3"/>
      <c r="D104" s="4"/>
      <c r="E104" s="5"/>
      <c r="F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8"/>
      <c r="S104" s="7"/>
      <c r="T104" s="9"/>
      <c r="U104" s="9"/>
      <c r="V104" s="9"/>
      <c r="W104" s="7"/>
      <c r="X104" s="7"/>
      <c r="Y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2:55" ht="15.75" customHeight="1">
      <c r="B105" s="2"/>
      <c r="C105" s="3"/>
      <c r="D105" s="4"/>
      <c r="E105" s="5"/>
      <c r="F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/>
      <c r="S105" s="7"/>
      <c r="T105" s="9"/>
      <c r="U105" s="9"/>
      <c r="V105" s="9"/>
      <c r="W105" s="7"/>
      <c r="X105" s="7"/>
      <c r="Y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2:55" ht="15.75" customHeight="1">
      <c r="B106" s="2"/>
      <c r="C106" s="3"/>
      <c r="D106" s="4"/>
      <c r="E106" s="5"/>
      <c r="F106" s="6"/>
      <c r="H106" s="7"/>
      <c r="I106" s="7"/>
      <c r="J106" s="7" t="s">
        <v>261</v>
      </c>
      <c r="K106" s="7"/>
      <c r="L106" s="7"/>
      <c r="M106" s="7"/>
      <c r="N106" s="7"/>
      <c r="O106" s="7"/>
      <c r="P106" s="7"/>
      <c r="Q106" s="7"/>
      <c r="R106" s="8"/>
      <c r="S106" s="7"/>
      <c r="T106" s="9"/>
      <c r="U106" s="9"/>
      <c r="V106" s="9"/>
      <c r="W106" s="7"/>
      <c r="X106" s="7"/>
      <c r="Y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2:55" ht="15.75" customHeight="1">
      <c r="B107" s="2"/>
      <c r="C107" s="3"/>
      <c r="D107" s="4"/>
      <c r="E107" s="5"/>
      <c r="F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/>
      <c r="S107" s="7"/>
      <c r="T107" s="9"/>
      <c r="U107" s="9"/>
      <c r="V107" s="9"/>
      <c r="W107" s="7"/>
      <c r="X107" s="7"/>
      <c r="Y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2:55" ht="15.75" customHeight="1">
      <c r="B108" s="2"/>
      <c r="C108" s="3"/>
      <c r="D108" s="4"/>
      <c r="E108" s="5"/>
      <c r="F108" s="6"/>
      <c r="H108" s="7"/>
      <c r="I108" s="7"/>
      <c r="J108" s="7" t="s">
        <v>265</v>
      </c>
      <c r="K108" s="7"/>
      <c r="L108" s="7"/>
      <c r="M108" s="7"/>
      <c r="N108" s="7"/>
      <c r="O108" s="7"/>
      <c r="P108" s="7"/>
      <c r="Q108" s="7"/>
      <c r="R108" s="8"/>
      <c r="S108" s="7"/>
      <c r="T108" s="9"/>
      <c r="U108" s="9"/>
      <c r="V108" s="9"/>
      <c r="W108" s="7"/>
      <c r="X108" s="7"/>
      <c r="Y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2:55" ht="15.75" customHeight="1">
      <c r="B109" s="2"/>
      <c r="C109" s="3"/>
      <c r="D109" s="4"/>
      <c r="E109" s="5"/>
      <c r="F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/>
      <c r="S109" s="7"/>
      <c r="T109" s="9"/>
      <c r="U109" s="9"/>
      <c r="V109" s="9"/>
      <c r="W109" s="7"/>
      <c r="X109" s="7"/>
      <c r="Y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2:55" ht="15.75" customHeight="1">
      <c r="B110" s="2"/>
      <c r="C110" s="3"/>
      <c r="D110" s="4"/>
      <c r="E110" s="5"/>
      <c r="F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8"/>
      <c r="S110" s="7"/>
      <c r="T110" s="9"/>
      <c r="U110" s="9"/>
      <c r="V110" s="9"/>
      <c r="W110" s="7"/>
      <c r="X110" s="7"/>
      <c r="Y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2:55" ht="15.75" customHeight="1">
      <c r="B111" s="2"/>
      <c r="C111" s="3"/>
      <c r="D111" s="4"/>
      <c r="E111" s="5"/>
      <c r="F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8"/>
      <c r="S111" s="7"/>
      <c r="T111" s="9"/>
      <c r="U111" s="9"/>
      <c r="V111" s="9"/>
      <c r="W111" s="7"/>
      <c r="X111" s="7"/>
      <c r="Y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2:55" ht="15.75" customHeight="1">
      <c r="B112" s="2"/>
      <c r="C112" s="3"/>
      <c r="D112" s="4"/>
      <c r="E112" s="5"/>
      <c r="F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/>
      <c r="S112" s="7"/>
      <c r="T112" s="9"/>
      <c r="U112" s="9"/>
      <c r="V112" s="9"/>
      <c r="W112" s="7"/>
      <c r="X112" s="7"/>
      <c r="Y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2:55" ht="15.75" customHeight="1">
      <c r="B113" s="2"/>
      <c r="C113" s="3"/>
      <c r="D113" s="4"/>
      <c r="E113" s="5"/>
      <c r="F113" s="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8"/>
      <c r="S113" s="7"/>
      <c r="T113" s="9"/>
      <c r="U113" s="9"/>
      <c r="V113" s="9"/>
      <c r="W113" s="7"/>
      <c r="X113" s="7"/>
      <c r="Y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2:55" ht="15.75" customHeight="1">
      <c r="B114" s="2"/>
      <c r="C114" s="3"/>
      <c r="D114" s="4"/>
      <c r="E114" s="5"/>
      <c r="F114" s="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/>
      <c r="S114" s="7"/>
      <c r="T114" s="9"/>
      <c r="U114" s="9"/>
      <c r="V114" s="9"/>
      <c r="W114" s="7"/>
      <c r="X114" s="7"/>
      <c r="Y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2:55" ht="15.75" customHeight="1">
      <c r="B115" s="2"/>
      <c r="C115" s="3"/>
      <c r="D115" s="4"/>
      <c r="E115" s="5"/>
      <c r="F115" s="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8"/>
      <c r="S115" s="7"/>
      <c r="T115" s="9"/>
      <c r="U115" s="9"/>
      <c r="V115" s="9"/>
      <c r="W115" s="7"/>
      <c r="X115" s="7"/>
      <c r="Y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2:55" ht="15.75" customHeight="1">
      <c r="B116" s="2"/>
      <c r="C116" s="3"/>
      <c r="D116" s="4"/>
      <c r="E116" s="5"/>
      <c r="F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8"/>
      <c r="S116" s="7"/>
      <c r="T116" s="9"/>
      <c r="U116" s="9"/>
      <c r="V116" s="9"/>
      <c r="W116" s="7"/>
      <c r="X116" s="7"/>
      <c r="Y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2:55" ht="15.75" customHeight="1">
      <c r="B117" s="2"/>
      <c r="C117" s="3"/>
      <c r="D117" s="4"/>
      <c r="E117" s="5"/>
      <c r="F117" s="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8"/>
      <c r="S117" s="7"/>
      <c r="T117" s="9"/>
      <c r="U117" s="9"/>
      <c r="V117" s="9"/>
      <c r="W117" s="7"/>
      <c r="X117" s="7"/>
      <c r="Y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2:55" ht="15.75" customHeight="1">
      <c r="B118" s="2"/>
      <c r="C118" s="3"/>
      <c r="D118" s="4"/>
      <c r="E118" s="5"/>
      <c r="F118" s="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8"/>
      <c r="S118" s="7"/>
      <c r="T118" s="9"/>
      <c r="U118" s="9"/>
      <c r="V118" s="9"/>
      <c r="W118" s="7"/>
      <c r="X118" s="7"/>
      <c r="Y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2:55" ht="15.75" customHeight="1">
      <c r="B119" s="2"/>
      <c r="C119" s="3"/>
      <c r="D119" s="4"/>
      <c r="E119" s="5"/>
      <c r="F119" s="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/>
      <c r="S119" s="7"/>
      <c r="T119" s="9"/>
      <c r="U119" s="9"/>
      <c r="V119" s="9"/>
      <c r="W119" s="7"/>
      <c r="X119" s="7"/>
      <c r="Y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2:55" ht="15.75" customHeight="1">
      <c r="B120" s="2"/>
      <c r="C120" s="3"/>
      <c r="D120" s="4"/>
      <c r="E120" s="5"/>
      <c r="F120" s="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/>
      <c r="S120" s="7"/>
      <c r="T120" s="9"/>
      <c r="U120" s="9"/>
      <c r="V120" s="9"/>
      <c r="W120" s="7"/>
      <c r="X120" s="7"/>
      <c r="Y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2:55" ht="15.75" customHeight="1">
      <c r="B121" s="2"/>
      <c r="C121" s="3"/>
      <c r="D121" s="4"/>
      <c r="E121" s="5"/>
      <c r="F121" s="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/>
      <c r="S121" s="7"/>
      <c r="T121" s="9"/>
      <c r="U121" s="9"/>
      <c r="V121" s="9"/>
      <c r="W121" s="7"/>
      <c r="X121" s="7"/>
      <c r="Y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2:55" ht="15.75" customHeight="1">
      <c r="B122" s="2"/>
      <c r="C122" s="3"/>
      <c r="D122" s="4"/>
      <c r="E122" s="5"/>
      <c r="F122" s="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8"/>
      <c r="S122" s="7"/>
      <c r="T122" s="9"/>
      <c r="U122" s="9"/>
      <c r="V122" s="9"/>
      <c r="W122" s="7"/>
      <c r="X122" s="7"/>
      <c r="Y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2:55" ht="15.75" customHeight="1">
      <c r="B123" s="2"/>
      <c r="C123" s="3"/>
      <c r="D123" s="4"/>
      <c r="E123" s="5"/>
      <c r="F123" s="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8"/>
      <c r="S123" s="7"/>
      <c r="T123" s="9"/>
      <c r="U123" s="9"/>
      <c r="V123" s="9"/>
      <c r="W123" s="7"/>
      <c r="X123" s="7"/>
      <c r="Y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2:55" ht="15.75" customHeight="1">
      <c r="B124" s="2"/>
      <c r="C124" s="3"/>
      <c r="D124" s="4"/>
      <c r="E124" s="5"/>
      <c r="F124" s="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8"/>
      <c r="S124" s="7"/>
      <c r="T124" s="9"/>
      <c r="U124" s="9"/>
      <c r="V124" s="9"/>
      <c r="W124" s="7"/>
      <c r="X124" s="7"/>
      <c r="Y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2:55" ht="15.75" customHeight="1">
      <c r="B125" s="2"/>
      <c r="C125" s="3"/>
      <c r="D125" s="4"/>
      <c r="E125" s="5"/>
      <c r="F125" s="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/>
      <c r="S125" s="7"/>
      <c r="T125" s="9"/>
      <c r="U125" s="9"/>
      <c r="V125" s="9"/>
      <c r="W125" s="7"/>
      <c r="X125" s="7"/>
      <c r="Y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2:55" ht="15.75" customHeight="1">
      <c r="B126" s="2"/>
      <c r="C126" s="3"/>
      <c r="D126" s="4"/>
      <c r="E126" s="5"/>
      <c r="F126" s="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/>
      <c r="S126" s="7"/>
      <c r="T126" s="9"/>
      <c r="U126" s="9"/>
      <c r="V126" s="9"/>
      <c r="W126" s="7"/>
      <c r="X126" s="7"/>
      <c r="Y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2:55" ht="15.75" customHeight="1">
      <c r="B127" s="2"/>
      <c r="C127" s="3"/>
      <c r="D127" s="4"/>
      <c r="E127" s="5"/>
      <c r="F127" s="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/>
      <c r="S127" s="7"/>
      <c r="T127" s="9"/>
      <c r="U127" s="9"/>
      <c r="V127" s="9"/>
      <c r="W127" s="7"/>
      <c r="X127" s="7"/>
      <c r="Y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2:55" ht="15.75" customHeight="1">
      <c r="B128" s="2"/>
      <c r="C128" s="3"/>
      <c r="D128" s="4"/>
      <c r="E128" s="5"/>
      <c r="F128" s="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/>
      <c r="S128" s="7"/>
      <c r="T128" s="9"/>
      <c r="U128" s="9"/>
      <c r="V128" s="9"/>
      <c r="W128" s="7"/>
      <c r="X128" s="7"/>
      <c r="Y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2:55" ht="15.75" customHeight="1">
      <c r="B129" s="2"/>
      <c r="C129" s="3"/>
      <c r="D129" s="4"/>
      <c r="E129" s="5"/>
      <c r="F129" s="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8"/>
      <c r="S129" s="7"/>
      <c r="T129" s="9"/>
      <c r="U129" s="9"/>
      <c r="V129" s="9"/>
      <c r="W129" s="7"/>
      <c r="X129" s="7"/>
      <c r="Y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2:55" ht="15.75" customHeight="1">
      <c r="B130" s="2"/>
      <c r="C130" s="3"/>
      <c r="D130" s="4"/>
      <c r="E130" s="5"/>
      <c r="F130" s="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/>
      <c r="S130" s="7"/>
      <c r="T130" s="9"/>
      <c r="U130" s="9"/>
      <c r="V130" s="9"/>
      <c r="W130" s="7"/>
      <c r="X130" s="7"/>
      <c r="Y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2:55" ht="15.75" customHeight="1">
      <c r="B131" s="2"/>
      <c r="C131" s="3"/>
      <c r="D131" s="4"/>
      <c r="E131" s="5"/>
      <c r="F131" s="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/>
      <c r="S131" s="7"/>
      <c r="T131" s="9"/>
      <c r="U131" s="9"/>
      <c r="V131" s="9"/>
      <c r="W131" s="7"/>
      <c r="X131" s="7"/>
      <c r="Y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2:55" ht="15.75" customHeight="1">
      <c r="B132" s="2"/>
      <c r="C132" s="3"/>
      <c r="D132" s="4"/>
      <c r="E132" s="5"/>
      <c r="F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8"/>
      <c r="S132" s="7"/>
      <c r="T132" s="9"/>
      <c r="U132" s="9"/>
      <c r="V132" s="9"/>
      <c r="W132" s="7"/>
      <c r="X132" s="7"/>
      <c r="Y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2:55" ht="15.75" customHeight="1">
      <c r="B133" s="2"/>
      <c r="C133" s="3"/>
      <c r="D133" s="4"/>
      <c r="E133" s="5"/>
      <c r="F133" s="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8"/>
      <c r="S133" s="7"/>
      <c r="T133" s="9"/>
      <c r="U133" s="9"/>
      <c r="V133" s="9"/>
      <c r="W133" s="7"/>
      <c r="X133" s="7"/>
      <c r="Y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2:55" ht="15.75" customHeight="1">
      <c r="B134" s="2"/>
      <c r="C134" s="3"/>
      <c r="D134" s="4"/>
      <c r="E134" s="5"/>
      <c r="F134" s="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/>
      <c r="S134" s="7"/>
      <c r="T134" s="9"/>
      <c r="U134" s="9"/>
      <c r="V134" s="9"/>
      <c r="W134" s="7"/>
      <c r="X134" s="7"/>
      <c r="Y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2:55" ht="15.75" customHeight="1">
      <c r="B135" s="2"/>
      <c r="C135" s="3"/>
      <c r="D135" s="4"/>
      <c r="E135" s="5"/>
      <c r="F135" s="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8"/>
      <c r="S135" s="7"/>
      <c r="T135" s="9"/>
      <c r="U135" s="9"/>
      <c r="V135" s="9"/>
      <c r="W135" s="7"/>
      <c r="X135" s="7"/>
      <c r="Y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spans="2:55" ht="15.75" customHeight="1">
      <c r="B136" s="2"/>
      <c r="C136" s="3"/>
      <c r="D136" s="4"/>
      <c r="E136" s="5"/>
      <c r="F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8"/>
      <c r="S136" s="7"/>
      <c r="T136" s="9"/>
      <c r="U136" s="9"/>
      <c r="V136" s="9"/>
      <c r="W136" s="7"/>
      <c r="X136" s="7"/>
      <c r="Y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</row>
    <row r="137" spans="2:55" ht="15.75" customHeight="1">
      <c r="B137" s="2"/>
      <c r="C137" s="3"/>
      <c r="D137" s="4"/>
      <c r="E137" s="5"/>
      <c r="F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8"/>
      <c r="S137" s="7"/>
      <c r="T137" s="9"/>
      <c r="U137" s="9"/>
      <c r="V137" s="9"/>
      <c r="W137" s="7"/>
      <c r="X137" s="7"/>
      <c r="Y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</row>
    <row r="138" spans="2:55" ht="15.75" customHeight="1">
      <c r="B138" s="2"/>
      <c r="C138" s="3"/>
      <c r="D138" s="4"/>
      <c r="E138" s="5"/>
      <c r="F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8"/>
      <c r="S138" s="7"/>
      <c r="T138" s="9"/>
      <c r="U138" s="9"/>
      <c r="V138" s="9"/>
      <c r="W138" s="7"/>
      <c r="X138" s="7"/>
      <c r="Y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</row>
    <row r="139" spans="2:55" ht="15.75" customHeight="1">
      <c r="B139" s="2"/>
      <c r="C139" s="3"/>
      <c r="D139" s="4"/>
      <c r="E139" s="5"/>
      <c r="F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8"/>
      <c r="S139" s="7"/>
      <c r="T139" s="9"/>
      <c r="U139" s="9"/>
      <c r="V139" s="9"/>
      <c r="W139" s="7"/>
      <c r="X139" s="7"/>
      <c r="Y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</row>
    <row r="140" spans="2:55" ht="15.75" customHeight="1">
      <c r="B140" s="2"/>
      <c r="C140" s="3"/>
      <c r="D140" s="4"/>
      <c r="E140" s="5"/>
      <c r="F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/>
      <c r="S140" s="7"/>
      <c r="T140" s="9"/>
      <c r="U140" s="9"/>
      <c r="V140" s="9"/>
      <c r="W140" s="7"/>
      <c r="X140" s="7"/>
      <c r="Y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</row>
    <row r="141" spans="2:55" ht="15.75" customHeight="1">
      <c r="B141" s="2"/>
      <c r="C141" s="3"/>
      <c r="D141" s="4"/>
      <c r="E141" s="5"/>
      <c r="F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8"/>
      <c r="S141" s="7"/>
      <c r="T141" s="9"/>
      <c r="U141" s="9"/>
      <c r="V141" s="9"/>
      <c r="W141" s="7"/>
      <c r="X141" s="7"/>
      <c r="Y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</row>
    <row r="142" spans="2:55" ht="15.75" customHeight="1">
      <c r="B142" s="2"/>
      <c r="C142" s="3"/>
      <c r="D142" s="4"/>
      <c r="E142" s="5"/>
      <c r="F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8"/>
      <c r="S142" s="7"/>
      <c r="T142" s="9"/>
      <c r="U142" s="9"/>
      <c r="V142" s="9"/>
      <c r="W142" s="7"/>
      <c r="X142" s="7"/>
      <c r="Y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</row>
    <row r="143" spans="2:55" ht="15.75" customHeight="1">
      <c r="B143" s="2"/>
      <c r="C143" s="3"/>
      <c r="D143" s="4"/>
      <c r="E143" s="5"/>
      <c r="F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/>
      <c r="S143" s="7"/>
      <c r="T143" s="9"/>
      <c r="U143" s="9"/>
      <c r="V143" s="9"/>
      <c r="W143" s="7"/>
      <c r="X143" s="7"/>
      <c r="Y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</row>
    <row r="144" spans="2:55" ht="15.75" customHeight="1">
      <c r="B144" s="2"/>
      <c r="C144" s="3"/>
      <c r="D144" s="4"/>
      <c r="E144" s="5"/>
      <c r="F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/>
      <c r="S144" s="7"/>
      <c r="T144" s="9"/>
      <c r="U144" s="9"/>
      <c r="V144" s="9"/>
      <c r="W144" s="7"/>
      <c r="X144" s="7"/>
      <c r="Y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</row>
    <row r="145" spans="2:55" ht="15.75" customHeight="1">
      <c r="B145" s="2"/>
      <c r="C145" s="3"/>
      <c r="D145" s="4"/>
      <c r="E145" s="5"/>
      <c r="F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/>
      <c r="S145" s="7"/>
      <c r="T145" s="9"/>
      <c r="U145" s="9"/>
      <c r="V145" s="9"/>
      <c r="W145" s="7"/>
      <c r="X145" s="7"/>
      <c r="Y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</row>
    <row r="146" spans="2:55" ht="15.75" customHeight="1">
      <c r="B146" s="2"/>
      <c r="C146" s="3"/>
      <c r="D146" s="4"/>
      <c r="E146" s="5"/>
      <c r="F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/>
      <c r="S146" s="7"/>
      <c r="T146" s="9"/>
      <c r="U146" s="9"/>
      <c r="V146" s="9"/>
      <c r="W146" s="7"/>
      <c r="X146" s="7"/>
      <c r="Y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</row>
    <row r="147" spans="2:55" ht="15.75" customHeight="1">
      <c r="B147" s="2"/>
      <c r="C147" s="3"/>
      <c r="D147" s="4"/>
      <c r="E147" s="5"/>
      <c r="F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8"/>
      <c r="S147" s="7"/>
      <c r="T147" s="9"/>
      <c r="U147" s="9"/>
      <c r="V147" s="9"/>
      <c r="W147" s="7"/>
      <c r="X147" s="7"/>
      <c r="Y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</row>
    <row r="148" spans="2:55" ht="15.75" customHeight="1">
      <c r="B148" s="2"/>
      <c r="C148" s="3"/>
      <c r="D148" s="4"/>
      <c r="E148" s="5"/>
      <c r="F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8"/>
      <c r="S148" s="7"/>
      <c r="T148" s="9"/>
      <c r="U148" s="9"/>
      <c r="V148" s="9"/>
      <c r="W148" s="7"/>
      <c r="X148" s="7"/>
      <c r="Y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</row>
    <row r="149" spans="2:55" ht="15.75" customHeight="1">
      <c r="B149" s="2"/>
      <c r="C149" s="3"/>
      <c r="D149" s="4"/>
      <c r="E149" s="5"/>
      <c r="F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8"/>
      <c r="S149" s="7"/>
      <c r="T149" s="9"/>
      <c r="U149" s="9"/>
      <c r="V149" s="9"/>
      <c r="W149" s="7"/>
      <c r="X149" s="7"/>
      <c r="Y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</row>
    <row r="150" spans="2:55" ht="15.75" customHeight="1">
      <c r="B150" s="2"/>
      <c r="C150" s="3"/>
      <c r="D150" s="4"/>
      <c r="E150" s="5"/>
      <c r="F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8"/>
      <c r="S150" s="7"/>
      <c r="T150" s="9"/>
      <c r="U150" s="9"/>
      <c r="V150" s="9"/>
      <c r="W150" s="7"/>
      <c r="X150" s="7"/>
      <c r="Y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</row>
    <row r="151" spans="2:55" ht="15.75" customHeight="1">
      <c r="B151" s="2"/>
      <c r="C151" s="3"/>
      <c r="D151" s="4"/>
      <c r="E151" s="5"/>
      <c r="F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8"/>
      <c r="S151" s="7"/>
      <c r="T151" s="9"/>
      <c r="U151" s="9"/>
      <c r="V151" s="9"/>
      <c r="W151" s="7"/>
      <c r="X151" s="7"/>
      <c r="Y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</row>
    <row r="152" spans="2:55" ht="15.75" customHeight="1">
      <c r="B152" s="2"/>
      <c r="C152" s="3"/>
      <c r="D152" s="4"/>
      <c r="E152" s="5"/>
      <c r="F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8"/>
      <c r="S152" s="7"/>
      <c r="T152" s="9"/>
      <c r="U152" s="9"/>
      <c r="V152" s="9"/>
      <c r="W152" s="7"/>
      <c r="X152" s="7"/>
      <c r="Y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</row>
    <row r="153" spans="2:55" ht="15.75" customHeight="1">
      <c r="B153" s="2"/>
      <c r="C153" s="3"/>
      <c r="D153" s="4"/>
      <c r="E153" s="5"/>
      <c r="F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8"/>
      <c r="S153" s="7"/>
      <c r="T153" s="9"/>
      <c r="U153" s="9"/>
      <c r="V153" s="9"/>
      <c r="W153" s="7"/>
      <c r="X153" s="7"/>
      <c r="Y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</row>
    <row r="154" spans="2:55" ht="15.75" customHeight="1">
      <c r="B154" s="2"/>
      <c r="C154" s="3"/>
      <c r="D154" s="4"/>
      <c r="E154" s="5"/>
      <c r="F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8"/>
      <c r="S154" s="7"/>
      <c r="T154" s="9"/>
      <c r="U154" s="9"/>
      <c r="V154" s="9"/>
      <c r="W154" s="7"/>
      <c r="X154" s="7"/>
      <c r="Y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</row>
    <row r="155" spans="2:55" ht="15.75" customHeight="1">
      <c r="B155" s="2"/>
      <c r="C155" s="3"/>
      <c r="D155" s="4"/>
      <c r="E155" s="5"/>
      <c r="F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8"/>
      <c r="S155" s="7"/>
      <c r="T155" s="9"/>
      <c r="U155" s="9"/>
      <c r="V155" s="9"/>
      <c r="W155" s="7"/>
      <c r="X155" s="7"/>
      <c r="Y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</row>
    <row r="156" spans="2:55" ht="15.75" customHeight="1">
      <c r="B156" s="2"/>
      <c r="C156" s="3"/>
      <c r="D156" s="4"/>
      <c r="E156" s="5"/>
      <c r="F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8"/>
      <c r="S156" s="7"/>
      <c r="T156" s="9"/>
      <c r="U156" s="9"/>
      <c r="V156" s="9"/>
      <c r="W156" s="7"/>
      <c r="X156" s="7"/>
      <c r="Y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spans="2:55" ht="15.75" customHeight="1">
      <c r="B157" s="2"/>
      <c r="C157" s="3"/>
      <c r="D157" s="4"/>
      <c r="E157" s="5"/>
      <c r="F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8"/>
      <c r="S157" s="7"/>
      <c r="T157" s="9"/>
      <c r="U157" s="9"/>
      <c r="V157" s="9"/>
      <c r="W157" s="7"/>
      <c r="X157" s="7"/>
      <c r="Y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</row>
    <row r="158" spans="2:55" ht="15.75" customHeight="1">
      <c r="B158" s="2"/>
      <c r="C158" s="3"/>
      <c r="D158" s="4"/>
      <c r="E158" s="5"/>
      <c r="F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8"/>
      <c r="S158" s="7"/>
      <c r="T158" s="9"/>
      <c r="U158" s="9"/>
      <c r="V158" s="9"/>
      <c r="W158" s="7"/>
      <c r="X158" s="7"/>
      <c r="Y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spans="2:55" ht="15.75" customHeight="1">
      <c r="B159" s="2"/>
      <c r="C159" s="3"/>
      <c r="D159" s="4"/>
      <c r="E159" s="5"/>
      <c r="F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8"/>
      <c r="S159" s="7"/>
      <c r="T159" s="9"/>
      <c r="U159" s="9"/>
      <c r="V159" s="9"/>
      <c r="W159" s="7"/>
      <c r="X159" s="7"/>
      <c r="Y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</row>
    <row r="160" spans="2:55" ht="15.75" customHeight="1">
      <c r="B160" s="2"/>
      <c r="C160" s="3"/>
      <c r="D160" s="4"/>
      <c r="E160" s="5"/>
      <c r="F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8"/>
      <c r="S160" s="7"/>
      <c r="T160" s="9"/>
      <c r="U160" s="9"/>
      <c r="V160" s="9"/>
      <c r="W160" s="7"/>
      <c r="X160" s="7"/>
      <c r="Y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</row>
    <row r="161" spans="2:55" ht="15.75" customHeight="1">
      <c r="B161" s="2"/>
      <c r="C161" s="3"/>
      <c r="D161" s="4"/>
      <c r="E161" s="5"/>
      <c r="F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8"/>
      <c r="S161" s="7"/>
      <c r="T161" s="9"/>
      <c r="U161" s="9"/>
      <c r="V161" s="9"/>
      <c r="W161" s="7"/>
      <c r="X161" s="7"/>
      <c r="Y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</row>
    <row r="162" spans="2:55" ht="15.75" customHeight="1">
      <c r="B162" s="2"/>
      <c r="C162" s="3"/>
      <c r="D162" s="4"/>
      <c r="E162" s="5"/>
      <c r="F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8"/>
      <c r="S162" s="7"/>
      <c r="T162" s="9"/>
      <c r="U162" s="9"/>
      <c r="V162" s="9"/>
      <c r="W162" s="7"/>
      <c r="X162" s="7"/>
      <c r="Y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</row>
    <row r="163" spans="2:55" ht="15.75" customHeight="1">
      <c r="B163" s="2"/>
      <c r="C163" s="3"/>
      <c r="D163" s="4"/>
      <c r="E163" s="5"/>
      <c r="F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8"/>
      <c r="S163" s="7"/>
      <c r="T163" s="9"/>
      <c r="U163" s="9"/>
      <c r="V163" s="9"/>
      <c r="W163" s="7"/>
      <c r="X163" s="7"/>
      <c r="Y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</row>
    <row r="164" spans="2:55" ht="15.75" customHeight="1">
      <c r="B164" s="2"/>
      <c r="C164" s="3"/>
      <c r="D164" s="4"/>
      <c r="E164" s="5"/>
      <c r="F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8"/>
      <c r="S164" s="7"/>
      <c r="T164" s="9"/>
      <c r="U164" s="9"/>
      <c r="V164" s="9"/>
      <c r="W164" s="7"/>
      <c r="X164" s="7"/>
      <c r="Y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</row>
    <row r="165" spans="2:55" ht="15.75" customHeight="1">
      <c r="B165" s="2"/>
      <c r="C165" s="3"/>
      <c r="D165" s="4"/>
      <c r="E165" s="5"/>
      <c r="F165" s="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8"/>
      <c r="S165" s="7"/>
      <c r="T165" s="9"/>
      <c r="U165" s="9"/>
      <c r="V165" s="9"/>
      <c r="W165" s="7"/>
      <c r="X165" s="7"/>
      <c r="Y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</row>
    <row r="166" spans="2:55" ht="15.75" customHeight="1">
      <c r="B166" s="2"/>
      <c r="C166" s="3"/>
      <c r="D166" s="4"/>
      <c r="E166" s="5"/>
      <c r="F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8"/>
      <c r="S166" s="7"/>
      <c r="T166" s="9"/>
      <c r="U166" s="9"/>
      <c r="V166" s="9"/>
      <c r="W166" s="7"/>
      <c r="X166" s="7"/>
      <c r="Y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</row>
    <row r="167" spans="2:55" ht="15.75" customHeight="1">
      <c r="B167" s="2"/>
      <c r="C167" s="3"/>
      <c r="D167" s="4"/>
      <c r="E167" s="5"/>
      <c r="F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8"/>
      <c r="S167" s="7"/>
      <c r="T167" s="9"/>
      <c r="U167" s="9"/>
      <c r="V167" s="9"/>
      <c r="W167" s="7"/>
      <c r="X167" s="7"/>
      <c r="Y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</row>
    <row r="168" spans="2:55" ht="15.75" customHeight="1">
      <c r="B168" s="2"/>
      <c r="C168" s="3"/>
      <c r="D168" s="4"/>
      <c r="E168" s="5"/>
      <c r="F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8"/>
      <c r="S168" s="7"/>
      <c r="T168" s="9"/>
      <c r="U168" s="9"/>
      <c r="V168" s="9"/>
      <c r="W168" s="7"/>
      <c r="X168" s="7"/>
      <c r="Y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</row>
    <row r="169" spans="2:55" ht="15.75" customHeight="1">
      <c r="B169" s="2"/>
      <c r="C169" s="3"/>
      <c r="D169" s="4"/>
      <c r="E169" s="5"/>
      <c r="F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8"/>
      <c r="S169" s="7"/>
      <c r="T169" s="9"/>
      <c r="U169" s="9"/>
      <c r="V169" s="9"/>
      <c r="W169" s="7"/>
      <c r="X169" s="7"/>
      <c r="Y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</row>
    <row r="170" spans="2:55" ht="15.75" customHeight="1">
      <c r="B170" s="2"/>
      <c r="C170" s="3"/>
      <c r="D170" s="4"/>
      <c r="E170" s="5"/>
      <c r="F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8"/>
      <c r="S170" s="7"/>
      <c r="T170" s="9"/>
      <c r="U170" s="9"/>
      <c r="V170" s="9"/>
      <c r="W170" s="7"/>
      <c r="X170" s="7"/>
      <c r="Y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</row>
    <row r="171" spans="2:55" ht="15.75" customHeight="1">
      <c r="B171" s="2"/>
      <c r="C171" s="3"/>
      <c r="D171" s="4"/>
      <c r="E171" s="5"/>
      <c r="F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8"/>
      <c r="S171" s="7"/>
      <c r="T171" s="9"/>
      <c r="U171" s="9"/>
      <c r="V171" s="9"/>
      <c r="W171" s="7"/>
      <c r="X171" s="7"/>
      <c r="Y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</row>
    <row r="172" spans="2:55" ht="15.75" customHeight="1">
      <c r="B172" s="2"/>
      <c r="C172" s="3"/>
      <c r="D172" s="4"/>
      <c r="E172" s="5"/>
      <c r="F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8"/>
      <c r="S172" s="7"/>
      <c r="T172" s="9"/>
      <c r="U172" s="9"/>
      <c r="V172" s="9"/>
      <c r="W172" s="7"/>
      <c r="X172" s="7"/>
      <c r="Y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</row>
    <row r="173" spans="2:55" ht="15.75" customHeight="1">
      <c r="B173" s="2"/>
      <c r="C173" s="3"/>
      <c r="D173" s="4"/>
      <c r="E173" s="5"/>
      <c r="F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8"/>
      <c r="S173" s="7"/>
      <c r="T173" s="9"/>
      <c r="U173" s="9"/>
      <c r="V173" s="9"/>
      <c r="W173" s="7"/>
      <c r="X173" s="7"/>
      <c r="Y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</row>
    <row r="174" spans="2:55" ht="15.75" customHeight="1">
      <c r="B174" s="2"/>
      <c r="C174" s="3"/>
      <c r="D174" s="4"/>
      <c r="E174" s="5"/>
      <c r="F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8"/>
      <c r="S174" s="7"/>
      <c r="T174" s="9"/>
      <c r="U174" s="9"/>
      <c r="V174" s="9"/>
      <c r="W174" s="7"/>
      <c r="X174" s="7"/>
      <c r="Y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</row>
    <row r="175" spans="2:55" ht="15.75" customHeight="1">
      <c r="B175" s="2"/>
      <c r="C175" s="3"/>
      <c r="D175" s="4"/>
      <c r="E175" s="5"/>
      <c r="F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8"/>
      <c r="S175" s="7"/>
      <c r="T175" s="9"/>
      <c r="U175" s="9"/>
      <c r="V175" s="9"/>
      <c r="W175" s="7"/>
      <c r="X175" s="7"/>
      <c r="Y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</row>
    <row r="176" spans="2:55" ht="15.75" customHeight="1">
      <c r="B176" s="2"/>
      <c r="C176" s="3"/>
      <c r="D176" s="4"/>
      <c r="E176" s="5"/>
      <c r="F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8"/>
      <c r="S176" s="7"/>
      <c r="T176" s="9"/>
      <c r="U176" s="9"/>
      <c r="V176" s="9"/>
      <c r="W176" s="7"/>
      <c r="X176" s="7"/>
      <c r="Y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</row>
    <row r="177" spans="2:55" ht="15.75" customHeight="1">
      <c r="B177" s="2"/>
      <c r="C177" s="3"/>
      <c r="D177" s="4"/>
      <c r="E177" s="5"/>
      <c r="F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8"/>
      <c r="S177" s="7"/>
      <c r="T177" s="9"/>
      <c r="U177" s="9"/>
      <c r="V177" s="9"/>
      <c r="W177" s="7"/>
      <c r="X177" s="7"/>
      <c r="Y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</row>
    <row r="178" spans="2:55" ht="15.75" customHeight="1">
      <c r="B178" s="2"/>
      <c r="C178" s="3"/>
      <c r="D178" s="4"/>
      <c r="E178" s="5"/>
      <c r="F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8"/>
      <c r="S178" s="7"/>
      <c r="T178" s="9"/>
      <c r="U178" s="9"/>
      <c r="V178" s="9"/>
      <c r="W178" s="7"/>
      <c r="X178" s="7"/>
      <c r="Y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</row>
    <row r="179" spans="2:55" ht="15.75" customHeight="1">
      <c r="B179" s="2"/>
      <c r="C179" s="3"/>
      <c r="D179" s="4"/>
      <c r="E179" s="5"/>
      <c r="F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8"/>
      <c r="S179" s="7"/>
      <c r="T179" s="9"/>
      <c r="U179" s="9"/>
      <c r="V179" s="9"/>
      <c r="W179" s="7"/>
      <c r="X179" s="7"/>
      <c r="Y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</row>
    <row r="180" spans="2:55" ht="15.75" customHeight="1">
      <c r="B180" s="2"/>
      <c r="C180" s="3"/>
      <c r="D180" s="4"/>
      <c r="E180" s="5"/>
      <c r="F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8"/>
      <c r="S180" s="7"/>
      <c r="T180" s="9"/>
      <c r="U180" s="9"/>
      <c r="V180" s="9"/>
      <c r="W180" s="7"/>
      <c r="X180" s="7"/>
      <c r="Y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</row>
    <row r="181" spans="2:55" ht="15.75" customHeight="1">
      <c r="B181" s="2"/>
      <c r="C181" s="3"/>
      <c r="D181" s="4"/>
      <c r="E181" s="5"/>
      <c r="F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8"/>
      <c r="S181" s="7"/>
      <c r="T181" s="9"/>
      <c r="U181" s="9"/>
      <c r="V181" s="9"/>
      <c r="W181" s="7"/>
      <c r="X181" s="7"/>
      <c r="Y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</row>
    <row r="182" spans="2:55" ht="15.75" customHeight="1">
      <c r="B182" s="2"/>
      <c r="C182" s="3"/>
      <c r="D182" s="4"/>
      <c r="E182" s="5"/>
      <c r="F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8"/>
      <c r="S182" s="7"/>
      <c r="T182" s="9"/>
      <c r="U182" s="9"/>
      <c r="V182" s="9"/>
      <c r="W182" s="7"/>
      <c r="X182" s="7"/>
      <c r="Y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</row>
    <row r="183" spans="2:55" ht="15.75" customHeight="1">
      <c r="B183" s="2"/>
      <c r="C183" s="3"/>
      <c r="D183" s="4"/>
      <c r="E183" s="5"/>
      <c r="F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8"/>
      <c r="S183" s="7"/>
      <c r="T183" s="9"/>
      <c r="U183" s="9"/>
      <c r="V183" s="9"/>
      <c r="W183" s="7"/>
      <c r="X183" s="7"/>
      <c r="Y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</row>
    <row r="184" spans="2:55" ht="15.75" customHeight="1">
      <c r="B184" s="2"/>
      <c r="C184" s="3"/>
      <c r="D184" s="4"/>
      <c r="E184" s="5"/>
      <c r="F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8"/>
      <c r="S184" s="7"/>
      <c r="T184" s="9"/>
      <c r="U184" s="9"/>
      <c r="V184" s="9"/>
      <c r="W184" s="7"/>
      <c r="X184" s="7"/>
      <c r="Y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</row>
    <row r="185" spans="2:55" ht="15.75" customHeight="1">
      <c r="B185" s="2"/>
      <c r="C185" s="3"/>
      <c r="D185" s="4"/>
      <c r="E185" s="5"/>
      <c r="F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8"/>
      <c r="S185" s="7"/>
      <c r="T185" s="9"/>
      <c r="U185" s="9"/>
      <c r="V185" s="9"/>
      <c r="W185" s="7"/>
      <c r="X185" s="7"/>
      <c r="Y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</row>
    <row r="186" spans="2:55" ht="15.75" customHeight="1">
      <c r="B186" s="2"/>
      <c r="C186" s="3"/>
      <c r="D186" s="4"/>
      <c r="E186" s="5"/>
      <c r="F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8"/>
      <c r="S186" s="7"/>
      <c r="T186" s="9"/>
      <c r="U186" s="9"/>
      <c r="V186" s="9"/>
      <c r="W186" s="7"/>
      <c r="X186" s="7"/>
      <c r="Y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spans="2:55" ht="15.75" customHeight="1">
      <c r="B187" s="2"/>
      <c r="C187" s="3"/>
      <c r="D187" s="4"/>
      <c r="E187" s="5"/>
      <c r="F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8"/>
      <c r="S187" s="7"/>
      <c r="T187" s="9"/>
      <c r="U187" s="9"/>
      <c r="V187" s="9"/>
      <c r="W187" s="7"/>
      <c r="X187" s="7"/>
      <c r="Y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</row>
    <row r="188" spans="2:55" ht="15.75" customHeight="1">
      <c r="B188" s="2"/>
      <c r="C188" s="3"/>
      <c r="D188" s="4"/>
      <c r="E188" s="5"/>
      <c r="F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8"/>
      <c r="S188" s="7"/>
      <c r="T188" s="9"/>
      <c r="U188" s="9"/>
      <c r="V188" s="9"/>
      <c r="W188" s="7"/>
      <c r="X188" s="7"/>
      <c r="Y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</row>
    <row r="189" spans="2:55" ht="15.75" customHeight="1">
      <c r="B189" s="2"/>
      <c r="C189" s="3"/>
      <c r="D189" s="4"/>
      <c r="E189" s="5"/>
      <c r="F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8"/>
      <c r="S189" s="7"/>
      <c r="T189" s="9"/>
      <c r="U189" s="9"/>
      <c r="V189" s="9"/>
      <c r="W189" s="7"/>
      <c r="X189" s="7"/>
      <c r="Y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spans="2:55" ht="15.75" customHeight="1">
      <c r="B190" s="2"/>
      <c r="C190" s="3"/>
      <c r="D190" s="4"/>
      <c r="E190" s="5"/>
      <c r="F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8"/>
      <c r="S190" s="7"/>
      <c r="T190" s="9"/>
      <c r="U190" s="9"/>
      <c r="V190" s="9"/>
      <c r="W190" s="7"/>
      <c r="X190" s="7"/>
      <c r="Y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</row>
    <row r="191" spans="2:55" ht="15.75" customHeight="1">
      <c r="B191" s="2"/>
      <c r="C191" s="3"/>
      <c r="D191" s="4"/>
      <c r="E191" s="5"/>
      <c r="F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8"/>
      <c r="S191" s="7"/>
      <c r="T191" s="9"/>
      <c r="U191" s="9"/>
      <c r="V191" s="9"/>
      <c r="W191" s="7"/>
      <c r="X191" s="7"/>
      <c r="Y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spans="2:55" ht="15.75" customHeight="1">
      <c r="B192" s="2"/>
      <c r="C192" s="3"/>
      <c r="D192" s="4"/>
      <c r="E192" s="5"/>
      <c r="F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8"/>
      <c r="S192" s="7"/>
      <c r="T192" s="9"/>
      <c r="U192" s="9"/>
      <c r="V192" s="9"/>
      <c r="W192" s="7"/>
      <c r="X192" s="7"/>
      <c r="Y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spans="2:55" ht="15.75" customHeight="1">
      <c r="B193" s="2"/>
      <c r="C193" s="3"/>
      <c r="D193" s="4"/>
      <c r="E193" s="5"/>
      <c r="F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8"/>
      <c r="S193" s="7"/>
      <c r="T193" s="9"/>
      <c r="U193" s="9"/>
      <c r="V193" s="9"/>
      <c r="W193" s="7"/>
      <c r="X193" s="7"/>
      <c r="Y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spans="2:55" ht="15.75" customHeight="1">
      <c r="B194" s="2"/>
      <c r="C194" s="3"/>
      <c r="D194" s="4"/>
      <c r="E194" s="5"/>
      <c r="F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8"/>
      <c r="S194" s="7"/>
      <c r="T194" s="9"/>
      <c r="U194" s="9"/>
      <c r="V194" s="9"/>
      <c r="W194" s="7"/>
      <c r="X194" s="7"/>
      <c r="Y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spans="2:55" ht="15.75" customHeight="1">
      <c r="B195" s="2"/>
      <c r="C195" s="3"/>
      <c r="D195" s="4"/>
      <c r="E195" s="5"/>
      <c r="F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8"/>
      <c r="S195" s="7"/>
      <c r="T195" s="9"/>
      <c r="U195" s="9"/>
      <c r="V195" s="9"/>
      <c r="W195" s="7"/>
      <c r="X195" s="7"/>
      <c r="Y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</row>
    <row r="196" spans="2:55" ht="15.75" customHeight="1">
      <c r="B196" s="2"/>
      <c r="C196" s="3"/>
      <c r="D196" s="4"/>
      <c r="E196" s="5"/>
      <c r="F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8"/>
      <c r="S196" s="7"/>
      <c r="T196" s="9"/>
      <c r="U196" s="9"/>
      <c r="V196" s="9"/>
      <c r="W196" s="7"/>
      <c r="X196" s="7"/>
      <c r="Y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</row>
    <row r="197" spans="2:55" ht="15.75" customHeight="1">
      <c r="B197" s="2"/>
      <c r="C197" s="3"/>
      <c r="D197" s="4"/>
      <c r="E197" s="5"/>
      <c r="F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8"/>
      <c r="S197" s="7"/>
      <c r="T197" s="9"/>
      <c r="U197" s="9"/>
      <c r="V197" s="9"/>
      <c r="W197" s="7"/>
      <c r="X197" s="7"/>
      <c r="Y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</row>
    <row r="198" spans="2:55" ht="15.75" customHeight="1">
      <c r="B198" s="2"/>
      <c r="C198" s="3"/>
      <c r="D198" s="4"/>
      <c r="E198" s="5"/>
      <c r="F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8"/>
      <c r="S198" s="7"/>
      <c r="T198" s="9"/>
      <c r="U198" s="9"/>
      <c r="V198" s="9"/>
      <c r="W198" s="7"/>
      <c r="X198" s="7"/>
      <c r="Y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</row>
    <row r="199" spans="2:55" ht="15.75" customHeight="1">
      <c r="B199" s="2"/>
      <c r="C199" s="3"/>
      <c r="D199" s="4"/>
      <c r="E199" s="5"/>
      <c r="F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8"/>
      <c r="S199" s="7"/>
      <c r="T199" s="9"/>
      <c r="U199" s="9"/>
      <c r="V199" s="9"/>
      <c r="W199" s="7"/>
      <c r="X199" s="7"/>
      <c r="Y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</row>
    <row r="200" spans="2:55" ht="15.75" customHeight="1">
      <c r="B200" s="2"/>
      <c r="C200" s="3"/>
      <c r="D200" s="4"/>
      <c r="E200" s="5"/>
      <c r="F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8"/>
      <c r="S200" s="7"/>
      <c r="T200" s="9"/>
      <c r="U200" s="9"/>
      <c r="V200" s="9"/>
      <c r="W200" s="7"/>
      <c r="X200" s="7"/>
      <c r="Y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</row>
    <row r="201" spans="2:55" ht="15.75" customHeight="1">
      <c r="B201" s="2"/>
      <c r="C201" s="3"/>
      <c r="D201" s="4"/>
      <c r="E201" s="5"/>
      <c r="F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8"/>
      <c r="S201" s="7"/>
      <c r="T201" s="9"/>
      <c r="U201" s="9"/>
      <c r="V201" s="9"/>
      <c r="W201" s="7"/>
      <c r="X201" s="7"/>
      <c r="Y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</row>
    <row r="202" spans="2:55" ht="15.75" customHeight="1">
      <c r="B202" s="2"/>
      <c r="C202" s="3"/>
      <c r="D202" s="4"/>
      <c r="E202" s="5"/>
      <c r="F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8"/>
      <c r="S202" s="7"/>
      <c r="T202" s="9"/>
      <c r="U202" s="9"/>
      <c r="V202" s="9"/>
      <c r="W202" s="7"/>
      <c r="X202" s="7"/>
      <c r="Y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</row>
    <row r="203" spans="2:55" ht="15.75" customHeight="1">
      <c r="B203" s="2"/>
      <c r="C203" s="3"/>
      <c r="D203" s="4"/>
      <c r="E203" s="5"/>
      <c r="F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8"/>
      <c r="S203" s="7"/>
      <c r="T203" s="9"/>
      <c r="U203" s="9"/>
      <c r="V203" s="9"/>
      <c r="W203" s="7"/>
      <c r="X203" s="7"/>
      <c r="Y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</row>
    <row r="204" spans="2:55" ht="15.75" customHeight="1">
      <c r="B204" s="2"/>
      <c r="C204" s="3"/>
      <c r="D204" s="4"/>
      <c r="E204" s="5"/>
      <c r="F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8"/>
      <c r="S204" s="7"/>
      <c r="T204" s="9"/>
      <c r="U204" s="9"/>
      <c r="V204" s="9"/>
      <c r="W204" s="7"/>
      <c r="X204" s="7"/>
      <c r="Y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</row>
    <row r="205" spans="2:55" ht="15.75" customHeight="1">
      <c r="B205" s="2"/>
      <c r="C205" s="3"/>
      <c r="D205" s="4"/>
      <c r="E205" s="5"/>
      <c r="F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8"/>
      <c r="S205" s="7"/>
      <c r="T205" s="9"/>
      <c r="U205" s="9"/>
      <c r="V205" s="9"/>
      <c r="W205" s="7"/>
      <c r="X205" s="7"/>
      <c r="Y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</row>
    <row r="206" spans="2:55" ht="15.75" customHeight="1">
      <c r="B206" s="2"/>
      <c r="C206" s="3"/>
      <c r="D206" s="4"/>
      <c r="E206" s="5"/>
      <c r="F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8"/>
      <c r="S206" s="7"/>
      <c r="T206" s="9"/>
      <c r="U206" s="9"/>
      <c r="V206" s="9"/>
      <c r="W206" s="7"/>
      <c r="X206" s="7"/>
      <c r="Y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</row>
    <row r="207" spans="2:55" ht="15.75" customHeight="1">
      <c r="B207" s="2"/>
      <c r="C207" s="3"/>
      <c r="D207" s="4"/>
      <c r="E207" s="5"/>
      <c r="F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8"/>
      <c r="S207" s="7"/>
      <c r="T207" s="9"/>
      <c r="U207" s="9"/>
      <c r="V207" s="9"/>
      <c r="W207" s="7"/>
      <c r="X207" s="7"/>
      <c r="Y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</row>
    <row r="208" spans="2:55" ht="15.75" customHeight="1">
      <c r="B208" s="2"/>
      <c r="C208" s="3"/>
      <c r="D208" s="4"/>
      <c r="E208" s="5"/>
      <c r="F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8"/>
      <c r="S208" s="7"/>
      <c r="T208" s="9"/>
      <c r="U208" s="9"/>
      <c r="V208" s="9"/>
      <c r="W208" s="7"/>
      <c r="X208" s="7"/>
      <c r="Y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</row>
    <row r="209" spans="2:55" ht="15.75" customHeight="1">
      <c r="B209" s="2"/>
      <c r="C209" s="3"/>
      <c r="D209" s="4"/>
      <c r="E209" s="5"/>
      <c r="F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8"/>
      <c r="S209" s="7"/>
      <c r="T209" s="9"/>
      <c r="U209" s="9"/>
      <c r="V209" s="9"/>
      <c r="W209" s="7"/>
      <c r="X209" s="7"/>
      <c r="Y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</row>
    <row r="210" spans="2:55" ht="15.75" customHeight="1">
      <c r="B210" s="2"/>
      <c r="C210" s="3"/>
      <c r="D210" s="4"/>
      <c r="E210" s="5"/>
      <c r="F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8"/>
      <c r="S210" s="7"/>
      <c r="T210" s="9"/>
      <c r="U210" s="9"/>
      <c r="V210" s="9"/>
      <c r="W210" s="7"/>
      <c r="X210" s="7"/>
      <c r="Y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</row>
    <row r="211" spans="2:55" ht="15.75" customHeight="1">
      <c r="B211" s="2"/>
      <c r="C211" s="3"/>
      <c r="D211" s="4"/>
      <c r="E211" s="5"/>
      <c r="F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8"/>
      <c r="S211" s="7"/>
      <c r="T211" s="9"/>
      <c r="U211" s="9"/>
      <c r="V211" s="9"/>
      <c r="W211" s="7"/>
      <c r="X211" s="7"/>
      <c r="Y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</row>
    <row r="212" spans="2:55" ht="15.75" customHeight="1">
      <c r="B212" s="2"/>
      <c r="C212" s="3"/>
      <c r="D212" s="4"/>
      <c r="E212" s="5"/>
      <c r="F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8"/>
      <c r="S212" s="7"/>
      <c r="T212" s="9"/>
      <c r="U212" s="9"/>
      <c r="V212" s="9"/>
      <c r="W212" s="7"/>
      <c r="X212" s="7"/>
      <c r="Y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</row>
    <row r="213" spans="2:55" ht="15.75" customHeight="1">
      <c r="B213" s="2"/>
      <c r="C213" s="3"/>
      <c r="D213" s="4"/>
      <c r="E213" s="5"/>
      <c r="F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8"/>
      <c r="S213" s="7"/>
      <c r="T213" s="9"/>
      <c r="U213" s="9"/>
      <c r="V213" s="9"/>
      <c r="W213" s="7"/>
      <c r="X213" s="7"/>
      <c r="Y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</row>
    <row r="214" spans="2:55" ht="15.75" customHeight="1">
      <c r="B214" s="2"/>
      <c r="C214" s="3"/>
      <c r="D214" s="4"/>
      <c r="E214" s="5"/>
      <c r="F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8"/>
      <c r="S214" s="7"/>
      <c r="T214" s="9"/>
      <c r="U214" s="9"/>
      <c r="V214" s="9"/>
      <c r="W214" s="7"/>
      <c r="X214" s="7"/>
      <c r="Y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</row>
    <row r="215" spans="2:55" ht="15.75" customHeight="1">
      <c r="B215" s="2"/>
      <c r="C215" s="3"/>
      <c r="D215" s="4"/>
      <c r="E215" s="5"/>
      <c r="F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8"/>
      <c r="S215" s="7"/>
      <c r="T215" s="9"/>
      <c r="U215" s="9"/>
      <c r="V215" s="9"/>
      <c r="W215" s="7"/>
      <c r="X215" s="7"/>
      <c r="Y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</row>
    <row r="216" spans="2:55" ht="15.75" customHeight="1">
      <c r="B216" s="2"/>
      <c r="C216" s="3"/>
      <c r="D216" s="4"/>
      <c r="E216" s="5"/>
      <c r="F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8"/>
      <c r="S216" s="7"/>
      <c r="T216" s="9"/>
      <c r="U216" s="9"/>
      <c r="V216" s="9"/>
      <c r="W216" s="7"/>
      <c r="X216" s="7"/>
      <c r="Y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</row>
    <row r="217" spans="2:55" ht="15.75" customHeight="1">
      <c r="B217" s="2"/>
      <c r="C217" s="3"/>
      <c r="D217" s="4"/>
      <c r="E217" s="5"/>
      <c r="F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8"/>
      <c r="S217" s="7"/>
      <c r="T217" s="9"/>
      <c r="U217" s="9"/>
      <c r="V217" s="9"/>
      <c r="W217" s="7"/>
      <c r="X217" s="7"/>
      <c r="Y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</row>
    <row r="218" spans="2:55" ht="15.75" customHeight="1">
      <c r="B218" s="2"/>
      <c r="C218" s="3"/>
      <c r="D218" s="4"/>
      <c r="E218" s="5"/>
      <c r="F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8"/>
      <c r="S218" s="7"/>
      <c r="T218" s="9"/>
      <c r="U218" s="9"/>
      <c r="V218" s="9"/>
      <c r="W218" s="7"/>
      <c r="X218" s="7"/>
      <c r="Y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</row>
    <row r="219" spans="2:55" ht="15.75" customHeight="1">
      <c r="B219" s="2"/>
      <c r="C219" s="3"/>
      <c r="D219" s="4"/>
      <c r="E219" s="5"/>
      <c r="F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8"/>
      <c r="S219" s="7"/>
      <c r="T219" s="9"/>
      <c r="U219" s="9"/>
      <c r="V219" s="9"/>
      <c r="W219" s="7"/>
      <c r="X219" s="7"/>
      <c r="Y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</row>
    <row r="220" spans="2:55" ht="15.75" customHeight="1">
      <c r="B220" s="2"/>
      <c r="C220" s="3"/>
      <c r="D220" s="4"/>
      <c r="E220" s="5"/>
      <c r="F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8"/>
      <c r="S220" s="7"/>
      <c r="T220" s="9"/>
      <c r="U220" s="9"/>
      <c r="V220" s="9"/>
      <c r="W220" s="7"/>
      <c r="X220" s="7"/>
      <c r="Y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</row>
    <row r="221" spans="2:55" ht="15.75" customHeight="1">
      <c r="B221" s="2"/>
      <c r="C221" s="3"/>
      <c r="D221" s="4"/>
      <c r="E221" s="5"/>
      <c r="F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8"/>
      <c r="S221" s="7"/>
      <c r="T221" s="9"/>
      <c r="U221" s="9"/>
      <c r="V221" s="9"/>
      <c r="W221" s="7"/>
      <c r="X221" s="7"/>
      <c r="Y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</row>
    <row r="222" spans="2:55" ht="15.75" customHeight="1">
      <c r="B222" s="2"/>
      <c r="C222" s="3"/>
      <c r="D222" s="4"/>
      <c r="E222" s="5"/>
      <c r="F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8"/>
      <c r="S222" s="7"/>
      <c r="T222" s="9"/>
      <c r="U222" s="9"/>
      <c r="V222" s="9"/>
      <c r="W222" s="7"/>
      <c r="X222" s="7"/>
      <c r="Y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</row>
    <row r="223" spans="2:55" ht="15.75" customHeight="1">
      <c r="B223" s="2"/>
      <c r="C223" s="3"/>
      <c r="D223" s="4"/>
      <c r="E223" s="5"/>
      <c r="F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8"/>
      <c r="S223" s="7"/>
      <c r="T223" s="9"/>
      <c r="U223" s="9"/>
      <c r="V223" s="9"/>
      <c r="W223" s="7"/>
      <c r="X223" s="7"/>
      <c r="Y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</row>
    <row r="224" spans="2:55" ht="15.75" customHeight="1">
      <c r="B224" s="2"/>
      <c r="C224" s="3"/>
      <c r="D224" s="4"/>
      <c r="E224" s="5"/>
      <c r="F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8"/>
      <c r="S224" s="7"/>
      <c r="T224" s="9"/>
      <c r="U224" s="9"/>
      <c r="V224" s="9"/>
      <c r="W224" s="7"/>
      <c r="X224" s="7"/>
      <c r="Y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</row>
    <row r="225" spans="2:55" ht="15.75" customHeight="1">
      <c r="B225" s="2"/>
      <c r="C225" s="3"/>
      <c r="D225" s="4"/>
      <c r="E225" s="5"/>
      <c r="F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8"/>
      <c r="S225" s="7"/>
      <c r="T225" s="9"/>
      <c r="U225" s="9"/>
      <c r="V225" s="9"/>
      <c r="W225" s="7"/>
      <c r="X225" s="7"/>
      <c r="Y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</row>
    <row r="226" spans="2:55" ht="15.75" customHeight="1">
      <c r="B226" s="2"/>
      <c r="C226" s="3"/>
      <c r="D226" s="4"/>
      <c r="E226" s="5"/>
      <c r="F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8"/>
      <c r="S226" s="7"/>
      <c r="T226" s="9"/>
      <c r="U226" s="9"/>
      <c r="V226" s="9"/>
      <c r="W226" s="7"/>
      <c r="X226" s="7"/>
      <c r="Y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</row>
    <row r="227" spans="2:55" ht="15.75" customHeight="1">
      <c r="B227" s="2"/>
      <c r="C227" s="3"/>
      <c r="D227" s="4"/>
      <c r="E227" s="5"/>
      <c r="F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8"/>
      <c r="S227" s="7"/>
      <c r="T227" s="9"/>
      <c r="U227" s="9"/>
      <c r="V227" s="9"/>
      <c r="W227" s="7"/>
      <c r="X227" s="7"/>
      <c r="Y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</row>
    <row r="228" spans="2:55" ht="15.75" customHeight="1">
      <c r="B228" s="2"/>
      <c r="C228" s="3"/>
      <c r="D228" s="4"/>
      <c r="E228" s="5"/>
      <c r="F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8"/>
      <c r="S228" s="7"/>
      <c r="T228" s="9"/>
      <c r="U228" s="9"/>
      <c r="V228" s="9"/>
      <c r="W228" s="7"/>
      <c r="X228" s="7"/>
      <c r="Y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</row>
    <row r="229" spans="2:55" ht="15.75" customHeight="1">
      <c r="B229" s="2"/>
      <c r="C229" s="3"/>
      <c r="D229" s="4"/>
      <c r="E229" s="5"/>
      <c r="F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8"/>
      <c r="S229" s="7"/>
      <c r="T229" s="9"/>
      <c r="U229" s="9"/>
      <c r="V229" s="9"/>
      <c r="W229" s="7"/>
      <c r="X229" s="7"/>
      <c r="Y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</row>
    <row r="230" spans="2:55" ht="15.75" customHeight="1">
      <c r="B230" s="2"/>
      <c r="C230" s="3"/>
      <c r="D230" s="4"/>
      <c r="E230" s="5"/>
      <c r="F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8"/>
      <c r="S230" s="7"/>
      <c r="T230" s="9"/>
      <c r="U230" s="9"/>
      <c r="V230" s="9"/>
      <c r="W230" s="7"/>
      <c r="X230" s="7"/>
      <c r="Y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</row>
    <row r="231" spans="2:55" ht="15.75" customHeight="1">
      <c r="B231" s="2"/>
      <c r="C231" s="3"/>
      <c r="D231" s="4"/>
      <c r="E231" s="5"/>
      <c r="F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8"/>
      <c r="S231" s="7"/>
      <c r="T231" s="9"/>
      <c r="U231" s="9"/>
      <c r="V231" s="9"/>
      <c r="W231" s="7"/>
      <c r="X231" s="7"/>
      <c r="Y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</row>
    <row r="232" spans="2:55" ht="15.75" customHeight="1">
      <c r="B232" s="2"/>
      <c r="C232" s="3"/>
      <c r="D232" s="4"/>
      <c r="E232" s="5"/>
      <c r="F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8"/>
      <c r="S232" s="7"/>
      <c r="T232" s="9"/>
      <c r="U232" s="9"/>
      <c r="V232" s="9"/>
      <c r="W232" s="7"/>
      <c r="X232" s="7"/>
      <c r="Y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</row>
    <row r="233" spans="2:55" ht="15.75" customHeight="1">
      <c r="B233" s="2"/>
      <c r="C233" s="3"/>
      <c r="D233" s="4"/>
      <c r="E233" s="5"/>
      <c r="F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8"/>
      <c r="S233" s="7"/>
      <c r="T233" s="9"/>
      <c r="U233" s="9"/>
      <c r="V233" s="9"/>
      <c r="W233" s="7"/>
      <c r="X233" s="7"/>
      <c r="Y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</row>
    <row r="234" spans="2:55" ht="15.75" customHeight="1">
      <c r="B234" s="2"/>
      <c r="C234" s="3"/>
      <c r="D234" s="4"/>
      <c r="E234" s="5"/>
      <c r="F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8"/>
      <c r="S234" s="7"/>
      <c r="T234" s="9"/>
      <c r="U234" s="9"/>
      <c r="V234" s="9"/>
      <c r="W234" s="7"/>
      <c r="X234" s="7"/>
      <c r="Y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</row>
    <row r="235" spans="2:55" ht="15.75" customHeight="1">
      <c r="B235" s="2"/>
      <c r="C235" s="3"/>
      <c r="D235" s="4"/>
      <c r="E235" s="5"/>
      <c r="F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8"/>
      <c r="S235" s="7"/>
      <c r="T235" s="9"/>
      <c r="U235" s="9"/>
      <c r="V235" s="9"/>
      <c r="W235" s="7"/>
      <c r="X235" s="7"/>
      <c r="Y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</row>
    <row r="236" spans="2:55" ht="15.75" customHeight="1">
      <c r="B236" s="2"/>
      <c r="C236" s="3"/>
      <c r="D236" s="4"/>
      <c r="E236" s="5"/>
      <c r="F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8"/>
      <c r="S236" s="7"/>
      <c r="T236" s="9"/>
      <c r="U236" s="9"/>
      <c r="V236" s="9"/>
      <c r="W236" s="7"/>
      <c r="X236" s="7"/>
      <c r="Y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</row>
    <row r="237" spans="2:55" ht="15.75" customHeight="1">
      <c r="B237" s="2"/>
      <c r="C237" s="3"/>
      <c r="D237" s="4"/>
      <c r="E237" s="5"/>
      <c r="F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8"/>
      <c r="S237" s="7"/>
      <c r="T237" s="9"/>
      <c r="U237" s="9"/>
      <c r="V237" s="9"/>
      <c r="W237" s="7"/>
      <c r="X237" s="7"/>
      <c r="Y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</row>
    <row r="238" spans="2:55" ht="15.75" customHeight="1">
      <c r="B238" s="2"/>
      <c r="C238" s="3"/>
      <c r="D238" s="4"/>
      <c r="E238" s="5"/>
      <c r="F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8"/>
      <c r="S238" s="7"/>
      <c r="T238" s="9"/>
      <c r="U238" s="9"/>
      <c r="V238" s="9"/>
      <c r="W238" s="7"/>
      <c r="X238" s="7"/>
      <c r="Y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</row>
    <row r="239" spans="2:55" ht="15.75" customHeight="1">
      <c r="B239" s="2"/>
      <c r="C239" s="3"/>
      <c r="D239" s="4"/>
      <c r="E239" s="5"/>
      <c r="F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8"/>
      <c r="S239" s="7"/>
      <c r="T239" s="9"/>
      <c r="U239" s="9"/>
      <c r="V239" s="9"/>
      <c r="W239" s="7"/>
      <c r="X239" s="7"/>
      <c r="Y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</row>
    <row r="240" spans="2:55" ht="15.75" customHeight="1">
      <c r="B240" s="2"/>
      <c r="C240" s="3"/>
      <c r="D240" s="4"/>
      <c r="E240" s="5"/>
      <c r="F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8"/>
      <c r="S240" s="7"/>
      <c r="T240" s="9"/>
      <c r="U240" s="9"/>
      <c r="V240" s="9"/>
      <c r="W240" s="7"/>
      <c r="X240" s="7"/>
      <c r="Y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</row>
    <row r="241" spans="2:55" ht="15.75" customHeight="1">
      <c r="B241" s="2"/>
      <c r="C241" s="3"/>
      <c r="D241" s="4"/>
      <c r="E241" s="5"/>
      <c r="F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8"/>
      <c r="S241" s="7"/>
      <c r="T241" s="9"/>
      <c r="U241" s="9"/>
      <c r="V241" s="9"/>
      <c r="W241" s="7"/>
      <c r="X241" s="7"/>
      <c r="Y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</row>
    <row r="242" spans="2:55" ht="15.75" customHeight="1">
      <c r="B242" s="2"/>
      <c r="C242" s="3"/>
      <c r="D242" s="4"/>
      <c r="E242" s="5"/>
      <c r="F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8"/>
      <c r="S242" s="7"/>
      <c r="T242" s="9"/>
      <c r="U242" s="9"/>
      <c r="V242" s="9"/>
      <c r="W242" s="7"/>
      <c r="X242" s="7"/>
      <c r="Y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</row>
    <row r="243" spans="2:55" ht="15.75" customHeight="1">
      <c r="B243" s="2"/>
      <c r="C243" s="3"/>
      <c r="D243" s="4"/>
      <c r="E243" s="5"/>
      <c r="F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8"/>
      <c r="S243" s="7"/>
      <c r="T243" s="9"/>
      <c r="U243" s="9"/>
      <c r="V243" s="9"/>
      <c r="W243" s="7"/>
      <c r="X243" s="7"/>
      <c r="Y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</row>
    <row r="244" spans="2:55" ht="15.75" customHeight="1">
      <c r="B244" s="2"/>
      <c r="C244" s="3"/>
      <c r="D244" s="4"/>
      <c r="E244" s="5"/>
      <c r="F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8"/>
      <c r="S244" s="7"/>
      <c r="T244" s="9"/>
      <c r="U244" s="9"/>
      <c r="V244" s="9"/>
      <c r="W244" s="7"/>
      <c r="X244" s="7"/>
      <c r="Y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</row>
    <row r="245" spans="2:55" ht="15.75" customHeight="1">
      <c r="B245" s="2"/>
      <c r="C245" s="3"/>
      <c r="D245" s="4"/>
      <c r="E245" s="5"/>
      <c r="F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8"/>
      <c r="S245" s="7"/>
      <c r="T245" s="9"/>
      <c r="U245" s="9"/>
      <c r="V245" s="9"/>
      <c r="W245" s="7"/>
      <c r="X245" s="7"/>
      <c r="Y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</row>
    <row r="246" spans="2:55" ht="15.75" customHeight="1">
      <c r="B246" s="2"/>
      <c r="C246" s="3"/>
      <c r="D246" s="4"/>
      <c r="E246" s="5"/>
      <c r="F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8"/>
      <c r="S246" s="7"/>
      <c r="T246" s="9"/>
      <c r="U246" s="9"/>
      <c r="V246" s="9"/>
      <c r="W246" s="7"/>
      <c r="X246" s="7"/>
      <c r="Y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</row>
    <row r="247" spans="2:55" ht="15.75" customHeight="1">
      <c r="B247" s="2"/>
      <c r="C247" s="3"/>
      <c r="D247" s="4"/>
      <c r="E247" s="5"/>
      <c r="F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8"/>
      <c r="S247" s="7"/>
      <c r="T247" s="9"/>
      <c r="U247" s="9"/>
      <c r="V247" s="9"/>
      <c r="W247" s="7"/>
      <c r="X247" s="7"/>
      <c r="Y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</row>
    <row r="248" spans="2:55" ht="15.75" customHeight="1">
      <c r="B248" s="2"/>
      <c r="C248" s="3"/>
      <c r="D248" s="4"/>
      <c r="E248" s="5"/>
      <c r="F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8"/>
      <c r="S248" s="7"/>
      <c r="T248" s="9"/>
      <c r="U248" s="9"/>
      <c r="V248" s="9"/>
      <c r="W248" s="7"/>
      <c r="X248" s="7"/>
      <c r="Y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</row>
    <row r="249" spans="2:55" ht="15.75" customHeight="1">
      <c r="B249" s="2"/>
      <c r="C249" s="3"/>
      <c r="D249" s="4"/>
      <c r="E249" s="5"/>
      <c r="F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8"/>
      <c r="S249" s="7"/>
      <c r="T249" s="9"/>
      <c r="U249" s="9"/>
      <c r="V249" s="9"/>
      <c r="W249" s="7"/>
      <c r="X249" s="7"/>
      <c r="Y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</row>
    <row r="250" spans="2:55" ht="15.75" customHeight="1">
      <c r="B250" s="2"/>
      <c r="C250" s="3"/>
      <c r="D250" s="4"/>
      <c r="E250" s="5"/>
      <c r="F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8"/>
      <c r="S250" s="7"/>
      <c r="T250" s="9"/>
      <c r="U250" s="9"/>
      <c r="V250" s="9"/>
      <c r="W250" s="7"/>
      <c r="X250" s="7"/>
      <c r="Y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</row>
    <row r="251" spans="2:55" ht="15.75" customHeight="1">
      <c r="B251" s="2"/>
      <c r="C251" s="3"/>
      <c r="D251" s="4"/>
      <c r="E251" s="5"/>
      <c r="F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8"/>
      <c r="S251" s="7"/>
      <c r="T251" s="9"/>
      <c r="U251" s="9"/>
      <c r="V251" s="9"/>
      <c r="W251" s="7"/>
      <c r="X251" s="7"/>
      <c r="Y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</row>
    <row r="252" spans="2:55" ht="15.75" customHeight="1">
      <c r="B252" s="2"/>
      <c r="C252" s="3"/>
      <c r="D252" s="4"/>
      <c r="E252" s="5"/>
      <c r="F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8"/>
      <c r="S252" s="7"/>
      <c r="T252" s="9"/>
      <c r="U252" s="9"/>
      <c r="V252" s="9"/>
      <c r="W252" s="7"/>
      <c r="X252" s="7"/>
      <c r="Y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</row>
    <row r="253" spans="2:55" ht="15.75" customHeight="1">
      <c r="B253" s="2"/>
      <c r="C253" s="3"/>
      <c r="D253" s="4"/>
      <c r="E253" s="5"/>
      <c r="F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8"/>
      <c r="S253" s="7"/>
      <c r="T253" s="9"/>
      <c r="U253" s="9"/>
      <c r="V253" s="9"/>
      <c r="W253" s="7"/>
      <c r="X253" s="7"/>
      <c r="Y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</row>
    <row r="254" spans="2:55" ht="15.75" customHeight="1">
      <c r="B254" s="2"/>
      <c r="C254" s="3"/>
      <c r="D254" s="4"/>
      <c r="E254" s="5"/>
      <c r="F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8"/>
      <c r="S254" s="7"/>
      <c r="T254" s="9"/>
      <c r="U254" s="9"/>
      <c r="V254" s="9"/>
      <c r="W254" s="7"/>
      <c r="X254" s="7"/>
      <c r="Y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</row>
    <row r="255" spans="2:55" ht="15.75" customHeight="1">
      <c r="B255" s="2"/>
      <c r="C255" s="3"/>
      <c r="D255" s="4"/>
      <c r="E255" s="5"/>
      <c r="F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8"/>
      <c r="S255" s="7"/>
      <c r="T255" s="9"/>
      <c r="U255" s="9"/>
      <c r="V255" s="9"/>
      <c r="W255" s="7"/>
      <c r="X255" s="7"/>
      <c r="Y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</row>
    <row r="256" spans="2:55" ht="15.75" customHeight="1">
      <c r="B256" s="2"/>
      <c r="C256" s="3"/>
      <c r="D256" s="4"/>
      <c r="E256" s="5"/>
      <c r="F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8"/>
      <c r="S256" s="7"/>
      <c r="T256" s="9"/>
      <c r="U256" s="9"/>
      <c r="V256" s="9"/>
      <c r="W256" s="7"/>
      <c r="X256" s="7"/>
      <c r="Y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spans="2:55" ht="15.75" customHeight="1">
      <c r="B257" s="2"/>
      <c r="C257" s="3"/>
      <c r="D257" s="4"/>
      <c r="E257" s="5"/>
      <c r="F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8"/>
      <c r="S257" s="7"/>
      <c r="T257" s="9"/>
      <c r="U257" s="9"/>
      <c r="V257" s="9"/>
      <c r="W257" s="7"/>
      <c r="X257" s="7"/>
      <c r="Y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</row>
    <row r="258" spans="2:55" ht="15.75" customHeight="1">
      <c r="B258" s="2"/>
      <c r="C258" s="3"/>
      <c r="D258" s="4"/>
      <c r="E258" s="5"/>
      <c r="F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8"/>
      <c r="S258" s="7"/>
      <c r="T258" s="9"/>
      <c r="U258" s="9"/>
      <c r="V258" s="9"/>
      <c r="W258" s="7"/>
      <c r="X258" s="7"/>
      <c r="Y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</row>
    <row r="259" spans="2:55" ht="15.75" customHeight="1">
      <c r="B259" s="2"/>
      <c r="C259" s="3"/>
      <c r="D259" s="4"/>
      <c r="E259" s="5"/>
      <c r="F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8"/>
      <c r="S259" s="7"/>
      <c r="T259" s="9"/>
      <c r="U259" s="9"/>
      <c r="V259" s="9"/>
      <c r="W259" s="7"/>
      <c r="X259" s="7"/>
      <c r="Y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</row>
    <row r="260" spans="2:55" ht="15.75" customHeight="1">
      <c r="B260" s="2"/>
      <c r="C260" s="3"/>
      <c r="D260" s="4"/>
      <c r="E260" s="5"/>
      <c r="F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8"/>
      <c r="S260" s="7"/>
      <c r="T260" s="9"/>
      <c r="U260" s="9"/>
      <c r="V260" s="9"/>
      <c r="W260" s="7"/>
      <c r="X260" s="7"/>
      <c r="Y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</row>
    <row r="261" spans="2:55" ht="15.75" customHeight="1">
      <c r="B261" s="2"/>
      <c r="C261" s="3"/>
      <c r="D261" s="4"/>
      <c r="E261" s="5"/>
      <c r="F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8"/>
      <c r="S261" s="7"/>
      <c r="T261" s="9"/>
      <c r="U261" s="9"/>
      <c r="V261" s="9"/>
      <c r="W261" s="7"/>
      <c r="X261" s="7"/>
      <c r="Y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</row>
    <row r="262" spans="2:55" ht="15.75" customHeight="1">
      <c r="B262" s="2"/>
      <c r="C262" s="3"/>
      <c r="D262" s="4"/>
      <c r="E262" s="5"/>
      <c r="F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8"/>
      <c r="S262" s="7"/>
      <c r="T262" s="9"/>
      <c r="U262" s="9"/>
      <c r="V262" s="9"/>
      <c r="W262" s="7"/>
      <c r="X262" s="7"/>
      <c r="Y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</row>
    <row r="263" spans="2:55" ht="15.75" customHeight="1">
      <c r="B263" s="2"/>
      <c r="C263" s="3"/>
      <c r="D263" s="4"/>
      <c r="E263" s="5"/>
      <c r="F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8"/>
      <c r="S263" s="7"/>
      <c r="T263" s="9"/>
      <c r="U263" s="9"/>
      <c r="V263" s="9"/>
      <c r="W263" s="7"/>
      <c r="X263" s="7"/>
      <c r="Y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</row>
    <row r="264" spans="2:55" ht="15.75" customHeight="1">
      <c r="B264" s="2"/>
      <c r="C264" s="3"/>
      <c r="D264" s="4"/>
      <c r="E264" s="5"/>
      <c r="F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8"/>
      <c r="S264" s="7"/>
      <c r="T264" s="9"/>
      <c r="U264" s="9"/>
      <c r="V264" s="9"/>
      <c r="W264" s="7"/>
      <c r="X264" s="7"/>
      <c r="Y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</row>
    <row r="265" spans="2:55" ht="15.75" customHeight="1">
      <c r="B265" s="2"/>
      <c r="C265" s="3"/>
      <c r="D265" s="4"/>
      <c r="E265" s="5"/>
      <c r="F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8"/>
      <c r="S265" s="7"/>
      <c r="T265" s="9"/>
      <c r="U265" s="9"/>
      <c r="V265" s="9"/>
      <c r="W265" s="7"/>
      <c r="X265" s="7"/>
      <c r="Y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</row>
    <row r="266" spans="2:55" ht="15.75" customHeight="1">
      <c r="B266" s="2"/>
      <c r="C266" s="3"/>
      <c r="D266" s="4"/>
      <c r="E266" s="5"/>
      <c r="F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8"/>
      <c r="S266" s="7"/>
      <c r="T266" s="9"/>
      <c r="U266" s="9"/>
      <c r="V266" s="9"/>
      <c r="W266" s="7"/>
      <c r="X266" s="7"/>
      <c r="Y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</row>
    <row r="267" spans="2:55" ht="15.75" customHeight="1">
      <c r="B267" s="2"/>
      <c r="C267" s="3"/>
      <c r="D267" s="4"/>
      <c r="E267" s="5"/>
      <c r="F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8"/>
      <c r="S267" s="7"/>
      <c r="T267" s="9"/>
      <c r="U267" s="9"/>
      <c r="V267" s="9"/>
      <c r="W267" s="7"/>
      <c r="X267" s="7"/>
      <c r="Y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</row>
    <row r="268" spans="2:55" ht="15.75" customHeight="1">
      <c r="B268" s="2"/>
      <c r="C268" s="3"/>
      <c r="D268" s="4"/>
      <c r="E268" s="5"/>
      <c r="F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8"/>
      <c r="S268" s="7"/>
      <c r="T268" s="9"/>
      <c r="U268" s="9"/>
      <c r="V268" s="9"/>
      <c r="W268" s="7"/>
      <c r="X268" s="7"/>
      <c r="Y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</row>
    <row r="269" spans="2:55" ht="15.75" customHeight="1">
      <c r="B269" s="2"/>
      <c r="C269" s="3"/>
      <c r="D269" s="4"/>
      <c r="E269" s="5"/>
      <c r="F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8"/>
      <c r="S269" s="7"/>
      <c r="T269" s="9"/>
      <c r="U269" s="9"/>
      <c r="V269" s="9"/>
      <c r="W269" s="7"/>
      <c r="X269" s="7"/>
      <c r="Y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</row>
    <row r="270" spans="2:55" ht="15.75" customHeight="1">
      <c r="B270" s="2"/>
      <c r="C270" s="3"/>
      <c r="D270" s="4"/>
      <c r="E270" s="5"/>
      <c r="F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8"/>
      <c r="S270" s="7"/>
      <c r="T270" s="9"/>
      <c r="U270" s="9"/>
      <c r="V270" s="9"/>
      <c r="W270" s="7"/>
      <c r="X270" s="7"/>
      <c r="Y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</row>
    <row r="271" spans="2:55" ht="15.75" customHeight="1">
      <c r="B271" s="2"/>
      <c r="C271" s="3"/>
      <c r="D271" s="4"/>
      <c r="E271" s="5"/>
      <c r="F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8"/>
      <c r="S271" s="7"/>
      <c r="T271" s="9"/>
      <c r="U271" s="9"/>
      <c r="V271" s="9"/>
      <c r="W271" s="7"/>
      <c r="X271" s="7"/>
      <c r="Y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</row>
    <row r="272" spans="2:55" ht="15.75" customHeight="1">
      <c r="B272" s="2"/>
      <c r="C272" s="3"/>
      <c r="D272" s="4"/>
      <c r="E272" s="5"/>
      <c r="F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8"/>
      <c r="S272" s="7"/>
      <c r="T272" s="9"/>
      <c r="U272" s="9"/>
      <c r="V272" s="9"/>
      <c r="W272" s="7"/>
      <c r="X272" s="7"/>
      <c r="Y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</row>
    <row r="273" spans="2:55" ht="15.75" customHeight="1">
      <c r="B273" s="2"/>
      <c r="C273" s="3"/>
      <c r="D273" s="4"/>
      <c r="E273" s="5"/>
      <c r="F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8"/>
      <c r="S273" s="7"/>
      <c r="T273" s="9"/>
      <c r="U273" s="9"/>
      <c r="V273" s="9"/>
      <c r="W273" s="7"/>
      <c r="X273" s="7"/>
      <c r="Y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</row>
    <row r="274" spans="2:55" ht="15.75" customHeight="1">
      <c r="B274" s="2"/>
      <c r="C274" s="3"/>
      <c r="D274" s="4"/>
      <c r="E274" s="5"/>
      <c r="F274" s="6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8"/>
      <c r="S274" s="7"/>
      <c r="T274" s="9"/>
      <c r="U274" s="9"/>
      <c r="V274" s="9"/>
      <c r="W274" s="7"/>
      <c r="X274" s="7"/>
      <c r="Y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</row>
    <row r="275" spans="2:55" ht="15.75" customHeight="1">
      <c r="B275" s="2"/>
      <c r="C275" s="3"/>
      <c r="D275" s="4"/>
      <c r="E275" s="5"/>
      <c r="F275" s="6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8"/>
      <c r="S275" s="7"/>
      <c r="T275" s="9"/>
      <c r="U275" s="9"/>
      <c r="V275" s="9"/>
      <c r="W275" s="7"/>
      <c r="X275" s="7"/>
      <c r="Y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</row>
    <row r="276" spans="2:55" ht="15.75" customHeight="1">
      <c r="B276" s="2"/>
      <c r="C276" s="3"/>
      <c r="D276" s="4"/>
      <c r="E276" s="5"/>
      <c r="F276" s="6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8"/>
      <c r="S276" s="7"/>
      <c r="T276" s="9"/>
      <c r="U276" s="9"/>
      <c r="V276" s="9"/>
      <c r="W276" s="7"/>
      <c r="X276" s="7"/>
      <c r="Y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</row>
    <row r="277" spans="2:55" ht="15.75" customHeight="1">
      <c r="B277" s="2"/>
      <c r="C277" s="3"/>
      <c r="D277" s="4"/>
      <c r="E277" s="5"/>
      <c r="F277" s="6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8"/>
      <c r="S277" s="7"/>
      <c r="T277" s="9"/>
      <c r="U277" s="9"/>
      <c r="V277" s="9"/>
      <c r="W277" s="7"/>
      <c r="X277" s="7"/>
      <c r="Y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</row>
    <row r="278" spans="2:55" ht="15.75" customHeight="1">
      <c r="B278" s="2"/>
      <c r="C278" s="3"/>
      <c r="D278" s="4"/>
      <c r="E278" s="5"/>
      <c r="F278" s="6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8"/>
      <c r="S278" s="7"/>
      <c r="T278" s="9"/>
      <c r="U278" s="9"/>
      <c r="V278" s="9"/>
      <c r="W278" s="7"/>
      <c r="X278" s="7"/>
      <c r="Y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</row>
    <row r="279" spans="2:55" ht="15.75" customHeight="1">
      <c r="B279" s="2"/>
      <c r="C279" s="3"/>
      <c r="D279" s="4"/>
      <c r="E279" s="5"/>
      <c r="F279" s="6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8"/>
      <c r="S279" s="7"/>
      <c r="T279" s="9"/>
      <c r="U279" s="9"/>
      <c r="V279" s="9"/>
      <c r="W279" s="7"/>
      <c r="X279" s="7"/>
      <c r="Y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</row>
    <row r="280" spans="2:55" ht="15.75" customHeight="1">
      <c r="B280" s="2"/>
      <c r="C280" s="3"/>
      <c r="D280" s="4"/>
      <c r="E280" s="5"/>
      <c r="F280" s="6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8"/>
      <c r="S280" s="7"/>
      <c r="T280" s="9"/>
      <c r="U280" s="9"/>
      <c r="V280" s="9"/>
      <c r="W280" s="7"/>
      <c r="X280" s="7"/>
      <c r="Y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</row>
    <row r="281" spans="2:55" ht="15.75" customHeight="1">
      <c r="B281" s="2"/>
      <c r="C281" s="3"/>
      <c r="D281" s="4"/>
      <c r="E281" s="5"/>
      <c r="F281" s="6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8"/>
      <c r="S281" s="7"/>
      <c r="T281" s="9"/>
      <c r="U281" s="9"/>
      <c r="V281" s="9"/>
      <c r="W281" s="7"/>
      <c r="X281" s="7"/>
      <c r="Y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</row>
    <row r="282" spans="2:55" ht="15.75" customHeight="1">
      <c r="B282" s="2"/>
      <c r="C282" s="3"/>
      <c r="D282" s="4"/>
      <c r="E282" s="5"/>
      <c r="F282" s="6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8"/>
      <c r="S282" s="7"/>
      <c r="T282" s="9"/>
      <c r="U282" s="9"/>
      <c r="V282" s="9"/>
      <c r="W282" s="7"/>
      <c r="X282" s="7"/>
      <c r="Y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</row>
    <row r="283" spans="2:55" ht="15.75" customHeight="1">
      <c r="B283" s="2"/>
      <c r="C283" s="3"/>
      <c r="D283" s="4"/>
      <c r="E283" s="5"/>
      <c r="F283" s="6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8"/>
      <c r="S283" s="7"/>
      <c r="T283" s="9"/>
      <c r="U283" s="9"/>
      <c r="V283" s="9"/>
      <c r="W283" s="7"/>
      <c r="X283" s="7"/>
      <c r="Y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</row>
    <row r="284" spans="2:55" ht="15.75" customHeight="1">
      <c r="B284" s="2"/>
      <c r="C284" s="3"/>
      <c r="D284" s="4"/>
      <c r="E284" s="5"/>
      <c r="F284" s="6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8"/>
      <c r="S284" s="7"/>
      <c r="T284" s="9"/>
      <c r="U284" s="9"/>
      <c r="V284" s="9"/>
      <c r="W284" s="7"/>
      <c r="X284" s="7"/>
      <c r="Y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</row>
    <row r="285" spans="2:55" ht="15.75" customHeight="1">
      <c r="B285" s="2"/>
      <c r="C285" s="3"/>
      <c r="D285" s="4"/>
      <c r="E285" s="5"/>
      <c r="F285" s="6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8"/>
      <c r="S285" s="7"/>
      <c r="T285" s="9"/>
      <c r="U285" s="9"/>
      <c r="V285" s="9"/>
      <c r="W285" s="7"/>
      <c r="X285" s="7"/>
      <c r="Y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</row>
    <row r="286" spans="2:55" ht="15.75" customHeight="1">
      <c r="B286" s="2"/>
      <c r="C286" s="3"/>
      <c r="D286" s="4"/>
      <c r="E286" s="5"/>
      <c r="F286" s="6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8"/>
      <c r="S286" s="7"/>
      <c r="T286" s="9"/>
      <c r="U286" s="9"/>
      <c r="V286" s="9"/>
      <c r="W286" s="7"/>
      <c r="X286" s="7"/>
      <c r="Y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</row>
    <row r="287" spans="2:55" ht="15.75" customHeight="1">
      <c r="B287" s="2"/>
      <c r="C287" s="3"/>
      <c r="D287" s="4"/>
      <c r="E287" s="5"/>
      <c r="F287" s="6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8"/>
      <c r="S287" s="7"/>
      <c r="T287" s="9"/>
      <c r="U287" s="9"/>
      <c r="V287" s="9"/>
      <c r="W287" s="7"/>
      <c r="X287" s="7"/>
      <c r="Y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</row>
    <row r="288" spans="2:55" ht="15.75" customHeight="1">
      <c r="B288" s="2"/>
      <c r="C288" s="3"/>
      <c r="D288" s="4"/>
      <c r="E288" s="5"/>
      <c r="F288" s="6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8"/>
      <c r="S288" s="7"/>
      <c r="T288" s="9"/>
      <c r="U288" s="9"/>
      <c r="V288" s="9"/>
      <c r="W288" s="7"/>
      <c r="X288" s="7"/>
      <c r="Y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</row>
    <row r="289" spans="2:55" ht="15.75" customHeight="1">
      <c r="B289" s="2"/>
      <c r="C289" s="3"/>
      <c r="D289" s="4"/>
      <c r="E289" s="5"/>
      <c r="F289" s="6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8"/>
      <c r="S289" s="7"/>
      <c r="T289" s="9"/>
      <c r="U289" s="9"/>
      <c r="V289" s="9"/>
      <c r="W289" s="7"/>
      <c r="X289" s="7"/>
      <c r="Y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</row>
    <row r="290" spans="2:55" ht="15.75" customHeight="1">
      <c r="B290" s="2"/>
      <c r="C290" s="3"/>
      <c r="D290" s="4"/>
      <c r="E290" s="5"/>
      <c r="F290" s="6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8"/>
      <c r="S290" s="7"/>
      <c r="T290" s="9"/>
      <c r="U290" s="9"/>
      <c r="V290" s="9"/>
      <c r="W290" s="7"/>
      <c r="X290" s="7"/>
      <c r="Y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</row>
    <row r="291" spans="2:55" ht="15.75" customHeight="1">
      <c r="B291" s="2"/>
      <c r="C291" s="3"/>
      <c r="D291" s="4"/>
      <c r="E291" s="5"/>
      <c r="F291" s="6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8"/>
      <c r="S291" s="7"/>
      <c r="T291" s="9"/>
      <c r="U291" s="9"/>
      <c r="V291" s="9"/>
      <c r="W291" s="7"/>
      <c r="X291" s="7"/>
      <c r="Y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</row>
    <row r="292" spans="2:55" ht="15.75" customHeight="1">
      <c r="B292" s="2"/>
      <c r="C292" s="3"/>
      <c r="D292" s="4"/>
      <c r="E292" s="5"/>
      <c r="F292" s="6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8"/>
      <c r="S292" s="7"/>
      <c r="T292" s="9"/>
      <c r="U292" s="9"/>
      <c r="V292" s="9"/>
      <c r="W292" s="7"/>
      <c r="X292" s="7"/>
      <c r="Y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</row>
    <row r="293" spans="2:55" ht="15.75" customHeight="1">
      <c r="B293" s="2"/>
      <c r="C293" s="3"/>
      <c r="D293" s="4"/>
      <c r="E293" s="5"/>
      <c r="F293" s="6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8"/>
      <c r="S293" s="7"/>
      <c r="T293" s="9"/>
      <c r="U293" s="9"/>
      <c r="V293" s="9"/>
      <c r="W293" s="7"/>
      <c r="X293" s="7"/>
      <c r="Y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spans="2:55" ht="15.75" customHeight="1">
      <c r="B294" s="2"/>
      <c r="C294" s="3"/>
      <c r="D294" s="4"/>
      <c r="E294" s="5"/>
      <c r="F294" s="6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8"/>
      <c r="S294" s="7"/>
      <c r="T294" s="9"/>
      <c r="U294" s="9"/>
      <c r="V294" s="9"/>
      <c r="W294" s="7"/>
      <c r="X294" s="7"/>
      <c r="Y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spans="2:55" ht="15.75" customHeight="1">
      <c r="B295" s="2"/>
      <c r="C295" s="3"/>
      <c r="D295" s="4"/>
      <c r="E295" s="5"/>
      <c r="F295" s="6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8"/>
      <c r="S295" s="7"/>
      <c r="T295" s="9"/>
      <c r="U295" s="9"/>
      <c r="V295" s="9"/>
      <c r="W295" s="7"/>
      <c r="X295" s="7"/>
      <c r="Y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spans="2:55" ht="15.75" customHeight="1">
      <c r="B296" s="2"/>
      <c r="C296" s="3"/>
      <c r="D296" s="4"/>
      <c r="E296" s="5"/>
      <c r="F296" s="6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8"/>
      <c r="S296" s="7"/>
      <c r="T296" s="9"/>
      <c r="U296" s="9"/>
      <c r="V296" s="9"/>
      <c r="W296" s="7"/>
      <c r="X296" s="7"/>
      <c r="Y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spans="2:55" ht="15.75" customHeight="1">
      <c r="B297" s="2"/>
      <c r="C297" s="3"/>
      <c r="D297" s="4"/>
      <c r="E297" s="5"/>
      <c r="F297" s="6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8"/>
      <c r="S297" s="7"/>
      <c r="T297" s="9"/>
      <c r="U297" s="9"/>
      <c r="V297" s="9"/>
      <c r="W297" s="7"/>
      <c r="X297" s="7"/>
      <c r="Y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</row>
    <row r="298" spans="2:55" ht="15.75" customHeight="1">
      <c r="B298" s="2"/>
      <c r="C298" s="3"/>
      <c r="D298" s="4"/>
      <c r="E298" s="5"/>
      <c r="F298" s="6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8"/>
      <c r="S298" s="7"/>
      <c r="T298" s="9"/>
      <c r="U298" s="9"/>
      <c r="V298" s="9"/>
      <c r="W298" s="7"/>
      <c r="X298" s="7"/>
      <c r="Y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spans="2:55" ht="15.75" customHeight="1">
      <c r="B299" s="2"/>
      <c r="C299" s="3"/>
      <c r="D299" s="4"/>
      <c r="E299" s="5"/>
      <c r="F299" s="6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8"/>
      <c r="S299" s="7"/>
      <c r="T299" s="9"/>
      <c r="U299" s="9"/>
      <c r="V299" s="9"/>
      <c r="W299" s="7"/>
      <c r="X299" s="7"/>
      <c r="Y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spans="2:55" ht="15.75" customHeight="1">
      <c r="B300" s="2"/>
      <c r="C300" s="3"/>
      <c r="D300" s="4"/>
      <c r="E300" s="5"/>
      <c r="F300" s="6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8"/>
      <c r="S300" s="7"/>
      <c r="T300" s="9"/>
      <c r="U300" s="9"/>
      <c r="V300" s="9"/>
      <c r="W300" s="7"/>
      <c r="X300" s="7"/>
      <c r="Y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</row>
    <row r="301" spans="2:55" ht="15.75" customHeight="1">
      <c r="B301" s="2"/>
      <c r="C301" s="3"/>
      <c r="D301" s="4"/>
      <c r="E301" s="5"/>
      <c r="F301" s="6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8"/>
      <c r="S301" s="7"/>
      <c r="T301" s="9"/>
      <c r="U301" s="9"/>
      <c r="V301" s="9"/>
      <c r="W301" s="7"/>
      <c r="X301" s="7"/>
      <c r="Y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</row>
    <row r="302" spans="2:55" ht="15.75" customHeight="1">
      <c r="B302" s="2"/>
      <c r="C302" s="3"/>
      <c r="D302" s="4"/>
      <c r="E302" s="5"/>
      <c r="F302" s="6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8"/>
      <c r="S302" s="7"/>
      <c r="T302" s="9"/>
      <c r="U302" s="9"/>
      <c r="V302" s="9"/>
      <c r="W302" s="7"/>
      <c r="X302" s="7"/>
      <c r="Y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</row>
    <row r="303" spans="2:55" ht="15.75" customHeight="1">
      <c r="B303" s="2"/>
      <c r="C303" s="3"/>
      <c r="D303" s="4"/>
      <c r="E303" s="5"/>
      <c r="F303" s="6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8"/>
      <c r="S303" s="7"/>
      <c r="T303" s="9"/>
      <c r="U303" s="9"/>
      <c r="V303" s="9"/>
      <c r="W303" s="7"/>
      <c r="X303" s="7"/>
      <c r="Y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</row>
    <row r="304" spans="2:55" ht="15.75" customHeight="1">
      <c r="B304" s="2"/>
      <c r="C304" s="3"/>
      <c r="D304" s="4"/>
      <c r="E304" s="5"/>
      <c r="F304" s="6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8"/>
      <c r="S304" s="7"/>
      <c r="T304" s="9"/>
      <c r="U304" s="9"/>
      <c r="V304" s="9"/>
      <c r="W304" s="7"/>
      <c r="X304" s="7"/>
      <c r="Y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</row>
    <row r="305" spans="2:55" ht="15.75" customHeight="1">
      <c r="B305" s="2"/>
      <c r="C305" s="3"/>
      <c r="D305" s="4"/>
      <c r="E305" s="5"/>
      <c r="F305" s="6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8"/>
      <c r="S305" s="7"/>
      <c r="T305" s="9"/>
      <c r="U305" s="9"/>
      <c r="V305" s="9"/>
      <c r="W305" s="7"/>
      <c r="X305" s="7"/>
      <c r="Y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</row>
    <row r="306" spans="2:55" ht="15.75" customHeight="1">
      <c r="B306" s="2"/>
      <c r="C306" s="3"/>
      <c r="D306" s="4"/>
      <c r="E306" s="5"/>
      <c r="F306" s="6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8"/>
      <c r="S306" s="7"/>
      <c r="T306" s="9"/>
      <c r="U306" s="9"/>
      <c r="V306" s="9"/>
      <c r="W306" s="7"/>
      <c r="X306" s="7"/>
      <c r="Y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</row>
    <row r="307" spans="2:55" ht="15.75" customHeight="1">
      <c r="B307" s="2"/>
      <c r="C307" s="3"/>
      <c r="D307" s="4"/>
      <c r="E307" s="5"/>
      <c r="F307" s="6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8"/>
      <c r="S307" s="7"/>
      <c r="T307" s="9"/>
      <c r="U307" s="9"/>
      <c r="V307" s="9"/>
      <c r="W307" s="7"/>
      <c r="X307" s="7"/>
      <c r="Y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</row>
    <row r="308" spans="2:55" ht="15.75" customHeight="1">
      <c r="B308" s="2"/>
      <c r="C308" s="3"/>
      <c r="D308" s="4"/>
      <c r="E308" s="5"/>
      <c r="F308" s="6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8"/>
      <c r="S308" s="7"/>
      <c r="T308" s="9"/>
      <c r="U308" s="9"/>
      <c r="V308" s="9"/>
      <c r="W308" s="7"/>
      <c r="X308" s="7"/>
      <c r="Y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spans="2:55" ht="15.75" customHeight="1"/>
    <row r="310" spans="2:55" ht="15.75" customHeight="1"/>
    <row r="311" spans="2:55" ht="15.75" customHeight="1"/>
    <row r="312" spans="2:55" ht="15.75" customHeight="1"/>
    <row r="313" spans="2:55" ht="15.75" customHeight="1"/>
    <row r="314" spans="2:55" ht="15.75" customHeight="1"/>
    <row r="315" spans="2:55" ht="15.75" customHeight="1"/>
    <row r="316" spans="2:55" ht="15.75" customHeight="1"/>
    <row r="317" spans="2:55" ht="15.75" customHeight="1"/>
    <row r="318" spans="2:55" ht="15.75" customHeight="1"/>
    <row r="319" spans="2:55" ht="15.75" customHeight="1"/>
    <row r="320" spans="2:55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40">
    <mergeCell ref="AZ6:AZ8"/>
    <mergeCell ref="BA6:BA8"/>
    <mergeCell ref="AC6:AE6"/>
    <mergeCell ref="AD7:AE7"/>
    <mergeCell ref="Q6:Q8"/>
    <mergeCell ref="R6:R8"/>
    <mergeCell ref="S6:S8"/>
    <mergeCell ref="T6:V6"/>
    <mergeCell ref="W6:Y6"/>
    <mergeCell ref="Z6:AB6"/>
    <mergeCell ref="X7:Y7"/>
    <mergeCell ref="AO6:AO8"/>
    <mergeCell ref="AP7:AP8"/>
    <mergeCell ref="AS6:AT6"/>
    <mergeCell ref="AU7:AU8"/>
    <mergeCell ref="AV7:AV8"/>
    <mergeCell ref="M6:M8"/>
    <mergeCell ref="N6:N8"/>
    <mergeCell ref="O6:O8"/>
    <mergeCell ref="P6:P8"/>
    <mergeCell ref="AY6:AY8"/>
    <mergeCell ref="AW7:AW8"/>
    <mergeCell ref="AX7:AX8"/>
    <mergeCell ref="AF6:AH6"/>
    <mergeCell ref="AI6:AK6"/>
    <mergeCell ref="AL6:AN6"/>
    <mergeCell ref="AP6:AQ6"/>
    <mergeCell ref="AR6:AR8"/>
    <mergeCell ref="AM7:AN7"/>
    <mergeCell ref="AQ7:AQ8"/>
    <mergeCell ref="G6:G8"/>
    <mergeCell ref="H6:H8"/>
    <mergeCell ref="I6:I8"/>
    <mergeCell ref="J6:J8"/>
    <mergeCell ref="K6:L7"/>
    <mergeCell ref="A6:A8"/>
    <mergeCell ref="B6:B8"/>
    <mergeCell ref="C6:C8"/>
    <mergeCell ref="E6:E8"/>
    <mergeCell ref="F6:F8"/>
  </mergeCells>
  <conditionalFormatting sqref="T10:V75">
    <cfRule type="cellIs" dxfId="5" priority="1" operator="greaterThan">
      <formula>0</formula>
    </cfRule>
  </conditionalFormatting>
  <conditionalFormatting sqref="Z10:AB75">
    <cfRule type="cellIs" dxfId="4" priority="2" operator="greaterThan">
      <formula>0</formula>
    </cfRule>
  </conditionalFormatting>
  <conditionalFormatting sqref="AF10:AH75">
    <cfRule type="cellIs" dxfId="3" priority="3" operator="greaterThan">
      <formula>0</formula>
    </cfRule>
  </conditionalFormatting>
  <conditionalFormatting sqref="AP10:AP76">
    <cfRule type="cellIs" dxfId="2" priority="4" operator="greaterThan">
      <formula>0</formula>
    </cfRule>
  </conditionalFormatting>
  <dataValidations count="1">
    <dataValidation type="list" allowBlank="1" sqref="AZ10:AZ75" xr:uid="{00000000-0002-0000-0000-000000000000}">
      <formula1>"Payroll,Voucher"</formula1>
    </dataValidation>
  </dataValidations>
  <pageMargins left="0.7" right="0.7" top="0.75" bottom="0.75" header="0" footer="0"/>
  <pageSetup paperSize="9" orientation="portrait"/>
  <colBreaks count="2" manualBreakCount="2">
    <brk id="4" man="1"/>
    <brk id="9" man="1"/>
  </colBreak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4"/>
  <sheetViews>
    <sheetView workbookViewId="0">
      <pane ySplit="18" topLeftCell="A19" activePane="bottomLeft" state="frozen"/>
      <selection pane="bottomLeft" activeCell="B20" sqref="B20"/>
    </sheetView>
  </sheetViews>
  <sheetFormatPr defaultColWidth="14.42578125" defaultRowHeight="15" customHeight="1" outlineLevelCol="1"/>
  <cols>
    <col min="1" max="1" width="12.28515625" hidden="1" customWidth="1" outlineLevel="1"/>
    <col min="2" max="2" width="2.5703125" hidden="1" customWidth="1" outlineLevel="1"/>
    <col min="3" max="3" width="13.140625" hidden="1" customWidth="1" outlineLevel="1"/>
    <col min="4" max="4" width="6" customWidth="1" collapsed="1"/>
    <col min="5" max="5" width="43" customWidth="1"/>
    <col min="6" max="6" width="22.140625" customWidth="1"/>
    <col min="7" max="8" width="8.7109375" customWidth="1"/>
    <col min="9" max="9" width="11.5703125" customWidth="1"/>
    <col min="10" max="10" width="18.7109375" customWidth="1"/>
    <col min="11" max="12" width="17.5703125" customWidth="1" outlineLevel="1"/>
    <col min="13" max="13" width="21.28515625" customWidth="1"/>
    <col min="14" max="15" width="17.5703125" customWidth="1" outlineLevel="1"/>
    <col min="16" max="16" width="22.42578125" customWidth="1"/>
    <col min="17" max="18" width="17.5703125" hidden="1" customWidth="1" outlineLevel="1"/>
    <col min="19" max="19" width="22.42578125" customWidth="1" collapsed="1"/>
    <col min="20" max="21" width="22.42578125" customWidth="1"/>
    <col min="22" max="22" width="20" customWidth="1"/>
    <col min="23" max="24" width="14.85546875" customWidth="1"/>
    <col min="25" max="28" width="17.85546875" customWidth="1"/>
    <col min="29" max="29" width="17.7109375" customWidth="1"/>
    <col min="30" max="42" width="8.7109375" customWidth="1"/>
  </cols>
  <sheetData>
    <row r="1" spans="4:29">
      <c r="F1" s="5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4:29">
      <c r="F2" s="5"/>
      <c r="I2" s="7"/>
      <c r="J2" s="171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4:29">
      <c r="F3" s="5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4:29">
      <c r="F4" s="5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4:29" ht="32.25">
      <c r="F5" s="5"/>
      <c r="I5" s="7"/>
      <c r="J5" s="7"/>
      <c r="K5" s="7"/>
      <c r="L5" s="7"/>
      <c r="M5" s="172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spans="4:29">
      <c r="F6" s="5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4:29">
      <c r="F7" s="5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spans="4:29">
      <c r="F8" s="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4:29" ht="32.25">
      <c r="E9" s="172" t="s">
        <v>266</v>
      </c>
      <c r="F9" s="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spans="4:29" ht="15.75">
      <c r="E10" s="173"/>
      <c r="F10" s="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4:29" ht="15.75">
      <c r="E11" s="173" t="s">
        <v>267</v>
      </c>
      <c r="F11" s="5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spans="4:29" ht="15.75">
      <c r="E12" s="173"/>
      <c r="F12" s="5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4:29" ht="15.75">
      <c r="E13" s="173" t="s">
        <v>268</v>
      </c>
      <c r="F13" s="5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spans="4:29" ht="15.75">
      <c r="E14" s="174" t="s">
        <v>269</v>
      </c>
      <c r="F14" s="175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4:29" ht="15" customHeight="1">
      <c r="D15" s="270" t="s">
        <v>6</v>
      </c>
      <c r="E15" s="247"/>
      <c r="F15" s="275" t="s">
        <v>8</v>
      </c>
      <c r="G15" s="275" t="s">
        <v>7</v>
      </c>
      <c r="H15" s="275" t="s">
        <v>270</v>
      </c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</row>
    <row r="16" spans="4:29" ht="15" customHeight="1">
      <c r="D16" s="271"/>
      <c r="E16" s="272"/>
      <c r="F16" s="239"/>
      <c r="G16" s="239"/>
      <c r="H16" s="239"/>
      <c r="I16" s="268" t="s">
        <v>271</v>
      </c>
      <c r="J16" s="268" t="s">
        <v>272</v>
      </c>
      <c r="K16" s="266" t="s">
        <v>273</v>
      </c>
      <c r="L16" s="255"/>
      <c r="M16" s="176"/>
      <c r="N16" s="266" t="s">
        <v>273</v>
      </c>
      <c r="O16" s="255"/>
      <c r="P16" s="176"/>
      <c r="Q16" s="266" t="s">
        <v>273</v>
      </c>
      <c r="R16" s="255"/>
      <c r="S16" s="176"/>
      <c r="T16" s="176"/>
      <c r="U16" s="176" t="s">
        <v>274</v>
      </c>
      <c r="V16" s="267" t="s">
        <v>275</v>
      </c>
      <c r="W16" s="266" t="s">
        <v>273</v>
      </c>
      <c r="X16" s="255"/>
      <c r="Y16" s="176" t="s">
        <v>273</v>
      </c>
      <c r="Z16" s="176"/>
      <c r="AA16" s="176"/>
      <c r="AB16" s="176"/>
      <c r="AC16" s="268" t="s">
        <v>276</v>
      </c>
    </row>
    <row r="17" spans="2:42" ht="45" customHeight="1">
      <c r="D17" s="271"/>
      <c r="E17" s="272"/>
      <c r="F17" s="239"/>
      <c r="G17" s="239"/>
      <c r="H17" s="239"/>
      <c r="I17" s="239"/>
      <c r="J17" s="239"/>
      <c r="K17" s="176" t="s">
        <v>277</v>
      </c>
      <c r="L17" s="176" t="s">
        <v>278</v>
      </c>
      <c r="M17" s="176" t="str">
        <f>K17&amp;"/"&amp;L17</f>
        <v>Absences/Late/UT</v>
      </c>
      <c r="N17" s="176" t="s">
        <v>277</v>
      </c>
      <c r="O17" s="176" t="s">
        <v>278</v>
      </c>
      <c r="P17" s="176" t="s">
        <v>279</v>
      </c>
      <c r="Q17" s="176" t="s">
        <v>277</v>
      </c>
      <c r="R17" s="176" t="s">
        <v>278</v>
      </c>
      <c r="S17" s="176" t="s">
        <v>279</v>
      </c>
      <c r="T17" s="176" t="s">
        <v>280</v>
      </c>
      <c r="U17" s="177" t="s">
        <v>30</v>
      </c>
      <c r="V17" s="240"/>
      <c r="W17" s="266" t="s">
        <v>24</v>
      </c>
      <c r="X17" s="255"/>
      <c r="Y17" s="177" t="s">
        <v>281</v>
      </c>
      <c r="Z17" s="177" t="s">
        <v>282</v>
      </c>
      <c r="AA17" s="177" t="s">
        <v>283</v>
      </c>
      <c r="AB17" s="177" t="s">
        <v>36</v>
      </c>
      <c r="AC17" s="239"/>
    </row>
    <row r="18" spans="2:42">
      <c r="D18" s="273"/>
      <c r="E18" s="274"/>
      <c r="F18" s="240"/>
      <c r="G18" s="240"/>
      <c r="H18" s="240"/>
      <c r="I18" s="240"/>
      <c r="J18" s="240"/>
      <c r="K18" s="269" t="s">
        <v>284</v>
      </c>
      <c r="L18" s="255"/>
      <c r="M18" s="178" t="str">
        <f>K18</f>
        <v>February 1-15, 2026</v>
      </c>
      <c r="N18" s="269" t="s">
        <v>285</v>
      </c>
      <c r="O18" s="255"/>
      <c r="P18" s="178" t="str">
        <f>N18</f>
        <v>February 16-28, 2026</v>
      </c>
      <c r="Q18" s="269"/>
      <c r="R18" s="255"/>
      <c r="S18" s="176">
        <f>Q18</f>
        <v>0</v>
      </c>
      <c r="T18" s="176"/>
      <c r="U18" s="176"/>
      <c r="V18" s="176"/>
      <c r="W18" s="179">
        <v>0.02</v>
      </c>
      <c r="X18" s="180">
        <v>0.1</v>
      </c>
      <c r="Y18" s="176"/>
      <c r="Z18" s="176"/>
      <c r="AA18" s="176"/>
      <c r="AB18" s="176"/>
      <c r="AC18" s="240"/>
    </row>
    <row r="19" spans="2:42">
      <c r="D19" s="181"/>
      <c r="E19" s="49"/>
      <c r="F19" s="48"/>
      <c r="G19" s="49"/>
      <c r="H19" s="49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</row>
    <row r="20" spans="2:42">
      <c r="B20" s="80"/>
      <c r="C20" s="137" t="s">
        <v>286</v>
      </c>
      <c r="D20" s="84">
        <f t="shared" ref="D20:D86" si="0">IF(E20="","",COUNTA($E$20:E20))</f>
        <v>1</v>
      </c>
      <c r="E20" s="182" t="str">
        <f>IFERROR(VLOOKUP(C20,CODE!$B:$D,3,FALSE)," ")</f>
        <v>AUSTRIA, CHRISTIAN JOCEF B.</v>
      </c>
      <c r="F20" s="183" t="str">
        <f>VLOOKUP($C20,CODE!$B:$F,5,FALSE)</f>
        <v>Administrative Asst. II</v>
      </c>
      <c r="G20" s="183" t="str">
        <f>VLOOKUP($C20,CODE!$B:$F,4,FALSE)</f>
        <v>CDMD</v>
      </c>
      <c r="H20" s="184" t="str">
        <f>'MASTER DATA'!R10</f>
        <v>11</v>
      </c>
      <c r="I20" s="185">
        <f>SUMIF('MASTER DATA'!$E:$E,'GENERAL PAYROLL'!$E20,'MASTER DATA'!$O:$O)</f>
        <v>897.4545454545455</v>
      </c>
      <c r="J20" s="186">
        <f>SUMIF('MASTER DATA'!$E:$E,'GENERAL PAYROLL'!$E20,'MASTER DATA'!$N:$N)</f>
        <v>9872</v>
      </c>
      <c r="K20" s="185">
        <f>SUMIF('MASTER DATA'!$E:$E,'GENERAL PAYROLL'!$E20,'MASTER DATA'!$W:$W)</f>
        <v>0</v>
      </c>
      <c r="L20" s="185">
        <f>SUMIF('MASTER DATA'!$E:$E,'GENERAL PAYROLL'!$E20,'MASTER DATA'!$X:$X)+SUMIF('MASTER DATA'!$E:$E,'GENERAL PAYROLL'!$E20,'MASTER DATA'!$Y:$Y)</f>
        <v>0</v>
      </c>
      <c r="M20" s="185">
        <f t="shared" ref="M20:M86" si="1">SUM(K20:L20)</f>
        <v>0</v>
      </c>
      <c r="N20" s="185">
        <f>SUMIF('MASTER DATA'!$E:$E,'GENERAL PAYROLL'!$E20,'MASTER DATA'!$AC:$AC)</f>
        <v>0</v>
      </c>
      <c r="O20" s="185">
        <f>SUMIF('MASTER DATA'!$E:$E,'GENERAL PAYROLL'!$E20,'MASTER DATA'!$AD:$AD)+SUMIF('MASTER DATA'!$E:$E,'GENERAL PAYROLL'!$E20,'MASTER DATA'!$AE:$AE)</f>
        <v>0</v>
      </c>
      <c r="P20" s="185">
        <f t="shared" ref="P20:P86" si="2">SUM(N20:O20)</f>
        <v>0</v>
      </c>
      <c r="Q20" s="185">
        <f>SUMIF('MASTER DATA'!$E:$E,'GENERAL PAYROLL'!$E20,'MASTER DATA'!$AI:$AI)</f>
        <v>0</v>
      </c>
      <c r="R20" s="185">
        <f>SUMIF('MASTER DATA'!$E:$E,'GENERAL PAYROLL'!$E20,'MASTER DATA'!$AJ:$AJ)+SUMIF('MASTER DATA'!$E:$E,'GENERAL PAYROLL'!$E20,'MASTER DATA'!$AK:$AK)</f>
        <v>0</v>
      </c>
      <c r="S20" s="185">
        <f t="shared" ref="S20:S86" si="3">SUM(Q20:R20)</f>
        <v>0</v>
      </c>
      <c r="T20" s="185">
        <f>SUMIF('MASTER DATA'!$E:$E,'GENERAL PAYROLL'!$E20,'MASTER DATA'!$AO:$AO)</f>
        <v>0</v>
      </c>
      <c r="U20" s="185">
        <f>SUMIF('MASTER DATA'!$E:$E,'GENERAL PAYROLL'!$E20,'MASTER DATA'!$AP:$AP)</f>
        <v>0</v>
      </c>
      <c r="V20" s="186">
        <f>SUMIF('MASTER DATA'!$E:$E,'GENERAL PAYROLL'!$E20,'MASTER DATA'!$AR:$AR)</f>
        <v>9872</v>
      </c>
      <c r="W20" s="185">
        <f>SUMIF('MASTER DATA'!$E:$E,'GENERAL PAYROLL'!$E20,'MASTER DATA'!$AS:$AS)</f>
        <v>0</v>
      </c>
      <c r="X20" s="185">
        <f>SUMIF('MASTER DATA'!$E:$E,'GENERAL PAYROLL'!$E20,'MASTER DATA'!$AT:$AT)</f>
        <v>0</v>
      </c>
      <c r="Y20" s="185">
        <f>SUMIF('MASTER DATA'!$E:$E,'GENERAL PAYROLL'!$E20,'MASTER DATA'!$AU:$AU)</f>
        <v>0</v>
      </c>
      <c r="Z20" s="185">
        <f>SUMIF('MASTER DATA'!$E:$E,'GENERAL PAYROLL'!$E20,'MASTER DATA'!$AV:$AV)</f>
        <v>0</v>
      </c>
      <c r="AA20" s="185">
        <f>SUMIF('MASTER DATA'!$E:$E,'GENERAL PAYROLL'!$E20,'MASTER DATA'!$AW:$AW)</f>
        <v>0</v>
      </c>
      <c r="AB20" s="185">
        <f>SUMIF('MASTER DATA'!$E:$E,'GENERAL PAYROLL'!$E20,'MASTER DATA'!$AX:$AX)</f>
        <v>0</v>
      </c>
      <c r="AC20" s="185">
        <f>SUMIF('MASTER DATA'!$E:$E,'GENERAL PAYROLL'!$E20,'MASTER DATA'!$AY:$AY)</f>
        <v>9872</v>
      </c>
      <c r="AD20" s="137" t="str">
        <f t="shared" ref="AD20:AD32" si="4">IF(E20&gt;=1,"SHOW","HIDE")</f>
        <v>SHOW</v>
      </c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</row>
    <row r="21" spans="2:42" ht="28.5" customHeight="1">
      <c r="B21" s="80"/>
      <c r="C21" s="137" t="s">
        <v>287</v>
      </c>
      <c r="D21" s="84">
        <f t="shared" si="0"/>
        <v>2</v>
      </c>
      <c r="E21" s="182" t="str">
        <f>IFERROR(VLOOKUP(C21,CODE!$B:$D,3,FALSE)," ")</f>
        <v>PASTOR, JANELLE E.</v>
      </c>
      <c r="F21" s="183" t="s">
        <v>86</v>
      </c>
      <c r="G21" s="183" t="str">
        <f>VLOOKUP($C21,CODE!$B:$F,4,FALSE)</f>
        <v>CDMD</v>
      </c>
      <c r="H21" s="187">
        <v>11</v>
      </c>
      <c r="I21" s="185">
        <f>SUMIF('MASTER DATA'!$E:$E,'GENERAL PAYROLL'!$E21,'MASTER DATA'!$O:$O)</f>
        <v>1227.2727272727273</v>
      </c>
      <c r="J21" s="186">
        <f>SUMIF('MASTER DATA'!$E:$E,'GENERAL PAYROLL'!$E21,'MASTER DATA'!$N:$N)</f>
        <v>13500</v>
      </c>
      <c r="K21" s="185">
        <f>SUMIF('MASTER DATA'!$E:$E,'GENERAL PAYROLL'!$E21,'MASTER DATA'!$W:$W)</f>
        <v>0</v>
      </c>
      <c r="L21" s="185">
        <f>SUMIF('MASTER DATA'!$E:$E,'GENERAL PAYROLL'!$E21,'MASTER DATA'!$X:$X)+SUMIF('MASTER DATA'!$E:$E,'GENERAL PAYROLL'!$E21,'MASTER DATA'!$Y:$Y)</f>
        <v>0</v>
      </c>
      <c r="M21" s="185">
        <f t="shared" si="1"/>
        <v>0</v>
      </c>
      <c r="N21" s="185">
        <f>SUMIF('MASTER DATA'!$E:$E,'GENERAL PAYROLL'!$E21,'MASTER DATA'!$AC:$AC)</f>
        <v>0</v>
      </c>
      <c r="O21" s="185">
        <f>SUMIF('MASTER DATA'!$E:$E,'GENERAL PAYROLL'!$E21,'MASTER DATA'!$AD:$AD)+SUMIF('MASTER DATA'!$E:$E,'GENERAL PAYROLL'!$E21,'MASTER DATA'!$AE:$AE)</f>
        <v>0</v>
      </c>
      <c r="P21" s="185">
        <f t="shared" si="2"/>
        <v>0</v>
      </c>
      <c r="Q21" s="185">
        <f>SUMIF('MASTER DATA'!$E:$E,'GENERAL PAYROLL'!$E21,'MASTER DATA'!$AI:$AI)</f>
        <v>0</v>
      </c>
      <c r="R21" s="185">
        <f>SUMIF('MASTER DATA'!$E:$E,'GENERAL PAYROLL'!$E21,'MASTER DATA'!$AJ:$AJ)+SUMIF('MASTER DATA'!$E:$E,'GENERAL PAYROLL'!$E21,'MASTER DATA'!$AK:$AK)</f>
        <v>0</v>
      </c>
      <c r="S21" s="185">
        <f t="shared" si="3"/>
        <v>0</v>
      </c>
      <c r="T21" s="185">
        <f>SUMIF('MASTER DATA'!$E:$E,'GENERAL PAYROLL'!$E21,'MASTER DATA'!$AO:$AO)</f>
        <v>0</v>
      </c>
      <c r="U21" s="185">
        <f>SUMIF('MASTER DATA'!$E:$E,'GENERAL PAYROLL'!$E21,'MASTER DATA'!$AP:$AP)</f>
        <v>0</v>
      </c>
      <c r="V21" s="186">
        <f>SUMIF('MASTER DATA'!$E:$E,'GENERAL PAYROLL'!$E21,'MASTER DATA'!$AR:$AR)</f>
        <v>13500</v>
      </c>
      <c r="W21" s="185">
        <f>SUMIF('MASTER DATA'!$E:$E,'GENERAL PAYROLL'!$E21,'MASTER DATA'!$AS:$AS)</f>
        <v>0</v>
      </c>
      <c r="X21" s="185">
        <f>SUMIF('MASTER DATA'!$E:$E,'GENERAL PAYROLL'!$E21,'MASTER DATA'!$AT:$AT)</f>
        <v>0</v>
      </c>
      <c r="Y21" s="185">
        <f>SUMIF('MASTER DATA'!$E:$E,'GENERAL PAYROLL'!$E21,'MASTER DATA'!$AU:$AU)</f>
        <v>0</v>
      </c>
      <c r="Z21" s="185">
        <f>SUMIF('MASTER DATA'!$E:$E,'GENERAL PAYROLL'!$E21,'MASTER DATA'!$AV:$AV)</f>
        <v>0</v>
      </c>
      <c r="AA21" s="185">
        <f>SUMIF('MASTER DATA'!$E:$E,'GENERAL PAYROLL'!$E21,'MASTER DATA'!$AW:$AW)</f>
        <v>0</v>
      </c>
      <c r="AB21" s="185">
        <f>SUMIF('MASTER DATA'!$E:$E,'GENERAL PAYROLL'!$E21,'MASTER DATA'!$AX:$AX)</f>
        <v>0</v>
      </c>
      <c r="AC21" s="186">
        <f>SUMIF('MASTER DATA'!$E:$E,'GENERAL PAYROLL'!$E21,'MASTER DATA'!$AY:$AY)</f>
        <v>13500</v>
      </c>
      <c r="AD21" s="137" t="str">
        <f t="shared" si="4"/>
        <v>SHOW</v>
      </c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</row>
    <row r="22" spans="2:42" ht="15.75" customHeight="1">
      <c r="B22" s="80"/>
      <c r="C22" s="137" t="s">
        <v>288</v>
      </c>
      <c r="D22" s="84">
        <f t="shared" si="0"/>
        <v>3</v>
      </c>
      <c r="E22" s="182" t="str">
        <f>IFERROR(VLOOKUP(C22,CODE!$B:$D,3,FALSE)," ")</f>
        <v xml:space="preserve">RODRIGUEZ, MA. RUFFA A. </v>
      </c>
      <c r="F22" s="183" t="str">
        <f>VLOOKUP($C22,CODE!$B:$F,5,FALSE)</f>
        <v>Development Management Officer II</v>
      </c>
      <c r="G22" s="183" t="str">
        <f>VLOOKUP($C22,CODE!$B:$F,4,FALSE)</f>
        <v>CDMD</v>
      </c>
      <c r="H22" s="187">
        <v>11</v>
      </c>
      <c r="I22" s="185">
        <f>SUMIF('MASTER DATA'!$E:$E,'GENERAL PAYROLL'!$E22,'MASTER DATA'!$O:$O)</f>
        <v>1664.5</v>
      </c>
      <c r="J22" s="186">
        <f>SUMIF('MASTER DATA'!$E:$E,'GENERAL PAYROLL'!$E22,'MASTER DATA'!$N:$N)</f>
        <v>18309.5</v>
      </c>
      <c r="K22" s="185">
        <f>SUMIF('MASTER DATA'!$E:$E,'GENERAL PAYROLL'!$E22,'MASTER DATA'!$W:$W)</f>
        <v>0</v>
      </c>
      <c r="L22" s="185">
        <f>SUMIF('MASTER DATA'!$E:$E,'GENERAL PAYROLL'!$E22,'MASTER DATA'!$X:$X)+SUMIF('MASTER DATA'!$E:$E,'GENERAL PAYROLL'!$E22,'MASTER DATA'!$Y:$Y)</f>
        <v>0</v>
      </c>
      <c r="M22" s="185">
        <f t="shared" si="1"/>
        <v>0</v>
      </c>
      <c r="N22" s="185">
        <f>SUMIF('MASTER DATA'!$E:$E,'GENERAL PAYROLL'!$E22,'MASTER DATA'!$AC:$AC)</f>
        <v>0</v>
      </c>
      <c r="O22" s="185">
        <f>SUMIF('MASTER DATA'!$E:$E,'GENERAL PAYROLL'!$E22,'MASTER DATA'!$AD:$AD)+SUMIF('MASTER DATA'!$E:$E,'GENERAL PAYROLL'!$E22,'MASTER DATA'!$AE:$AE)</f>
        <v>0</v>
      </c>
      <c r="P22" s="185">
        <f t="shared" si="2"/>
        <v>0</v>
      </c>
      <c r="Q22" s="185">
        <f>SUMIF('MASTER DATA'!$E:$E,'GENERAL PAYROLL'!$E22,'MASTER DATA'!$AI:$AI)</f>
        <v>0</v>
      </c>
      <c r="R22" s="185">
        <f>SUMIF('MASTER DATA'!$E:$E,'GENERAL PAYROLL'!$E22,'MASTER DATA'!$AJ:$AJ)+SUMIF('MASTER DATA'!$E:$E,'GENERAL PAYROLL'!$E22,'MASTER DATA'!$AK:$AK)</f>
        <v>0</v>
      </c>
      <c r="S22" s="185">
        <f t="shared" si="3"/>
        <v>0</v>
      </c>
      <c r="T22" s="185">
        <f>SUMIF('MASTER DATA'!$E:$E,'GENERAL PAYROLL'!$E22,'MASTER DATA'!$AO:$AO)</f>
        <v>0</v>
      </c>
      <c r="U22" s="185">
        <f>SUMIF('MASTER DATA'!$E:$E,'GENERAL PAYROLL'!$E22,'MASTER DATA'!$AP:$AP)</f>
        <v>0</v>
      </c>
      <c r="V22" s="186">
        <f>SUMIF('MASTER DATA'!$E:$E,'GENERAL PAYROLL'!$E22,'MASTER DATA'!$AR:$AR)</f>
        <v>18309.5</v>
      </c>
      <c r="W22" s="185">
        <f>SUMIF('MASTER DATA'!$E:$E,'GENERAL PAYROLL'!$E22,'MASTER DATA'!$AS:$AS)</f>
        <v>0</v>
      </c>
      <c r="X22" s="185">
        <f>SUMIF('MASTER DATA'!$E:$E,'GENERAL PAYROLL'!$E22,'MASTER DATA'!$AT:$AT)</f>
        <v>0</v>
      </c>
      <c r="Y22" s="185">
        <f>SUMIF('MASTER DATA'!$E:$E,'GENERAL PAYROLL'!$E22,'MASTER DATA'!$AU:$AU)</f>
        <v>0</v>
      </c>
      <c r="Z22" s="185">
        <f>SUMIF('MASTER DATA'!$E:$E,'GENERAL PAYROLL'!$E22,'MASTER DATA'!$AV:$AV)</f>
        <v>0</v>
      </c>
      <c r="AA22" s="185">
        <f>SUMIF('MASTER DATA'!$E:$E,'GENERAL PAYROLL'!$E22,'MASTER DATA'!$AW:$AW)</f>
        <v>0</v>
      </c>
      <c r="AB22" s="185">
        <f>SUMIF('MASTER DATA'!$E:$E,'GENERAL PAYROLL'!$E22,'MASTER DATA'!$AX:$AX)</f>
        <v>0</v>
      </c>
      <c r="AC22" s="186">
        <f>SUMIF('MASTER DATA'!$E:$E,'GENERAL PAYROLL'!$E22,'MASTER DATA'!$AY:$AY)</f>
        <v>18309.5</v>
      </c>
      <c r="AD22" s="137" t="str">
        <f t="shared" si="4"/>
        <v>SHOW</v>
      </c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</row>
    <row r="23" spans="2:42" ht="14.25" customHeight="1">
      <c r="B23" s="80"/>
      <c r="C23" s="137" t="s">
        <v>289</v>
      </c>
      <c r="D23" s="84">
        <f t="shared" si="0"/>
        <v>4</v>
      </c>
      <c r="E23" s="182" t="str">
        <f>IFERROR(VLOOKUP(C23,CODE!$B:$D,3,FALSE)," ")</f>
        <v>OQUINDO, SHEILA JANE G.</v>
      </c>
      <c r="F23" s="183" t="str">
        <f>VLOOKUP($C23,CODE!$B:$F,5,FALSE)</f>
        <v>Development Management Officer I</v>
      </c>
      <c r="G23" s="183" t="str">
        <f>VLOOKUP($C23,CODE!$B:$F,4,FALSE)</f>
        <v>CDMD</v>
      </c>
      <c r="H23" s="187">
        <v>11</v>
      </c>
      <c r="I23" s="185">
        <f>SUMIF('MASTER DATA'!$E:$E,'GENERAL PAYROLL'!$E23,'MASTER DATA'!$O:$O)</f>
        <v>0</v>
      </c>
      <c r="J23" s="186">
        <f>SUMIF('MASTER DATA'!$E:$E,'GENERAL PAYROLL'!$E23,'MASTER DATA'!$N:$N)</f>
        <v>0</v>
      </c>
      <c r="K23" s="185">
        <f>SUMIF('MASTER DATA'!$E:$E,'GENERAL PAYROLL'!$E23,'MASTER DATA'!$W:$W)</f>
        <v>0</v>
      </c>
      <c r="L23" s="185">
        <f>SUMIF('MASTER DATA'!$E:$E,'GENERAL PAYROLL'!$E23,'MASTER DATA'!$X:$X)+SUMIF('MASTER DATA'!$E:$E,'GENERAL PAYROLL'!$E23,'MASTER DATA'!$Y:$Y)</f>
        <v>0</v>
      </c>
      <c r="M23" s="185">
        <f t="shared" si="1"/>
        <v>0</v>
      </c>
      <c r="N23" s="185">
        <f>SUMIF('MASTER DATA'!$E:$E,'GENERAL PAYROLL'!$E23,'MASTER DATA'!$AC:$AC)</f>
        <v>0</v>
      </c>
      <c r="O23" s="185">
        <f>SUMIF('MASTER DATA'!$E:$E,'GENERAL PAYROLL'!$E23,'MASTER DATA'!$AD:$AD)+SUMIF('MASTER DATA'!$E:$E,'GENERAL PAYROLL'!$E23,'MASTER DATA'!$AE:$AE)</f>
        <v>0</v>
      </c>
      <c r="P23" s="185">
        <f t="shared" si="2"/>
        <v>0</v>
      </c>
      <c r="Q23" s="185">
        <f>SUMIF('MASTER DATA'!$E:$E,'GENERAL PAYROLL'!$E23,'MASTER DATA'!$AI:$AI)</f>
        <v>0</v>
      </c>
      <c r="R23" s="185">
        <f>SUMIF('MASTER DATA'!$E:$E,'GENERAL PAYROLL'!$E23,'MASTER DATA'!$AJ:$AJ)+SUMIF('MASTER DATA'!$E:$E,'GENERAL PAYROLL'!$E23,'MASTER DATA'!$AK:$AK)</f>
        <v>0</v>
      </c>
      <c r="S23" s="185">
        <f t="shared" si="3"/>
        <v>0</v>
      </c>
      <c r="T23" s="185">
        <f>SUMIF('MASTER DATA'!$E:$E,'GENERAL PAYROLL'!$E23,'MASTER DATA'!$AO:$AO)</f>
        <v>0</v>
      </c>
      <c r="U23" s="185">
        <f>SUMIF('MASTER DATA'!$E:$E,'GENERAL PAYROLL'!$E23,'MASTER DATA'!$AP:$AP)</f>
        <v>0</v>
      </c>
      <c r="V23" s="186">
        <f>SUMIF('MASTER DATA'!$E:$E,'GENERAL PAYROLL'!$E23,'MASTER DATA'!$AR:$AR)</f>
        <v>0</v>
      </c>
      <c r="W23" s="185">
        <f>SUMIF('MASTER DATA'!$E:$E,'GENERAL PAYROLL'!$E23,'MASTER DATA'!$AS:$AS)</f>
        <v>0</v>
      </c>
      <c r="X23" s="185">
        <f>SUMIF('MASTER DATA'!$E:$E,'GENERAL PAYROLL'!$E23,'MASTER DATA'!$AT:$AT)</f>
        <v>0</v>
      </c>
      <c r="Y23" s="185">
        <f>SUMIF('MASTER DATA'!$E:$E,'GENERAL PAYROLL'!$E23,'MASTER DATA'!$AU:$AU)</f>
        <v>0</v>
      </c>
      <c r="Z23" s="185">
        <f>SUMIF('MASTER DATA'!$E:$E,'GENERAL PAYROLL'!$E23,'MASTER DATA'!$AV:$AV)</f>
        <v>0</v>
      </c>
      <c r="AA23" s="185">
        <f>SUMIF('MASTER DATA'!$E:$E,'GENERAL PAYROLL'!$E23,'MASTER DATA'!$AW:$AW)</f>
        <v>0</v>
      </c>
      <c r="AB23" s="185">
        <f>SUMIF('MASTER DATA'!$E:$E,'GENERAL PAYROLL'!$E23,'MASTER DATA'!$AX:$AX)</f>
        <v>0</v>
      </c>
      <c r="AC23" s="186">
        <f>SUMIF('MASTER DATA'!$E:$E,'GENERAL PAYROLL'!$E23,'MASTER DATA'!$AY:$AY)</f>
        <v>0</v>
      </c>
      <c r="AD23" s="137" t="str">
        <f t="shared" si="4"/>
        <v>SHOW</v>
      </c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</row>
    <row r="24" spans="2:42" ht="14.25" customHeight="1">
      <c r="B24" s="80"/>
      <c r="C24" s="137" t="s">
        <v>290</v>
      </c>
      <c r="D24" s="84">
        <f t="shared" si="0"/>
        <v>5</v>
      </c>
      <c r="E24" s="182" t="str">
        <f>IFERROR(VLOOKUP(C24,CODE!$B:$D,3,FALSE)," ")</f>
        <v>ESMER, GLECY R.</v>
      </c>
      <c r="F24" s="183" t="str">
        <f>VLOOKUP($C24,CODE!$B:$F,5,FALSE)</f>
        <v>Administrative Asst. II</v>
      </c>
      <c r="G24" s="183" t="str">
        <f>VLOOKUP($C24,CODE!$B:$F,4,FALSE)</f>
        <v>PPD</v>
      </c>
      <c r="H24" s="187">
        <v>11</v>
      </c>
      <c r="I24" s="185">
        <f>SUMIF('MASTER DATA'!$E:$E,'GENERAL PAYROLL'!$E24,'MASTER DATA'!$O:$O)</f>
        <v>897.4545454545455</v>
      </c>
      <c r="J24" s="186">
        <f>SUMIF('MASTER DATA'!$E:$E,'GENERAL PAYROLL'!$E24,'MASTER DATA'!$N:$N)</f>
        <v>9872</v>
      </c>
      <c r="K24" s="185">
        <f>SUMIF('MASTER DATA'!$E:$E,'GENERAL PAYROLL'!$E24,'MASTER DATA'!$W:$W)</f>
        <v>0</v>
      </c>
      <c r="L24" s="185">
        <f>SUMIF('MASTER DATA'!$E:$E,'GENERAL PAYROLL'!$E24,'MASTER DATA'!$X:$X)+SUMIF('MASTER DATA'!$E:$E,'GENERAL PAYROLL'!$E24,'MASTER DATA'!$Y:$Y)</f>
        <v>0</v>
      </c>
      <c r="M24" s="185">
        <f t="shared" si="1"/>
        <v>0</v>
      </c>
      <c r="N24" s="185">
        <f>SUMIF('MASTER DATA'!$E:$E,'GENERAL PAYROLL'!$E24,'MASTER DATA'!$AC:$AC)</f>
        <v>0</v>
      </c>
      <c r="O24" s="185">
        <f>SUMIF('MASTER DATA'!$E:$E,'GENERAL PAYROLL'!$E24,'MASTER DATA'!$AD:$AD)+SUMIF('MASTER DATA'!$E:$E,'GENERAL PAYROLL'!$E24,'MASTER DATA'!$AE:$AE)</f>
        <v>0</v>
      </c>
      <c r="P24" s="185">
        <f t="shared" si="2"/>
        <v>0</v>
      </c>
      <c r="Q24" s="185">
        <f>SUMIF('MASTER DATA'!$E:$E,'GENERAL PAYROLL'!$E24,'MASTER DATA'!$AI:$AI)</f>
        <v>0</v>
      </c>
      <c r="R24" s="185">
        <f>SUMIF('MASTER DATA'!$E:$E,'GENERAL PAYROLL'!$E24,'MASTER DATA'!$AJ:$AJ)+SUMIF('MASTER DATA'!$E:$E,'GENERAL PAYROLL'!$E24,'MASTER DATA'!$AK:$AK)</f>
        <v>0</v>
      </c>
      <c r="S24" s="185">
        <f t="shared" si="3"/>
        <v>0</v>
      </c>
      <c r="T24" s="185">
        <f>SUMIF('MASTER DATA'!$E:$E,'GENERAL PAYROLL'!$E24,'MASTER DATA'!$AO:$AO)</f>
        <v>0</v>
      </c>
      <c r="U24" s="185">
        <f>SUMIF('MASTER DATA'!$E:$E,'GENERAL PAYROLL'!$E24,'MASTER DATA'!$AP:$AP)</f>
        <v>0</v>
      </c>
      <c r="V24" s="186">
        <f>SUMIF('MASTER DATA'!$E:$E,'GENERAL PAYROLL'!$E24,'MASTER DATA'!$AR:$AR)</f>
        <v>9872</v>
      </c>
      <c r="W24" s="185">
        <f>SUMIF('MASTER DATA'!$E:$E,'GENERAL PAYROLL'!$E24,'MASTER DATA'!$AS:$AS)</f>
        <v>0</v>
      </c>
      <c r="X24" s="185">
        <f>SUMIF('MASTER DATA'!$E:$E,'GENERAL PAYROLL'!$E24,'MASTER DATA'!$AT:$AT)</f>
        <v>0</v>
      </c>
      <c r="Y24" s="185">
        <f>SUMIF('MASTER DATA'!$E:$E,'GENERAL PAYROLL'!$E24,'MASTER DATA'!$AU:$AU)</f>
        <v>2000</v>
      </c>
      <c r="Z24" s="185">
        <f>SUMIF('MASTER DATA'!$E:$E,'GENERAL PAYROLL'!$E24,'MASTER DATA'!$AV:$AV)</f>
        <v>395.48</v>
      </c>
      <c r="AA24" s="185">
        <f>SUMIF('MASTER DATA'!$E:$E,'GENERAL PAYROLL'!$E24,'MASTER DATA'!$AW:$AW)</f>
        <v>0</v>
      </c>
      <c r="AB24" s="185">
        <f>SUMIF('MASTER DATA'!$E:$E,'GENERAL PAYROLL'!$E24,'MASTER DATA'!$AX:$AX)</f>
        <v>0</v>
      </c>
      <c r="AC24" s="186">
        <f>SUMIF('MASTER DATA'!$E:$E,'GENERAL PAYROLL'!$E24,'MASTER DATA'!$AY:$AY)</f>
        <v>7476.52</v>
      </c>
      <c r="AD24" s="137" t="str">
        <f t="shared" si="4"/>
        <v>SHOW</v>
      </c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</row>
    <row r="25" spans="2:42" ht="15.75" customHeight="1">
      <c r="B25" s="80"/>
      <c r="C25" s="137" t="s">
        <v>291</v>
      </c>
      <c r="D25" s="84">
        <f t="shared" si="0"/>
        <v>6</v>
      </c>
      <c r="E25" s="182" t="str">
        <f>IFERROR(VLOOKUP(C25,CODE!$B:$D,3,FALSE)," ")</f>
        <v>GALABAY, CHRISTIANEL B.</v>
      </c>
      <c r="F25" s="183" t="str">
        <f>VLOOKUP($C25,CODE!$B:$F,5,FALSE)</f>
        <v>Planning Officer II</v>
      </c>
      <c r="G25" s="183" t="str">
        <f>VLOOKUP($C25,CODE!$B:$F,4,FALSE)</f>
        <v>PPD</v>
      </c>
      <c r="H25" s="187">
        <v>11</v>
      </c>
      <c r="I25" s="185">
        <f>SUMIF('MASTER DATA'!$E:$E,'GENERAL PAYROLL'!$E25,'MASTER DATA'!$O:$O)</f>
        <v>0</v>
      </c>
      <c r="J25" s="186">
        <f>SUMIF('MASTER DATA'!$E:$E,'GENERAL PAYROLL'!$E25,'MASTER DATA'!$N:$N)</f>
        <v>0</v>
      </c>
      <c r="K25" s="185">
        <f>SUMIF('MASTER DATA'!$E:$E,'GENERAL PAYROLL'!$E25,'MASTER DATA'!$W:$W)</f>
        <v>0</v>
      </c>
      <c r="L25" s="185">
        <f>SUMIF('MASTER DATA'!$E:$E,'GENERAL PAYROLL'!$E25,'MASTER DATA'!$X:$X)+SUMIF('MASTER DATA'!$E:$E,'GENERAL PAYROLL'!$E25,'MASTER DATA'!$Y:$Y)</f>
        <v>0</v>
      </c>
      <c r="M25" s="185">
        <f t="shared" si="1"/>
        <v>0</v>
      </c>
      <c r="N25" s="185">
        <f>SUMIF('MASTER DATA'!$E:$E,'GENERAL PAYROLL'!$E25,'MASTER DATA'!$AC:$AC)</f>
        <v>0</v>
      </c>
      <c r="O25" s="185">
        <f>SUMIF('MASTER DATA'!$E:$E,'GENERAL PAYROLL'!$E25,'MASTER DATA'!$AD:$AD)+SUMIF('MASTER DATA'!$E:$E,'GENERAL PAYROLL'!$E25,'MASTER DATA'!$AE:$AE)</f>
        <v>0</v>
      </c>
      <c r="P25" s="185">
        <f t="shared" si="2"/>
        <v>0</v>
      </c>
      <c r="Q25" s="185">
        <f>SUMIF('MASTER DATA'!$E:$E,'GENERAL PAYROLL'!$E25,'MASTER DATA'!$AI:$AI)</f>
        <v>0</v>
      </c>
      <c r="R25" s="185">
        <f>SUMIF('MASTER DATA'!$E:$E,'GENERAL PAYROLL'!$E25,'MASTER DATA'!$AJ:$AJ)+SUMIF('MASTER DATA'!$E:$E,'GENERAL PAYROLL'!$E25,'MASTER DATA'!$AK:$AK)</f>
        <v>0</v>
      </c>
      <c r="S25" s="185">
        <f t="shared" si="3"/>
        <v>0</v>
      </c>
      <c r="T25" s="185">
        <f>SUMIF('MASTER DATA'!$E:$E,'GENERAL PAYROLL'!$E25,'MASTER DATA'!$AO:$AO)</f>
        <v>0</v>
      </c>
      <c r="U25" s="185">
        <f>SUMIF('MASTER DATA'!$E:$E,'GENERAL PAYROLL'!$E25,'MASTER DATA'!$AP:$AP)</f>
        <v>0</v>
      </c>
      <c r="V25" s="186">
        <f>SUMIF('MASTER DATA'!$E:$E,'GENERAL PAYROLL'!$E25,'MASTER DATA'!$AR:$AR)</f>
        <v>0</v>
      </c>
      <c r="W25" s="185">
        <f>SUMIF('MASTER DATA'!$E:$E,'GENERAL PAYROLL'!$E25,'MASTER DATA'!$AS:$AS)</f>
        <v>0</v>
      </c>
      <c r="X25" s="185">
        <f>SUMIF('MASTER DATA'!$E:$E,'GENERAL PAYROLL'!$E25,'MASTER DATA'!$AT:$AT)</f>
        <v>0</v>
      </c>
      <c r="Y25" s="185">
        <f>SUMIF('MASTER DATA'!$E:$E,'GENERAL PAYROLL'!$E25,'MASTER DATA'!$AU:$AU)</f>
        <v>0</v>
      </c>
      <c r="Z25" s="185">
        <f>SUMIF('MASTER DATA'!$E:$E,'GENERAL PAYROLL'!$E25,'MASTER DATA'!$AV:$AV)</f>
        <v>0</v>
      </c>
      <c r="AA25" s="185">
        <f>SUMIF('MASTER DATA'!$E:$E,'GENERAL PAYROLL'!$E25,'MASTER DATA'!$AW:$AW)</f>
        <v>0</v>
      </c>
      <c r="AB25" s="185">
        <f>SUMIF('MASTER DATA'!$E:$E,'GENERAL PAYROLL'!$E25,'MASTER DATA'!$AX:$AX)</f>
        <v>0</v>
      </c>
      <c r="AC25" s="186">
        <f>SUMIF('MASTER DATA'!$E:$E,'GENERAL PAYROLL'!$E25,'MASTER DATA'!$AY:$AY)</f>
        <v>0</v>
      </c>
      <c r="AD25" s="137" t="str">
        <f t="shared" si="4"/>
        <v>SHOW</v>
      </c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</row>
    <row r="26" spans="2:42" ht="33" customHeight="1">
      <c r="B26" s="80"/>
      <c r="C26" s="137" t="s">
        <v>292</v>
      </c>
      <c r="D26" s="84">
        <f t="shared" si="0"/>
        <v>7</v>
      </c>
      <c r="E26" s="182" t="str">
        <f>IFERROR(VLOOKUP(C26,CODE!$B:$D,3,FALSE)," ")</f>
        <v>NILO, FAITH PERL A.</v>
      </c>
      <c r="F26" s="183" t="str">
        <f>VLOOKUP($C26,CODE!$B:$F,5,FALSE)</f>
        <v>Planning Officer I</v>
      </c>
      <c r="G26" s="183" t="str">
        <f>VLOOKUP($C26,CODE!$B:$F,4,FALSE)</f>
        <v>PPD</v>
      </c>
      <c r="H26" s="187">
        <v>11</v>
      </c>
      <c r="I26" s="185">
        <f>SUMIF('MASTER DATA'!$E:$E,'GENERAL PAYROLL'!$E26,'MASTER DATA'!$O:$O)</f>
        <v>1227.2727272727273</v>
      </c>
      <c r="J26" s="186">
        <f>SUMIF('MASTER DATA'!$E:$E,'GENERAL PAYROLL'!$E26,'MASTER DATA'!$N:$N)</f>
        <v>13500</v>
      </c>
      <c r="K26" s="185">
        <f>SUMIF('MASTER DATA'!$E:$E,'GENERAL PAYROLL'!$E26,'MASTER DATA'!$W:$W)</f>
        <v>0</v>
      </c>
      <c r="L26" s="185">
        <f>SUMIF('MASTER DATA'!$E:$E,'GENERAL PAYROLL'!$E26,'MASTER DATA'!$X:$X)+SUMIF('MASTER DATA'!$E:$E,'GENERAL PAYROLL'!$E26,'MASTER DATA'!$Y:$Y)</f>
        <v>10.23</v>
      </c>
      <c r="M26" s="185">
        <f t="shared" si="1"/>
        <v>10.23</v>
      </c>
      <c r="N26" s="185">
        <f>SUMIF('MASTER DATA'!$E:$E,'GENERAL PAYROLL'!$E26,'MASTER DATA'!$AC:$AC)</f>
        <v>0</v>
      </c>
      <c r="O26" s="185">
        <f>SUMIF('MASTER DATA'!$E:$E,'GENERAL PAYROLL'!$E26,'MASTER DATA'!$AD:$AD)+SUMIF('MASTER DATA'!$E:$E,'GENERAL PAYROLL'!$E26,'MASTER DATA'!$AE:$AE)</f>
        <v>0</v>
      </c>
      <c r="P26" s="185">
        <f t="shared" si="2"/>
        <v>0</v>
      </c>
      <c r="Q26" s="185">
        <f>SUMIF('MASTER DATA'!$E:$E,'GENERAL PAYROLL'!$E26,'MASTER DATA'!$AI:$AI)</f>
        <v>0</v>
      </c>
      <c r="R26" s="185">
        <f>SUMIF('MASTER DATA'!$E:$E,'GENERAL PAYROLL'!$E26,'MASTER DATA'!$AJ:$AJ)+SUMIF('MASTER DATA'!$E:$E,'GENERAL PAYROLL'!$E26,'MASTER DATA'!$AK:$AK)</f>
        <v>0</v>
      </c>
      <c r="S26" s="185">
        <f t="shared" si="3"/>
        <v>0</v>
      </c>
      <c r="T26" s="185">
        <f>SUMIF('MASTER DATA'!$E:$E,'GENERAL PAYROLL'!$E26,'MASTER DATA'!$AO:$AO)</f>
        <v>10.23</v>
      </c>
      <c r="U26" s="185">
        <f>SUMIF('MASTER DATA'!$E:$E,'GENERAL PAYROLL'!$E26,'MASTER DATA'!$AP:$AP)</f>
        <v>0</v>
      </c>
      <c r="V26" s="186">
        <f>SUMIF('MASTER DATA'!$E:$E,'GENERAL PAYROLL'!$E26,'MASTER DATA'!$AR:$AR)</f>
        <v>13489.77</v>
      </c>
      <c r="W26" s="185">
        <f>SUMIF('MASTER DATA'!$E:$E,'GENERAL PAYROLL'!$E26,'MASTER DATA'!$AS:$AS)</f>
        <v>0</v>
      </c>
      <c r="X26" s="185">
        <f>SUMIF('MASTER DATA'!$E:$E,'GENERAL PAYROLL'!$E26,'MASTER DATA'!$AT:$AT)</f>
        <v>0</v>
      </c>
      <c r="Y26" s="185">
        <f>SUMIF('MASTER DATA'!$E:$E,'GENERAL PAYROLL'!$E26,'MASTER DATA'!$AU:$AU)</f>
        <v>0</v>
      </c>
      <c r="Z26" s="185">
        <f>SUMIF('MASTER DATA'!$E:$E,'GENERAL PAYROLL'!$E26,'MASTER DATA'!$AV:$AV)</f>
        <v>0</v>
      </c>
      <c r="AA26" s="185">
        <f>SUMIF('MASTER DATA'!$E:$E,'GENERAL PAYROLL'!$E26,'MASTER DATA'!$AW:$AW)</f>
        <v>0</v>
      </c>
      <c r="AB26" s="185">
        <f>SUMIF('MASTER DATA'!$E:$E,'GENERAL PAYROLL'!$E26,'MASTER DATA'!$AX:$AX)</f>
        <v>0</v>
      </c>
      <c r="AC26" s="186">
        <f>SUMIF('MASTER DATA'!$E:$E,'GENERAL PAYROLL'!$E26,'MASTER DATA'!$AY:$AY)</f>
        <v>13489.77</v>
      </c>
      <c r="AD26" s="137" t="str">
        <f t="shared" si="4"/>
        <v>SHOW</v>
      </c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</row>
    <row r="27" spans="2:42" ht="33" customHeight="1">
      <c r="B27" s="80"/>
      <c r="C27" s="137" t="s">
        <v>293</v>
      </c>
      <c r="D27" s="84">
        <f t="shared" si="0"/>
        <v>8</v>
      </c>
      <c r="E27" s="182" t="str">
        <f>IFERROR(VLOOKUP(C27,CODE!$B:$D,3,FALSE)," ")</f>
        <v>VERINO, ALLYSON RYAN T.</v>
      </c>
      <c r="F27" s="183" t="str">
        <f>VLOOKUP($C27,CODE!$B:$F,5,FALSE)</f>
        <v>Project Development Officer I</v>
      </c>
      <c r="G27" s="183" t="str">
        <f>VLOOKUP($C27,CODE!$B:$F,4,FALSE)</f>
        <v>PPD</v>
      </c>
      <c r="H27" s="187">
        <v>11</v>
      </c>
      <c r="I27" s="185">
        <f>SUMIF('MASTER DATA'!$E:$E,'GENERAL PAYROLL'!$E27,'MASTER DATA'!$O:$O)</f>
        <v>1227.2727272727273</v>
      </c>
      <c r="J27" s="186">
        <f>SUMIF('MASTER DATA'!$E:$E,'GENERAL PAYROLL'!$E27,'MASTER DATA'!$N:$N)</f>
        <v>13500</v>
      </c>
      <c r="K27" s="185">
        <f>SUMIF('MASTER DATA'!$E:$E,'GENERAL PAYROLL'!$E27,'MASTER DATA'!$W:$W)</f>
        <v>0</v>
      </c>
      <c r="L27" s="185">
        <f>SUMIF('MASTER DATA'!$E:$E,'GENERAL PAYROLL'!$E27,'MASTER DATA'!$X:$X)+SUMIF('MASTER DATA'!$E:$E,'GENERAL PAYROLL'!$E27,'MASTER DATA'!$Y:$Y)</f>
        <v>0</v>
      </c>
      <c r="M27" s="185">
        <f t="shared" si="1"/>
        <v>0</v>
      </c>
      <c r="N27" s="185">
        <f>SUMIF('MASTER DATA'!$E:$E,'GENERAL PAYROLL'!$E27,'MASTER DATA'!$AC:$AC)</f>
        <v>0</v>
      </c>
      <c r="O27" s="185">
        <f>SUMIF('MASTER DATA'!$E:$E,'GENERAL PAYROLL'!$E27,'MASTER DATA'!$AD:$AD)+SUMIF('MASTER DATA'!$E:$E,'GENERAL PAYROLL'!$E27,'MASTER DATA'!$AE:$AE)</f>
        <v>0</v>
      </c>
      <c r="P27" s="185">
        <f t="shared" si="2"/>
        <v>0</v>
      </c>
      <c r="Q27" s="185">
        <f>SUMIF('MASTER DATA'!$E:$E,'GENERAL PAYROLL'!$E27,'MASTER DATA'!$AI:$AI)</f>
        <v>0</v>
      </c>
      <c r="R27" s="185">
        <f>SUMIF('MASTER DATA'!$E:$E,'GENERAL PAYROLL'!$E27,'MASTER DATA'!$AJ:$AJ)+SUMIF('MASTER DATA'!$E:$E,'GENERAL PAYROLL'!$E27,'MASTER DATA'!$AK:$AK)</f>
        <v>0</v>
      </c>
      <c r="S27" s="185">
        <f t="shared" si="3"/>
        <v>0</v>
      </c>
      <c r="T27" s="185">
        <f>SUMIF('MASTER DATA'!$E:$E,'GENERAL PAYROLL'!$E27,'MASTER DATA'!$AO:$AO)</f>
        <v>0</v>
      </c>
      <c r="U27" s="185">
        <f>SUMIF('MASTER DATA'!$E:$E,'GENERAL PAYROLL'!$E27,'MASTER DATA'!$AP:$AP)</f>
        <v>0</v>
      </c>
      <c r="V27" s="186">
        <f>SUMIF('MASTER DATA'!$E:$E,'GENERAL PAYROLL'!$E27,'MASTER DATA'!$AR:$AR)</f>
        <v>13500</v>
      </c>
      <c r="W27" s="185">
        <f>SUMIF('MASTER DATA'!$E:$E,'GENERAL PAYROLL'!$E27,'MASTER DATA'!$AS:$AS)</f>
        <v>0</v>
      </c>
      <c r="X27" s="185">
        <f>SUMIF('MASTER DATA'!$E:$E,'GENERAL PAYROLL'!$E27,'MASTER DATA'!$AT:$AT)</f>
        <v>0</v>
      </c>
      <c r="Y27" s="185">
        <f>SUMIF('MASTER DATA'!$E:$E,'GENERAL PAYROLL'!$E27,'MASTER DATA'!$AU:$AU)</f>
        <v>0</v>
      </c>
      <c r="Z27" s="185">
        <f>SUMIF('MASTER DATA'!$E:$E,'GENERAL PAYROLL'!$E27,'MASTER DATA'!$AV:$AV)</f>
        <v>0</v>
      </c>
      <c r="AA27" s="185">
        <f>SUMIF('MASTER DATA'!$E:$E,'GENERAL PAYROLL'!$E27,'MASTER DATA'!$AW:$AW)</f>
        <v>0</v>
      </c>
      <c r="AB27" s="185">
        <f>SUMIF('MASTER DATA'!$E:$E,'GENERAL PAYROLL'!$E27,'MASTER DATA'!$AX:$AX)</f>
        <v>0</v>
      </c>
      <c r="AC27" s="186">
        <f>SUMIF('MASTER DATA'!$E:$E,'GENERAL PAYROLL'!$E27,'MASTER DATA'!$AY:$AY)</f>
        <v>13500</v>
      </c>
      <c r="AD27" s="137" t="str">
        <f t="shared" si="4"/>
        <v>SHOW</v>
      </c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</row>
    <row r="28" spans="2:42" ht="33" customHeight="1">
      <c r="B28" s="80"/>
      <c r="C28" s="137" t="s">
        <v>294</v>
      </c>
      <c r="D28" s="84">
        <f t="shared" si="0"/>
        <v>9</v>
      </c>
      <c r="E28" s="182" t="str">
        <f>IFERROR(VLOOKUP(C28,CODE!$B:$D,3,FALSE)," ")</f>
        <v>LAMPAS, CHRISTIAN JOSEPH P</v>
      </c>
      <c r="F28" s="183" t="str">
        <f>VLOOKUP($C28,CODE!$B:$F,5,FALSE)</f>
        <v>Computer Maintenance Tech. I</v>
      </c>
      <c r="G28" s="183" t="str">
        <f>VLOOKUP($C28,CODE!$B:$F,4,FALSE)</f>
        <v>ISD</v>
      </c>
      <c r="H28" s="187">
        <v>11</v>
      </c>
      <c r="I28" s="185">
        <f>SUMIF('MASTER DATA'!$E:$E,'GENERAL PAYROLL'!$E28,'MASTER DATA'!$O:$O)</f>
        <v>1227.2727272727273</v>
      </c>
      <c r="J28" s="186">
        <f>SUMIF('MASTER DATA'!$E:$E,'GENERAL PAYROLL'!$E28,'MASTER DATA'!$N:$N)</f>
        <v>13500</v>
      </c>
      <c r="K28" s="185">
        <f>SUMIF('MASTER DATA'!$E:$E,'GENERAL PAYROLL'!$E28,'MASTER DATA'!$W:$W)</f>
        <v>1227.27</v>
      </c>
      <c r="L28" s="185">
        <f>SUMIF('MASTER DATA'!$E:$E,'GENERAL PAYROLL'!$E28,'MASTER DATA'!$X:$X)+SUMIF('MASTER DATA'!$E:$E,'GENERAL PAYROLL'!$E28,'MASTER DATA'!$Y:$Y)</f>
        <v>0</v>
      </c>
      <c r="M28" s="185">
        <f t="shared" si="1"/>
        <v>1227.27</v>
      </c>
      <c r="N28" s="185">
        <f>SUMIF('MASTER DATA'!$E:$E,'GENERAL PAYROLL'!$E28,'MASTER DATA'!$AC:$AC)</f>
        <v>0</v>
      </c>
      <c r="O28" s="185">
        <f>SUMIF('MASTER DATA'!$E:$E,'GENERAL PAYROLL'!$E28,'MASTER DATA'!$AD:$AD)+SUMIF('MASTER DATA'!$E:$E,'GENERAL PAYROLL'!$E28,'MASTER DATA'!$AE:$AE)</f>
        <v>0</v>
      </c>
      <c r="P28" s="185">
        <f t="shared" si="2"/>
        <v>0</v>
      </c>
      <c r="Q28" s="185">
        <f>SUMIF('MASTER DATA'!$E:$E,'GENERAL PAYROLL'!$E28,'MASTER DATA'!$AI:$AI)</f>
        <v>0</v>
      </c>
      <c r="R28" s="185">
        <f>SUMIF('MASTER DATA'!$E:$E,'GENERAL PAYROLL'!$E28,'MASTER DATA'!$AJ:$AJ)+SUMIF('MASTER DATA'!$E:$E,'GENERAL PAYROLL'!$E28,'MASTER DATA'!$AK:$AK)</f>
        <v>0</v>
      </c>
      <c r="S28" s="185">
        <f t="shared" si="3"/>
        <v>0</v>
      </c>
      <c r="T28" s="185">
        <f>SUMIF('MASTER DATA'!$E:$E,'GENERAL PAYROLL'!$E28,'MASTER DATA'!$AO:$AO)</f>
        <v>1227.27</v>
      </c>
      <c r="U28" s="185">
        <f>SUMIF('MASTER DATA'!$E:$E,'GENERAL PAYROLL'!$E28,'MASTER DATA'!$AP:$AP)</f>
        <v>0</v>
      </c>
      <c r="V28" s="186">
        <f>SUMIF('MASTER DATA'!$E:$E,'GENERAL PAYROLL'!$E28,'MASTER DATA'!$AR:$AR)</f>
        <v>12272.73</v>
      </c>
      <c r="W28" s="185">
        <f>SUMIF('MASTER DATA'!$E:$E,'GENERAL PAYROLL'!$E28,'MASTER DATA'!$AS:$AS)</f>
        <v>0</v>
      </c>
      <c r="X28" s="185">
        <f>SUMIF('MASTER DATA'!$E:$E,'GENERAL PAYROLL'!$E28,'MASTER DATA'!$AT:$AT)</f>
        <v>0</v>
      </c>
      <c r="Y28" s="185">
        <f>SUMIF('MASTER DATA'!$E:$E,'GENERAL PAYROLL'!$E28,'MASTER DATA'!$AU:$AU)</f>
        <v>0</v>
      </c>
      <c r="Z28" s="185">
        <f>SUMIF('MASTER DATA'!$E:$E,'GENERAL PAYROLL'!$E28,'MASTER DATA'!$AV:$AV)</f>
        <v>0</v>
      </c>
      <c r="AA28" s="185">
        <f>SUMIF('MASTER DATA'!$E:$E,'GENERAL PAYROLL'!$E28,'MASTER DATA'!$AW:$AW)</f>
        <v>0</v>
      </c>
      <c r="AB28" s="185">
        <f>SUMIF('MASTER DATA'!$E:$E,'GENERAL PAYROLL'!$E28,'MASTER DATA'!$AX:$AX)</f>
        <v>0</v>
      </c>
      <c r="AC28" s="186">
        <f>SUMIF('MASTER DATA'!$E:$E,'GENERAL PAYROLL'!$E28,'MASTER DATA'!$AY:$AY)</f>
        <v>12272.73</v>
      </c>
      <c r="AD28" s="137" t="str">
        <f t="shared" si="4"/>
        <v>SHOW</v>
      </c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</row>
    <row r="29" spans="2:42" ht="15.75" customHeight="1">
      <c r="B29" s="80"/>
      <c r="C29" s="137" t="s">
        <v>295</v>
      </c>
      <c r="D29" s="84">
        <f t="shared" si="0"/>
        <v>10</v>
      </c>
      <c r="E29" s="182" t="str">
        <f>IFERROR(VLOOKUP(C29,CODE!$B:$D,3,FALSE)," ")</f>
        <v>MANDANI, AVE M.</v>
      </c>
      <c r="F29" s="183" t="str">
        <f>VLOOKUP($C29,CODE!$B:$F,5,FALSE)</f>
        <v>Bookbinder III</v>
      </c>
      <c r="G29" s="183" t="str">
        <f>VLOOKUP($C29,CODE!$B:$F,4,FALSE)</f>
        <v>ISD</v>
      </c>
      <c r="H29" s="187">
        <v>11</v>
      </c>
      <c r="I29" s="185">
        <f>SUMIF('MASTER DATA'!$E:$E,'GENERAL PAYROLL'!$E29,'MASTER DATA'!$O:$O)</f>
        <v>846.36363636363637</v>
      </c>
      <c r="J29" s="186">
        <f>SUMIF('MASTER DATA'!$E:$E,'GENERAL PAYROLL'!$E29,'MASTER DATA'!$N:$N)</f>
        <v>9310</v>
      </c>
      <c r="K29" s="185">
        <f>SUMIF('MASTER DATA'!$E:$E,'GENERAL PAYROLL'!$E29,'MASTER DATA'!$W:$W)</f>
        <v>0</v>
      </c>
      <c r="L29" s="185">
        <f>SUMIF('MASTER DATA'!$E:$E,'GENERAL PAYROLL'!$E29,'MASTER DATA'!$X:$X)+SUMIF('MASTER DATA'!$E:$E,'GENERAL PAYROLL'!$E29,'MASTER DATA'!$Y:$Y)</f>
        <v>0</v>
      </c>
      <c r="M29" s="185">
        <f t="shared" si="1"/>
        <v>0</v>
      </c>
      <c r="N29" s="185">
        <f>SUMIF('MASTER DATA'!$E:$E,'GENERAL PAYROLL'!$E29,'MASTER DATA'!$AC:$AC)</f>
        <v>0</v>
      </c>
      <c r="O29" s="185">
        <f>SUMIF('MASTER DATA'!$E:$E,'GENERAL PAYROLL'!$E29,'MASTER DATA'!$AD:$AD)+SUMIF('MASTER DATA'!$E:$E,'GENERAL PAYROLL'!$E29,'MASTER DATA'!$AE:$AE)</f>
        <v>0</v>
      </c>
      <c r="P29" s="185">
        <f t="shared" si="2"/>
        <v>0</v>
      </c>
      <c r="Q29" s="185">
        <f>SUMIF('MASTER DATA'!$E:$E,'GENERAL PAYROLL'!$E29,'MASTER DATA'!$AI:$AI)</f>
        <v>0</v>
      </c>
      <c r="R29" s="185">
        <f>SUMIF('MASTER DATA'!$E:$E,'GENERAL PAYROLL'!$E29,'MASTER DATA'!$AJ:$AJ)+SUMIF('MASTER DATA'!$E:$E,'GENERAL PAYROLL'!$E29,'MASTER DATA'!$AK:$AK)</f>
        <v>0</v>
      </c>
      <c r="S29" s="185">
        <f t="shared" si="3"/>
        <v>0</v>
      </c>
      <c r="T29" s="185">
        <f>SUMIF('MASTER DATA'!$E:$E,'GENERAL PAYROLL'!$E29,'MASTER DATA'!$AO:$AO)</f>
        <v>0</v>
      </c>
      <c r="U29" s="185">
        <f>SUMIF('MASTER DATA'!$E:$E,'GENERAL PAYROLL'!$E29,'MASTER DATA'!$AP:$AP)</f>
        <v>0</v>
      </c>
      <c r="V29" s="186">
        <f>SUMIF('MASTER DATA'!$E:$E,'GENERAL PAYROLL'!$E29,'MASTER DATA'!$AR:$AR)</f>
        <v>9310</v>
      </c>
      <c r="W29" s="185">
        <f>SUMIF('MASTER DATA'!$E:$E,'GENERAL PAYROLL'!$E29,'MASTER DATA'!$AS:$AS)</f>
        <v>0</v>
      </c>
      <c r="X29" s="185">
        <f>SUMIF('MASTER DATA'!$E:$E,'GENERAL PAYROLL'!$E29,'MASTER DATA'!$AT:$AT)</f>
        <v>0</v>
      </c>
      <c r="Y29" s="185">
        <f>SUMIF('MASTER DATA'!$E:$E,'GENERAL PAYROLL'!$E29,'MASTER DATA'!$AU:$AU)</f>
        <v>0</v>
      </c>
      <c r="Z29" s="185">
        <f>SUMIF('MASTER DATA'!$E:$E,'GENERAL PAYROLL'!$E29,'MASTER DATA'!$AV:$AV)</f>
        <v>0</v>
      </c>
      <c r="AA29" s="185">
        <f>SUMIF('MASTER DATA'!$E:$E,'GENERAL PAYROLL'!$E29,'MASTER DATA'!$AW:$AW)</f>
        <v>0</v>
      </c>
      <c r="AB29" s="185">
        <f>SUMIF('MASTER DATA'!$E:$E,'GENERAL PAYROLL'!$E29,'MASTER DATA'!$AX:$AX)</f>
        <v>0</v>
      </c>
      <c r="AC29" s="186">
        <f>SUMIF('MASTER DATA'!$E:$E,'GENERAL PAYROLL'!$E29,'MASTER DATA'!$AY:$AY)</f>
        <v>9310</v>
      </c>
      <c r="AD29" s="137" t="str">
        <f t="shared" si="4"/>
        <v>SHOW</v>
      </c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</row>
    <row r="30" spans="2:42" ht="15.75" customHeight="1">
      <c r="B30" s="80"/>
      <c r="C30" s="137" t="s">
        <v>296</v>
      </c>
      <c r="D30" s="84">
        <f t="shared" si="0"/>
        <v>11</v>
      </c>
      <c r="E30" s="182" t="str">
        <f>IFERROR(VLOOKUP(C30,CODE!$B:$D,3,FALSE)," ")</f>
        <v>PERNIA, JONAS S.</v>
      </c>
      <c r="F30" s="183" t="str">
        <f>VLOOKUP($C30,CODE!$B:$F,5,FALSE)</f>
        <v>Administrative Asst. II</v>
      </c>
      <c r="G30" s="183" t="str">
        <f>VLOOKUP($C30,CODE!$B:$F,4,FALSE)</f>
        <v>ISD</v>
      </c>
      <c r="H30" s="187">
        <v>11</v>
      </c>
      <c r="I30" s="185">
        <f>SUMIF('MASTER DATA'!$E:$E,'GENERAL PAYROLL'!$E30,'MASTER DATA'!$O:$O)</f>
        <v>897.4545454545455</v>
      </c>
      <c r="J30" s="186">
        <f>SUMIF('MASTER DATA'!$E:$E,'GENERAL PAYROLL'!$E30,'MASTER DATA'!$N:$N)</f>
        <v>9872</v>
      </c>
      <c r="K30" s="185">
        <f>SUMIF('MASTER DATA'!$E:$E,'GENERAL PAYROLL'!$E30,'MASTER DATA'!$W:$W)</f>
        <v>0</v>
      </c>
      <c r="L30" s="185">
        <f>SUMIF('MASTER DATA'!$E:$E,'GENERAL PAYROLL'!$E30,'MASTER DATA'!$X:$X)+SUMIF('MASTER DATA'!$E:$E,'GENERAL PAYROLL'!$E30,'MASTER DATA'!$Y:$Y)</f>
        <v>0</v>
      </c>
      <c r="M30" s="185">
        <f t="shared" si="1"/>
        <v>0</v>
      </c>
      <c r="N30" s="185">
        <f>SUMIF('MASTER DATA'!$E:$E,'GENERAL PAYROLL'!$E30,'MASTER DATA'!$AC:$AC)</f>
        <v>0</v>
      </c>
      <c r="O30" s="185">
        <f>SUMIF('MASTER DATA'!$E:$E,'GENERAL PAYROLL'!$E30,'MASTER DATA'!$AD:$AD)+SUMIF('MASTER DATA'!$E:$E,'GENERAL PAYROLL'!$E30,'MASTER DATA'!$AE:$AE)</f>
        <v>0</v>
      </c>
      <c r="P30" s="185">
        <f t="shared" si="2"/>
        <v>0</v>
      </c>
      <c r="Q30" s="185">
        <f>SUMIF('MASTER DATA'!$E:$E,'GENERAL PAYROLL'!$E30,'MASTER DATA'!$AI:$AI)</f>
        <v>0</v>
      </c>
      <c r="R30" s="185">
        <f>SUMIF('MASTER DATA'!$E:$E,'GENERAL PAYROLL'!$E30,'MASTER DATA'!$AJ:$AJ)+SUMIF('MASTER DATA'!$E:$E,'GENERAL PAYROLL'!$E30,'MASTER DATA'!$AK:$AK)</f>
        <v>0</v>
      </c>
      <c r="S30" s="185">
        <f t="shared" si="3"/>
        <v>0</v>
      </c>
      <c r="T30" s="185">
        <f>SUMIF('MASTER DATA'!$E:$E,'GENERAL PAYROLL'!$E30,'MASTER DATA'!$AO:$AO)</f>
        <v>0</v>
      </c>
      <c r="U30" s="185">
        <f>SUMIF('MASTER DATA'!$E:$E,'GENERAL PAYROLL'!$E30,'MASTER DATA'!$AP:$AP)</f>
        <v>0</v>
      </c>
      <c r="V30" s="186">
        <f>SUMIF('MASTER DATA'!$E:$E,'GENERAL PAYROLL'!$E30,'MASTER DATA'!$AR:$AR)</f>
        <v>9872</v>
      </c>
      <c r="W30" s="185">
        <f>SUMIF('MASTER DATA'!$E:$E,'GENERAL PAYROLL'!$E30,'MASTER DATA'!$AS:$AS)</f>
        <v>0</v>
      </c>
      <c r="X30" s="185">
        <f>SUMIF('MASTER DATA'!$E:$E,'GENERAL PAYROLL'!$E30,'MASTER DATA'!$AT:$AT)</f>
        <v>0</v>
      </c>
      <c r="Y30" s="185">
        <f>SUMIF('MASTER DATA'!$E:$E,'GENERAL PAYROLL'!$E30,'MASTER DATA'!$AU:$AU)</f>
        <v>0</v>
      </c>
      <c r="Z30" s="185">
        <f>SUMIF('MASTER DATA'!$E:$E,'GENERAL PAYROLL'!$E30,'MASTER DATA'!$AV:$AV)</f>
        <v>0</v>
      </c>
      <c r="AA30" s="185">
        <f>SUMIF('MASTER DATA'!$E:$E,'GENERAL PAYROLL'!$E30,'MASTER DATA'!$AW:$AW)</f>
        <v>0</v>
      </c>
      <c r="AB30" s="185">
        <f>SUMIF('MASTER DATA'!$E:$E,'GENERAL PAYROLL'!$E30,'MASTER DATA'!$AX:$AX)</f>
        <v>0</v>
      </c>
      <c r="AC30" s="186">
        <f>SUMIF('MASTER DATA'!$E:$E,'GENERAL PAYROLL'!$E30,'MASTER DATA'!$AY:$AY)</f>
        <v>9872</v>
      </c>
      <c r="AD30" s="137" t="str">
        <f t="shared" si="4"/>
        <v>SHOW</v>
      </c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</row>
    <row r="31" spans="2:42" ht="27.75" customHeight="1">
      <c r="B31" s="80"/>
      <c r="C31" s="137" t="s">
        <v>297</v>
      </c>
      <c r="D31" s="84">
        <f t="shared" si="0"/>
        <v>12</v>
      </c>
      <c r="E31" s="182" t="str">
        <f>IFERROR(VLOOKUP(C31,CODE!$B:$D,3,FALSE)," ")</f>
        <v>BALANGATAN, JUN CHRISTOPHER C.</v>
      </c>
      <c r="F31" s="183" t="str">
        <f>VLOOKUP($C31,CODE!$B:$F,5,FALSE)</f>
        <v>Media Production Specialist I</v>
      </c>
      <c r="G31" s="183" t="str">
        <f>VLOOKUP($C31,CODE!$B:$F,4,FALSE)</f>
        <v>ISD</v>
      </c>
      <c r="H31" s="187">
        <v>11</v>
      </c>
      <c r="I31" s="185">
        <f>SUMIF('MASTER DATA'!$E:$E,'GENERAL PAYROLL'!$E31,'MASTER DATA'!$O:$O)</f>
        <v>1227.2727272727273</v>
      </c>
      <c r="J31" s="186">
        <f>SUMIF('MASTER DATA'!$E:$E,'GENERAL PAYROLL'!$E31,'MASTER DATA'!$N:$N)</f>
        <v>13500</v>
      </c>
      <c r="K31" s="185">
        <f>SUMIF('MASTER DATA'!$E:$E,'GENERAL PAYROLL'!$E31,'MASTER DATA'!$W:$W)</f>
        <v>0</v>
      </c>
      <c r="L31" s="185">
        <f>SUMIF('MASTER DATA'!$E:$E,'GENERAL PAYROLL'!$E31,'MASTER DATA'!$X:$X)+SUMIF('MASTER DATA'!$E:$E,'GENERAL PAYROLL'!$E31,'MASTER DATA'!$Y:$Y)</f>
        <v>0</v>
      </c>
      <c r="M31" s="185">
        <f t="shared" si="1"/>
        <v>0</v>
      </c>
      <c r="N31" s="185">
        <f>SUMIF('MASTER DATA'!$E:$E,'GENERAL PAYROLL'!$E31,'MASTER DATA'!$AC:$AC)</f>
        <v>0</v>
      </c>
      <c r="O31" s="185">
        <f>SUMIF('MASTER DATA'!$E:$E,'GENERAL PAYROLL'!$E31,'MASTER DATA'!$AD:$AD)+SUMIF('MASTER DATA'!$E:$E,'GENERAL PAYROLL'!$E31,'MASTER DATA'!$AE:$AE)</f>
        <v>0</v>
      </c>
      <c r="P31" s="185">
        <f t="shared" si="2"/>
        <v>0</v>
      </c>
      <c r="Q31" s="185">
        <f>SUMIF('MASTER DATA'!$E:$E,'GENERAL PAYROLL'!$E31,'MASTER DATA'!$AI:$AI)</f>
        <v>0</v>
      </c>
      <c r="R31" s="185">
        <f>SUMIF('MASTER DATA'!$E:$E,'GENERAL PAYROLL'!$E31,'MASTER DATA'!$AJ:$AJ)+SUMIF('MASTER DATA'!$E:$E,'GENERAL PAYROLL'!$E31,'MASTER DATA'!$AK:$AK)</f>
        <v>0</v>
      </c>
      <c r="S31" s="185">
        <f t="shared" si="3"/>
        <v>0</v>
      </c>
      <c r="T31" s="185">
        <f>SUMIF('MASTER DATA'!$E:$E,'GENERAL PAYROLL'!$E31,'MASTER DATA'!$AO:$AO)</f>
        <v>0</v>
      </c>
      <c r="U31" s="185">
        <f>SUMIF('MASTER DATA'!$E:$E,'GENERAL PAYROLL'!$E31,'MASTER DATA'!$AP:$AP)</f>
        <v>0</v>
      </c>
      <c r="V31" s="186">
        <f>SUMIF('MASTER DATA'!$E:$E,'GENERAL PAYROLL'!$E31,'MASTER DATA'!$AR:$AR)</f>
        <v>13500</v>
      </c>
      <c r="W31" s="185">
        <f>SUMIF('MASTER DATA'!$E:$E,'GENERAL PAYROLL'!$E31,'MASTER DATA'!$AS:$AS)</f>
        <v>0</v>
      </c>
      <c r="X31" s="185">
        <f>SUMIF('MASTER DATA'!$E:$E,'GENERAL PAYROLL'!$E31,'MASTER DATA'!$AT:$AT)</f>
        <v>0</v>
      </c>
      <c r="Y31" s="185">
        <f>SUMIF('MASTER DATA'!$E:$E,'GENERAL PAYROLL'!$E31,'MASTER DATA'!$AU:$AU)</f>
        <v>0</v>
      </c>
      <c r="Z31" s="185">
        <f>SUMIF('MASTER DATA'!$E:$E,'GENERAL PAYROLL'!$E31,'MASTER DATA'!$AV:$AV)</f>
        <v>0</v>
      </c>
      <c r="AA31" s="185">
        <f>SUMIF('MASTER DATA'!$E:$E,'GENERAL PAYROLL'!$E31,'MASTER DATA'!$AW:$AW)</f>
        <v>0</v>
      </c>
      <c r="AB31" s="185">
        <f>SUMIF('MASTER DATA'!$E:$E,'GENERAL PAYROLL'!$E31,'MASTER DATA'!$AX:$AX)</f>
        <v>0</v>
      </c>
      <c r="AC31" s="186">
        <f>SUMIF('MASTER DATA'!$E:$E,'GENERAL PAYROLL'!$E31,'MASTER DATA'!$AY:$AY)</f>
        <v>13500</v>
      </c>
      <c r="AD31" s="137" t="str">
        <f t="shared" si="4"/>
        <v>SHOW</v>
      </c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</row>
    <row r="32" spans="2:42" ht="15.75" customHeight="1">
      <c r="B32" s="80"/>
      <c r="C32" s="137" t="s">
        <v>298</v>
      </c>
      <c r="D32" s="84">
        <f t="shared" si="0"/>
        <v>13</v>
      </c>
      <c r="E32" s="182" t="str">
        <f>IFERROR(VLOOKUP(C32,CODE!$B:$D,3,FALSE)," ")</f>
        <v>LIM, KLEIN ANSON G.</v>
      </c>
      <c r="F32" s="183" t="str">
        <f>VLOOKUP($C32,CODE!$B:$F,5,FALSE)</f>
        <v>Agriculturist I</v>
      </c>
      <c r="G32" s="183" t="str">
        <f>VLOOKUP($C32,CODE!$B:$F,4,FALSE)</f>
        <v>ISD</v>
      </c>
      <c r="H32" s="187">
        <v>11</v>
      </c>
      <c r="I32" s="185">
        <f>SUMIF('MASTER DATA'!$E:$E,'GENERAL PAYROLL'!$E32,'MASTER DATA'!$O:$O)</f>
        <v>1227.2727272727273</v>
      </c>
      <c r="J32" s="186">
        <f>SUMIF('MASTER DATA'!$E:$E,'GENERAL PAYROLL'!$E32,'MASTER DATA'!$N:$N)</f>
        <v>13500</v>
      </c>
      <c r="K32" s="185">
        <f>SUMIF('MASTER DATA'!$E:$E,'GENERAL PAYROLL'!$E32,'MASTER DATA'!$W:$W)</f>
        <v>0</v>
      </c>
      <c r="L32" s="185">
        <f>SUMIF('MASTER DATA'!$E:$E,'GENERAL PAYROLL'!$E32,'MASTER DATA'!$X:$X)+SUMIF('MASTER DATA'!$E:$E,'GENERAL PAYROLL'!$E32,'MASTER DATA'!$Y:$Y)</f>
        <v>23.01</v>
      </c>
      <c r="M32" s="185">
        <f t="shared" si="1"/>
        <v>23.01</v>
      </c>
      <c r="N32" s="185">
        <f>SUMIF('MASTER DATA'!$E:$E,'GENERAL PAYROLL'!$E32,'MASTER DATA'!$AC:$AC)</f>
        <v>0</v>
      </c>
      <c r="O32" s="185">
        <f>SUMIF('MASTER DATA'!$E:$E,'GENERAL PAYROLL'!$E32,'MASTER DATA'!$AD:$AD)+SUMIF('MASTER DATA'!$E:$E,'GENERAL PAYROLL'!$E32,'MASTER DATA'!$AE:$AE)</f>
        <v>0</v>
      </c>
      <c r="P32" s="185">
        <f t="shared" si="2"/>
        <v>0</v>
      </c>
      <c r="Q32" s="185">
        <f>SUMIF('MASTER DATA'!$E:$E,'GENERAL PAYROLL'!$E32,'MASTER DATA'!$AI:$AI)</f>
        <v>0</v>
      </c>
      <c r="R32" s="185">
        <f>SUMIF('MASTER DATA'!$E:$E,'GENERAL PAYROLL'!$E32,'MASTER DATA'!$AJ:$AJ)+SUMIF('MASTER DATA'!$E:$E,'GENERAL PAYROLL'!$E32,'MASTER DATA'!$AK:$AK)</f>
        <v>0</v>
      </c>
      <c r="S32" s="185">
        <f t="shared" si="3"/>
        <v>0</v>
      </c>
      <c r="T32" s="185">
        <f>SUMIF('MASTER DATA'!$E:$E,'GENERAL PAYROLL'!$E32,'MASTER DATA'!$AO:$AO)</f>
        <v>23.01</v>
      </c>
      <c r="U32" s="185">
        <f>SUMIF('MASTER DATA'!$E:$E,'GENERAL PAYROLL'!$E32,'MASTER DATA'!$AP:$AP)</f>
        <v>0</v>
      </c>
      <c r="V32" s="186">
        <f>SUMIF('MASTER DATA'!$E:$E,'GENERAL PAYROLL'!$E32,'MASTER DATA'!$AR:$AR)</f>
        <v>13476.99</v>
      </c>
      <c r="W32" s="185">
        <f>SUMIF('MASTER DATA'!$E:$E,'GENERAL PAYROLL'!$E32,'MASTER DATA'!$AS:$AS)</f>
        <v>0</v>
      </c>
      <c r="X32" s="185">
        <f>SUMIF('MASTER DATA'!$E:$E,'GENERAL PAYROLL'!$E32,'MASTER DATA'!$AT:$AT)</f>
        <v>0</v>
      </c>
      <c r="Y32" s="185">
        <f>SUMIF('MASTER DATA'!$E:$E,'GENERAL PAYROLL'!$E32,'MASTER DATA'!$AU:$AU)</f>
        <v>0</v>
      </c>
      <c r="Z32" s="185">
        <f>SUMIF('MASTER DATA'!$E:$E,'GENERAL PAYROLL'!$E32,'MASTER DATA'!$AV:$AV)</f>
        <v>0</v>
      </c>
      <c r="AA32" s="185">
        <f>SUMIF('MASTER DATA'!$E:$E,'GENERAL PAYROLL'!$E32,'MASTER DATA'!$AW:$AW)</f>
        <v>0</v>
      </c>
      <c r="AB32" s="185">
        <f>SUMIF('MASTER DATA'!$E:$E,'GENERAL PAYROLL'!$E32,'MASTER DATA'!$AX:$AX)</f>
        <v>0</v>
      </c>
      <c r="AC32" s="186">
        <f>SUMIF('MASTER DATA'!$E:$E,'GENERAL PAYROLL'!$E32,'MASTER DATA'!$AY:$AY)</f>
        <v>13476.99</v>
      </c>
      <c r="AD32" s="137" t="str">
        <f t="shared" si="4"/>
        <v>SHOW</v>
      </c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</row>
    <row r="33" spans="2:42" ht="15.75" customHeight="1">
      <c r="B33" s="80"/>
      <c r="C33" s="137" t="s">
        <v>299</v>
      </c>
      <c r="D33" s="84">
        <f t="shared" si="0"/>
        <v>14</v>
      </c>
      <c r="E33" s="182" t="str">
        <f>IFERROR(VLOOKUP(C33,CODE!$B:$D,3,FALSE)," ")</f>
        <v>AGUAS, DERICKE DUANE C.</v>
      </c>
      <c r="F33" s="183" t="str">
        <f>VLOOKUP($C33,CODE!$B:$F,5,FALSE)</f>
        <v>Information Officer I</v>
      </c>
      <c r="G33" s="183" t="str">
        <f>VLOOKUP($C33,CODE!$B:$F,4,FALSE)</f>
        <v>ISD</v>
      </c>
      <c r="H33" s="187">
        <v>11</v>
      </c>
      <c r="I33" s="185">
        <f>SUMIF('MASTER DATA'!$E:$E,'GENERAL PAYROLL'!$E33,'MASTER DATA'!$O:$O)</f>
        <v>1227.2727272727273</v>
      </c>
      <c r="J33" s="186">
        <f>SUMIF('MASTER DATA'!$E:$E,'GENERAL PAYROLL'!$E33,'MASTER DATA'!$N:$N)</f>
        <v>13500</v>
      </c>
      <c r="K33" s="185">
        <f>SUMIF('MASTER DATA'!$E:$E,'GENERAL PAYROLL'!$E33,'MASTER DATA'!$W:$W)</f>
        <v>0</v>
      </c>
      <c r="L33" s="185">
        <f>SUMIF('MASTER DATA'!$E:$E,'GENERAL PAYROLL'!$E33,'MASTER DATA'!$X:$X)+SUMIF('MASTER DATA'!$E:$E,'GENERAL PAYROLL'!$E33,'MASTER DATA'!$Y:$Y)</f>
        <v>0</v>
      </c>
      <c r="M33" s="185">
        <f t="shared" si="1"/>
        <v>0</v>
      </c>
      <c r="N33" s="185">
        <f>SUMIF('MASTER DATA'!$E:$E,'GENERAL PAYROLL'!$E33,'MASTER DATA'!$AC:$AC)</f>
        <v>0</v>
      </c>
      <c r="O33" s="185">
        <f>SUMIF('MASTER DATA'!$E:$E,'GENERAL PAYROLL'!$E33,'MASTER DATA'!$AD:$AD)+SUMIF('MASTER DATA'!$E:$E,'GENERAL PAYROLL'!$E33,'MASTER DATA'!$AE:$AE)</f>
        <v>0</v>
      </c>
      <c r="P33" s="185">
        <f t="shared" si="2"/>
        <v>0</v>
      </c>
      <c r="Q33" s="185">
        <f>SUMIF('MASTER DATA'!$E:$E,'GENERAL PAYROLL'!$E33,'MASTER DATA'!$AI:$AI)</f>
        <v>0</v>
      </c>
      <c r="R33" s="185">
        <f>SUMIF('MASTER DATA'!$E:$E,'GENERAL PAYROLL'!$E33,'MASTER DATA'!$AJ:$AJ)+SUMIF('MASTER DATA'!$E:$E,'GENERAL PAYROLL'!$E33,'MASTER DATA'!$AK:$AK)</f>
        <v>0</v>
      </c>
      <c r="S33" s="185">
        <f t="shared" si="3"/>
        <v>0</v>
      </c>
      <c r="T33" s="185">
        <f>SUMIF('MASTER DATA'!$E:$E,'GENERAL PAYROLL'!$E33,'MASTER DATA'!$AO:$AO)</f>
        <v>0</v>
      </c>
      <c r="U33" s="185">
        <f>SUMIF('MASTER DATA'!$E:$E,'GENERAL PAYROLL'!$E33,'MASTER DATA'!$AP:$AP)</f>
        <v>0</v>
      </c>
      <c r="V33" s="186">
        <f>SUMIF('MASTER DATA'!$E:$E,'GENERAL PAYROLL'!$E33,'MASTER DATA'!$AR:$AR)</f>
        <v>13500</v>
      </c>
      <c r="W33" s="185">
        <f>SUMIF('MASTER DATA'!$E:$E,'GENERAL PAYROLL'!$E33,'MASTER DATA'!$AS:$AS)</f>
        <v>0</v>
      </c>
      <c r="X33" s="185">
        <f>SUMIF('MASTER DATA'!$E:$E,'GENERAL PAYROLL'!$E33,'MASTER DATA'!$AT:$AT)</f>
        <v>0</v>
      </c>
      <c r="Y33" s="185">
        <f>SUMIF('MASTER DATA'!$E:$E,'GENERAL PAYROLL'!$E33,'MASTER DATA'!$AU:$AU)</f>
        <v>0</v>
      </c>
      <c r="Z33" s="185">
        <f>SUMIF('MASTER DATA'!$E:$E,'GENERAL PAYROLL'!$E33,'MASTER DATA'!$AV:$AV)</f>
        <v>0</v>
      </c>
      <c r="AA33" s="185">
        <f>SUMIF('MASTER DATA'!$E:$E,'GENERAL PAYROLL'!$E33,'MASTER DATA'!$AW:$AW)</f>
        <v>0</v>
      </c>
      <c r="AB33" s="185">
        <f>SUMIF('MASTER DATA'!$E:$E,'GENERAL PAYROLL'!$E33,'MASTER DATA'!$AX:$AX)</f>
        <v>0</v>
      </c>
      <c r="AC33" s="186">
        <f>SUMIF('MASTER DATA'!$E:$E,'GENERAL PAYROLL'!$E33,'MASTER DATA'!$AY:$AY)</f>
        <v>13500</v>
      </c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</row>
    <row r="34" spans="2:42" ht="15.75" customHeight="1">
      <c r="B34" s="80"/>
      <c r="C34" s="137" t="s">
        <v>300</v>
      </c>
      <c r="D34" s="84">
        <f t="shared" si="0"/>
        <v>15</v>
      </c>
      <c r="E34" s="182" t="s">
        <v>117</v>
      </c>
      <c r="F34" s="183" t="str">
        <f>VLOOKUP($C34,CODE!$B:$F,5,FALSE)</f>
        <v>Information Officer I</v>
      </c>
      <c r="G34" s="183" t="str">
        <f>VLOOKUP($C34,CODE!$B:$F,4,FALSE)</f>
        <v>ISD</v>
      </c>
      <c r="H34" s="187">
        <v>11</v>
      </c>
      <c r="I34" s="185">
        <f>SUMIF('MASTER DATA'!$E:$E,'GENERAL PAYROLL'!$E34,'MASTER DATA'!$O:$O)</f>
        <v>1227.2727272727273</v>
      </c>
      <c r="J34" s="186">
        <f>SUMIF('MASTER DATA'!$E:$E,'GENERAL PAYROLL'!$E34,'MASTER DATA'!$N:$N)</f>
        <v>13500</v>
      </c>
      <c r="K34" s="185">
        <f>SUMIF('MASTER DATA'!$E:$E,'GENERAL PAYROLL'!$E34,'MASTER DATA'!$W:$W)</f>
        <v>0</v>
      </c>
      <c r="L34" s="185">
        <f>SUMIF('MASTER DATA'!$E:$E,'GENERAL PAYROLL'!$E34,'MASTER DATA'!$X:$X)+SUMIF('MASTER DATA'!$E:$E,'GENERAL PAYROLL'!$E34,'MASTER DATA'!$Y:$Y)</f>
        <v>0</v>
      </c>
      <c r="M34" s="185">
        <f t="shared" si="1"/>
        <v>0</v>
      </c>
      <c r="N34" s="185">
        <f>SUMIF('MASTER DATA'!$E:$E,'GENERAL PAYROLL'!$E34,'MASTER DATA'!$AC:$AC)</f>
        <v>0</v>
      </c>
      <c r="O34" s="185">
        <f>SUMIF('MASTER DATA'!$E:$E,'GENERAL PAYROLL'!$E34,'MASTER DATA'!$AD:$AD)+SUMIF('MASTER DATA'!$E:$E,'GENERAL PAYROLL'!$E34,'MASTER DATA'!$AE:$AE)</f>
        <v>0</v>
      </c>
      <c r="P34" s="185">
        <f t="shared" si="2"/>
        <v>0</v>
      </c>
      <c r="Q34" s="185">
        <f>SUMIF('MASTER DATA'!$E:$E,'GENERAL PAYROLL'!$E34,'MASTER DATA'!$AI:$AI)</f>
        <v>0</v>
      </c>
      <c r="R34" s="185">
        <f>SUMIF('MASTER DATA'!$E:$E,'GENERAL PAYROLL'!$E34,'MASTER DATA'!$AJ:$AJ)+SUMIF('MASTER DATA'!$E:$E,'GENERAL PAYROLL'!$E34,'MASTER DATA'!$AK:$AK)</f>
        <v>0</v>
      </c>
      <c r="S34" s="185">
        <f t="shared" si="3"/>
        <v>0</v>
      </c>
      <c r="T34" s="185">
        <f>SUMIF('MASTER DATA'!$E:$E,'GENERAL PAYROLL'!$E34,'MASTER DATA'!$AO:$AO)</f>
        <v>0</v>
      </c>
      <c r="U34" s="185">
        <f>SUMIF('MASTER DATA'!$E:$E,'GENERAL PAYROLL'!$E34,'MASTER DATA'!$AP:$AP)</f>
        <v>0</v>
      </c>
      <c r="V34" s="186">
        <f>SUMIF('MASTER DATA'!$E:$E,'GENERAL PAYROLL'!$E34,'MASTER DATA'!$AR:$AR)</f>
        <v>13500</v>
      </c>
      <c r="W34" s="185">
        <f>SUMIF('MASTER DATA'!$E:$E,'GENERAL PAYROLL'!$E34,'MASTER DATA'!$AS:$AS)</f>
        <v>0</v>
      </c>
      <c r="X34" s="185">
        <f>SUMIF('MASTER DATA'!$E:$E,'GENERAL PAYROLL'!$E34,'MASTER DATA'!$AT:$AT)</f>
        <v>0</v>
      </c>
      <c r="Y34" s="185">
        <f>SUMIF('MASTER DATA'!$E:$E,'GENERAL PAYROLL'!$E34,'MASTER DATA'!$AU:$AU)</f>
        <v>2000</v>
      </c>
      <c r="Z34" s="185">
        <f>SUMIF('MASTER DATA'!$E:$E,'GENERAL PAYROLL'!$E34,'MASTER DATA'!$AV:$AV)</f>
        <v>0</v>
      </c>
      <c r="AA34" s="185">
        <f>SUMIF('MASTER DATA'!$E:$E,'GENERAL PAYROLL'!$E34,'MASTER DATA'!$AW:$AW)</f>
        <v>0</v>
      </c>
      <c r="AB34" s="185">
        <f>SUMIF('MASTER DATA'!$E:$E,'GENERAL PAYROLL'!$E34,'MASTER DATA'!$AX:$AX)</f>
        <v>0</v>
      </c>
      <c r="AC34" s="186">
        <f>SUMIF('MASTER DATA'!$E:$E,'GENERAL PAYROLL'!$E34,'MASTER DATA'!$AY:$AY)</f>
        <v>11500</v>
      </c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</row>
    <row r="35" spans="2:42" ht="15.75" customHeight="1">
      <c r="B35" s="80"/>
      <c r="C35" s="137" t="s">
        <v>301</v>
      </c>
      <c r="D35" s="84">
        <f t="shared" si="0"/>
        <v>16</v>
      </c>
      <c r="E35" s="182" t="str">
        <f>IFERROR(VLOOKUP(C35,CODE!$B:$D,3,FALSE)," ")</f>
        <v>CAGUMBAY, LIYANNE M.</v>
      </c>
      <c r="F35" s="183" t="str">
        <f>VLOOKUP($C35,CODE!$B:$F,5,FALSE)</f>
        <v>Administrative Asst. II</v>
      </c>
      <c r="G35" s="183" t="str">
        <f>VLOOKUP($C35,CODE!$B:$F,4,FALSE)</f>
        <v>ADO</v>
      </c>
      <c r="H35" s="187">
        <v>11</v>
      </c>
      <c r="I35" s="185">
        <f>SUMIF('MASTER DATA'!$E:$E,'GENERAL PAYROLL'!$E35,'MASTER DATA'!$O:$O)</f>
        <v>897.4545454545455</v>
      </c>
      <c r="J35" s="186">
        <f>SUMIF('MASTER DATA'!$E:$E,'GENERAL PAYROLL'!$E35,'MASTER DATA'!$N:$N)</f>
        <v>9872</v>
      </c>
      <c r="K35" s="185">
        <f>SUMIF('MASTER DATA'!$E:$E,'GENERAL PAYROLL'!$E35,'MASTER DATA'!$W:$W)</f>
        <v>0</v>
      </c>
      <c r="L35" s="185">
        <f>SUMIF('MASTER DATA'!$E:$E,'GENERAL PAYROLL'!$E35,'MASTER DATA'!$X:$X)+SUMIF('MASTER DATA'!$E:$E,'GENERAL PAYROLL'!$E35,'MASTER DATA'!$Y:$Y)</f>
        <v>0</v>
      </c>
      <c r="M35" s="185">
        <f t="shared" si="1"/>
        <v>0</v>
      </c>
      <c r="N35" s="185">
        <f>SUMIF('MASTER DATA'!$E:$E,'GENERAL PAYROLL'!$E35,'MASTER DATA'!$AC:$AC)</f>
        <v>0</v>
      </c>
      <c r="O35" s="185">
        <f>SUMIF('MASTER DATA'!$E:$E,'GENERAL PAYROLL'!$E35,'MASTER DATA'!$AD:$AD)+SUMIF('MASTER DATA'!$E:$E,'GENERAL PAYROLL'!$E35,'MASTER DATA'!$AE:$AE)</f>
        <v>0</v>
      </c>
      <c r="P35" s="185">
        <f t="shared" si="2"/>
        <v>0</v>
      </c>
      <c r="Q35" s="185">
        <f>SUMIF('MASTER DATA'!$E:$E,'GENERAL PAYROLL'!$E35,'MASTER DATA'!$AI:$AI)</f>
        <v>0</v>
      </c>
      <c r="R35" s="185">
        <f>SUMIF('MASTER DATA'!$E:$E,'GENERAL PAYROLL'!$E35,'MASTER DATA'!$AJ:$AJ)+SUMIF('MASTER DATA'!$E:$E,'GENERAL PAYROLL'!$E35,'MASTER DATA'!$AK:$AK)</f>
        <v>0</v>
      </c>
      <c r="S35" s="185">
        <f t="shared" si="3"/>
        <v>0</v>
      </c>
      <c r="T35" s="185">
        <f>SUMIF('MASTER DATA'!$E:$E,'GENERAL PAYROLL'!$E35,'MASTER DATA'!$AO:$AO)</f>
        <v>0</v>
      </c>
      <c r="U35" s="185">
        <f>SUMIF('MASTER DATA'!$E:$E,'GENERAL PAYROLL'!$E35,'MASTER DATA'!$AP:$AP)</f>
        <v>0</v>
      </c>
      <c r="V35" s="186">
        <f>SUMIF('MASTER DATA'!$E:$E,'GENERAL PAYROLL'!$E35,'MASTER DATA'!$AR:$AR)</f>
        <v>9872</v>
      </c>
      <c r="W35" s="185">
        <f>SUMIF('MASTER DATA'!$E:$E,'GENERAL PAYROLL'!$E35,'MASTER DATA'!$AS:$AS)</f>
        <v>0</v>
      </c>
      <c r="X35" s="185">
        <f>SUMIF('MASTER DATA'!$E:$E,'GENERAL PAYROLL'!$E35,'MASTER DATA'!$AT:$AT)</f>
        <v>0</v>
      </c>
      <c r="Y35" s="185">
        <f>SUMIF('MASTER DATA'!$E:$E,'GENERAL PAYROLL'!$E35,'MASTER DATA'!$AU:$AU)</f>
        <v>0</v>
      </c>
      <c r="Z35" s="185">
        <f>SUMIF('MASTER DATA'!$E:$E,'GENERAL PAYROLL'!$E35,'MASTER DATA'!$AV:$AV)</f>
        <v>0</v>
      </c>
      <c r="AA35" s="185">
        <f>SUMIF('MASTER DATA'!$E:$E,'GENERAL PAYROLL'!$E35,'MASTER DATA'!$AW:$AW)</f>
        <v>0</v>
      </c>
      <c r="AB35" s="185">
        <f>SUMIF('MASTER DATA'!$E:$E,'GENERAL PAYROLL'!$E35,'MASTER DATA'!$AX:$AX)</f>
        <v>0</v>
      </c>
      <c r="AC35" s="186">
        <f>SUMIF('MASTER DATA'!$E:$E,'GENERAL PAYROLL'!$E35,'MASTER DATA'!$AY:$AY)</f>
        <v>9872</v>
      </c>
      <c r="AD35" s="137" t="str">
        <f t="shared" ref="AD35:AD38" si="5">IF(E35&gt;=1,"SHOW","HIDE")</f>
        <v>SHOW</v>
      </c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</row>
    <row r="36" spans="2:42" ht="15.75" customHeight="1">
      <c r="B36" s="80"/>
      <c r="C36" s="137" t="s">
        <v>302</v>
      </c>
      <c r="D36" s="84">
        <f t="shared" si="0"/>
        <v>17</v>
      </c>
      <c r="E36" s="182" t="str">
        <f>IFERROR(VLOOKUP(C36,CODE!$B:$D,3,FALSE)," ")</f>
        <v>DE GUZMAN, SWEET JESSABEL M.</v>
      </c>
      <c r="F36" s="183" t="str">
        <f>VLOOKUP($C36,CODE!$B:$F,5,FALSE)</f>
        <v>Executive Assistant II</v>
      </c>
      <c r="G36" s="183" t="str">
        <f>VLOOKUP($C36,CODE!$B:$F,4,FALSE)</f>
        <v>ADO</v>
      </c>
      <c r="H36" s="187">
        <v>11</v>
      </c>
      <c r="I36" s="185">
        <f>SUMIF('MASTER DATA'!$E:$E,'GENERAL PAYROLL'!$E36,'MASTER DATA'!$O:$O)</f>
        <v>1955.909090909091</v>
      </c>
      <c r="J36" s="186">
        <f>SUMIF('MASTER DATA'!$E:$E,'GENERAL PAYROLL'!$E36,'MASTER DATA'!$N:$N)</f>
        <v>21515</v>
      </c>
      <c r="K36" s="185">
        <f>SUMIF('MASTER DATA'!$E:$E,'GENERAL PAYROLL'!$E36,'MASTER DATA'!$W:$W)</f>
        <v>0</v>
      </c>
      <c r="L36" s="185">
        <f>SUMIF('MASTER DATA'!$E:$E,'GENERAL PAYROLL'!$E36,'MASTER DATA'!$X:$X)+SUMIF('MASTER DATA'!$E:$E,'GENERAL PAYROLL'!$E36,'MASTER DATA'!$Y:$Y)</f>
        <v>0</v>
      </c>
      <c r="M36" s="185">
        <f t="shared" si="1"/>
        <v>0</v>
      </c>
      <c r="N36" s="185">
        <f>SUMIF('MASTER DATA'!$E:$E,'GENERAL PAYROLL'!$E36,'MASTER DATA'!$AC:$AC)</f>
        <v>0</v>
      </c>
      <c r="O36" s="185">
        <f>SUMIF('MASTER DATA'!$E:$E,'GENERAL PAYROLL'!$E36,'MASTER DATA'!$AD:$AD)+SUMIF('MASTER DATA'!$E:$E,'GENERAL PAYROLL'!$E36,'MASTER DATA'!$AE:$AE)</f>
        <v>0</v>
      </c>
      <c r="P36" s="185">
        <f t="shared" si="2"/>
        <v>0</v>
      </c>
      <c r="Q36" s="185">
        <f>SUMIF('MASTER DATA'!$E:$E,'GENERAL PAYROLL'!$E36,'MASTER DATA'!$AI:$AI)</f>
        <v>0</v>
      </c>
      <c r="R36" s="185">
        <f>SUMIF('MASTER DATA'!$E:$E,'GENERAL PAYROLL'!$E36,'MASTER DATA'!$AJ:$AJ)+SUMIF('MASTER DATA'!$E:$E,'GENERAL PAYROLL'!$E36,'MASTER DATA'!$AK:$AK)</f>
        <v>0</v>
      </c>
      <c r="S36" s="185">
        <f t="shared" si="3"/>
        <v>0</v>
      </c>
      <c r="T36" s="185">
        <f>SUMIF('MASTER DATA'!$E:$E,'GENERAL PAYROLL'!$E36,'MASTER DATA'!$AO:$AO)</f>
        <v>0</v>
      </c>
      <c r="U36" s="185">
        <f>SUMIF('MASTER DATA'!$E:$E,'GENERAL PAYROLL'!$E36,'MASTER DATA'!$AP:$AP)</f>
        <v>0</v>
      </c>
      <c r="V36" s="186">
        <f>SUMIF('MASTER DATA'!$E:$E,'GENERAL PAYROLL'!$E36,'MASTER DATA'!$AR:$AR)</f>
        <v>21515</v>
      </c>
      <c r="W36" s="185">
        <f>SUMIF('MASTER DATA'!$E:$E,'GENERAL PAYROLL'!$E36,'MASTER DATA'!$AS:$AS)</f>
        <v>0</v>
      </c>
      <c r="X36" s="185">
        <f>SUMIF('MASTER DATA'!$E:$E,'GENERAL PAYROLL'!$E36,'MASTER DATA'!$AT:$AT)</f>
        <v>0</v>
      </c>
      <c r="Y36" s="185">
        <f>SUMIF('MASTER DATA'!$E:$E,'GENERAL PAYROLL'!$E36,'MASTER DATA'!$AU:$AU)</f>
        <v>0</v>
      </c>
      <c r="Z36" s="185">
        <f>SUMIF('MASTER DATA'!$E:$E,'GENERAL PAYROLL'!$E36,'MASTER DATA'!$AV:$AV)</f>
        <v>0</v>
      </c>
      <c r="AA36" s="185">
        <f>SUMIF('MASTER DATA'!$E:$E,'GENERAL PAYROLL'!$E36,'MASTER DATA'!$AW:$AW)</f>
        <v>0</v>
      </c>
      <c r="AB36" s="185">
        <f>SUMIF('MASTER DATA'!$E:$E,'GENERAL PAYROLL'!$E36,'MASTER DATA'!$AX:$AX)</f>
        <v>0</v>
      </c>
      <c r="AC36" s="186">
        <f>SUMIF('MASTER DATA'!$E:$E,'GENERAL PAYROLL'!$E36,'MASTER DATA'!$AY:$AY)</f>
        <v>21515</v>
      </c>
      <c r="AD36" s="137" t="str">
        <f t="shared" si="5"/>
        <v>SHOW</v>
      </c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</row>
    <row r="37" spans="2:42" ht="15.75" customHeight="1">
      <c r="B37" s="80"/>
      <c r="C37" s="137" t="s">
        <v>303</v>
      </c>
      <c r="D37" s="84">
        <f t="shared" si="0"/>
        <v>18</v>
      </c>
      <c r="E37" s="182" t="str">
        <f>IFERROR(VLOOKUP(C37,CODE!$B:$D,3,FALSE)," ")</f>
        <v>SASIS, BRINGKLY B.</v>
      </c>
      <c r="F37" s="183" t="str">
        <f>VLOOKUP($C37,CODE!$B:$F,5,FALSE)</f>
        <v>Administrative Asst. II</v>
      </c>
      <c r="G37" s="183" t="str">
        <f>VLOOKUP($C37,CODE!$B:$F,4,FALSE)</f>
        <v>BGT.</v>
      </c>
      <c r="H37" s="187">
        <v>11</v>
      </c>
      <c r="I37" s="185">
        <f>SUMIF('MASTER DATA'!$E:$E,'GENERAL PAYROLL'!$E37,'MASTER DATA'!$O:$O)</f>
        <v>0</v>
      </c>
      <c r="J37" s="186">
        <f>SUMIF('MASTER DATA'!$E:$E,'GENERAL PAYROLL'!$E37,'MASTER DATA'!$N:$N)</f>
        <v>0</v>
      </c>
      <c r="K37" s="185">
        <f>SUMIF('MASTER DATA'!$E:$E,'GENERAL PAYROLL'!$E37,'MASTER DATA'!$W:$W)</f>
        <v>0</v>
      </c>
      <c r="L37" s="185">
        <f>SUMIF('MASTER DATA'!$E:$E,'GENERAL PAYROLL'!$E37,'MASTER DATA'!$X:$X)+SUMIF('MASTER DATA'!$E:$E,'GENERAL PAYROLL'!$E37,'MASTER DATA'!$Y:$Y)</f>
        <v>0</v>
      </c>
      <c r="M37" s="185">
        <f t="shared" si="1"/>
        <v>0</v>
      </c>
      <c r="N37" s="185">
        <f>SUMIF('MASTER DATA'!$E:$E,'GENERAL PAYROLL'!$E37,'MASTER DATA'!$AC:$AC)</f>
        <v>0</v>
      </c>
      <c r="O37" s="185">
        <f>SUMIF('MASTER DATA'!$E:$E,'GENERAL PAYROLL'!$E37,'MASTER DATA'!$AD:$AD)+SUMIF('MASTER DATA'!$E:$E,'GENERAL PAYROLL'!$E37,'MASTER DATA'!$AE:$AE)</f>
        <v>0</v>
      </c>
      <c r="P37" s="185">
        <f t="shared" si="2"/>
        <v>0</v>
      </c>
      <c r="Q37" s="185">
        <f>SUMIF('MASTER DATA'!$E:$E,'GENERAL PAYROLL'!$E37,'MASTER DATA'!$AI:$AI)</f>
        <v>0</v>
      </c>
      <c r="R37" s="185">
        <f>SUMIF('MASTER DATA'!$E:$E,'GENERAL PAYROLL'!$E37,'MASTER DATA'!$AJ:$AJ)+SUMIF('MASTER DATA'!$E:$E,'GENERAL PAYROLL'!$E37,'MASTER DATA'!$AK:$AK)</f>
        <v>0</v>
      </c>
      <c r="S37" s="185">
        <f t="shared" si="3"/>
        <v>0</v>
      </c>
      <c r="T37" s="185">
        <f>SUMIF('MASTER DATA'!$E:$E,'GENERAL PAYROLL'!$E37,'MASTER DATA'!$AO:$AO)</f>
        <v>0</v>
      </c>
      <c r="U37" s="185">
        <f>SUMIF('MASTER DATA'!$E:$E,'GENERAL PAYROLL'!$E37,'MASTER DATA'!$AP:$AP)</f>
        <v>0</v>
      </c>
      <c r="V37" s="186">
        <f>SUMIF('MASTER DATA'!$E:$E,'GENERAL PAYROLL'!$E37,'MASTER DATA'!$AR:$AR)</f>
        <v>0</v>
      </c>
      <c r="W37" s="185">
        <f>SUMIF('MASTER DATA'!$E:$E,'GENERAL PAYROLL'!$E37,'MASTER DATA'!$AS:$AS)</f>
        <v>0</v>
      </c>
      <c r="X37" s="185">
        <f>SUMIF('MASTER DATA'!$E:$E,'GENERAL PAYROLL'!$E37,'MASTER DATA'!$AT:$AT)</f>
        <v>0</v>
      </c>
      <c r="Y37" s="185">
        <f>SUMIF('MASTER DATA'!$E:$E,'GENERAL PAYROLL'!$E37,'MASTER DATA'!$AU:$AU)</f>
        <v>0</v>
      </c>
      <c r="Z37" s="185">
        <f>SUMIF('MASTER DATA'!$E:$E,'GENERAL PAYROLL'!$E37,'MASTER DATA'!$AV:$AV)</f>
        <v>0</v>
      </c>
      <c r="AA37" s="185">
        <f>SUMIF('MASTER DATA'!$E:$E,'GENERAL PAYROLL'!$E37,'MASTER DATA'!$AW:$AW)</f>
        <v>0</v>
      </c>
      <c r="AB37" s="185">
        <f>SUMIF('MASTER DATA'!$E:$E,'GENERAL PAYROLL'!$E37,'MASTER DATA'!$AX:$AX)</f>
        <v>0</v>
      </c>
      <c r="AC37" s="186">
        <f>SUMIF('MASTER DATA'!$E:$E,'GENERAL PAYROLL'!$E37,'MASTER DATA'!$AY:$AY)</f>
        <v>0</v>
      </c>
      <c r="AD37" s="137" t="str">
        <f t="shared" si="5"/>
        <v>SHOW</v>
      </c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</row>
    <row r="38" spans="2:42" ht="15.75" customHeight="1">
      <c r="B38" s="80"/>
      <c r="C38" s="137" t="s">
        <v>304</v>
      </c>
      <c r="D38" s="84">
        <f t="shared" si="0"/>
        <v>19</v>
      </c>
      <c r="E38" s="182" t="str">
        <f>IFERROR(VLOOKUP(C38,CODE!$B:$D,3,FALSE)," ")</f>
        <v>SALVA, IRENE U</v>
      </c>
      <c r="F38" s="183" t="str">
        <f>VLOOKUP($C38,CODE!$B:$F,5,FALSE)</f>
        <v>Administrative Asst. II</v>
      </c>
      <c r="G38" s="183" t="str">
        <f>VLOOKUP($C38,CODE!$B:$F,4,FALSE)</f>
        <v>BGT.</v>
      </c>
      <c r="H38" s="187">
        <v>11</v>
      </c>
      <c r="I38" s="185">
        <f>SUMIF('MASTER DATA'!$E:$E,'GENERAL PAYROLL'!$E38,'MASTER DATA'!$O:$O)</f>
        <v>897.4545454545455</v>
      </c>
      <c r="J38" s="186">
        <f>SUMIF('MASTER DATA'!$E:$E,'GENERAL PAYROLL'!$E38,'MASTER DATA'!$N:$N)</f>
        <v>9872</v>
      </c>
      <c r="K38" s="185">
        <f>SUMIF('MASTER DATA'!$E:$E,'GENERAL PAYROLL'!$E38,'MASTER DATA'!$W:$W)</f>
        <v>0</v>
      </c>
      <c r="L38" s="185">
        <f>SUMIF('MASTER DATA'!$E:$E,'GENERAL PAYROLL'!$E38,'MASTER DATA'!$X:$X)+SUMIF('MASTER DATA'!$E:$E,'GENERAL PAYROLL'!$E38,'MASTER DATA'!$Y:$Y)</f>
        <v>0</v>
      </c>
      <c r="M38" s="185">
        <f t="shared" si="1"/>
        <v>0</v>
      </c>
      <c r="N38" s="185">
        <f>SUMIF('MASTER DATA'!$E:$E,'GENERAL PAYROLL'!$E38,'MASTER DATA'!$AC:$AC)</f>
        <v>0</v>
      </c>
      <c r="O38" s="185">
        <f>SUMIF('MASTER DATA'!$E:$E,'GENERAL PAYROLL'!$E38,'MASTER DATA'!$AD:$AD)+SUMIF('MASTER DATA'!$E:$E,'GENERAL PAYROLL'!$E38,'MASTER DATA'!$AE:$AE)</f>
        <v>0</v>
      </c>
      <c r="P38" s="185">
        <f t="shared" si="2"/>
        <v>0</v>
      </c>
      <c r="Q38" s="185">
        <f>SUMIF('MASTER DATA'!$E:$E,'GENERAL PAYROLL'!$E38,'MASTER DATA'!$AI:$AI)</f>
        <v>0</v>
      </c>
      <c r="R38" s="185">
        <f>SUMIF('MASTER DATA'!$E:$E,'GENERAL PAYROLL'!$E38,'MASTER DATA'!$AJ:$AJ)+SUMIF('MASTER DATA'!$E:$E,'GENERAL PAYROLL'!$E38,'MASTER DATA'!$AK:$AK)</f>
        <v>0</v>
      </c>
      <c r="S38" s="185">
        <f t="shared" si="3"/>
        <v>0</v>
      </c>
      <c r="T38" s="185">
        <f>SUMIF('MASTER DATA'!$E:$E,'GENERAL PAYROLL'!$E38,'MASTER DATA'!$AO:$AO)</f>
        <v>0</v>
      </c>
      <c r="U38" s="185">
        <f>SUMIF('MASTER DATA'!$E:$E,'GENERAL PAYROLL'!$E38,'MASTER DATA'!$AP:$AP)</f>
        <v>0</v>
      </c>
      <c r="V38" s="186">
        <f>SUMIF('MASTER DATA'!$E:$E,'GENERAL PAYROLL'!$E38,'MASTER DATA'!$AR:$AR)</f>
        <v>9872</v>
      </c>
      <c r="W38" s="185">
        <f>SUMIF('MASTER DATA'!$E:$E,'GENERAL PAYROLL'!$E38,'MASTER DATA'!$AS:$AS)</f>
        <v>0</v>
      </c>
      <c r="X38" s="185">
        <f>SUMIF('MASTER DATA'!$E:$E,'GENERAL PAYROLL'!$E38,'MASTER DATA'!$AT:$AT)</f>
        <v>0</v>
      </c>
      <c r="Y38" s="185">
        <f>SUMIF('MASTER DATA'!$E:$E,'GENERAL PAYROLL'!$E38,'MASTER DATA'!$AU:$AU)</f>
        <v>0</v>
      </c>
      <c r="Z38" s="185">
        <f>SUMIF('MASTER DATA'!$E:$E,'GENERAL PAYROLL'!$E38,'MASTER DATA'!$AV:$AV)</f>
        <v>0</v>
      </c>
      <c r="AA38" s="185">
        <f>SUMIF('MASTER DATA'!$E:$E,'GENERAL PAYROLL'!$E38,'MASTER DATA'!$AW:$AW)</f>
        <v>0</v>
      </c>
      <c r="AB38" s="185">
        <f>SUMIF('MASTER DATA'!$E:$E,'GENERAL PAYROLL'!$E38,'MASTER DATA'!$AX:$AX)</f>
        <v>0</v>
      </c>
      <c r="AC38" s="186">
        <f>SUMIF('MASTER DATA'!$E:$E,'GENERAL PAYROLL'!$E38,'MASTER DATA'!$AY:$AY)</f>
        <v>9872</v>
      </c>
      <c r="AD38" s="137" t="str">
        <f t="shared" si="5"/>
        <v>SHOW</v>
      </c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</row>
    <row r="39" spans="2:42" ht="15.75" customHeight="1">
      <c r="B39" s="80"/>
      <c r="C39" s="137" t="s">
        <v>305</v>
      </c>
      <c r="D39" s="84">
        <f t="shared" si="0"/>
        <v>20</v>
      </c>
      <c r="E39" s="182" t="str">
        <f>IFERROR(VLOOKUP(C39,CODE!$B:$D,3,FALSE)," ")</f>
        <v>CAIZ, LEONILA D.</v>
      </c>
      <c r="F39" s="183" t="str">
        <f>VLOOKUP($C39,CODE!$B:$F,5,FALSE)</f>
        <v xml:space="preserve">Financial Analyst </v>
      </c>
      <c r="G39" s="183" t="str">
        <f>VLOOKUP($C39,CODE!$B:$F,4,FALSE)</f>
        <v>BGT.</v>
      </c>
      <c r="H39" s="187">
        <v>11</v>
      </c>
      <c r="I39" s="185">
        <f>SUMIF('MASTER DATA'!$E:$E,'GENERAL PAYROLL'!$E39,'MASTER DATA'!$O:$O)</f>
        <v>2300.7727272727275</v>
      </c>
      <c r="J39" s="186">
        <f>SUMIF('MASTER DATA'!$E:$E,'GENERAL PAYROLL'!$E39,'MASTER DATA'!$N:$N)</f>
        <v>25308.5</v>
      </c>
      <c r="K39" s="185">
        <f>SUMIF('MASTER DATA'!$E:$E,'GENERAL PAYROLL'!$E39,'MASTER DATA'!$W:$W)</f>
        <v>11503.86</v>
      </c>
      <c r="L39" s="185">
        <f>SUMIF('MASTER DATA'!$E:$E,'GENERAL PAYROLL'!$E39,'MASTER DATA'!$X:$X)+SUMIF('MASTER DATA'!$E:$E,'GENERAL PAYROLL'!$E39,'MASTER DATA'!$Y:$Y)</f>
        <v>493.71000000000004</v>
      </c>
      <c r="M39" s="185">
        <f t="shared" si="1"/>
        <v>11997.57</v>
      </c>
      <c r="N39" s="185">
        <f>SUMIF('MASTER DATA'!$E:$E,'GENERAL PAYROLL'!$E39,'MASTER DATA'!$AC:$AC)</f>
        <v>0</v>
      </c>
      <c r="O39" s="185">
        <f>SUMIF('MASTER DATA'!$E:$E,'GENERAL PAYROLL'!$E39,'MASTER DATA'!$AD:$AD)+SUMIF('MASTER DATA'!$E:$E,'GENERAL PAYROLL'!$E39,'MASTER DATA'!$AE:$AE)</f>
        <v>0</v>
      </c>
      <c r="P39" s="185">
        <f t="shared" si="2"/>
        <v>0</v>
      </c>
      <c r="Q39" s="185">
        <f>SUMIF('MASTER DATA'!$E:$E,'GENERAL PAYROLL'!$E39,'MASTER DATA'!$AI:$AI)</f>
        <v>0</v>
      </c>
      <c r="R39" s="185">
        <f>SUMIF('MASTER DATA'!$E:$E,'GENERAL PAYROLL'!$E39,'MASTER DATA'!$AJ:$AJ)+SUMIF('MASTER DATA'!$E:$E,'GENERAL PAYROLL'!$E39,'MASTER DATA'!$AK:$AK)</f>
        <v>0</v>
      </c>
      <c r="S39" s="185">
        <f t="shared" si="3"/>
        <v>0</v>
      </c>
      <c r="T39" s="185">
        <f>SUMIF('MASTER DATA'!$E:$E,'GENERAL PAYROLL'!$E39,'MASTER DATA'!$AO:$AO)</f>
        <v>11997.570000000002</v>
      </c>
      <c r="U39" s="185">
        <f>SUMIF('MASTER DATA'!$E:$E,'GENERAL PAYROLL'!$E39,'MASTER DATA'!$AP:$AP)</f>
        <v>0</v>
      </c>
      <c r="V39" s="186">
        <f>SUMIF('MASTER DATA'!$E:$E,'GENERAL PAYROLL'!$E39,'MASTER DATA'!$AR:$AR)</f>
        <v>13310.93</v>
      </c>
      <c r="W39" s="185">
        <f>SUMIF('MASTER DATA'!$E:$E,'GENERAL PAYROLL'!$E39,'MASTER DATA'!$AS:$AS)</f>
        <v>0</v>
      </c>
      <c r="X39" s="185">
        <f>SUMIF('MASTER DATA'!$E:$E,'GENERAL PAYROLL'!$E39,'MASTER DATA'!$AT:$AT)</f>
        <v>0</v>
      </c>
      <c r="Y39" s="185">
        <f>SUMIF('MASTER DATA'!$E:$E,'GENERAL PAYROLL'!$E39,'MASTER DATA'!$AU:$AU)</f>
        <v>0</v>
      </c>
      <c r="Z39" s="185">
        <f>SUMIF('MASTER DATA'!$E:$E,'GENERAL PAYROLL'!$E39,'MASTER DATA'!$AV:$AV)</f>
        <v>0</v>
      </c>
      <c r="AA39" s="185">
        <f>SUMIF('MASTER DATA'!$E:$E,'GENERAL PAYROLL'!$E39,'MASTER DATA'!$AW:$AW)</f>
        <v>0</v>
      </c>
      <c r="AB39" s="185">
        <f>SUMIF('MASTER DATA'!$E:$E,'GENERAL PAYROLL'!$E39,'MASTER DATA'!$AX:$AX)</f>
        <v>0</v>
      </c>
      <c r="AC39" s="186">
        <f>SUMIF('MASTER DATA'!$E:$E,'GENERAL PAYROLL'!$E39,'MASTER DATA'!$AY:$AY)</f>
        <v>13310.93</v>
      </c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</row>
    <row r="40" spans="2:42" ht="15.75" customHeight="1">
      <c r="B40" s="80"/>
      <c r="C40" s="137" t="s">
        <v>306</v>
      </c>
      <c r="D40" s="84">
        <f t="shared" si="0"/>
        <v>21</v>
      </c>
      <c r="E40" s="182" t="str">
        <f>IFERROR(VLOOKUP(C40,CODE!$B:$D,3,FALSE)," ")</f>
        <v>SALVANIA, JEFFREY</v>
      </c>
      <c r="F40" s="183" t="str">
        <f>VLOOKUP($C40,CODE!$B:$F,5,FALSE)</f>
        <v>Administrative Asst. II</v>
      </c>
      <c r="G40" s="183" t="str">
        <f>VLOOKUP($C40,CODE!$B:$F,4,FALSE)</f>
        <v>ACCTG.</v>
      </c>
      <c r="H40" s="187">
        <v>11</v>
      </c>
      <c r="I40" s="185">
        <f>SUMIF('MASTER DATA'!$E:$E,'GENERAL PAYROLL'!$E40,'MASTER DATA'!$O:$O)</f>
        <v>897.4545454545455</v>
      </c>
      <c r="J40" s="186">
        <f>SUMIF('MASTER DATA'!$E:$E,'GENERAL PAYROLL'!$E40,'MASTER DATA'!$N:$N)</f>
        <v>9872</v>
      </c>
      <c r="K40" s="185">
        <f>SUMIF('MASTER DATA'!$E:$E,'GENERAL PAYROLL'!$E40,'MASTER DATA'!$W:$W)</f>
        <v>0</v>
      </c>
      <c r="L40" s="185">
        <f>SUMIF('MASTER DATA'!$E:$E,'GENERAL PAYROLL'!$E40,'MASTER DATA'!$X:$X)+SUMIF('MASTER DATA'!$E:$E,'GENERAL PAYROLL'!$E40,'MASTER DATA'!$Y:$Y)</f>
        <v>0</v>
      </c>
      <c r="M40" s="185">
        <f t="shared" si="1"/>
        <v>0</v>
      </c>
      <c r="N40" s="185">
        <f>SUMIF('MASTER DATA'!$E:$E,'GENERAL PAYROLL'!$E40,'MASTER DATA'!$AC:$AC)</f>
        <v>0</v>
      </c>
      <c r="O40" s="185">
        <f>SUMIF('MASTER DATA'!$E:$E,'GENERAL PAYROLL'!$E40,'MASTER DATA'!$AD:$AD)+SUMIF('MASTER DATA'!$E:$E,'GENERAL PAYROLL'!$E40,'MASTER DATA'!$AE:$AE)</f>
        <v>0</v>
      </c>
      <c r="P40" s="185">
        <f t="shared" si="2"/>
        <v>0</v>
      </c>
      <c r="Q40" s="185">
        <f>SUMIF('MASTER DATA'!$E:$E,'GENERAL PAYROLL'!$E40,'MASTER DATA'!$AI:$AI)</f>
        <v>0</v>
      </c>
      <c r="R40" s="185">
        <f>SUMIF('MASTER DATA'!$E:$E,'GENERAL PAYROLL'!$E40,'MASTER DATA'!$AJ:$AJ)+SUMIF('MASTER DATA'!$E:$E,'GENERAL PAYROLL'!$E40,'MASTER DATA'!$AK:$AK)</f>
        <v>0</v>
      </c>
      <c r="S40" s="185">
        <f t="shared" si="3"/>
        <v>0</v>
      </c>
      <c r="T40" s="185">
        <f>SUMIF('MASTER DATA'!$E:$E,'GENERAL PAYROLL'!$E40,'MASTER DATA'!$AO:$AO)</f>
        <v>0</v>
      </c>
      <c r="U40" s="185">
        <f>SUMIF('MASTER DATA'!$E:$E,'GENERAL PAYROLL'!$E40,'MASTER DATA'!$AP:$AP)</f>
        <v>0</v>
      </c>
      <c r="V40" s="186">
        <f>SUMIF('MASTER DATA'!$E:$E,'GENERAL PAYROLL'!$E40,'MASTER DATA'!$AR:$AR)</f>
        <v>9872</v>
      </c>
      <c r="W40" s="185">
        <f>SUMIF('MASTER DATA'!$E:$E,'GENERAL PAYROLL'!$E40,'MASTER DATA'!$AS:$AS)</f>
        <v>0</v>
      </c>
      <c r="X40" s="185">
        <f>SUMIF('MASTER DATA'!$E:$E,'GENERAL PAYROLL'!$E40,'MASTER DATA'!$AT:$AT)</f>
        <v>0</v>
      </c>
      <c r="Y40" s="185">
        <f>SUMIF('MASTER DATA'!$E:$E,'GENERAL PAYROLL'!$E40,'MASTER DATA'!$AU:$AU)</f>
        <v>0</v>
      </c>
      <c r="Z40" s="185">
        <f>SUMIF('MASTER DATA'!$E:$E,'GENERAL PAYROLL'!$E40,'MASTER DATA'!$AV:$AV)</f>
        <v>0</v>
      </c>
      <c r="AA40" s="185">
        <f>SUMIF('MASTER DATA'!$E:$E,'GENERAL PAYROLL'!$E40,'MASTER DATA'!$AW:$AW)</f>
        <v>0</v>
      </c>
      <c r="AB40" s="185">
        <f>SUMIF('MASTER DATA'!$E:$E,'GENERAL PAYROLL'!$E40,'MASTER DATA'!$AX:$AX)</f>
        <v>0</v>
      </c>
      <c r="AC40" s="186">
        <f>SUMIF('MASTER DATA'!$E:$E,'GENERAL PAYROLL'!$E40,'MASTER DATA'!$AY:$AY)</f>
        <v>9872</v>
      </c>
      <c r="AD40" s="137" t="str">
        <f t="shared" ref="AD40:AD82" si="6">IF(E40&gt;=1,"SHOW","HIDE")</f>
        <v>SHOW</v>
      </c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</row>
    <row r="41" spans="2:42" ht="15.75" customHeight="1">
      <c r="B41" s="80"/>
      <c r="C41" s="137" t="s">
        <v>307</v>
      </c>
      <c r="D41" s="84">
        <f t="shared" si="0"/>
        <v>22</v>
      </c>
      <c r="E41" s="182" t="str">
        <f>IFERROR(VLOOKUP(C41,CODE!$B:$D,3,FALSE)," ")</f>
        <v>ESTAPON, LESLIE DC.</v>
      </c>
      <c r="F41" s="183" t="str">
        <f>VLOOKUP($C41,CODE!$B:$F,5,FALSE)</f>
        <v>Administrative Asst. II</v>
      </c>
      <c r="G41" s="183" t="str">
        <f>VLOOKUP($C41,CODE!$B:$F,4,FALSE)</f>
        <v>ACCTG.</v>
      </c>
      <c r="H41" s="187">
        <v>11</v>
      </c>
      <c r="I41" s="185">
        <f>SUMIF('MASTER DATA'!$E:$E,'GENERAL PAYROLL'!$E41,'MASTER DATA'!$O:$O)</f>
        <v>0</v>
      </c>
      <c r="J41" s="186">
        <f>SUMIF('MASTER DATA'!$E:$E,'GENERAL PAYROLL'!$E41,'MASTER DATA'!$N:$N)</f>
        <v>0</v>
      </c>
      <c r="K41" s="185">
        <f>SUMIF('MASTER DATA'!$E:$E,'GENERAL PAYROLL'!$E41,'MASTER DATA'!$W:$W)</f>
        <v>0</v>
      </c>
      <c r="L41" s="185">
        <f>SUMIF('MASTER DATA'!$E:$E,'GENERAL PAYROLL'!$E41,'MASTER DATA'!$X:$X)+SUMIF('MASTER DATA'!$E:$E,'GENERAL PAYROLL'!$E41,'MASTER DATA'!$Y:$Y)</f>
        <v>0</v>
      </c>
      <c r="M41" s="185">
        <f t="shared" si="1"/>
        <v>0</v>
      </c>
      <c r="N41" s="185">
        <f>SUMIF('MASTER DATA'!$E:$E,'GENERAL PAYROLL'!$E41,'MASTER DATA'!$AC:$AC)</f>
        <v>0</v>
      </c>
      <c r="O41" s="185">
        <f>SUMIF('MASTER DATA'!$E:$E,'GENERAL PAYROLL'!$E41,'MASTER DATA'!$AD:$AD)+SUMIF('MASTER DATA'!$E:$E,'GENERAL PAYROLL'!$E41,'MASTER DATA'!$AE:$AE)</f>
        <v>0</v>
      </c>
      <c r="P41" s="185">
        <f t="shared" si="2"/>
        <v>0</v>
      </c>
      <c r="Q41" s="185">
        <f>SUMIF('MASTER DATA'!$E:$E,'GENERAL PAYROLL'!$E41,'MASTER DATA'!$AI:$AI)</f>
        <v>0</v>
      </c>
      <c r="R41" s="185">
        <f>SUMIF('MASTER DATA'!$E:$E,'GENERAL PAYROLL'!$E41,'MASTER DATA'!$AJ:$AJ)+SUMIF('MASTER DATA'!$E:$E,'GENERAL PAYROLL'!$E41,'MASTER DATA'!$AK:$AK)</f>
        <v>0</v>
      </c>
      <c r="S41" s="185">
        <f t="shared" si="3"/>
        <v>0</v>
      </c>
      <c r="T41" s="185">
        <f>SUMIF('MASTER DATA'!$E:$E,'GENERAL PAYROLL'!$E41,'MASTER DATA'!$AO:$AO)</f>
        <v>0</v>
      </c>
      <c r="U41" s="185">
        <f>SUMIF('MASTER DATA'!$E:$E,'GENERAL PAYROLL'!$E41,'MASTER DATA'!$AP:$AP)</f>
        <v>0</v>
      </c>
      <c r="V41" s="186">
        <f>SUMIF('MASTER DATA'!$E:$E,'GENERAL PAYROLL'!$E41,'MASTER DATA'!$AR:$AR)</f>
        <v>0</v>
      </c>
      <c r="W41" s="185">
        <f>SUMIF('MASTER DATA'!$E:$E,'GENERAL PAYROLL'!$E41,'MASTER DATA'!$AS:$AS)</f>
        <v>0</v>
      </c>
      <c r="X41" s="185">
        <f>SUMIF('MASTER DATA'!$E:$E,'GENERAL PAYROLL'!$E41,'MASTER DATA'!$AT:$AT)</f>
        <v>0</v>
      </c>
      <c r="Y41" s="185">
        <f>SUMIF('MASTER DATA'!$E:$E,'GENERAL PAYROLL'!$E41,'MASTER DATA'!$AU:$AU)</f>
        <v>0</v>
      </c>
      <c r="Z41" s="185">
        <f>SUMIF('MASTER DATA'!$E:$E,'GENERAL PAYROLL'!$E41,'MASTER DATA'!$AV:$AV)</f>
        <v>0</v>
      </c>
      <c r="AA41" s="185">
        <f>SUMIF('MASTER DATA'!$E:$E,'GENERAL PAYROLL'!$E41,'MASTER DATA'!$AW:$AW)</f>
        <v>0</v>
      </c>
      <c r="AB41" s="185">
        <f>SUMIF('MASTER DATA'!$E:$E,'GENERAL PAYROLL'!$E41,'MASTER DATA'!$AX:$AX)</f>
        <v>0</v>
      </c>
      <c r="AC41" s="186">
        <f>SUMIF('MASTER DATA'!$E:$E,'GENERAL PAYROLL'!$E41,'MASTER DATA'!$AY:$AY)</f>
        <v>0</v>
      </c>
      <c r="AD41" s="137" t="str">
        <f t="shared" si="6"/>
        <v>SHOW</v>
      </c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</row>
    <row r="42" spans="2:42" ht="15.75" customHeight="1">
      <c r="B42" s="80"/>
      <c r="C42" s="137" t="s">
        <v>308</v>
      </c>
      <c r="D42" s="84">
        <f t="shared" si="0"/>
        <v>23</v>
      </c>
      <c r="E42" s="182" t="str">
        <f>IFERROR(VLOOKUP(C42,CODE!$B:$D,3,FALSE)," ")</f>
        <v>MARTIN, ORLAN LEONARD E.</v>
      </c>
      <c r="F42" s="183" t="str">
        <f>VLOOKUP($C42,CODE!$B:$F,5,FALSE)</f>
        <v>Administrative Asst. II</v>
      </c>
      <c r="G42" s="183" t="str">
        <f>VLOOKUP($C42,CODE!$B:$F,4,FALSE)</f>
        <v>ACCTG.</v>
      </c>
      <c r="H42" s="187">
        <v>11</v>
      </c>
      <c r="I42" s="185">
        <f>SUMIF('MASTER DATA'!$E:$E,'GENERAL PAYROLL'!$E42,'MASTER DATA'!$O:$O)</f>
        <v>897.4545454545455</v>
      </c>
      <c r="J42" s="186">
        <f>SUMIF('MASTER DATA'!$E:$E,'GENERAL PAYROLL'!$E42,'MASTER DATA'!$N:$N)</f>
        <v>9872</v>
      </c>
      <c r="K42" s="185">
        <f>SUMIF('MASTER DATA'!$E:$E,'GENERAL PAYROLL'!$E42,'MASTER DATA'!$W:$W)</f>
        <v>0</v>
      </c>
      <c r="L42" s="185">
        <f>SUMIF('MASTER DATA'!$E:$E,'GENERAL PAYROLL'!$E42,'MASTER DATA'!$X:$X)+SUMIF('MASTER DATA'!$E:$E,'GENERAL PAYROLL'!$E42,'MASTER DATA'!$Y:$Y)</f>
        <v>59.83</v>
      </c>
      <c r="M42" s="185">
        <f t="shared" si="1"/>
        <v>59.83</v>
      </c>
      <c r="N42" s="185">
        <f>SUMIF('MASTER DATA'!$E:$E,'GENERAL PAYROLL'!$E42,'MASTER DATA'!$AC:$AC)</f>
        <v>0</v>
      </c>
      <c r="O42" s="185">
        <f>SUMIF('MASTER DATA'!$E:$E,'GENERAL PAYROLL'!$E42,'MASTER DATA'!$AD:$AD)+SUMIF('MASTER DATA'!$E:$E,'GENERAL PAYROLL'!$E42,'MASTER DATA'!$AE:$AE)</f>
        <v>0</v>
      </c>
      <c r="P42" s="185">
        <f t="shared" si="2"/>
        <v>0</v>
      </c>
      <c r="Q42" s="185">
        <f>SUMIF('MASTER DATA'!$E:$E,'GENERAL PAYROLL'!$E42,'MASTER DATA'!$AI:$AI)</f>
        <v>0</v>
      </c>
      <c r="R42" s="185">
        <f>SUMIF('MASTER DATA'!$E:$E,'GENERAL PAYROLL'!$E42,'MASTER DATA'!$AJ:$AJ)+SUMIF('MASTER DATA'!$E:$E,'GENERAL PAYROLL'!$E42,'MASTER DATA'!$AK:$AK)</f>
        <v>0</v>
      </c>
      <c r="S42" s="185">
        <f t="shared" si="3"/>
        <v>0</v>
      </c>
      <c r="T42" s="185">
        <f>SUMIF('MASTER DATA'!$E:$E,'GENERAL PAYROLL'!$E42,'MASTER DATA'!$AO:$AO)</f>
        <v>59.83</v>
      </c>
      <c r="U42" s="185">
        <f>SUMIF('MASTER DATA'!$E:$E,'GENERAL PAYROLL'!$E42,'MASTER DATA'!$AP:$AP)</f>
        <v>0</v>
      </c>
      <c r="V42" s="186">
        <f>SUMIF('MASTER DATA'!$E:$E,'GENERAL PAYROLL'!$E42,'MASTER DATA'!$AR:$AR)</f>
        <v>9812.17</v>
      </c>
      <c r="W42" s="185">
        <f>SUMIF('MASTER DATA'!$E:$E,'GENERAL PAYROLL'!$E42,'MASTER DATA'!$AS:$AS)</f>
        <v>0</v>
      </c>
      <c r="X42" s="185">
        <f>SUMIF('MASTER DATA'!$E:$E,'GENERAL PAYROLL'!$E42,'MASTER DATA'!$AT:$AT)</f>
        <v>0</v>
      </c>
      <c r="Y42" s="185">
        <f>SUMIF('MASTER DATA'!$E:$E,'GENERAL PAYROLL'!$E42,'MASTER DATA'!$AU:$AU)</f>
        <v>0</v>
      </c>
      <c r="Z42" s="185">
        <f>SUMIF('MASTER DATA'!$E:$E,'GENERAL PAYROLL'!$E42,'MASTER DATA'!$AV:$AV)</f>
        <v>0</v>
      </c>
      <c r="AA42" s="185">
        <f>SUMIF('MASTER DATA'!$E:$E,'GENERAL PAYROLL'!$E42,'MASTER DATA'!$AW:$AW)</f>
        <v>0</v>
      </c>
      <c r="AB42" s="185">
        <f>SUMIF('MASTER DATA'!$E:$E,'GENERAL PAYROLL'!$E42,'MASTER DATA'!$AX:$AX)</f>
        <v>0</v>
      </c>
      <c r="AC42" s="186">
        <f>SUMIF('MASTER DATA'!$E:$E,'GENERAL PAYROLL'!$E42,'MASTER DATA'!$AY:$AY)</f>
        <v>9812.17</v>
      </c>
      <c r="AD42" s="137" t="str">
        <f t="shared" si="6"/>
        <v>SHOW</v>
      </c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</row>
    <row r="43" spans="2:42" ht="15.75" customHeight="1">
      <c r="B43" s="80"/>
      <c r="C43" s="137" t="s">
        <v>309</v>
      </c>
      <c r="D43" s="84">
        <f t="shared" si="0"/>
        <v>24</v>
      </c>
      <c r="E43" s="182" t="str">
        <f>IFERROR(VLOOKUP(C43,CODE!$B:$D,3,FALSE)," ")</f>
        <v>MAGDARAOG, CHRISTINE NAZEL C.</v>
      </c>
      <c r="F43" s="183" t="str">
        <f>VLOOKUP($C43,CODE!$B:$F,5,FALSE)</f>
        <v>Administrative Asst. II</v>
      </c>
      <c r="G43" s="183" t="str">
        <f>VLOOKUP($C43,CODE!$B:$F,4,FALSE)</f>
        <v>ACCTG.</v>
      </c>
      <c r="H43" s="187">
        <v>11</v>
      </c>
      <c r="I43" s="185">
        <f>SUMIF('MASTER DATA'!$E:$E,'GENERAL PAYROLL'!$E43,'MASTER DATA'!$O:$O)</f>
        <v>0</v>
      </c>
      <c r="J43" s="186">
        <f>SUMIF('MASTER DATA'!$E:$E,'GENERAL PAYROLL'!$E43,'MASTER DATA'!$N:$N)</f>
        <v>0</v>
      </c>
      <c r="K43" s="185">
        <f>SUMIF('MASTER DATA'!$E:$E,'GENERAL PAYROLL'!$E43,'MASTER DATA'!$W:$W)</f>
        <v>0</v>
      </c>
      <c r="L43" s="185">
        <f>SUMIF('MASTER DATA'!$E:$E,'GENERAL PAYROLL'!$E43,'MASTER DATA'!$X:$X)+SUMIF('MASTER DATA'!$E:$E,'GENERAL PAYROLL'!$E43,'MASTER DATA'!$Y:$Y)</f>
        <v>0</v>
      </c>
      <c r="M43" s="185">
        <f t="shared" si="1"/>
        <v>0</v>
      </c>
      <c r="N43" s="185">
        <f>SUMIF('MASTER DATA'!$E:$E,'GENERAL PAYROLL'!$E43,'MASTER DATA'!$AC:$AC)</f>
        <v>0</v>
      </c>
      <c r="O43" s="185">
        <f>SUMIF('MASTER DATA'!$E:$E,'GENERAL PAYROLL'!$E43,'MASTER DATA'!$AD:$AD)+SUMIF('MASTER DATA'!$E:$E,'GENERAL PAYROLL'!$E43,'MASTER DATA'!$AE:$AE)</f>
        <v>0</v>
      </c>
      <c r="P43" s="185">
        <f t="shared" si="2"/>
        <v>0</v>
      </c>
      <c r="Q43" s="185">
        <f>SUMIF('MASTER DATA'!$E:$E,'GENERAL PAYROLL'!$E43,'MASTER DATA'!$AI:$AI)</f>
        <v>0</v>
      </c>
      <c r="R43" s="185">
        <f>SUMIF('MASTER DATA'!$E:$E,'GENERAL PAYROLL'!$E43,'MASTER DATA'!$AJ:$AJ)+SUMIF('MASTER DATA'!$E:$E,'GENERAL PAYROLL'!$E43,'MASTER DATA'!$AK:$AK)</f>
        <v>0</v>
      </c>
      <c r="S43" s="185">
        <f t="shared" si="3"/>
        <v>0</v>
      </c>
      <c r="T43" s="185">
        <f>SUMIF('MASTER DATA'!$E:$E,'GENERAL PAYROLL'!$E43,'MASTER DATA'!$AO:$AO)</f>
        <v>0</v>
      </c>
      <c r="U43" s="185">
        <f>SUMIF('MASTER DATA'!$E:$E,'GENERAL PAYROLL'!$E43,'MASTER DATA'!$AP:$AP)</f>
        <v>0</v>
      </c>
      <c r="V43" s="186">
        <f>SUMIF('MASTER DATA'!$E:$E,'GENERAL PAYROLL'!$E43,'MASTER DATA'!$AR:$AR)</f>
        <v>0</v>
      </c>
      <c r="W43" s="185">
        <f>SUMIF('MASTER DATA'!$E:$E,'GENERAL PAYROLL'!$E43,'MASTER DATA'!$AS:$AS)</f>
        <v>0</v>
      </c>
      <c r="X43" s="185">
        <f>SUMIF('MASTER DATA'!$E:$E,'GENERAL PAYROLL'!$E43,'MASTER DATA'!$AT:$AT)</f>
        <v>0</v>
      </c>
      <c r="Y43" s="185">
        <f>SUMIF('MASTER DATA'!$E:$E,'GENERAL PAYROLL'!$E43,'MASTER DATA'!$AU:$AU)</f>
        <v>0</v>
      </c>
      <c r="Z43" s="185">
        <f>SUMIF('MASTER DATA'!$E:$E,'GENERAL PAYROLL'!$E43,'MASTER DATA'!$AV:$AV)</f>
        <v>0</v>
      </c>
      <c r="AA43" s="185">
        <f>SUMIF('MASTER DATA'!$E:$E,'GENERAL PAYROLL'!$E43,'MASTER DATA'!$AW:$AW)</f>
        <v>0</v>
      </c>
      <c r="AB43" s="185">
        <f>SUMIF('MASTER DATA'!$E:$E,'GENERAL PAYROLL'!$E43,'MASTER DATA'!$AX:$AX)</f>
        <v>0</v>
      </c>
      <c r="AC43" s="186">
        <f>SUMIF('MASTER DATA'!$E:$E,'GENERAL PAYROLL'!$E43,'MASTER DATA'!$AY:$AY)</f>
        <v>0</v>
      </c>
      <c r="AD43" s="137" t="str">
        <f t="shared" si="6"/>
        <v>SHOW</v>
      </c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</row>
    <row r="44" spans="2:42" ht="15.75" customHeight="1">
      <c r="B44" s="80"/>
      <c r="C44" s="137" t="s">
        <v>310</v>
      </c>
      <c r="D44" s="84">
        <f t="shared" si="0"/>
        <v>25</v>
      </c>
      <c r="E44" s="182" t="str">
        <f>IFERROR(VLOOKUP(C44,CODE!$B:$D,3,FALSE)," ")</f>
        <v>LOZANO, ADRIAN D.</v>
      </c>
      <c r="F44" s="183" t="str">
        <f>VLOOKUP($C44,CODE!$B:$F,5,FALSE)</f>
        <v>Administrative Asst. II</v>
      </c>
      <c r="G44" s="183" t="str">
        <f>VLOOKUP($C44,CODE!$B:$F,4,FALSE)</f>
        <v>ACCTG.</v>
      </c>
      <c r="H44" s="187">
        <v>11</v>
      </c>
      <c r="I44" s="185">
        <f>SUMIF('MASTER DATA'!$E:$E,'GENERAL PAYROLL'!$E44,'MASTER DATA'!$O:$O)</f>
        <v>0</v>
      </c>
      <c r="J44" s="186">
        <f>SUMIF('MASTER DATA'!$E:$E,'GENERAL PAYROLL'!$E44,'MASTER DATA'!$N:$N)</f>
        <v>0</v>
      </c>
      <c r="K44" s="185">
        <f>SUMIF('MASTER DATA'!$E:$E,'GENERAL PAYROLL'!$E44,'MASTER DATA'!$W:$W)</f>
        <v>0</v>
      </c>
      <c r="L44" s="185">
        <f>SUMIF('MASTER DATA'!$E:$E,'GENERAL PAYROLL'!$E44,'MASTER DATA'!$X:$X)+SUMIF('MASTER DATA'!$E:$E,'GENERAL PAYROLL'!$E44,'MASTER DATA'!$Y:$Y)</f>
        <v>0</v>
      </c>
      <c r="M44" s="185">
        <f t="shared" si="1"/>
        <v>0</v>
      </c>
      <c r="N44" s="185">
        <f>SUMIF('MASTER DATA'!$E:$E,'GENERAL PAYROLL'!$E44,'MASTER DATA'!$AC:$AC)</f>
        <v>0</v>
      </c>
      <c r="O44" s="185">
        <f>SUMIF('MASTER DATA'!$E:$E,'GENERAL PAYROLL'!$E44,'MASTER DATA'!$AD:$AD)+SUMIF('MASTER DATA'!$E:$E,'GENERAL PAYROLL'!$E44,'MASTER DATA'!$AE:$AE)</f>
        <v>0</v>
      </c>
      <c r="P44" s="185">
        <f t="shared" si="2"/>
        <v>0</v>
      </c>
      <c r="Q44" s="185">
        <f>SUMIF('MASTER DATA'!$E:$E,'GENERAL PAYROLL'!$E44,'MASTER DATA'!$AI:$AI)</f>
        <v>0</v>
      </c>
      <c r="R44" s="185">
        <f>SUMIF('MASTER DATA'!$E:$E,'GENERAL PAYROLL'!$E44,'MASTER DATA'!$AJ:$AJ)+SUMIF('MASTER DATA'!$E:$E,'GENERAL PAYROLL'!$E44,'MASTER DATA'!$AK:$AK)</f>
        <v>0</v>
      </c>
      <c r="S44" s="185">
        <f t="shared" si="3"/>
        <v>0</v>
      </c>
      <c r="T44" s="185">
        <f>SUMIF('MASTER DATA'!$E:$E,'GENERAL PAYROLL'!$E44,'MASTER DATA'!$AO:$AO)</f>
        <v>0</v>
      </c>
      <c r="U44" s="185">
        <f>SUMIF('MASTER DATA'!$E:$E,'GENERAL PAYROLL'!$E44,'MASTER DATA'!$AP:$AP)</f>
        <v>0</v>
      </c>
      <c r="V44" s="186">
        <f>SUMIF('MASTER DATA'!$E:$E,'GENERAL PAYROLL'!$E44,'MASTER DATA'!$AR:$AR)</f>
        <v>0</v>
      </c>
      <c r="W44" s="185">
        <f>SUMIF('MASTER DATA'!$E:$E,'GENERAL PAYROLL'!$E44,'MASTER DATA'!$AS:$AS)</f>
        <v>0</v>
      </c>
      <c r="X44" s="185">
        <f>SUMIF('MASTER DATA'!$E:$E,'GENERAL PAYROLL'!$E44,'MASTER DATA'!$AT:$AT)</f>
        <v>0</v>
      </c>
      <c r="Y44" s="185">
        <f>SUMIF('MASTER DATA'!$E:$E,'GENERAL PAYROLL'!$E44,'MASTER DATA'!$AU:$AU)</f>
        <v>0</v>
      </c>
      <c r="Z44" s="185">
        <f>SUMIF('MASTER DATA'!$E:$E,'GENERAL PAYROLL'!$E44,'MASTER DATA'!$AV:$AV)</f>
        <v>0</v>
      </c>
      <c r="AA44" s="185">
        <f>SUMIF('MASTER DATA'!$E:$E,'GENERAL PAYROLL'!$E44,'MASTER DATA'!$AW:$AW)</f>
        <v>0</v>
      </c>
      <c r="AB44" s="185">
        <f>SUMIF('MASTER DATA'!$E:$E,'GENERAL PAYROLL'!$E44,'MASTER DATA'!$AX:$AX)</f>
        <v>0</v>
      </c>
      <c r="AC44" s="186">
        <f>SUMIF('MASTER DATA'!$E:$E,'GENERAL PAYROLL'!$E44,'MASTER DATA'!$AY:$AY)</f>
        <v>0</v>
      </c>
      <c r="AD44" s="137" t="str">
        <f t="shared" si="6"/>
        <v>SHOW</v>
      </c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</row>
    <row r="45" spans="2:42" ht="15.75" customHeight="1">
      <c r="B45" s="80"/>
      <c r="C45" s="137" t="s">
        <v>311</v>
      </c>
      <c r="D45" s="84">
        <f t="shared" si="0"/>
        <v>26</v>
      </c>
      <c r="E45" s="182" t="str">
        <f>IFERROR(VLOOKUP(C45,CODE!$B:$D,3,FALSE)," ")</f>
        <v>OLIVO, JENNA P.</v>
      </c>
      <c r="F45" s="183" t="str">
        <f>VLOOKUP($C45,CODE!$B:$F,5,FALSE)</f>
        <v>Technical Support Staff</v>
      </c>
      <c r="G45" s="183" t="str">
        <f>VLOOKUP($C45,CODE!$B:$F,4,FALSE)</f>
        <v>ACCTG.</v>
      </c>
      <c r="H45" s="187">
        <v>11</v>
      </c>
      <c r="I45" s="185">
        <f>SUMIF('MASTER DATA'!$E:$E,'GENERAL PAYROLL'!$E45,'MASTER DATA'!$O:$O)</f>
        <v>0</v>
      </c>
      <c r="J45" s="186">
        <f>SUMIF('MASTER DATA'!$E:$E,'GENERAL PAYROLL'!$E45,'MASTER DATA'!$N:$N)</f>
        <v>0</v>
      </c>
      <c r="K45" s="185">
        <f>SUMIF('MASTER DATA'!$E:$E,'GENERAL PAYROLL'!$E45,'MASTER DATA'!$W:$W)</f>
        <v>0</v>
      </c>
      <c r="L45" s="185">
        <f>SUMIF('MASTER DATA'!$E:$E,'GENERAL PAYROLL'!$E45,'MASTER DATA'!$X:$X)+SUMIF('MASTER DATA'!$E:$E,'GENERAL PAYROLL'!$E45,'MASTER DATA'!$Y:$Y)</f>
        <v>0</v>
      </c>
      <c r="M45" s="185">
        <f t="shared" si="1"/>
        <v>0</v>
      </c>
      <c r="N45" s="185">
        <f>SUMIF('MASTER DATA'!$E:$E,'GENERAL PAYROLL'!$E45,'MASTER DATA'!$AC:$AC)</f>
        <v>0</v>
      </c>
      <c r="O45" s="185">
        <f>SUMIF('MASTER DATA'!$E:$E,'GENERAL PAYROLL'!$E45,'MASTER DATA'!$AD:$AD)+SUMIF('MASTER DATA'!$E:$E,'GENERAL PAYROLL'!$E45,'MASTER DATA'!$AE:$AE)</f>
        <v>0</v>
      </c>
      <c r="P45" s="185">
        <f t="shared" si="2"/>
        <v>0</v>
      </c>
      <c r="Q45" s="185">
        <f>SUMIF('MASTER DATA'!$E:$E,'GENERAL PAYROLL'!$E45,'MASTER DATA'!$AI:$AI)</f>
        <v>0</v>
      </c>
      <c r="R45" s="185">
        <f>SUMIF('MASTER DATA'!$E:$E,'GENERAL PAYROLL'!$E45,'MASTER DATA'!$AJ:$AJ)+SUMIF('MASTER DATA'!$E:$E,'GENERAL PAYROLL'!$E45,'MASTER DATA'!$AK:$AK)</f>
        <v>0</v>
      </c>
      <c r="S45" s="185">
        <f t="shared" si="3"/>
        <v>0</v>
      </c>
      <c r="T45" s="185">
        <f>SUMIF('MASTER DATA'!$E:$E,'GENERAL PAYROLL'!$E45,'MASTER DATA'!$AO:$AO)</f>
        <v>0</v>
      </c>
      <c r="U45" s="185">
        <f>SUMIF('MASTER DATA'!$E:$E,'GENERAL PAYROLL'!$E45,'MASTER DATA'!$AP:$AP)</f>
        <v>0</v>
      </c>
      <c r="V45" s="186">
        <f>SUMIF('MASTER DATA'!$E:$E,'GENERAL PAYROLL'!$E45,'MASTER DATA'!$AR:$AR)</f>
        <v>0</v>
      </c>
      <c r="W45" s="185">
        <f>SUMIF('MASTER DATA'!$E:$E,'GENERAL PAYROLL'!$E45,'MASTER DATA'!$AS:$AS)</f>
        <v>0</v>
      </c>
      <c r="X45" s="185">
        <f>SUMIF('MASTER DATA'!$E:$E,'GENERAL PAYROLL'!$E45,'MASTER DATA'!$AT:$AT)</f>
        <v>0</v>
      </c>
      <c r="Y45" s="185">
        <f>SUMIF('MASTER DATA'!$E:$E,'GENERAL PAYROLL'!$E45,'MASTER DATA'!$AU:$AU)</f>
        <v>0</v>
      </c>
      <c r="Z45" s="185">
        <f>SUMIF('MASTER DATA'!$E:$E,'GENERAL PAYROLL'!$E45,'MASTER DATA'!$AV:$AV)</f>
        <v>0</v>
      </c>
      <c r="AA45" s="185">
        <f>SUMIF('MASTER DATA'!$E:$E,'GENERAL PAYROLL'!$E45,'MASTER DATA'!$AW:$AW)</f>
        <v>0</v>
      </c>
      <c r="AB45" s="185">
        <f>SUMIF('MASTER DATA'!$E:$E,'GENERAL PAYROLL'!$E45,'MASTER DATA'!$AX:$AX)</f>
        <v>0</v>
      </c>
      <c r="AC45" s="186">
        <f>SUMIF('MASTER DATA'!$E:$E,'GENERAL PAYROLL'!$E45,'MASTER DATA'!$AY:$AY)</f>
        <v>0</v>
      </c>
      <c r="AD45" s="137" t="str">
        <f t="shared" si="6"/>
        <v>SHOW</v>
      </c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</row>
    <row r="46" spans="2:42" ht="15.75" customHeight="1">
      <c r="B46" s="80"/>
      <c r="C46" s="137" t="s">
        <v>312</v>
      </c>
      <c r="D46" s="84">
        <f t="shared" si="0"/>
        <v>27</v>
      </c>
      <c r="E46" s="182" t="str">
        <f>IFERROR(VLOOKUP(C46,CODE!$B:$D,3,FALSE)," ")</f>
        <v>CALDITO, CHARISSE D.</v>
      </c>
      <c r="F46" s="183" t="str">
        <f>VLOOKUP($C46,CODE!$B:$F,5,FALSE)</f>
        <v>Administrative Asst. II</v>
      </c>
      <c r="G46" s="183" t="str">
        <f>VLOOKUP($C46,CODE!$B:$F,4,FALSE)</f>
        <v>ACCTG.</v>
      </c>
      <c r="H46" s="187">
        <v>11</v>
      </c>
      <c r="I46" s="185">
        <f>SUMIF('MASTER DATA'!$E:$E,'GENERAL PAYROLL'!$E46,'MASTER DATA'!$O:$O)</f>
        <v>0</v>
      </c>
      <c r="J46" s="186">
        <f>SUMIF('MASTER DATA'!$E:$E,'GENERAL PAYROLL'!$E46,'MASTER DATA'!$N:$N)</f>
        <v>0</v>
      </c>
      <c r="K46" s="185">
        <f>SUMIF('MASTER DATA'!$E:$E,'GENERAL PAYROLL'!$E46,'MASTER DATA'!$W:$W)</f>
        <v>0</v>
      </c>
      <c r="L46" s="185">
        <f>SUMIF('MASTER DATA'!$E:$E,'GENERAL PAYROLL'!$E46,'MASTER DATA'!$X:$X)+SUMIF('MASTER DATA'!$E:$E,'GENERAL PAYROLL'!$E46,'MASTER DATA'!$Y:$Y)</f>
        <v>0</v>
      </c>
      <c r="M46" s="185">
        <f t="shared" si="1"/>
        <v>0</v>
      </c>
      <c r="N46" s="185">
        <f>SUMIF('MASTER DATA'!$E:$E,'GENERAL PAYROLL'!$E46,'MASTER DATA'!$AC:$AC)</f>
        <v>0</v>
      </c>
      <c r="O46" s="185">
        <f>SUMIF('MASTER DATA'!$E:$E,'GENERAL PAYROLL'!$E46,'MASTER DATA'!$AD:$AD)+SUMIF('MASTER DATA'!$E:$E,'GENERAL PAYROLL'!$E46,'MASTER DATA'!$AE:$AE)</f>
        <v>0</v>
      </c>
      <c r="P46" s="185">
        <f t="shared" si="2"/>
        <v>0</v>
      </c>
      <c r="Q46" s="185">
        <f>SUMIF('MASTER DATA'!$E:$E,'GENERAL PAYROLL'!$E46,'MASTER DATA'!$AI:$AI)</f>
        <v>0</v>
      </c>
      <c r="R46" s="185">
        <f>SUMIF('MASTER DATA'!$E:$E,'GENERAL PAYROLL'!$E46,'MASTER DATA'!$AJ:$AJ)+SUMIF('MASTER DATA'!$E:$E,'GENERAL PAYROLL'!$E46,'MASTER DATA'!$AK:$AK)</f>
        <v>0</v>
      </c>
      <c r="S46" s="185">
        <f t="shared" si="3"/>
        <v>0</v>
      </c>
      <c r="T46" s="185">
        <f>SUMIF('MASTER DATA'!$E:$E,'GENERAL PAYROLL'!$E46,'MASTER DATA'!$AO:$AO)</f>
        <v>0</v>
      </c>
      <c r="U46" s="185">
        <f>SUMIF('MASTER DATA'!$E:$E,'GENERAL PAYROLL'!$E46,'MASTER DATA'!$AP:$AP)</f>
        <v>0</v>
      </c>
      <c r="V46" s="186">
        <f>SUMIF('MASTER DATA'!$E:$E,'GENERAL PAYROLL'!$E46,'MASTER DATA'!$AR:$AR)</f>
        <v>0</v>
      </c>
      <c r="W46" s="185">
        <f>SUMIF('MASTER DATA'!$E:$E,'GENERAL PAYROLL'!$E46,'MASTER DATA'!$AS:$AS)</f>
        <v>0</v>
      </c>
      <c r="X46" s="185">
        <f>SUMIF('MASTER DATA'!$E:$E,'GENERAL PAYROLL'!$E46,'MASTER DATA'!$AT:$AT)</f>
        <v>0</v>
      </c>
      <c r="Y46" s="185">
        <f>SUMIF('MASTER DATA'!$E:$E,'GENERAL PAYROLL'!$E46,'MASTER DATA'!$AU:$AU)</f>
        <v>0</v>
      </c>
      <c r="Z46" s="185">
        <f>SUMIF('MASTER DATA'!$E:$E,'GENERAL PAYROLL'!$E46,'MASTER DATA'!$AV:$AV)</f>
        <v>0</v>
      </c>
      <c r="AA46" s="185">
        <f>SUMIF('MASTER DATA'!$E:$E,'GENERAL PAYROLL'!$E46,'MASTER DATA'!$AW:$AW)</f>
        <v>0</v>
      </c>
      <c r="AB46" s="185">
        <f>SUMIF('MASTER DATA'!$E:$E,'GENERAL PAYROLL'!$E46,'MASTER DATA'!$AX:$AX)</f>
        <v>0</v>
      </c>
      <c r="AC46" s="186">
        <f>SUMIF('MASTER DATA'!$E:$E,'GENERAL PAYROLL'!$E46,'MASTER DATA'!$AY:$AY)</f>
        <v>0</v>
      </c>
      <c r="AD46" s="137" t="str">
        <f t="shared" si="6"/>
        <v>SHOW</v>
      </c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</row>
    <row r="47" spans="2:42" ht="15.75" customHeight="1">
      <c r="B47" s="80"/>
      <c r="C47" s="137" t="s">
        <v>313</v>
      </c>
      <c r="D47" s="84">
        <f t="shared" si="0"/>
        <v>28</v>
      </c>
      <c r="E47" s="182" t="str">
        <f>IFERROR(VLOOKUP(C47,CODE!$B:$D,3,FALSE)," ")</f>
        <v>YUGA, MYKA ALEXZA B.</v>
      </c>
      <c r="F47" s="183" t="str">
        <f>VLOOKUP($C47,CODE!$B:$F,5,FALSE)</f>
        <v>Administrative Asst. II</v>
      </c>
      <c r="G47" s="183" t="str">
        <f>VLOOKUP($C47,CODE!$B:$F,4,FALSE)</f>
        <v>ACCTG.</v>
      </c>
      <c r="H47" s="187">
        <v>11</v>
      </c>
      <c r="I47" s="185">
        <f>SUMIF('MASTER DATA'!$E:$E,'GENERAL PAYROLL'!$E47,'MASTER DATA'!$O:$O)</f>
        <v>897.4545454545455</v>
      </c>
      <c r="J47" s="186">
        <f>SUMIF('MASTER DATA'!$E:$E,'GENERAL PAYROLL'!$E47,'MASTER DATA'!$N:$N)</f>
        <v>9872</v>
      </c>
      <c r="K47" s="185">
        <f>SUMIF('MASTER DATA'!$E:$E,'GENERAL PAYROLL'!$E47,'MASTER DATA'!$W:$W)</f>
        <v>0</v>
      </c>
      <c r="L47" s="185">
        <f>SUMIF('MASTER DATA'!$E:$E,'GENERAL PAYROLL'!$E47,'MASTER DATA'!$X:$X)+SUMIF('MASTER DATA'!$E:$E,'GENERAL PAYROLL'!$E47,'MASTER DATA'!$Y:$Y)</f>
        <v>0</v>
      </c>
      <c r="M47" s="185">
        <f t="shared" si="1"/>
        <v>0</v>
      </c>
      <c r="N47" s="185">
        <f>SUMIF('MASTER DATA'!$E:$E,'GENERAL PAYROLL'!$E47,'MASTER DATA'!$AC:$AC)</f>
        <v>0</v>
      </c>
      <c r="O47" s="185">
        <f>SUMIF('MASTER DATA'!$E:$E,'GENERAL PAYROLL'!$E47,'MASTER DATA'!$AD:$AD)+SUMIF('MASTER DATA'!$E:$E,'GENERAL PAYROLL'!$E47,'MASTER DATA'!$AE:$AE)</f>
        <v>0</v>
      </c>
      <c r="P47" s="185">
        <f t="shared" si="2"/>
        <v>0</v>
      </c>
      <c r="Q47" s="185">
        <f>SUMIF('MASTER DATA'!$E:$E,'GENERAL PAYROLL'!$E47,'MASTER DATA'!$AI:$AI)</f>
        <v>0</v>
      </c>
      <c r="R47" s="185">
        <f>SUMIF('MASTER DATA'!$E:$E,'GENERAL PAYROLL'!$E47,'MASTER DATA'!$AJ:$AJ)+SUMIF('MASTER DATA'!$E:$E,'GENERAL PAYROLL'!$E47,'MASTER DATA'!$AK:$AK)</f>
        <v>0</v>
      </c>
      <c r="S47" s="185">
        <f t="shared" si="3"/>
        <v>0</v>
      </c>
      <c r="T47" s="185">
        <f>SUMIF('MASTER DATA'!$E:$E,'GENERAL PAYROLL'!$E47,'MASTER DATA'!$AO:$AO)</f>
        <v>0</v>
      </c>
      <c r="U47" s="185">
        <f>SUMIF('MASTER DATA'!$E:$E,'GENERAL PAYROLL'!$E47,'MASTER DATA'!$AP:$AP)</f>
        <v>0</v>
      </c>
      <c r="V47" s="186">
        <f>SUMIF('MASTER DATA'!$E:$E,'GENERAL PAYROLL'!$E47,'MASTER DATA'!$AR:$AR)</f>
        <v>9872</v>
      </c>
      <c r="W47" s="185">
        <f>SUMIF('MASTER DATA'!$E:$E,'GENERAL PAYROLL'!$E47,'MASTER DATA'!$AS:$AS)</f>
        <v>0</v>
      </c>
      <c r="X47" s="185">
        <f>SUMIF('MASTER DATA'!$E:$E,'GENERAL PAYROLL'!$E47,'MASTER DATA'!$AT:$AT)</f>
        <v>0</v>
      </c>
      <c r="Y47" s="185">
        <f>SUMIF('MASTER DATA'!$E:$E,'GENERAL PAYROLL'!$E47,'MASTER DATA'!$AU:$AU)</f>
        <v>0</v>
      </c>
      <c r="Z47" s="185">
        <f>SUMIF('MASTER DATA'!$E:$E,'GENERAL PAYROLL'!$E47,'MASTER DATA'!$AV:$AV)</f>
        <v>0</v>
      </c>
      <c r="AA47" s="185">
        <f>SUMIF('MASTER DATA'!$E:$E,'GENERAL PAYROLL'!$E47,'MASTER DATA'!$AW:$AW)</f>
        <v>0</v>
      </c>
      <c r="AB47" s="185">
        <f>SUMIF('MASTER DATA'!$E:$E,'GENERAL PAYROLL'!$E47,'MASTER DATA'!$AX:$AX)</f>
        <v>0</v>
      </c>
      <c r="AC47" s="186">
        <f>SUMIF('MASTER DATA'!$E:$E,'GENERAL PAYROLL'!$E47,'MASTER DATA'!$AY:$AY)</f>
        <v>9872</v>
      </c>
      <c r="AD47" s="137" t="str">
        <f t="shared" si="6"/>
        <v>SHOW</v>
      </c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</row>
    <row r="48" spans="2:42" ht="15.75" customHeight="1">
      <c r="B48" s="80"/>
      <c r="C48" s="137" t="s">
        <v>314</v>
      </c>
      <c r="D48" s="84">
        <f t="shared" si="0"/>
        <v>29</v>
      </c>
      <c r="E48" s="182" t="str">
        <f>IFERROR(VLOOKUP(C48,CODE!$B:$D,3,FALSE)," ")</f>
        <v>EMBALZADO, SHERYL P.</v>
      </c>
      <c r="F48" s="183" t="str">
        <f>VLOOKUP($C48,CODE!$B:$F,5,FALSE)</f>
        <v>Administrative Asst. II</v>
      </c>
      <c r="G48" s="183" t="str">
        <f>VLOOKUP($C48,CODE!$B:$F,4,FALSE)</f>
        <v>CASHIER</v>
      </c>
      <c r="H48" s="187">
        <v>11</v>
      </c>
      <c r="I48" s="185">
        <f>SUMIF('MASTER DATA'!$E:$E,'GENERAL PAYROLL'!$E48,'MASTER DATA'!$O:$O)</f>
        <v>0</v>
      </c>
      <c r="J48" s="186">
        <f>SUMIF('MASTER DATA'!$E:$E,'GENERAL PAYROLL'!$E48,'MASTER DATA'!$N:$N)</f>
        <v>0</v>
      </c>
      <c r="K48" s="185">
        <f>SUMIF('MASTER DATA'!$E:$E,'GENERAL PAYROLL'!$E48,'MASTER DATA'!$W:$W)</f>
        <v>0</v>
      </c>
      <c r="L48" s="185">
        <f>SUMIF('MASTER DATA'!$E:$E,'GENERAL PAYROLL'!$E48,'MASTER DATA'!$X:$X)+SUMIF('MASTER DATA'!$E:$E,'GENERAL PAYROLL'!$E48,'MASTER DATA'!$Y:$Y)</f>
        <v>0</v>
      </c>
      <c r="M48" s="185">
        <f t="shared" si="1"/>
        <v>0</v>
      </c>
      <c r="N48" s="185">
        <f>SUMIF('MASTER DATA'!$E:$E,'GENERAL PAYROLL'!$E48,'MASTER DATA'!$AC:$AC)</f>
        <v>0</v>
      </c>
      <c r="O48" s="185">
        <f>SUMIF('MASTER DATA'!$E:$E,'GENERAL PAYROLL'!$E48,'MASTER DATA'!$AD:$AD)+SUMIF('MASTER DATA'!$E:$E,'GENERAL PAYROLL'!$E48,'MASTER DATA'!$AE:$AE)</f>
        <v>0</v>
      </c>
      <c r="P48" s="185">
        <f t="shared" si="2"/>
        <v>0</v>
      </c>
      <c r="Q48" s="185">
        <f>SUMIF('MASTER DATA'!$E:$E,'GENERAL PAYROLL'!$E48,'MASTER DATA'!$AI:$AI)</f>
        <v>0</v>
      </c>
      <c r="R48" s="185">
        <f>SUMIF('MASTER DATA'!$E:$E,'GENERAL PAYROLL'!$E48,'MASTER DATA'!$AJ:$AJ)+SUMIF('MASTER DATA'!$E:$E,'GENERAL PAYROLL'!$E48,'MASTER DATA'!$AK:$AK)</f>
        <v>0</v>
      </c>
      <c r="S48" s="185">
        <f t="shared" si="3"/>
        <v>0</v>
      </c>
      <c r="T48" s="185">
        <f>SUMIF('MASTER DATA'!$E:$E,'GENERAL PAYROLL'!$E48,'MASTER DATA'!$AO:$AO)</f>
        <v>0</v>
      </c>
      <c r="U48" s="185">
        <f>SUMIF('MASTER DATA'!$E:$E,'GENERAL PAYROLL'!$E48,'MASTER DATA'!$AP:$AP)</f>
        <v>0</v>
      </c>
      <c r="V48" s="186">
        <f>SUMIF('MASTER DATA'!$E:$E,'GENERAL PAYROLL'!$E48,'MASTER DATA'!$AR:$AR)</f>
        <v>0</v>
      </c>
      <c r="W48" s="185">
        <f>SUMIF('MASTER DATA'!$E:$E,'GENERAL PAYROLL'!$E48,'MASTER DATA'!$AS:$AS)</f>
        <v>0</v>
      </c>
      <c r="X48" s="185">
        <f>SUMIF('MASTER DATA'!$E:$E,'GENERAL PAYROLL'!$E48,'MASTER DATA'!$AT:$AT)</f>
        <v>0</v>
      </c>
      <c r="Y48" s="185">
        <f>SUMIF('MASTER DATA'!$E:$E,'GENERAL PAYROLL'!$E48,'MASTER DATA'!$AU:$AU)</f>
        <v>0</v>
      </c>
      <c r="Z48" s="185">
        <f>SUMIF('MASTER DATA'!$E:$E,'GENERAL PAYROLL'!$E48,'MASTER DATA'!$AV:$AV)</f>
        <v>0</v>
      </c>
      <c r="AA48" s="185">
        <f>SUMIF('MASTER DATA'!$E:$E,'GENERAL PAYROLL'!$E48,'MASTER DATA'!$AW:$AW)</f>
        <v>0</v>
      </c>
      <c r="AB48" s="185">
        <f>SUMIF('MASTER DATA'!$E:$E,'GENERAL PAYROLL'!$E48,'MASTER DATA'!$AX:$AX)</f>
        <v>0</v>
      </c>
      <c r="AC48" s="186">
        <f>SUMIF('MASTER DATA'!$E:$E,'GENERAL PAYROLL'!$E48,'MASTER DATA'!$AY:$AY)</f>
        <v>0</v>
      </c>
      <c r="AD48" s="137" t="str">
        <f t="shared" si="6"/>
        <v>SHOW</v>
      </c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</row>
    <row r="49" spans="2:42" ht="15.75" customHeight="1">
      <c r="B49" s="80"/>
      <c r="C49" s="137" t="s">
        <v>315</v>
      </c>
      <c r="D49" s="84">
        <f t="shared" si="0"/>
        <v>30</v>
      </c>
      <c r="E49" s="182" t="str">
        <f>IFERROR(VLOOKUP(C49,CODE!$B:$D,3,FALSE)," ")</f>
        <v>CRUZ, CLAIRE JOYCE B.</v>
      </c>
      <c r="F49" s="183" t="str">
        <f>VLOOKUP($C49,CODE!$B:$F,5,FALSE)</f>
        <v>Administrative Asst. II</v>
      </c>
      <c r="G49" s="183" t="str">
        <f>VLOOKUP($C49,CODE!$B:$F,4,FALSE)</f>
        <v>IAU</v>
      </c>
      <c r="H49" s="187">
        <v>11</v>
      </c>
      <c r="I49" s="185">
        <f>SUMIF('MASTER DATA'!$E:$E,'GENERAL PAYROLL'!$E49,'MASTER DATA'!$O:$O)</f>
        <v>897.4545454545455</v>
      </c>
      <c r="J49" s="186">
        <f>SUMIF('MASTER DATA'!$E:$E,'GENERAL PAYROLL'!$E49,'MASTER DATA'!$N:$N)</f>
        <v>9872</v>
      </c>
      <c r="K49" s="185">
        <f>SUMIF('MASTER DATA'!$E:$E,'GENERAL PAYROLL'!$E49,'MASTER DATA'!$W:$W)</f>
        <v>0</v>
      </c>
      <c r="L49" s="185">
        <f>SUMIF('MASTER DATA'!$E:$E,'GENERAL PAYROLL'!$E49,'MASTER DATA'!$X:$X)+SUMIF('MASTER DATA'!$E:$E,'GENERAL PAYROLL'!$E49,'MASTER DATA'!$Y:$Y)</f>
        <v>0</v>
      </c>
      <c r="M49" s="185">
        <f t="shared" si="1"/>
        <v>0</v>
      </c>
      <c r="N49" s="185">
        <f>SUMIF('MASTER DATA'!$E:$E,'GENERAL PAYROLL'!$E49,'MASTER DATA'!$AC:$AC)</f>
        <v>0</v>
      </c>
      <c r="O49" s="185">
        <f>SUMIF('MASTER DATA'!$E:$E,'GENERAL PAYROLL'!$E49,'MASTER DATA'!$AD:$AD)+SUMIF('MASTER DATA'!$E:$E,'GENERAL PAYROLL'!$E49,'MASTER DATA'!$AE:$AE)</f>
        <v>0</v>
      </c>
      <c r="P49" s="185">
        <f t="shared" si="2"/>
        <v>0</v>
      </c>
      <c r="Q49" s="185">
        <f>SUMIF('MASTER DATA'!$E:$E,'GENERAL PAYROLL'!$E49,'MASTER DATA'!$AI:$AI)</f>
        <v>0</v>
      </c>
      <c r="R49" s="185">
        <f>SUMIF('MASTER DATA'!$E:$E,'GENERAL PAYROLL'!$E49,'MASTER DATA'!$AJ:$AJ)+SUMIF('MASTER DATA'!$E:$E,'GENERAL PAYROLL'!$E49,'MASTER DATA'!$AK:$AK)</f>
        <v>0</v>
      </c>
      <c r="S49" s="185">
        <f t="shared" si="3"/>
        <v>0</v>
      </c>
      <c r="T49" s="185">
        <f>SUMIF('MASTER DATA'!$E:$E,'GENERAL PAYROLL'!$E49,'MASTER DATA'!$AO:$AO)</f>
        <v>0</v>
      </c>
      <c r="U49" s="185">
        <f>SUMIF('MASTER DATA'!$E:$E,'GENERAL PAYROLL'!$E49,'MASTER DATA'!$AP:$AP)</f>
        <v>0</v>
      </c>
      <c r="V49" s="186">
        <f>SUMIF('MASTER DATA'!$E:$E,'GENERAL PAYROLL'!$E49,'MASTER DATA'!$AR:$AR)</f>
        <v>9872</v>
      </c>
      <c r="W49" s="185">
        <f>SUMIF('MASTER DATA'!$E:$E,'GENERAL PAYROLL'!$E49,'MASTER DATA'!$AS:$AS)</f>
        <v>0</v>
      </c>
      <c r="X49" s="185">
        <f>SUMIF('MASTER DATA'!$E:$E,'GENERAL PAYROLL'!$E49,'MASTER DATA'!$AT:$AT)</f>
        <v>0</v>
      </c>
      <c r="Y49" s="185">
        <f>SUMIF('MASTER DATA'!$E:$E,'GENERAL PAYROLL'!$E49,'MASTER DATA'!$AU:$AU)</f>
        <v>0</v>
      </c>
      <c r="Z49" s="185">
        <f>SUMIF('MASTER DATA'!$E:$E,'GENERAL PAYROLL'!$E49,'MASTER DATA'!$AV:$AV)</f>
        <v>0</v>
      </c>
      <c r="AA49" s="185">
        <f>SUMIF('MASTER DATA'!$E:$E,'GENERAL PAYROLL'!$E49,'MASTER DATA'!$AW:$AW)</f>
        <v>0</v>
      </c>
      <c r="AB49" s="185">
        <f>SUMIF('MASTER DATA'!$E:$E,'GENERAL PAYROLL'!$E49,'MASTER DATA'!$AX:$AX)</f>
        <v>0</v>
      </c>
      <c r="AC49" s="186">
        <f>SUMIF('MASTER DATA'!$E:$E,'GENERAL PAYROLL'!$E49,'MASTER DATA'!$AY:$AY)</f>
        <v>9872</v>
      </c>
      <c r="AD49" s="137" t="str">
        <f t="shared" si="6"/>
        <v>SHOW</v>
      </c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</row>
    <row r="50" spans="2:42" ht="15.75" customHeight="1">
      <c r="B50" s="80"/>
      <c r="C50" s="137" t="s">
        <v>316</v>
      </c>
      <c r="D50" s="84">
        <f t="shared" si="0"/>
        <v>31</v>
      </c>
      <c r="E50" s="182" t="str">
        <f>IFERROR(VLOOKUP(C50,CODE!$B:$D,3,FALSE)," ")</f>
        <v>MARTIN, SHAIRA LEA E.</v>
      </c>
      <c r="F50" s="183" t="str">
        <f>VLOOKUP($C50,CODE!$B:$F,5,FALSE)</f>
        <v>Administrative Asst. II</v>
      </c>
      <c r="G50" s="183" t="str">
        <f>VLOOKUP($C50,CODE!$B:$F,4,FALSE)</f>
        <v>IAU</v>
      </c>
      <c r="H50" s="187">
        <v>11</v>
      </c>
      <c r="I50" s="185">
        <f>SUMIF('MASTER DATA'!$E:$E,'GENERAL PAYROLL'!$E50,'MASTER DATA'!$O:$O)</f>
        <v>897.4545454545455</v>
      </c>
      <c r="J50" s="186">
        <f>SUMIF('MASTER DATA'!$E:$E,'GENERAL PAYROLL'!$E50,'MASTER DATA'!$N:$N)</f>
        <v>9872</v>
      </c>
      <c r="K50" s="185">
        <f>SUMIF('MASTER DATA'!$E:$E,'GENERAL PAYROLL'!$E50,'MASTER DATA'!$W:$W)</f>
        <v>0</v>
      </c>
      <c r="L50" s="185">
        <f>SUMIF('MASTER DATA'!$E:$E,'GENERAL PAYROLL'!$E50,'MASTER DATA'!$X:$X)+SUMIF('MASTER DATA'!$E:$E,'GENERAL PAYROLL'!$E50,'MASTER DATA'!$Y:$Y)</f>
        <v>0</v>
      </c>
      <c r="M50" s="185">
        <f t="shared" si="1"/>
        <v>0</v>
      </c>
      <c r="N50" s="185">
        <f>SUMIF('MASTER DATA'!$E:$E,'GENERAL PAYROLL'!$E50,'MASTER DATA'!$AC:$AC)</f>
        <v>0</v>
      </c>
      <c r="O50" s="185">
        <f>SUMIF('MASTER DATA'!$E:$E,'GENERAL PAYROLL'!$E50,'MASTER DATA'!$AD:$AD)+SUMIF('MASTER DATA'!$E:$E,'GENERAL PAYROLL'!$E50,'MASTER DATA'!$AE:$AE)</f>
        <v>0</v>
      </c>
      <c r="P50" s="185">
        <f t="shared" si="2"/>
        <v>0</v>
      </c>
      <c r="Q50" s="185">
        <f>SUMIF('MASTER DATA'!$E:$E,'GENERAL PAYROLL'!$E50,'MASTER DATA'!$AI:$AI)</f>
        <v>0</v>
      </c>
      <c r="R50" s="185">
        <f>SUMIF('MASTER DATA'!$E:$E,'GENERAL PAYROLL'!$E50,'MASTER DATA'!$AJ:$AJ)+SUMIF('MASTER DATA'!$E:$E,'GENERAL PAYROLL'!$E50,'MASTER DATA'!$AK:$AK)</f>
        <v>0</v>
      </c>
      <c r="S50" s="185">
        <f t="shared" si="3"/>
        <v>0</v>
      </c>
      <c r="T50" s="185">
        <f>SUMIF('MASTER DATA'!$E:$E,'GENERAL PAYROLL'!$E50,'MASTER DATA'!$AO:$AO)</f>
        <v>0</v>
      </c>
      <c r="U50" s="185">
        <f>SUMIF('MASTER DATA'!$E:$E,'GENERAL PAYROLL'!$E50,'MASTER DATA'!$AP:$AP)</f>
        <v>0</v>
      </c>
      <c r="V50" s="186">
        <f>SUMIF('MASTER DATA'!$E:$E,'GENERAL PAYROLL'!$E50,'MASTER DATA'!$AR:$AR)</f>
        <v>9872</v>
      </c>
      <c r="W50" s="185">
        <f>SUMIF('MASTER DATA'!$E:$E,'GENERAL PAYROLL'!$E50,'MASTER DATA'!$AS:$AS)</f>
        <v>0</v>
      </c>
      <c r="X50" s="185">
        <f>SUMIF('MASTER DATA'!$E:$E,'GENERAL PAYROLL'!$E50,'MASTER DATA'!$AT:$AT)</f>
        <v>0</v>
      </c>
      <c r="Y50" s="185">
        <f>SUMIF('MASTER DATA'!$E:$E,'GENERAL PAYROLL'!$E50,'MASTER DATA'!$AU:$AU)</f>
        <v>0</v>
      </c>
      <c r="Z50" s="185">
        <f>SUMIF('MASTER DATA'!$E:$E,'GENERAL PAYROLL'!$E50,'MASTER DATA'!$AV:$AV)</f>
        <v>0</v>
      </c>
      <c r="AA50" s="185">
        <f>SUMIF('MASTER DATA'!$E:$E,'GENERAL PAYROLL'!$E50,'MASTER DATA'!$AW:$AW)</f>
        <v>0</v>
      </c>
      <c r="AB50" s="185">
        <f>SUMIF('MASTER DATA'!$E:$E,'GENERAL PAYROLL'!$E50,'MASTER DATA'!$AX:$AX)</f>
        <v>0</v>
      </c>
      <c r="AC50" s="186">
        <f>SUMIF('MASTER DATA'!$E:$E,'GENERAL PAYROLL'!$E50,'MASTER DATA'!$AY:$AY)</f>
        <v>9872</v>
      </c>
      <c r="AD50" s="137" t="str">
        <f t="shared" si="6"/>
        <v>SHOW</v>
      </c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</row>
    <row r="51" spans="2:42" ht="15.75" customHeight="1">
      <c r="B51" s="80"/>
      <c r="C51" s="137" t="s">
        <v>317</v>
      </c>
      <c r="D51" s="84">
        <f t="shared" si="0"/>
        <v>32</v>
      </c>
      <c r="E51" s="182" t="str">
        <f>IFERROR(VLOOKUP(C51,CODE!$B:$D,3,FALSE)," ")</f>
        <v>DE GALICIA, JACQUELINE C.</v>
      </c>
      <c r="F51" s="183" t="str">
        <f>VLOOKUP($C51,CODE!$B:$F,5,FALSE)</f>
        <v>Training Specialist II</v>
      </c>
      <c r="G51" s="183" t="str">
        <f>VLOOKUP($C51,CODE!$B:$F,4,FALSE)</f>
        <v>HRMO</v>
      </c>
      <c r="H51" s="187">
        <v>11</v>
      </c>
      <c r="I51" s="185">
        <f>SUMIF('MASTER DATA'!$E:$E,'GENERAL PAYROLL'!$E51,'MASTER DATA'!$O:$O)</f>
        <v>0</v>
      </c>
      <c r="J51" s="186">
        <f>SUMIF('MASTER DATA'!$E:$E,'GENERAL PAYROLL'!$E51,'MASTER DATA'!$N:$N)</f>
        <v>0</v>
      </c>
      <c r="K51" s="185">
        <f>SUMIF('MASTER DATA'!$E:$E,'GENERAL PAYROLL'!$E51,'MASTER DATA'!$W:$W)</f>
        <v>0</v>
      </c>
      <c r="L51" s="185">
        <f>SUMIF('MASTER DATA'!$E:$E,'GENERAL PAYROLL'!$E51,'MASTER DATA'!$X:$X)+SUMIF('MASTER DATA'!$E:$E,'GENERAL PAYROLL'!$E51,'MASTER DATA'!$Y:$Y)</f>
        <v>0</v>
      </c>
      <c r="M51" s="185">
        <f t="shared" si="1"/>
        <v>0</v>
      </c>
      <c r="N51" s="185">
        <f>SUMIF('MASTER DATA'!$E:$E,'GENERAL PAYROLL'!$E51,'MASTER DATA'!$AC:$AC)</f>
        <v>0</v>
      </c>
      <c r="O51" s="185">
        <f>SUMIF('MASTER DATA'!$E:$E,'GENERAL PAYROLL'!$E51,'MASTER DATA'!$AD:$AD)+SUMIF('MASTER DATA'!$E:$E,'GENERAL PAYROLL'!$E51,'MASTER DATA'!$AE:$AE)</f>
        <v>0</v>
      </c>
      <c r="P51" s="185">
        <f t="shared" si="2"/>
        <v>0</v>
      </c>
      <c r="Q51" s="185">
        <f>SUMIF('MASTER DATA'!$E:$E,'GENERAL PAYROLL'!$E51,'MASTER DATA'!$AI:$AI)</f>
        <v>0</v>
      </c>
      <c r="R51" s="185">
        <f>SUMIF('MASTER DATA'!$E:$E,'GENERAL PAYROLL'!$E51,'MASTER DATA'!$AJ:$AJ)+SUMIF('MASTER DATA'!$E:$E,'GENERAL PAYROLL'!$E51,'MASTER DATA'!$AK:$AK)</f>
        <v>0</v>
      </c>
      <c r="S51" s="185">
        <f t="shared" si="3"/>
        <v>0</v>
      </c>
      <c r="T51" s="185">
        <f>SUMIF('MASTER DATA'!$E:$E,'GENERAL PAYROLL'!$E51,'MASTER DATA'!$AO:$AO)</f>
        <v>0</v>
      </c>
      <c r="U51" s="185">
        <f>SUMIF('MASTER DATA'!$E:$E,'GENERAL PAYROLL'!$E51,'MASTER DATA'!$AP:$AP)</f>
        <v>0</v>
      </c>
      <c r="V51" s="186">
        <f>SUMIF('MASTER DATA'!$E:$E,'GENERAL PAYROLL'!$E51,'MASTER DATA'!$AR:$AR)</f>
        <v>0</v>
      </c>
      <c r="W51" s="185">
        <f>SUMIF('MASTER DATA'!$E:$E,'GENERAL PAYROLL'!$E51,'MASTER DATA'!$AS:$AS)</f>
        <v>0</v>
      </c>
      <c r="X51" s="185">
        <f>SUMIF('MASTER DATA'!$E:$E,'GENERAL PAYROLL'!$E51,'MASTER DATA'!$AT:$AT)</f>
        <v>0</v>
      </c>
      <c r="Y51" s="185">
        <f>SUMIF('MASTER DATA'!$E:$E,'GENERAL PAYROLL'!$E51,'MASTER DATA'!$AU:$AU)</f>
        <v>0</v>
      </c>
      <c r="Z51" s="185">
        <f>SUMIF('MASTER DATA'!$E:$E,'GENERAL PAYROLL'!$E51,'MASTER DATA'!$AV:$AV)</f>
        <v>0</v>
      </c>
      <c r="AA51" s="185">
        <f>SUMIF('MASTER DATA'!$E:$E,'GENERAL PAYROLL'!$E51,'MASTER DATA'!$AW:$AW)</f>
        <v>0</v>
      </c>
      <c r="AB51" s="185">
        <f>SUMIF('MASTER DATA'!$E:$E,'GENERAL PAYROLL'!$E51,'MASTER DATA'!$AX:$AX)</f>
        <v>0</v>
      </c>
      <c r="AC51" s="186">
        <f>SUMIF('MASTER DATA'!$E:$E,'GENERAL PAYROLL'!$E51,'MASTER DATA'!$AY:$AY)</f>
        <v>0</v>
      </c>
      <c r="AD51" s="137" t="str">
        <f t="shared" si="6"/>
        <v>SHOW</v>
      </c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</row>
    <row r="52" spans="2:42" ht="15.75" customHeight="1">
      <c r="B52" s="80"/>
      <c r="C52" s="137" t="s">
        <v>318</v>
      </c>
      <c r="D52" s="84">
        <f t="shared" si="0"/>
        <v>33</v>
      </c>
      <c r="E52" s="182" t="str">
        <f>IFERROR(VLOOKUP(C52,CODE!$B:$D,3,FALSE)," ")</f>
        <v>ANDAYA, APRIL JANE G.</v>
      </c>
      <c r="F52" s="183" t="str">
        <f>VLOOKUP($C52,CODE!$B:$F,5,FALSE)</f>
        <v>Administrative Asst. II</v>
      </c>
      <c r="G52" s="183" t="str">
        <f>VLOOKUP($C52,CODE!$B:$F,4,FALSE)</f>
        <v>HRMO</v>
      </c>
      <c r="H52" s="187">
        <v>11</v>
      </c>
      <c r="I52" s="185">
        <f>SUMIF('MASTER DATA'!$E:$E,'GENERAL PAYROLL'!$E52,'MASTER DATA'!$O:$O)</f>
        <v>897.4545454545455</v>
      </c>
      <c r="J52" s="186">
        <f>SUMIF('MASTER DATA'!$E:$E,'GENERAL PAYROLL'!$E52,'MASTER DATA'!$N:$N)</f>
        <v>9872</v>
      </c>
      <c r="K52" s="185">
        <f>SUMIF('MASTER DATA'!$E:$E,'GENERAL PAYROLL'!$E52,'MASTER DATA'!$W:$W)</f>
        <v>0</v>
      </c>
      <c r="L52" s="185">
        <f>SUMIF('MASTER DATA'!$E:$E,'GENERAL PAYROLL'!$E52,'MASTER DATA'!$X:$X)+SUMIF('MASTER DATA'!$E:$E,'GENERAL PAYROLL'!$E52,'MASTER DATA'!$Y:$Y)</f>
        <v>448.73</v>
      </c>
      <c r="M52" s="185">
        <f t="shared" si="1"/>
        <v>448.73</v>
      </c>
      <c r="N52" s="185">
        <f>SUMIF('MASTER DATA'!$E:$E,'GENERAL PAYROLL'!$E52,'MASTER DATA'!$AC:$AC)</f>
        <v>0</v>
      </c>
      <c r="O52" s="185">
        <f>SUMIF('MASTER DATA'!$E:$E,'GENERAL PAYROLL'!$E52,'MASTER DATA'!$AD:$AD)+SUMIF('MASTER DATA'!$E:$E,'GENERAL PAYROLL'!$E52,'MASTER DATA'!$AE:$AE)</f>
        <v>0</v>
      </c>
      <c r="P52" s="185">
        <f t="shared" si="2"/>
        <v>0</v>
      </c>
      <c r="Q52" s="185">
        <f>SUMIF('MASTER DATA'!$E:$E,'GENERAL PAYROLL'!$E52,'MASTER DATA'!$AI:$AI)</f>
        <v>0</v>
      </c>
      <c r="R52" s="185">
        <f>SUMIF('MASTER DATA'!$E:$E,'GENERAL PAYROLL'!$E52,'MASTER DATA'!$AJ:$AJ)+SUMIF('MASTER DATA'!$E:$E,'GENERAL PAYROLL'!$E52,'MASTER DATA'!$AK:$AK)</f>
        <v>0</v>
      </c>
      <c r="S52" s="185">
        <f t="shared" si="3"/>
        <v>0</v>
      </c>
      <c r="T52" s="185">
        <f>SUMIF('MASTER DATA'!$E:$E,'GENERAL PAYROLL'!$E52,'MASTER DATA'!$AO:$AO)</f>
        <v>448.73</v>
      </c>
      <c r="U52" s="185">
        <f>SUMIF('MASTER DATA'!$E:$E,'GENERAL PAYROLL'!$E52,'MASTER DATA'!$AP:$AP)</f>
        <v>0</v>
      </c>
      <c r="V52" s="186">
        <f>SUMIF('MASTER DATA'!$E:$E,'GENERAL PAYROLL'!$E52,'MASTER DATA'!$AR:$AR)</f>
        <v>9423.27</v>
      </c>
      <c r="W52" s="185">
        <f>SUMIF('MASTER DATA'!$E:$E,'GENERAL PAYROLL'!$E52,'MASTER DATA'!$AS:$AS)</f>
        <v>0</v>
      </c>
      <c r="X52" s="185">
        <f>SUMIF('MASTER DATA'!$E:$E,'GENERAL PAYROLL'!$E52,'MASTER DATA'!$AT:$AT)</f>
        <v>0</v>
      </c>
      <c r="Y52" s="185">
        <f>SUMIF('MASTER DATA'!$E:$E,'GENERAL PAYROLL'!$E52,'MASTER DATA'!$AU:$AU)</f>
        <v>0</v>
      </c>
      <c r="Z52" s="185">
        <f>SUMIF('MASTER DATA'!$E:$E,'GENERAL PAYROLL'!$E52,'MASTER DATA'!$AV:$AV)</f>
        <v>0</v>
      </c>
      <c r="AA52" s="185">
        <f>SUMIF('MASTER DATA'!$E:$E,'GENERAL PAYROLL'!$E52,'MASTER DATA'!$AW:$AW)</f>
        <v>0</v>
      </c>
      <c r="AB52" s="185">
        <f>SUMIF('MASTER DATA'!$E:$E,'GENERAL PAYROLL'!$E52,'MASTER DATA'!$AX:$AX)</f>
        <v>0</v>
      </c>
      <c r="AC52" s="186">
        <f>SUMIF('MASTER DATA'!$E:$E,'GENERAL PAYROLL'!$E52,'MASTER DATA'!$AY:$AY)</f>
        <v>9423.27</v>
      </c>
      <c r="AD52" s="137" t="str">
        <f t="shared" si="6"/>
        <v>SHOW</v>
      </c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</row>
    <row r="53" spans="2:42" ht="15.75" customHeight="1">
      <c r="B53" s="80"/>
      <c r="C53" s="137" t="s">
        <v>319</v>
      </c>
      <c r="D53" s="84">
        <f t="shared" si="0"/>
        <v>34</v>
      </c>
      <c r="E53" s="182" t="str">
        <f>IFERROR(VLOOKUP(C53,CODE!$B:$D,3,FALSE)," ")</f>
        <v>AMBROSIO, JOHN HAROLD F.</v>
      </c>
      <c r="F53" s="183" t="str">
        <f>VLOOKUP($C53,CODE!$B:$F,5,FALSE)</f>
        <v>Training Specialist II</v>
      </c>
      <c r="G53" s="183" t="str">
        <f>VLOOKUP($C53,CODE!$B:$F,4,FALSE)</f>
        <v>HRMO</v>
      </c>
      <c r="H53" s="187">
        <v>11</v>
      </c>
      <c r="I53" s="185">
        <f>SUMIF('MASTER DATA'!$E:$E,'GENERAL PAYROLL'!$E53,'MASTER DATA'!$O:$O)</f>
        <v>1664.5</v>
      </c>
      <c r="J53" s="186">
        <f>SUMIF('MASTER DATA'!$E:$E,'GENERAL PAYROLL'!$E53,'MASTER DATA'!$N:$N)</f>
        <v>18309.5</v>
      </c>
      <c r="K53" s="185">
        <f>SUMIF('MASTER DATA'!$E:$E,'GENERAL PAYROLL'!$E53,'MASTER DATA'!$W:$W)</f>
        <v>0</v>
      </c>
      <c r="L53" s="185">
        <f>SUMIF('MASTER DATA'!$E:$E,'GENERAL PAYROLL'!$E53,'MASTER DATA'!$X:$X)+SUMIF('MASTER DATA'!$E:$E,'GENERAL PAYROLL'!$E53,'MASTER DATA'!$Y:$Y)</f>
        <v>0</v>
      </c>
      <c r="M53" s="185">
        <f t="shared" si="1"/>
        <v>0</v>
      </c>
      <c r="N53" s="185">
        <f>SUMIF('MASTER DATA'!$E:$E,'GENERAL PAYROLL'!$E53,'MASTER DATA'!$AC:$AC)</f>
        <v>0</v>
      </c>
      <c r="O53" s="185">
        <f>SUMIF('MASTER DATA'!$E:$E,'GENERAL PAYROLL'!$E53,'MASTER DATA'!$AD:$AD)+SUMIF('MASTER DATA'!$E:$E,'GENERAL PAYROLL'!$E53,'MASTER DATA'!$AE:$AE)</f>
        <v>0</v>
      </c>
      <c r="P53" s="185">
        <f t="shared" si="2"/>
        <v>0</v>
      </c>
      <c r="Q53" s="185">
        <f>SUMIF('MASTER DATA'!$E:$E,'GENERAL PAYROLL'!$E53,'MASTER DATA'!$AI:$AI)</f>
        <v>0</v>
      </c>
      <c r="R53" s="185">
        <f>SUMIF('MASTER DATA'!$E:$E,'GENERAL PAYROLL'!$E53,'MASTER DATA'!$AJ:$AJ)+SUMIF('MASTER DATA'!$E:$E,'GENERAL PAYROLL'!$E53,'MASTER DATA'!$AK:$AK)</f>
        <v>0</v>
      </c>
      <c r="S53" s="185">
        <f t="shared" si="3"/>
        <v>0</v>
      </c>
      <c r="T53" s="185">
        <f>SUMIF('MASTER DATA'!$E:$E,'GENERAL PAYROLL'!$E53,'MASTER DATA'!$AO:$AO)</f>
        <v>0</v>
      </c>
      <c r="U53" s="185">
        <f>SUMIF('MASTER DATA'!$E:$E,'GENERAL PAYROLL'!$E53,'MASTER DATA'!$AP:$AP)</f>
        <v>0</v>
      </c>
      <c r="V53" s="186">
        <f>SUMIF('MASTER DATA'!$E:$E,'GENERAL PAYROLL'!$E53,'MASTER DATA'!$AR:$AR)</f>
        <v>18309.5</v>
      </c>
      <c r="W53" s="185">
        <f>SUMIF('MASTER DATA'!$E:$E,'GENERAL PAYROLL'!$E53,'MASTER DATA'!$AS:$AS)</f>
        <v>0</v>
      </c>
      <c r="X53" s="185">
        <f>SUMIF('MASTER DATA'!$E:$E,'GENERAL PAYROLL'!$E53,'MASTER DATA'!$AT:$AT)</f>
        <v>0</v>
      </c>
      <c r="Y53" s="185">
        <f>SUMIF('MASTER DATA'!$E:$E,'GENERAL PAYROLL'!$E53,'MASTER DATA'!$AU:$AU)</f>
        <v>0</v>
      </c>
      <c r="Z53" s="185">
        <f>SUMIF('MASTER DATA'!$E:$E,'GENERAL PAYROLL'!$E53,'MASTER DATA'!$AV:$AV)</f>
        <v>0</v>
      </c>
      <c r="AA53" s="185">
        <f>SUMIF('MASTER DATA'!$E:$E,'GENERAL PAYROLL'!$E53,'MASTER DATA'!$AW:$AW)</f>
        <v>0</v>
      </c>
      <c r="AB53" s="185">
        <f>SUMIF('MASTER DATA'!$E:$E,'GENERAL PAYROLL'!$E53,'MASTER DATA'!$AX:$AX)</f>
        <v>0</v>
      </c>
      <c r="AC53" s="186">
        <f>SUMIF('MASTER DATA'!$E:$E,'GENERAL PAYROLL'!$E53,'MASTER DATA'!$AY:$AY)</f>
        <v>18309.5</v>
      </c>
      <c r="AD53" s="137" t="str">
        <f t="shared" si="6"/>
        <v>SHOW</v>
      </c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</row>
    <row r="54" spans="2:42" ht="15.75" customHeight="1">
      <c r="B54" s="80"/>
      <c r="C54" s="137" t="s">
        <v>320</v>
      </c>
      <c r="D54" s="84">
        <f t="shared" si="0"/>
        <v>35</v>
      </c>
      <c r="E54" s="182" t="s">
        <v>230</v>
      </c>
      <c r="F54" s="183" t="str">
        <f>VLOOKUP($C54,CODE!$B:$F,5,FALSE)</f>
        <v>Training Specialist II</v>
      </c>
      <c r="G54" s="183" t="str">
        <f>VLOOKUP($C54,CODE!$B:$F,4,FALSE)</f>
        <v>HRMO</v>
      </c>
      <c r="H54" s="187">
        <v>11</v>
      </c>
      <c r="I54" s="185">
        <f>SUMIF('MASTER DATA'!$E:$E,'GENERAL PAYROLL'!$E54,'MASTER DATA'!$O:$O)</f>
        <v>1664.5</v>
      </c>
      <c r="J54" s="186">
        <f>SUMIF('MASTER DATA'!$E:$E,'GENERAL PAYROLL'!$E54,'MASTER DATA'!$N:$N)</f>
        <v>18309.5</v>
      </c>
      <c r="K54" s="185">
        <f>SUMIF('MASTER DATA'!$E:$E,'GENERAL PAYROLL'!$E54,'MASTER DATA'!$W:$W)</f>
        <v>0</v>
      </c>
      <c r="L54" s="185">
        <f>SUMIF('MASTER DATA'!$E:$E,'GENERAL PAYROLL'!$E54,'MASTER DATA'!$X:$X)+SUMIF('MASTER DATA'!$E:$E,'GENERAL PAYROLL'!$E54,'MASTER DATA'!$Y:$Y)</f>
        <v>0</v>
      </c>
      <c r="M54" s="185">
        <f t="shared" si="1"/>
        <v>0</v>
      </c>
      <c r="N54" s="185">
        <f>SUMIF('MASTER DATA'!$E:$E,'GENERAL PAYROLL'!$E54,'MASTER DATA'!$AC:$AC)</f>
        <v>0</v>
      </c>
      <c r="O54" s="185">
        <f>SUMIF('MASTER DATA'!$E:$E,'GENERAL PAYROLL'!$E54,'MASTER DATA'!$AD:$AD)+SUMIF('MASTER DATA'!$E:$E,'GENERAL PAYROLL'!$E54,'MASTER DATA'!$AE:$AE)</f>
        <v>0</v>
      </c>
      <c r="P54" s="185">
        <f t="shared" si="2"/>
        <v>0</v>
      </c>
      <c r="Q54" s="185">
        <f>SUMIF('MASTER DATA'!$E:$E,'GENERAL PAYROLL'!$E54,'MASTER DATA'!$AI:$AI)</f>
        <v>0</v>
      </c>
      <c r="R54" s="185">
        <f>SUMIF('MASTER DATA'!$E:$E,'GENERAL PAYROLL'!$E54,'MASTER DATA'!$AJ:$AJ)+SUMIF('MASTER DATA'!$E:$E,'GENERAL PAYROLL'!$E54,'MASTER DATA'!$AK:$AK)</f>
        <v>0</v>
      </c>
      <c r="S54" s="185">
        <f t="shared" si="3"/>
        <v>0</v>
      </c>
      <c r="T54" s="185">
        <f>SUMIF('MASTER DATA'!$E:$E,'GENERAL PAYROLL'!$E54,'MASTER DATA'!$AO:$AO)</f>
        <v>0</v>
      </c>
      <c r="U54" s="185">
        <f>SUMIF('MASTER DATA'!$E:$E,'GENERAL PAYROLL'!$E54,'MASTER DATA'!$AP:$AP)</f>
        <v>0</v>
      </c>
      <c r="V54" s="186">
        <f>SUMIF('MASTER DATA'!$E:$E,'GENERAL PAYROLL'!$E54,'MASTER DATA'!$AR:$AR)</f>
        <v>18309.5</v>
      </c>
      <c r="W54" s="185">
        <f>SUMIF('MASTER DATA'!$E:$E,'GENERAL PAYROLL'!$E54,'MASTER DATA'!$AS:$AS)</f>
        <v>0</v>
      </c>
      <c r="X54" s="185">
        <f>SUMIF('MASTER DATA'!$E:$E,'GENERAL PAYROLL'!$E54,'MASTER DATA'!$AT:$AT)</f>
        <v>0</v>
      </c>
      <c r="Y54" s="185">
        <f>SUMIF('MASTER DATA'!$E:$E,'GENERAL PAYROLL'!$E54,'MASTER DATA'!$AU:$AU)</f>
        <v>0</v>
      </c>
      <c r="Z54" s="185">
        <f>SUMIF('MASTER DATA'!$E:$E,'GENERAL PAYROLL'!$E54,'MASTER DATA'!$AV:$AV)</f>
        <v>0</v>
      </c>
      <c r="AA54" s="185">
        <f>SUMIF('MASTER DATA'!$E:$E,'GENERAL PAYROLL'!$E54,'MASTER DATA'!$AW:$AW)</f>
        <v>0</v>
      </c>
      <c r="AB54" s="185">
        <f>SUMIF('MASTER DATA'!$E:$E,'GENERAL PAYROLL'!$E54,'MASTER DATA'!$AX:$AX)</f>
        <v>0</v>
      </c>
      <c r="AC54" s="186">
        <f>SUMIF('MASTER DATA'!$E:$E,'GENERAL PAYROLL'!$E54,'MASTER DATA'!$AY:$AY)</f>
        <v>18309.5</v>
      </c>
      <c r="AD54" s="137" t="str">
        <f t="shared" si="6"/>
        <v>SHOW</v>
      </c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</row>
    <row r="55" spans="2:42" ht="15.75" customHeight="1">
      <c r="B55" s="80"/>
      <c r="C55" s="137" t="s">
        <v>321</v>
      </c>
      <c r="D55" s="84">
        <f t="shared" si="0"/>
        <v>36</v>
      </c>
      <c r="E55" s="182" t="str">
        <f>IFERROR(VLOOKUP(C55,CODE!$B:$D,3,FALSE)," ")</f>
        <v xml:space="preserve">CAPONGCOL, MARY JANE </v>
      </c>
      <c r="F55" s="183" t="str">
        <f>VLOOKUP($C55,CODE!$B:$F,5,FALSE)</f>
        <v>Administrative Asst. II</v>
      </c>
      <c r="G55" s="183" t="str">
        <f>VLOOKUP($C55,CODE!$B:$F,4,FALSE)</f>
        <v>RCRDS</v>
      </c>
      <c r="H55" s="187">
        <v>11</v>
      </c>
      <c r="I55" s="185">
        <f>SUMIF('MASTER DATA'!$E:$E,'GENERAL PAYROLL'!$E55,'MASTER DATA'!$O:$O)</f>
        <v>897.4545454545455</v>
      </c>
      <c r="J55" s="186">
        <f>SUMIF('MASTER DATA'!$E:$E,'GENERAL PAYROLL'!$E55,'MASTER DATA'!$N:$N)</f>
        <v>9872</v>
      </c>
      <c r="K55" s="185">
        <f>SUMIF('MASTER DATA'!$E:$E,'GENERAL PAYROLL'!$E55,'MASTER DATA'!$W:$W)</f>
        <v>0</v>
      </c>
      <c r="L55" s="185">
        <f>SUMIF('MASTER DATA'!$E:$E,'GENERAL PAYROLL'!$E55,'MASTER DATA'!$X:$X)+SUMIF('MASTER DATA'!$E:$E,'GENERAL PAYROLL'!$E55,'MASTER DATA'!$Y:$Y)</f>
        <v>0</v>
      </c>
      <c r="M55" s="185">
        <f t="shared" si="1"/>
        <v>0</v>
      </c>
      <c r="N55" s="185">
        <f>SUMIF('MASTER DATA'!$E:$E,'GENERAL PAYROLL'!$E55,'MASTER DATA'!$AC:$AC)</f>
        <v>0</v>
      </c>
      <c r="O55" s="185">
        <f>SUMIF('MASTER DATA'!$E:$E,'GENERAL PAYROLL'!$E55,'MASTER DATA'!$AD:$AD)+SUMIF('MASTER DATA'!$E:$E,'GENERAL PAYROLL'!$E55,'MASTER DATA'!$AE:$AE)</f>
        <v>0</v>
      </c>
      <c r="P55" s="185">
        <f t="shared" si="2"/>
        <v>0</v>
      </c>
      <c r="Q55" s="185">
        <f>SUMIF('MASTER DATA'!$E:$E,'GENERAL PAYROLL'!$E55,'MASTER DATA'!$AI:$AI)</f>
        <v>0</v>
      </c>
      <c r="R55" s="185">
        <f>SUMIF('MASTER DATA'!$E:$E,'GENERAL PAYROLL'!$E55,'MASTER DATA'!$AJ:$AJ)+SUMIF('MASTER DATA'!$E:$E,'GENERAL PAYROLL'!$E55,'MASTER DATA'!$AK:$AK)</f>
        <v>0</v>
      </c>
      <c r="S55" s="185">
        <f t="shared" si="3"/>
        <v>0</v>
      </c>
      <c r="T55" s="185">
        <f>SUMIF('MASTER DATA'!$E:$E,'GENERAL PAYROLL'!$E55,'MASTER DATA'!$AO:$AO)</f>
        <v>0</v>
      </c>
      <c r="U55" s="185">
        <f>SUMIF('MASTER DATA'!$E:$E,'GENERAL PAYROLL'!$E55,'MASTER DATA'!$AP:$AP)</f>
        <v>0</v>
      </c>
      <c r="V55" s="186">
        <f>SUMIF('MASTER DATA'!$E:$E,'GENERAL PAYROLL'!$E55,'MASTER DATA'!$AR:$AR)</f>
        <v>9872</v>
      </c>
      <c r="W55" s="185">
        <f>SUMIF('MASTER DATA'!$E:$E,'GENERAL PAYROLL'!$E55,'MASTER DATA'!$AS:$AS)</f>
        <v>0</v>
      </c>
      <c r="X55" s="185">
        <f>SUMIF('MASTER DATA'!$E:$E,'GENERAL PAYROLL'!$E55,'MASTER DATA'!$AT:$AT)</f>
        <v>0</v>
      </c>
      <c r="Y55" s="185">
        <f>SUMIF('MASTER DATA'!$E:$E,'GENERAL PAYROLL'!$E55,'MASTER DATA'!$AU:$AU)</f>
        <v>2000</v>
      </c>
      <c r="Z55" s="185">
        <f>SUMIF('MASTER DATA'!$E:$E,'GENERAL PAYROLL'!$E55,'MASTER DATA'!$AV:$AV)</f>
        <v>461.39</v>
      </c>
      <c r="AA55" s="185">
        <f>SUMIF('MASTER DATA'!$E:$E,'GENERAL PAYROLL'!$E55,'MASTER DATA'!$AW:$AW)</f>
        <v>0</v>
      </c>
      <c r="AB55" s="185">
        <f>SUMIF('MASTER DATA'!$E:$E,'GENERAL PAYROLL'!$E55,'MASTER DATA'!$AX:$AX)</f>
        <v>0</v>
      </c>
      <c r="AC55" s="186">
        <f>SUMIF('MASTER DATA'!$E:$E,'GENERAL PAYROLL'!$E55,'MASTER DATA'!$AY:$AY)</f>
        <v>7410.61</v>
      </c>
      <c r="AD55" s="137" t="str">
        <f t="shared" si="6"/>
        <v>SHOW</v>
      </c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</row>
    <row r="56" spans="2:42" ht="15.75" customHeight="1">
      <c r="B56" s="80"/>
      <c r="C56" s="137" t="s">
        <v>322</v>
      </c>
      <c r="D56" s="84">
        <f t="shared" si="0"/>
        <v>37</v>
      </c>
      <c r="E56" s="182" t="str">
        <f>IFERROR(VLOOKUP(C56,CODE!$B:$D,3,FALSE)," ")</f>
        <v>FERNANDEZ, YARI E.</v>
      </c>
      <c r="F56" s="183" t="str">
        <f>VLOOKUP($C56,CODE!$B:$F,5,FALSE)</f>
        <v>Administrative Asst. II</v>
      </c>
      <c r="G56" s="183" t="str">
        <f>VLOOKUP($C56,CODE!$B:$F,4,FALSE)</f>
        <v>RCRDS</v>
      </c>
      <c r="H56" s="187">
        <v>11</v>
      </c>
      <c r="I56" s="185">
        <f>SUMIF('MASTER DATA'!$E:$E,'GENERAL PAYROLL'!$E56,'MASTER DATA'!$O:$O)</f>
        <v>897.4545454545455</v>
      </c>
      <c r="J56" s="186">
        <f>SUMIF('MASTER DATA'!$E:$E,'GENERAL PAYROLL'!$E56,'MASTER DATA'!$N:$N)</f>
        <v>9872</v>
      </c>
      <c r="K56" s="185">
        <f>SUMIF('MASTER DATA'!$E:$E,'GENERAL PAYROLL'!$E56,'MASTER DATA'!$W:$W)</f>
        <v>0</v>
      </c>
      <c r="L56" s="185">
        <f>SUMIF('MASTER DATA'!$E:$E,'GENERAL PAYROLL'!$E56,'MASTER DATA'!$X:$X)+SUMIF('MASTER DATA'!$E:$E,'GENERAL PAYROLL'!$E56,'MASTER DATA'!$Y:$Y)</f>
        <v>557.17000000000007</v>
      </c>
      <c r="M56" s="185">
        <f t="shared" si="1"/>
        <v>557.17000000000007</v>
      </c>
      <c r="N56" s="185">
        <f>SUMIF('MASTER DATA'!$E:$E,'GENERAL PAYROLL'!$E56,'MASTER DATA'!$AC:$AC)</f>
        <v>0</v>
      </c>
      <c r="O56" s="185">
        <f>SUMIF('MASTER DATA'!$E:$E,'GENERAL PAYROLL'!$E56,'MASTER DATA'!$AD:$AD)+SUMIF('MASTER DATA'!$E:$E,'GENERAL PAYROLL'!$E56,'MASTER DATA'!$AE:$AE)</f>
        <v>0</v>
      </c>
      <c r="P56" s="185">
        <f t="shared" si="2"/>
        <v>0</v>
      </c>
      <c r="Q56" s="185">
        <f>SUMIF('MASTER DATA'!$E:$E,'GENERAL PAYROLL'!$E56,'MASTER DATA'!$AI:$AI)</f>
        <v>0</v>
      </c>
      <c r="R56" s="185">
        <f>SUMIF('MASTER DATA'!$E:$E,'GENERAL PAYROLL'!$E56,'MASTER DATA'!$AJ:$AJ)+SUMIF('MASTER DATA'!$E:$E,'GENERAL PAYROLL'!$E56,'MASTER DATA'!$AK:$AK)</f>
        <v>0</v>
      </c>
      <c r="S56" s="185">
        <f t="shared" si="3"/>
        <v>0</v>
      </c>
      <c r="T56" s="185">
        <f>SUMIF('MASTER DATA'!$E:$E,'GENERAL PAYROLL'!$E56,'MASTER DATA'!$AO:$AO)</f>
        <v>557.17000000000007</v>
      </c>
      <c r="U56" s="185">
        <f>SUMIF('MASTER DATA'!$E:$E,'GENERAL PAYROLL'!$E56,'MASTER DATA'!$AP:$AP)</f>
        <v>0</v>
      </c>
      <c r="V56" s="186">
        <f>SUMIF('MASTER DATA'!$E:$E,'GENERAL PAYROLL'!$E56,'MASTER DATA'!$AR:$AR)</f>
        <v>9314.83</v>
      </c>
      <c r="W56" s="185">
        <f>SUMIF('MASTER DATA'!$E:$E,'GENERAL PAYROLL'!$E56,'MASTER DATA'!$AS:$AS)</f>
        <v>0</v>
      </c>
      <c r="X56" s="185">
        <f>SUMIF('MASTER DATA'!$E:$E,'GENERAL PAYROLL'!$E56,'MASTER DATA'!$AT:$AT)</f>
        <v>0</v>
      </c>
      <c r="Y56" s="185">
        <f>SUMIF('MASTER DATA'!$E:$E,'GENERAL PAYROLL'!$E56,'MASTER DATA'!$AU:$AU)</f>
        <v>0</v>
      </c>
      <c r="Z56" s="185">
        <f>SUMIF('MASTER DATA'!$E:$E,'GENERAL PAYROLL'!$E56,'MASTER DATA'!$AV:$AV)</f>
        <v>0</v>
      </c>
      <c r="AA56" s="185">
        <f>SUMIF('MASTER DATA'!$E:$E,'GENERAL PAYROLL'!$E56,'MASTER DATA'!$AW:$AW)</f>
        <v>0</v>
      </c>
      <c r="AB56" s="185">
        <f>SUMIF('MASTER DATA'!$E:$E,'GENERAL PAYROLL'!$E56,'MASTER DATA'!$AX:$AX)</f>
        <v>0</v>
      </c>
      <c r="AC56" s="186">
        <f>SUMIF('MASTER DATA'!$E:$E,'GENERAL PAYROLL'!$E56,'MASTER DATA'!$AY:$AY)</f>
        <v>9314.83</v>
      </c>
      <c r="AD56" s="137" t="str">
        <f t="shared" si="6"/>
        <v>SHOW</v>
      </c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</row>
    <row r="57" spans="2:42" ht="15.75" customHeight="1">
      <c r="B57" s="80"/>
      <c r="C57" s="137" t="s">
        <v>323</v>
      </c>
      <c r="D57" s="84">
        <f t="shared" si="0"/>
        <v>38</v>
      </c>
      <c r="E57" s="182" t="str">
        <f>IFERROR(VLOOKUP(C57,CODE!$B:$D,3,FALSE)," ")</f>
        <v>CUARTERON, JOSEN L.</v>
      </c>
      <c r="F57" s="183" t="str">
        <f>VLOOKUP($C57,CODE!$B:$F,5,FALSE)</f>
        <v>Administrative Asst. I</v>
      </c>
      <c r="G57" s="183" t="str">
        <f>VLOOKUP($C57,CODE!$B:$F,4,FALSE)</f>
        <v>GSS</v>
      </c>
      <c r="H57" s="187">
        <v>11</v>
      </c>
      <c r="I57" s="185">
        <f>SUMIF('MASTER DATA'!$E:$E,'GENERAL PAYROLL'!$E57,'MASTER DATA'!$O:$O)</f>
        <v>846.36363636363637</v>
      </c>
      <c r="J57" s="186">
        <f>SUMIF('MASTER DATA'!$E:$E,'GENERAL PAYROLL'!$E57,'MASTER DATA'!$N:$N)</f>
        <v>9310</v>
      </c>
      <c r="K57" s="185">
        <f>SUMIF('MASTER DATA'!$E:$E,'GENERAL PAYROLL'!$E57,'MASTER DATA'!$W:$W)</f>
        <v>0</v>
      </c>
      <c r="L57" s="185">
        <f>SUMIF('MASTER DATA'!$E:$E,'GENERAL PAYROLL'!$E57,'MASTER DATA'!$X:$X)+SUMIF('MASTER DATA'!$E:$E,'GENERAL PAYROLL'!$E57,'MASTER DATA'!$Y:$Y)</f>
        <v>65.239999999999995</v>
      </c>
      <c r="M57" s="185">
        <f t="shared" si="1"/>
        <v>65.239999999999995</v>
      </c>
      <c r="N57" s="185">
        <f>SUMIF('MASTER DATA'!$E:$E,'GENERAL PAYROLL'!$E57,'MASTER DATA'!$AC:$AC)</f>
        <v>0</v>
      </c>
      <c r="O57" s="185">
        <f>SUMIF('MASTER DATA'!$E:$E,'GENERAL PAYROLL'!$E57,'MASTER DATA'!$AD:$AD)+SUMIF('MASTER DATA'!$E:$E,'GENERAL PAYROLL'!$E57,'MASTER DATA'!$AE:$AE)</f>
        <v>0</v>
      </c>
      <c r="P57" s="185">
        <f t="shared" si="2"/>
        <v>0</v>
      </c>
      <c r="Q57" s="185">
        <f>SUMIF('MASTER DATA'!$E:$E,'GENERAL PAYROLL'!$E57,'MASTER DATA'!$AI:$AI)</f>
        <v>0</v>
      </c>
      <c r="R57" s="185">
        <f>SUMIF('MASTER DATA'!$E:$E,'GENERAL PAYROLL'!$E57,'MASTER DATA'!$AJ:$AJ)+SUMIF('MASTER DATA'!$E:$E,'GENERAL PAYROLL'!$E57,'MASTER DATA'!$AK:$AK)</f>
        <v>0</v>
      </c>
      <c r="S57" s="185">
        <f t="shared" si="3"/>
        <v>0</v>
      </c>
      <c r="T57" s="185">
        <f>SUMIF('MASTER DATA'!$E:$E,'GENERAL PAYROLL'!$E57,'MASTER DATA'!$AO:$AO)</f>
        <v>65.239999999999995</v>
      </c>
      <c r="U57" s="185">
        <f>SUMIF('MASTER DATA'!$E:$E,'GENERAL PAYROLL'!$E57,'MASTER DATA'!$AP:$AP)</f>
        <v>0</v>
      </c>
      <c r="V57" s="186">
        <f>SUMIF('MASTER DATA'!$E:$E,'GENERAL PAYROLL'!$E57,'MASTER DATA'!$AR:$AR)</f>
        <v>9244.76</v>
      </c>
      <c r="W57" s="185">
        <f>SUMIF('MASTER DATA'!$E:$E,'GENERAL PAYROLL'!$E57,'MASTER DATA'!$AS:$AS)</f>
        <v>0</v>
      </c>
      <c r="X57" s="185">
        <f>SUMIF('MASTER DATA'!$E:$E,'GENERAL PAYROLL'!$E57,'MASTER DATA'!$AT:$AT)</f>
        <v>0</v>
      </c>
      <c r="Y57" s="185">
        <f>SUMIF('MASTER DATA'!$E:$E,'GENERAL PAYROLL'!$E57,'MASTER DATA'!$AU:$AU)</f>
        <v>0</v>
      </c>
      <c r="Z57" s="185">
        <f>SUMIF('MASTER DATA'!$E:$E,'GENERAL PAYROLL'!$E57,'MASTER DATA'!$AV:$AV)</f>
        <v>0</v>
      </c>
      <c r="AA57" s="185">
        <f>SUMIF('MASTER DATA'!$E:$E,'GENERAL PAYROLL'!$E57,'MASTER DATA'!$AW:$AW)</f>
        <v>0</v>
      </c>
      <c r="AB57" s="185">
        <f>SUMIF('MASTER DATA'!$E:$E,'GENERAL PAYROLL'!$E57,'MASTER DATA'!$AX:$AX)</f>
        <v>0</v>
      </c>
      <c r="AC57" s="186">
        <f>SUMIF('MASTER DATA'!$E:$E,'GENERAL PAYROLL'!$E57,'MASTER DATA'!$AY:$AY)</f>
        <v>9244.76</v>
      </c>
      <c r="AD57" s="137" t="str">
        <f t="shared" si="6"/>
        <v>SHOW</v>
      </c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</row>
    <row r="58" spans="2:42" ht="15.75" customHeight="1">
      <c r="B58" s="80"/>
      <c r="C58" s="137" t="s">
        <v>324</v>
      </c>
      <c r="D58" s="84">
        <f t="shared" si="0"/>
        <v>39</v>
      </c>
      <c r="E58" s="182" t="str">
        <f>IFERROR(VLOOKUP(C58,CODE!$B:$D,3,FALSE)," ")</f>
        <v>CATUBAY, ELVIS JOHN L.</v>
      </c>
      <c r="F58" s="183" t="str">
        <f>VLOOKUP($C58,CODE!$B:$F,5,FALSE)</f>
        <v>Administrative Asst. II</v>
      </c>
      <c r="G58" s="183" t="str">
        <f>VLOOKUP($C58,CODE!$B:$F,4,FALSE)</f>
        <v>GSS</v>
      </c>
      <c r="H58" s="187">
        <v>11</v>
      </c>
      <c r="I58" s="185">
        <f>SUMIF('MASTER DATA'!$E:$E,'GENERAL PAYROLL'!$E58,'MASTER DATA'!$O:$O)</f>
        <v>897.4545454545455</v>
      </c>
      <c r="J58" s="186">
        <f>SUMIF('MASTER DATA'!$E:$E,'GENERAL PAYROLL'!$E58,'MASTER DATA'!$N:$N)</f>
        <v>9872</v>
      </c>
      <c r="K58" s="185">
        <f>SUMIF('MASTER DATA'!$E:$E,'GENERAL PAYROLL'!$E58,'MASTER DATA'!$W:$W)</f>
        <v>897.45</v>
      </c>
      <c r="L58" s="185">
        <f>SUMIF('MASTER DATA'!$E:$E,'GENERAL PAYROLL'!$E58,'MASTER DATA'!$X:$X)+SUMIF('MASTER DATA'!$E:$E,'GENERAL PAYROLL'!$E58,'MASTER DATA'!$Y:$Y)</f>
        <v>0</v>
      </c>
      <c r="M58" s="185">
        <f t="shared" si="1"/>
        <v>897.45</v>
      </c>
      <c r="N58" s="185">
        <f>SUMIF('MASTER DATA'!$E:$E,'GENERAL PAYROLL'!$E58,'MASTER DATA'!$AC:$AC)</f>
        <v>0</v>
      </c>
      <c r="O58" s="185">
        <f>SUMIF('MASTER DATA'!$E:$E,'GENERAL PAYROLL'!$E58,'MASTER DATA'!$AD:$AD)+SUMIF('MASTER DATA'!$E:$E,'GENERAL PAYROLL'!$E58,'MASTER DATA'!$AE:$AE)</f>
        <v>0</v>
      </c>
      <c r="P58" s="185">
        <f t="shared" si="2"/>
        <v>0</v>
      </c>
      <c r="Q58" s="185">
        <f>SUMIF('MASTER DATA'!$E:$E,'GENERAL PAYROLL'!$E58,'MASTER DATA'!$AI:$AI)</f>
        <v>0</v>
      </c>
      <c r="R58" s="185">
        <f>SUMIF('MASTER DATA'!$E:$E,'GENERAL PAYROLL'!$E58,'MASTER DATA'!$AJ:$AJ)+SUMIF('MASTER DATA'!$E:$E,'GENERAL PAYROLL'!$E58,'MASTER DATA'!$AK:$AK)</f>
        <v>0</v>
      </c>
      <c r="S58" s="185">
        <f t="shared" si="3"/>
        <v>0</v>
      </c>
      <c r="T58" s="185">
        <f>SUMIF('MASTER DATA'!$E:$E,'GENERAL PAYROLL'!$E58,'MASTER DATA'!$AO:$AO)</f>
        <v>897.45</v>
      </c>
      <c r="U58" s="185">
        <f>SUMIF('MASTER DATA'!$E:$E,'GENERAL PAYROLL'!$E58,'MASTER DATA'!$AP:$AP)</f>
        <v>0</v>
      </c>
      <c r="V58" s="186">
        <f>SUMIF('MASTER DATA'!$E:$E,'GENERAL PAYROLL'!$E58,'MASTER DATA'!$AR:$AR)</f>
        <v>8974.5499999999993</v>
      </c>
      <c r="W58" s="185">
        <f>SUMIF('MASTER DATA'!$E:$E,'GENERAL PAYROLL'!$E58,'MASTER DATA'!$AS:$AS)</f>
        <v>0</v>
      </c>
      <c r="X58" s="185">
        <f>SUMIF('MASTER DATA'!$E:$E,'GENERAL PAYROLL'!$E58,'MASTER DATA'!$AT:$AT)</f>
        <v>0</v>
      </c>
      <c r="Y58" s="185">
        <f>SUMIF('MASTER DATA'!$E:$E,'GENERAL PAYROLL'!$E58,'MASTER DATA'!$AU:$AU)</f>
        <v>0</v>
      </c>
      <c r="Z58" s="185">
        <f>SUMIF('MASTER DATA'!$E:$E,'GENERAL PAYROLL'!$E58,'MASTER DATA'!$AV:$AV)</f>
        <v>0</v>
      </c>
      <c r="AA58" s="185">
        <f>SUMIF('MASTER DATA'!$E:$E,'GENERAL PAYROLL'!$E58,'MASTER DATA'!$AW:$AW)</f>
        <v>0</v>
      </c>
      <c r="AB58" s="185">
        <f>SUMIF('MASTER DATA'!$E:$E,'GENERAL PAYROLL'!$E58,'MASTER DATA'!$AX:$AX)</f>
        <v>0</v>
      </c>
      <c r="AC58" s="186">
        <f>SUMIF('MASTER DATA'!$E:$E,'GENERAL PAYROLL'!$E58,'MASTER DATA'!$AY:$AY)</f>
        <v>8974.5499999999993</v>
      </c>
      <c r="AD58" s="137" t="str">
        <f t="shared" si="6"/>
        <v>SHOW</v>
      </c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</row>
    <row r="59" spans="2:42" ht="15.75" customHeight="1">
      <c r="B59" s="80"/>
      <c r="C59" s="137" t="s">
        <v>325</v>
      </c>
      <c r="D59" s="84">
        <f t="shared" si="0"/>
        <v>40</v>
      </c>
      <c r="E59" s="182" t="str">
        <f>IFERROR(VLOOKUP(C59,CODE!$B:$D,3,FALSE)," ")</f>
        <v>MARCELO, FERDINAND S.</v>
      </c>
      <c r="F59" s="183" t="str">
        <f>VLOOKUP($C59,CODE!$B:$F,5,FALSE)</f>
        <v>Administrative Asst. I</v>
      </c>
      <c r="G59" s="183" t="str">
        <f>VLOOKUP($C59,CODE!$B:$F,4,FALSE)</f>
        <v>GSS</v>
      </c>
      <c r="H59" s="187">
        <v>11</v>
      </c>
      <c r="I59" s="185">
        <f>SUMIF('MASTER DATA'!$E:$E,'GENERAL PAYROLL'!$E59,'MASTER DATA'!$O:$O)</f>
        <v>846.36363636363637</v>
      </c>
      <c r="J59" s="186">
        <f>SUMIF('MASTER DATA'!$E:$E,'GENERAL PAYROLL'!$E59,'MASTER DATA'!$N:$N)</f>
        <v>9310</v>
      </c>
      <c r="K59" s="185">
        <f>SUMIF('MASTER DATA'!$E:$E,'GENERAL PAYROLL'!$E59,'MASTER DATA'!$W:$W)</f>
        <v>0</v>
      </c>
      <c r="L59" s="185">
        <f>SUMIF('MASTER DATA'!$E:$E,'GENERAL PAYROLL'!$E59,'MASTER DATA'!$X:$X)+SUMIF('MASTER DATA'!$E:$E,'GENERAL PAYROLL'!$E59,'MASTER DATA'!$Y:$Y)</f>
        <v>0</v>
      </c>
      <c r="M59" s="185">
        <f t="shared" si="1"/>
        <v>0</v>
      </c>
      <c r="N59" s="185">
        <f>SUMIF('MASTER DATA'!$E:$E,'GENERAL PAYROLL'!$E59,'MASTER DATA'!$AC:$AC)</f>
        <v>0</v>
      </c>
      <c r="O59" s="185">
        <f>SUMIF('MASTER DATA'!$E:$E,'GENERAL PAYROLL'!$E59,'MASTER DATA'!$AD:$AD)+SUMIF('MASTER DATA'!$E:$E,'GENERAL PAYROLL'!$E59,'MASTER DATA'!$AE:$AE)</f>
        <v>0</v>
      </c>
      <c r="P59" s="185">
        <f t="shared" si="2"/>
        <v>0</v>
      </c>
      <c r="Q59" s="185">
        <f>SUMIF('MASTER DATA'!$E:$E,'GENERAL PAYROLL'!$E59,'MASTER DATA'!$AI:$AI)</f>
        <v>0</v>
      </c>
      <c r="R59" s="185">
        <f>SUMIF('MASTER DATA'!$E:$E,'GENERAL PAYROLL'!$E59,'MASTER DATA'!$AJ:$AJ)+SUMIF('MASTER DATA'!$E:$E,'GENERAL PAYROLL'!$E59,'MASTER DATA'!$AK:$AK)</f>
        <v>0</v>
      </c>
      <c r="S59" s="185">
        <f t="shared" si="3"/>
        <v>0</v>
      </c>
      <c r="T59" s="185">
        <f>SUMIF('MASTER DATA'!$E:$E,'GENERAL PAYROLL'!$E59,'MASTER DATA'!$AO:$AO)</f>
        <v>0</v>
      </c>
      <c r="U59" s="185">
        <f>SUMIF('MASTER DATA'!$E:$E,'GENERAL PAYROLL'!$E59,'MASTER DATA'!$AP:$AP)</f>
        <v>0</v>
      </c>
      <c r="V59" s="186">
        <f>SUMIF('MASTER DATA'!$E:$E,'GENERAL PAYROLL'!$E59,'MASTER DATA'!$AR:$AR)</f>
        <v>9310</v>
      </c>
      <c r="W59" s="185">
        <f>SUMIF('MASTER DATA'!$E:$E,'GENERAL PAYROLL'!$E59,'MASTER DATA'!$AS:$AS)</f>
        <v>0</v>
      </c>
      <c r="X59" s="185">
        <f>SUMIF('MASTER DATA'!$E:$E,'GENERAL PAYROLL'!$E59,'MASTER DATA'!$AT:$AT)</f>
        <v>0</v>
      </c>
      <c r="Y59" s="185">
        <f>SUMIF('MASTER DATA'!$E:$E,'GENERAL PAYROLL'!$E59,'MASTER DATA'!$AU:$AU)</f>
        <v>0</v>
      </c>
      <c r="Z59" s="185">
        <f>SUMIF('MASTER DATA'!$E:$E,'GENERAL PAYROLL'!$E59,'MASTER DATA'!$AV:$AV)</f>
        <v>0</v>
      </c>
      <c r="AA59" s="185">
        <f>SUMIF('MASTER DATA'!$E:$E,'GENERAL PAYROLL'!$E59,'MASTER DATA'!$AW:$AW)</f>
        <v>0</v>
      </c>
      <c r="AB59" s="185">
        <f>SUMIF('MASTER DATA'!$E:$E,'GENERAL PAYROLL'!$E59,'MASTER DATA'!$AX:$AX)</f>
        <v>0</v>
      </c>
      <c r="AC59" s="186">
        <f>SUMIF('MASTER DATA'!$E:$E,'GENERAL PAYROLL'!$E59,'MASTER DATA'!$AY:$AY)</f>
        <v>9310</v>
      </c>
      <c r="AD59" s="137" t="str">
        <f t="shared" si="6"/>
        <v>SHOW</v>
      </c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</row>
    <row r="60" spans="2:42" ht="15.75" customHeight="1">
      <c r="B60" s="80"/>
      <c r="C60" s="137" t="s">
        <v>326</v>
      </c>
      <c r="D60" s="84">
        <f t="shared" si="0"/>
        <v>41</v>
      </c>
      <c r="E60" s="182" t="str">
        <f>IFERROR(VLOOKUP(C60,CODE!$B:$D,3,FALSE)," ")</f>
        <v xml:space="preserve">TAPIADOR, JACKSON T. </v>
      </c>
      <c r="F60" s="183" t="str">
        <f>VLOOKUP($C60,CODE!$B:$F,5,FALSE)</f>
        <v>Administrative Asst. I</v>
      </c>
      <c r="G60" s="183" t="str">
        <f>VLOOKUP($C60,CODE!$B:$F,4,FALSE)</f>
        <v>GSS</v>
      </c>
      <c r="H60" s="187">
        <v>11</v>
      </c>
      <c r="I60" s="185">
        <f>SUMIF('MASTER DATA'!$E:$E,'GENERAL PAYROLL'!$E60,'MASTER DATA'!$O:$O)</f>
        <v>846.36363636363637</v>
      </c>
      <c r="J60" s="186">
        <f>SUMIF('MASTER DATA'!$E:$E,'GENERAL PAYROLL'!$E60,'MASTER DATA'!$N:$N)</f>
        <v>9310</v>
      </c>
      <c r="K60" s="185">
        <f>SUMIF('MASTER DATA'!$E:$E,'GENERAL PAYROLL'!$E60,'MASTER DATA'!$W:$W)</f>
        <v>0</v>
      </c>
      <c r="L60" s="185">
        <f>SUMIF('MASTER DATA'!$E:$E,'GENERAL PAYROLL'!$E60,'MASTER DATA'!$X:$X)+SUMIF('MASTER DATA'!$E:$E,'GENERAL PAYROLL'!$E60,'MASTER DATA'!$Y:$Y)</f>
        <v>0</v>
      </c>
      <c r="M60" s="185">
        <f t="shared" si="1"/>
        <v>0</v>
      </c>
      <c r="N60" s="185">
        <f>SUMIF('MASTER DATA'!$E:$E,'GENERAL PAYROLL'!$E60,'MASTER DATA'!$AC:$AC)</f>
        <v>0</v>
      </c>
      <c r="O60" s="185">
        <f>SUMIF('MASTER DATA'!$E:$E,'GENERAL PAYROLL'!$E60,'MASTER DATA'!$AD:$AD)+SUMIF('MASTER DATA'!$E:$E,'GENERAL PAYROLL'!$E60,'MASTER DATA'!$AE:$AE)</f>
        <v>0</v>
      </c>
      <c r="P60" s="185">
        <f t="shared" si="2"/>
        <v>0</v>
      </c>
      <c r="Q60" s="185">
        <f>SUMIF('MASTER DATA'!$E:$E,'GENERAL PAYROLL'!$E60,'MASTER DATA'!$AI:$AI)</f>
        <v>0</v>
      </c>
      <c r="R60" s="185">
        <f>SUMIF('MASTER DATA'!$E:$E,'GENERAL PAYROLL'!$E60,'MASTER DATA'!$AJ:$AJ)+SUMIF('MASTER DATA'!$E:$E,'GENERAL PAYROLL'!$E60,'MASTER DATA'!$AK:$AK)</f>
        <v>0</v>
      </c>
      <c r="S60" s="185">
        <f t="shared" si="3"/>
        <v>0</v>
      </c>
      <c r="T60" s="185">
        <f>SUMIF('MASTER DATA'!$E:$E,'GENERAL PAYROLL'!$E60,'MASTER DATA'!$AO:$AO)</f>
        <v>0</v>
      </c>
      <c r="U60" s="185">
        <f>SUMIF('MASTER DATA'!$E:$E,'GENERAL PAYROLL'!$E60,'MASTER DATA'!$AP:$AP)</f>
        <v>0</v>
      </c>
      <c r="V60" s="186">
        <f>SUMIF('MASTER DATA'!$E:$E,'GENERAL PAYROLL'!$E60,'MASTER DATA'!$AR:$AR)</f>
        <v>9310</v>
      </c>
      <c r="W60" s="185">
        <f>SUMIF('MASTER DATA'!$E:$E,'GENERAL PAYROLL'!$E60,'MASTER DATA'!$AS:$AS)</f>
        <v>0</v>
      </c>
      <c r="X60" s="185">
        <f>SUMIF('MASTER DATA'!$E:$E,'GENERAL PAYROLL'!$E60,'MASTER DATA'!$AT:$AT)</f>
        <v>0</v>
      </c>
      <c r="Y60" s="185">
        <f>SUMIF('MASTER DATA'!$E:$E,'GENERAL PAYROLL'!$E60,'MASTER DATA'!$AU:$AU)</f>
        <v>0</v>
      </c>
      <c r="Z60" s="185">
        <f>SUMIF('MASTER DATA'!$E:$E,'GENERAL PAYROLL'!$E60,'MASTER DATA'!$AV:$AV)</f>
        <v>0</v>
      </c>
      <c r="AA60" s="185">
        <f>SUMIF('MASTER DATA'!$E:$E,'GENERAL PAYROLL'!$E60,'MASTER DATA'!$AW:$AW)</f>
        <v>0</v>
      </c>
      <c r="AB60" s="185">
        <f>SUMIF('MASTER DATA'!$E:$E,'GENERAL PAYROLL'!$E60,'MASTER DATA'!$AX:$AX)</f>
        <v>0</v>
      </c>
      <c r="AC60" s="186">
        <f>SUMIF('MASTER DATA'!$E:$E,'GENERAL PAYROLL'!$E60,'MASTER DATA'!$AY:$AY)</f>
        <v>9310</v>
      </c>
      <c r="AD60" s="137" t="str">
        <f t="shared" si="6"/>
        <v>SHOW</v>
      </c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</row>
    <row r="61" spans="2:42" ht="15.75" customHeight="1">
      <c r="B61" s="80"/>
      <c r="C61" s="137" t="s">
        <v>327</v>
      </c>
      <c r="D61" s="84">
        <f t="shared" si="0"/>
        <v>42</v>
      </c>
      <c r="E61" s="182" t="str">
        <f>IFERROR(VLOOKUP(C61,CODE!$B:$D,3,FALSE)," ")</f>
        <v>GAMBOA, ELGIE F.</v>
      </c>
      <c r="F61" s="183" t="str">
        <f>VLOOKUP($C61,CODE!$B:$F,5,FALSE)</f>
        <v>Administrative Asst. I</v>
      </c>
      <c r="G61" s="183" t="str">
        <f>VLOOKUP($C61,CODE!$B:$F,4,FALSE)</f>
        <v>GSS</v>
      </c>
      <c r="H61" s="187">
        <v>11</v>
      </c>
      <c r="I61" s="185">
        <f>SUMIF('MASTER DATA'!$E:$E,'GENERAL PAYROLL'!$E61,'MASTER DATA'!$O:$O)</f>
        <v>846.36363636363637</v>
      </c>
      <c r="J61" s="186">
        <f>SUMIF('MASTER DATA'!$E:$E,'GENERAL PAYROLL'!$E61,'MASTER DATA'!$N:$N)</f>
        <v>9310</v>
      </c>
      <c r="K61" s="185">
        <f>SUMIF('MASTER DATA'!$E:$E,'GENERAL PAYROLL'!$E61,'MASTER DATA'!$W:$W)</f>
        <v>2539.09</v>
      </c>
      <c r="L61" s="185">
        <f>SUMIF('MASTER DATA'!$E:$E,'GENERAL PAYROLL'!$E61,'MASTER DATA'!$X:$X)+SUMIF('MASTER DATA'!$E:$E,'GENERAL PAYROLL'!$E61,'MASTER DATA'!$Y:$Y)</f>
        <v>0</v>
      </c>
      <c r="M61" s="185">
        <f t="shared" si="1"/>
        <v>2539.09</v>
      </c>
      <c r="N61" s="185">
        <f>SUMIF('MASTER DATA'!$E:$E,'GENERAL PAYROLL'!$E61,'MASTER DATA'!$AC:$AC)</f>
        <v>0</v>
      </c>
      <c r="O61" s="185">
        <f>SUMIF('MASTER DATA'!$E:$E,'GENERAL PAYROLL'!$E61,'MASTER DATA'!$AD:$AD)+SUMIF('MASTER DATA'!$E:$E,'GENERAL PAYROLL'!$E61,'MASTER DATA'!$AE:$AE)</f>
        <v>0</v>
      </c>
      <c r="P61" s="185">
        <f t="shared" si="2"/>
        <v>0</v>
      </c>
      <c r="Q61" s="185">
        <f>SUMIF('MASTER DATA'!$E:$E,'GENERAL PAYROLL'!$E61,'MASTER DATA'!$AI:$AI)</f>
        <v>0</v>
      </c>
      <c r="R61" s="185">
        <f>SUMIF('MASTER DATA'!$E:$E,'GENERAL PAYROLL'!$E61,'MASTER DATA'!$AJ:$AJ)+SUMIF('MASTER DATA'!$E:$E,'GENERAL PAYROLL'!$E61,'MASTER DATA'!$AK:$AK)</f>
        <v>0</v>
      </c>
      <c r="S61" s="185">
        <f t="shared" si="3"/>
        <v>0</v>
      </c>
      <c r="T61" s="185">
        <f>SUMIF('MASTER DATA'!$E:$E,'GENERAL PAYROLL'!$E61,'MASTER DATA'!$AO:$AO)</f>
        <v>2539.09</v>
      </c>
      <c r="U61" s="185">
        <f>SUMIF('MASTER DATA'!$E:$E,'GENERAL PAYROLL'!$E61,'MASTER DATA'!$AP:$AP)</f>
        <v>0</v>
      </c>
      <c r="V61" s="186">
        <f>SUMIF('MASTER DATA'!$E:$E,'GENERAL PAYROLL'!$E61,'MASTER DATA'!$AR:$AR)</f>
        <v>6770.91</v>
      </c>
      <c r="W61" s="185">
        <f>SUMIF('MASTER DATA'!$E:$E,'GENERAL PAYROLL'!$E61,'MASTER DATA'!$AS:$AS)</f>
        <v>0</v>
      </c>
      <c r="X61" s="185">
        <f>SUMIF('MASTER DATA'!$E:$E,'GENERAL PAYROLL'!$E61,'MASTER DATA'!$AT:$AT)</f>
        <v>0</v>
      </c>
      <c r="Y61" s="185">
        <f>SUMIF('MASTER DATA'!$E:$E,'GENERAL PAYROLL'!$E61,'MASTER DATA'!$AU:$AU)</f>
        <v>0</v>
      </c>
      <c r="Z61" s="185">
        <f>SUMIF('MASTER DATA'!$E:$E,'GENERAL PAYROLL'!$E61,'MASTER DATA'!$AV:$AV)</f>
        <v>0</v>
      </c>
      <c r="AA61" s="185">
        <f>SUMIF('MASTER DATA'!$E:$E,'GENERAL PAYROLL'!$E61,'MASTER DATA'!$AW:$AW)</f>
        <v>0</v>
      </c>
      <c r="AB61" s="185">
        <f>SUMIF('MASTER DATA'!$E:$E,'GENERAL PAYROLL'!$E61,'MASTER DATA'!$AX:$AX)</f>
        <v>0</v>
      </c>
      <c r="AC61" s="186">
        <f>SUMIF('MASTER DATA'!$E:$E,'GENERAL PAYROLL'!$E61,'MASTER DATA'!$AY:$AY)</f>
        <v>6770.91</v>
      </c>
      <c r="AD61" s="137" t="str">
        <f t="shared" si="6"/>
        <v>SHOW</v>
      </c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</row>
    <row r="62" spans="2:42" ht="33.75" customHeight="1">
      <c r="B62" s="80"/>
      <c r="C62" s="137" t="s">
        <v>328</v>
      </c>
      <c r="D62" s="84">
        <f t="shared" si="0"/>
        <v>43</v>
      </c>
      <c r="E62" s="182" t="str">
        <f>IFERROR(VLOOKUP(C62,CODE!$B:$D,3,FALSE)," ")</f>
        <v>TORIO, MARLON P.</v>
      </c>
      <c r="F62" s="183" t="str">
        <f>VLOOKUP($C62,CODE!$B:$F,5,FALSE)</f>
        <v>Administrative Asst. I (Bus Driver)</v>
      </c>
      <c r="G62" s="183" t="str">
        <f>VLOOKUP($C62,CODE!$B:$F,4,FALSE)</f>
        <v>GSS</v>
      </c>
      <c r="H62" s="187">
        <v>11</v>
      </c>
      <c r="I62" s="185">
        <f>SUMIF('MASTER DATA'!$E:$E,'GENERAL PAYROLL'!$E62,'MASTER DATA'!$O:$O)</f>
        <v>846.36363636363637</v>
      </c>
      <c r="J62" s="186">
        <f>SUMIF('MASTER DATA'!$E:$E,'GENERAL PAYROLL'!$E62,'MASTER DATA'!$N:$N)</f>
        <v>9310</v>
      </c>
      <c r="K62" s="185">
        <f>SUMIF('MASTER DATA'!$E:$E,'GENERAL PAYROLL'!$E62,'MASTER DATA'!$W:$W)</f>
        <v>0</v>
      </c>
      <c r="L62" s="185">
        <f>SUMIF('MASTER DATA'!$E:$E,'GENERAL PAYROLL'!$E62,'MASTER DATA'!$X:$X)+SUMIF('MASTER DATA'!$E:$E,'GENERAL PAYROLL'!$E62,'MASTER DATA'!$Y:$Y)</f>
        <v>0</v>
      </c>
      <c r="M62" s="185">
        <f t="shared" si="1"/>
        <v>0</v>
      </c>
      <c r="N62" s="185">
        <f>SUMIF('MASTER DATA'!$E:$E,'GENERAL PAYROLL'!$E62,'MASTER DATA'!$AC:$AC)</f>
        <v>0</v>
      </c>
      <c r="O62" s="185">
        <f>SUMIF('MASTER DATA'!$E:$E,'GENERAL PAYROLL'!$E62,'MASTER DATA'!$AD:$AD)+SUMIF('MASTER DATA'!$E:$E,'GENERAL PAYROLL'!$E62,'MASTER DATA'!$AE:$AE)</f>
        <v>0</v>
      </c>
      <c r="P62" s="185">
        <f t="shared" si="2"/>
        <v>0</v>
      </c>
      <c r="Q62" s="185">
        <f>SUMIF('MASTER DATA'!$E:$E,'GENERAL PAYROLL'!$E62,'MASTER DATA'!$AI:$AI)</f>
        <v>0</v>
      </c>
      <c r="R62" s="185">
        <f>SUMIF('MASTER DATA'!$E:$E,'GENERAL PAYROLL'!$E62,'MASTER DATA'!$AJ:$AJ)+SUMIF('MASTER DATA'!$E:$E,'GENERAL PAYROLL'!$E62,'MASTER DATA'!$AK:$AK)</f>
        <v>0</v>
      </c>
      <c r="S62" s="185">
        <f t="shared" si="3"/>
        <v>0</v>
      </c>
      <c r="T62" s="185">
        <f>SUMIF('MASTER DATA'!$E:$E,'GENERAL PAYROLL'!$E62,'MASTER DATA'!$AO:$AO)</f>
        <v>0</v>
      </c>
      <c r="U62" s="185">
        <f>SUMIF('MASTER DATA'!$E:$E,'GENERAL PAYROLL'!$E62,'MASTER DATA'!$AP:$AP)</f>
        <v>0</v>
      </c>
      <c r="V62" s="186">
        <f>SUMIF('MASTER DATA'!$E:$E,'GENERAL PAYROLL'!$E62,'MASTER DATA'!$AR:$AR)</f>
        <v>9310</v>
      </c>
      <c r="W62" s="185">
        <f>SUMIF('MASTER DATA'!$E:$E,'GENERAL PAYROLL'!$E62,'MASTER DATA'!$AS:$AS)</f>
        <v>0</v>
      </c>
      <c r="X62" s="185">
        <f>SUMIF('MASTER DATA'!$E:$E,'GENERAL PAYROLL'!$E62,'MASTER DATA'!$AT:$AT)</f>
        <v>0</v>
      </c>
      <c r="Y62" s="185">
        <f>SUMIF('MASTER DATA'!$E:$E,'GENERAL PAYROLL'!$E62,'MASTER DATA'!$AU:$AU)</f>
        <v>0</v>
      </c>
      <c r="Z62" s="185">
        <f>SUMIF('MASTER DATA'!$E:$E,'GENERAL PAYROLL'!$E62,'MASTER DATA'!$AV:$AV)</f>
        <v>0</v>
      </c>
      <c r="AA62" s="185">
        <f>SUMIF('MASTER DATA'!$E:$E,'GENERAL PAYROLL'!$E62,'MASTER DATA'!$AW:$AW)</f>
        <v>0</v>
      </c>
      <c r="AB62" s="185">
        <f>SUMIF('MASTER DATA'!$E:$E,'GENERAL PAYROLL'!$E62,'MASTER DATA'!$AX:$AX)</f>
        <v>0</v>
      </c>
      <c r="AC62" s="186">
        <f>SUMIF('MASTER DATA'!$E:$E,'GENERAL PAYROLL'!$E62,'MASTER DATA'!$AY:$AY)</f>
        <v>9310</v>
      </c>
      <c r="AD62" s="137" t="str">
        <f t="shared" si="6"/>
        <v>SHOW</v>
      </c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</row>
    <row r="63" spans="2:42" ht="33.75" customHeight="1">
      <c r="B63" s="80"/>
      <c r="C63" s="137" t="s">
        <v>329</v>
      </c>
      <c r="D63" s="84">
        <f t="shared" si="0"/>
        <v>44</v>
      </c>
      <c r="E63" s="182" t="str">
        <f>IFERROR(VLOOKUP(C63,CODE!$B:$D,3,FALSE)," ")</f>
        <v>NAMOCA, SANTIAGO J.</v>
      </c>
      <c r="F63" s="183" t="str">
        <f>VLOOKUP($C63,CODE!$B:$F,5,FALSE)</f>
        <v>Administrative Asst. I (Bus Driver)</v>
      </c>
      <c r="G63" s="183" t="str">
        <f>VLOOKUP($C63,CODE!$B:$F,4,FALSE)</f>
        <v>GSS</v>
      </c>
      <c r="H63" s="187">
        <v>11</v>
      </c>
      <c r="I63" s="185">
        <f>SUMIF('MASTER DATA'!$E:$E,'GENERAL PAYROLL'!$E63,'MASTER DATA'!$O:$O)</f>
        <v>846.36363636363637</v>
      </c>
      <c r="J63" s="186">
        <f>SUMIF('MASTER DATA'!$E:$E,'GENERAL PAYROLL'!$E63,'MASTER DATA'!$N:$N)</f>
        <v>9310</v>
      </c>
      <c r="K63" s="185">
        <f>SUMIF('MASTER DATA'!$E:$E,'GENERAL PAYROLL'!$E63,'MASTER DATA'!$W:$W)</f>
        <v>0</v>
      </c>
      <c r="L63" s="185">
        <f>SUMIF('MASTER DATA'!$E:$E,'GENERAL PAYROLL'!$E63,'MASTER DATA'!$X:$X)+SUMIF('MASTER DATA'!$E:$E,'GENERAL PAYROLL'!$E63,'MASTER DATA'!$Y:$Y)</f>
        <v>0</v>
      </c>
      <c r="M63" s="185">
        <f t="shared" si="1"/>
        <v>0</v>
      </c>
      <c r="N63" s="185">
        <f>SUMIF('MASTER DATA'!$E:$E,'GENERAL PAYROLL'!$E63,'MASTER DATA'!$AC:$AC)</f>
        <v>0</v>
      </c>
      <c r="O63" s="185">
        <f>SUMIF('MASTER DATA'!$E:$E,'GENERAL PAYROLL'!$E63,'MASTER DATA'!$AD:$AD)+SUMIF('MASTER DATA'!$E:$E,'GENERAL PAYROLL'!$E63,'MASTER DATA'!$AE:$AE)</f>
        <v>0</v>
      </c>
      <c r="P63" s="185">
        <f t="shared" si="2"/>
        <v>0</v>
      </c>
      <c r="Q63" s="185">
        <f>SUMIF('MASTER DATA'!$E:$E,'GENERAL PAYROLL'!$E63,'MASTER DATA'!$AI:$AI)</f>
        <v>0</v>
      </c>
      <c r="R63" s="185">
        <f>SUMIF('MASTER DATA'!$E:$E,'GENERAL PAYROLL'!$E63,'MASTER DATA'!$AJ:$AJ)+SUMIF('MASTER DATA'!$E:$E,'GENERAL PAYROLL'!$E63,'MASTER DATA'!$AK:$AK)</f>
        <v>0</v>
      </c>
      <c r="S63" s="185">
        <f t="shared" si="3"/>
        <v>0</v>
      </c>
      <c r="T63" s="185">
        <f>SUMIF('MASTER DATA'!$E:$E,'GENERAL PAYROLL'!$E63,'MASTER DATA'!$AO:$AO)</f>
        <v>0</v>
      </c>
      <c r="U63" s="185">
        <f>SUMIF('MASTER DATA'!$E:$E,'GENERAL PAYROLL'!$E63,'MASTER DATA'!$AP:$AP)</f>
        <v>0</v>
      </c>
      <c r="V63" s="186">
        <f>SUMIF('MASTER DATA'!$E:$E,'GENERAL PAYROLL'!$E63,'MASTER DATA'!$AR:$AR)</f>
        <v>9310</v>
      </c>
      <c r="W63" s="185">
        <f>SUMIF('MASTER DATA'!$E:$E,'GENERAL PAYROLL'!$E63,'MASTER DATA'!$AS:$AS)</f>
        <v>0</v>
      </c>
      <c r="X63" s="185">
        <f>SUMIF('MASTER DATA'!$E:$E,'GENERAL PAYROLL'!$E63,'MASTER DATA'!$AT:$AT)</f>
        <v>0</v>
      </c>
      <c r="Y63" s="185">
        <f>SUMIF('MASTER DATA'!$E:$E,'GENERAL PAYROLL'!$E63,'MASTER DATA'!$AU:$AU)</f>
        <v>0</v>
      </c>
      <c r="Z63" s="185">
        <f>SUMIF('MASTER DATA'!$E:$E,'GENERAL PAYROLL'!$E63,'MASTER DATA'!$AV:$AV)</f>
        <v>0</v>
      </c>
      <c r="AA63" s="185">
        <f>SUMIF('MASTER DATA'!$E:$E,'GENERAL PAYROLL'!$E63,'MASTER DATA'!$AW:$AW)</f>
        <v>0</v>
      </c>
      <c r="AB63" s="185">
        <f>SUMIF('MASTER DATA'!$E:$E,'GENERAL PAYROLL'!$E63,'MASTER DATA'!$AX:$AX)</f>
        <v>0</v>
      </c>
      <c r="AC63" s="186">
        <f>SUMIF('MASTER DATA'!$E:$E,'GENERAL PAYROLL'!$E63,'MASTER DATA'!$AY:$AY)</f>
        <v>9310</v>
      </c>
      <c r="AD63" s="137" t="str">
        <f t="shared" si="6"/>
        <v>SHOW</v>
      </c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</row>
    <row r="64" spans="2:42" ht="33.75" customHeight="1">
      <c r="B64" s="80"/>
      <c r="C64" s="137" t="s">
        <v>330</v>
      </c>
      <c r="D64" s="84">
        <f t="shared" si="0"/>
        <v>45</v>
      </c>
      <c r="E64" s="182" t="str">
        <f>IFERROR(VLOOKUP(C64,CODE!$B:$D,3,FALSE)," ")</f>
        <v xml:space="preserve">GUTIERREZ, DACHIEL P.  </v>
      </c>
      <c r="F64" s="183" t="str">
        <f>VLOOKUP($C64,CODE!$B:$F,5,FALSE)</f>
        <v>Administrative Asst. I</v>
      </c>
      <c r="G64" s="183" t="str">
        <f>VLOOKUP($C64,CODE!$B:$F,4,FALSE)</f>
        <v>GSS</v>
      </c>
      <c r="H64" s="187">
        <v>11</v>
      </c>
      <c r="I64" s="185">
        <f>SUMIF('MASTER DATA'!$E:$E,'GENERAL PAYROLL'!$E64,'MASTER DATA'!$O:$O)</f>
        <v>846.36363636363637</v>
      </c>
      <c r="J64" s="186">
        <f>SUMIF('MASTER DATA'!$E:$E,'GENERAL PAYROLL'!$E64,'MASTER DATA'!$N:$N)</f>
        <v>9310</v>
      </c>
      <c r="K64" s="185">
        <f>SUMIF('MASTER DATA'!$E:$E,'GENERAL PAYROLL'!$E64,'MASTER DATA'!$W:$W)</f>
        <v>0</v>
      </c>
      <c r="L64" s="185">
        <f>SUMIF('MASTER DATA'!$E:$E,'GENERAL PAYROLL'!$E64,'MASTER DATA'!$X:$X)+SUMIF('MASTER DATA'!$E:$E,'GENERAL PAYROLL'!$E64,'MASTER DATA'!$Y:$Y)</f>
        <v>40.549999999999997</v>
      </c>
      <c r="M64" s="185">
        <f t="shared" si="1"/>
        <v>40.549999999999997</v>
      </c>
      <c r="N64" s="185">
        <f>SUMIF('MASTER DATA'!$E:$E,'GENERAL PAYROLL'!$E64,'MASTER DATA'!$AC:$AC)</f>
        <v>0</v>
      </c>
      <c r="O64" s="185">
        <f>SUMIF('MASTER DATA'!$E:$E,'GENERAL PAYROLL'!$E64,'MASTER DATA'!$AD:$AD)+SUMIF('MASTER DATA'!$E:$E,'GENERAL PAYROLL'!$E64,'MASTER DATA'!$AE:$AE)</f>
        <v>0</v>
      </c>
      <c r="P64" s="185">
        <f t="shared" si="2"/>
        <v>0</v>
      </c>
      <c r="Q64" s="185">
        <f>SUMIF('MASTER DATA'!$E:$E,'GENERAL PAYROLL'!$E64,'MASTER DATA'!$AI:$AI)</f>
        <v>0</v>
      </c>
      <c r="R64" s="185">
        <f>SUMIF('MASTER DATA'!$E:$E,'GENERAL PAYROLL'!$E64,'MASTER DATA'!$AJ:$AJ)+SUMIF('MASTER DATA'!$E:$E,'GENERAL PAYROLL'!$E64,'MASTER DATA'!$AK:$AK)</f>
        <v>0</v>
      </c>
      <c r="S64" s="185">
        <f t="shared" si="3"/>
        <v>0</v>
      </c>
      <c r="T64" s="185">
        <f>SUMIF('MASTER DATA'!$E:$E,'GENERAL PAYROLL'!$E64,'MASTER DATA'!$AO:$AO)</f>
        <v>40.549999999999997</v>
      </c>
      <c r="U64" s="185">
        <f>SUMIF('MASTER DATA'!$E:$E,'GENERAL PAYROLL'!$E64,'MASTER DATA'!$AP:$AP)</f>
        <v>0</v>
      </c>
      <c r="V64" s="186">
        <f>SUMIF('MASTER DATA'!$E:$E,'GENERAL PAYROLL'!$E64,'MASTER DATA'!$AR:$AR)</f>
        <v>9269.4500000000007</v>
      </c>
      <c r="W64" s="185">
        <f>SUMIF('MASTER DATA'!$E:$E,'GENERAL PAYROLL'!$E64,'MASTER DATA'!$AS:$AS)</f>
        <v>0</v>
      </c>
      <c r="X64" s="185">
        <f>SUMIF('MASTER DATA'!$E:$E,'GENERAL PAYROLL'!$E64,'MASTER DATA'!$AT:$AT)</f>
        <v>0</v>
      </c>
      <c r="Y64" s="185">
        <f>SUMIF('MASTER DATA'!$E:$E,'GENERAL PAYROLL'!$E64,'MASTER DATA'!$AU:$AU)</f>
        <v>0</v>
      </c>
      <c r="Z64" s="185">
        <f>SUMIF('MASTER DATA'!$E:$E,'GENERAL PAYROLL'!$E64,'MASTER DATA'!$AV:$AV)</f>
        <v>0</v>
      </c>
      <c r="AA64" s="185">
        <f>SUMIF('MASTER DATA'!$E:$E,'GENERAL PAYROLL'!$E64,'MASTER DATA'!$AW:$AW)</f>
        <v>0</v>
      </c>
      <c r="AB64" s="185">
        <f>SUMIF('MASTER DATA'!$E:$E,'GENERAL PAYROLL'!$E64,'MASTER DATA'!$AX:$AX)</f>
        <v>0</v>
      </c>
      <c r="AC64" s="186">
        <f>SUMIF('MASTER DATA'!$E:$E,'GENERAL PAYROLL'!$E64,'MASTER DATA'!$AY:$AY)</f>
        <v>9269.4500000000007</v>
      </c>
      <c r="AD64" s="137" t="str">
        <f t="shared" si="6"/>
        <v>SHOW</v>
      </c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</row>
    <row r="65" spans="2:42" ht="15.75" customHeight="1">
      <c r="B65" s="80"/>
      <c r="C65" s="137" t="s">
        <v>331</v>
      </c>
      <c r="D65" s="84">
        <f t="shared" si="0"/>
        <v>46</v>
      </c>
      <c r="E65" s="182" t="str">
        <f>IFERROR(VLOOKUP(C65,CODE!$B:$D,3,FALSE)," ")</f>
        <v>PERALTA, JONEL</v>
      </c>
      <c r="F65" s="183" t="str">
        <f>VLOOKUP($C65,CODE!$B:$F,5,FALSE)</f>
        <v>Civil Engineer II</v>
      </c>
      <c r="G65" s="183" t="str">
        <f>VLOOKUP($C65,CODE!$B:$F,4,FALSE)</f>
        <v>INFRA</v>
      </c>
      <c r="H65" s="187">
        <v>11</v>
      </c>
      <c r="I65" s="185">
        <f>SUMIF('MASTER DATA'!$E:$E,'GENERAL PAYROLL'!$E65,'MASTER DATA'!$O:$O)</f>
        <v>1803.2727272727273</v>
      </c>
      <c r="J65" s="186">
        <f>SUMIF('MASTER DATA'!$E:$E,'GENERAL PAYROLL'!$E65,'MASTER DATA'!$N:$N)</f>
        <v>19836</v>
      </c>
      <c r="K65" s="185">
        <f>SUMIF('MASTER DATA'!$E:$E,'GENERAL PAYROLL'!$E65,'MASTER DATA'!$W:$W)</f>
        <v>0</v>
      </c>
      <c r="L65" s="185">
        <f>SUMIF('MASTER DATA'!$E:$E,'GENERAL PAYROLL'!$E65,'MASTER DATA'!$X:$X)+SUMIF('MASTER DATA'!$E:$E,'GENERAL PAYROLL'!$E65,'MASTER DATA'!$Y:$Y)</f>
        <v>0</v>
      </c>
      <c r="M65" s="185">
        <f t="shared" si="1"/>
        <v>0</v>
      </c>
      <c r="N65" s="185">
        <f>SUMIF('MASTER DATA'!$E:$E,'GENERAL PAYROLL'!$E65,'MASTER DATA'!$AC:$AC)</f>
        <v>0</v>
      </c>
      <c r="O65" s="185">
        <f>SUMIF('MASTER DATA'!$E:$E,'GENERAL PAYROLL'!$E65,'MASTER DATA'!$AD:$AD)+SUMIF('MASTER DATA'!$E:$E,'GENERAL PAYROLL'!$E65,'MASTER DATA'!$AE:$AE)</f>
        <v>0</v>
      </c>
      <c r="P65" s="185">
        <f t="shared" si="2"/>
        <v>0</v>
      </c>
      <c r="Q65" s="185">
        <f>SUMIF('MASTER DATA'!$E:$E,'GENERAL PAYROLL'!$E65,'MASTER DATA'!$AI:$AI)</f>
        <v>0</v>
      </c>
      <c r="R65" s="185">
        <f>SUMIF('MASTER DATA'!$E:$E,'GENERAL PAYROLL'!$E65,'MASTER DATA'!$AJ:$AJ)+SUMIF('MASTER DATA'!$E:$E,'GENERAL PAYROLL'!$E65,'MASTER DATA'!$AK:$AK)</f>
        <v>0</v>
      </c>
      <c r="S65" s="185">
        <f t="shared" si="3"/>
        <v>0</v>
      </c>
      <c r="T65" s="185">
        <f>SUMIF('MASTER DATA'!$E:$E,'GENERAL PAYROLL'!$E65,'MASTER DATA'!$AO:$AO)</f>
        <v>0</v>
      </c>
      <c r="U65" s="185">
        <f>SUMIF('MASTER DATA'!$E:$E,'GENERAL PAYROLL'!$E65,'MASTER DATA'!$AP:$AP)</f>
        <v>0</v>
      </c>
      <c r="V65" s="186">
        <f>SUMIF('MASTER DATA'!$E:$E,'GENERAL PAYROLL'!$E65,'MASTER DATA'!$AR:$AR)</f>
        <v>19836</v>
      </c>
      <c r="W65" s="185">
        <f>SUMIF('MASTER DATA'!$E:$E,'GENERAL PAYROLL'!$E65,'MASTER DATA'!$AS:$AS)</f>
        <v>0</v>
      </c>
      <c r="X65" s="185">
        <f>SUMIF('MASTER DATA'!$E:$E,'GENERAL PAYROLL'!$E65,'MASTER DATA'!$AT:$AT)</f>
        <v>1983.6</v>
      </c>
      <c r="Y65" s="185">
        <f>SUMIF('MASTER DATA'!$E:$E,'GENERAL PAYROLL'!$E65,'MASTER DATA'!$AU:$AU)</f>
        <v>2000</v>
      </c>
      <c r="Z65" s="185">
        <f>SUMIF('MASTER DATA'!$E:$E,'GENERAL PAYROLL'!$E65,'MASTER DATA'!$AV:$AV)</f>
        <v>922.78</v>
      </c>
      <c r="AA65" s="185">
        <f>SUMIF('MASTER DATA'!$E:$E,'GENERAL PAYROLL'!$E65,'MASTER DATA'!$AW:$AW)</f>
        <v>0</v>
      </c>
      <c r="AB65" s="185">
        <f>SUMIF('MASTER DATA'!$E:$E,'GENERAL PAYROLL'!$E65,'MASTER DATA'!$AX:$AX)</f>
        <v>0</v>
      </c>
      <c r="AC65" s="186">
        <f>SUMIF('MASTER DATA'!$E:$E,'GENERAL PAYROLL'!$E65,'MASTER DATA'!$AY:$AY)</f>
        <v>14929.62</v>
      </c>
      <c r="AD65" s="137" t="str">
        <f t="shared" si="6"/>
        <v>SHOW</v>
      </c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</row>
    <row r="66" spans="2:42" ht="36.75" customHeight="1">
      <c r="B66" s="80"/>
      <c r="C66" s="137" t="s">
        <v>332</v>
      </c>
      <c r="D66" s="84">
        <f t="shared" si="0"/>
        <v>47</v>
      </c>
      <c r="E66" s="182" t="str">
        <f>IFERROR(VLOOKUP(C66,CODE!$B:$D,3,FALSE)," ")</f>
        <v>RIVAS, JOSEPH S.</v>
      </c>
      <c r="F66" s="183" t="str">
        <f>VLOOKUP($C66,CODE!$B:$F,5,FALSE)</f>
        <v>Electrician General Forman</v>
      </c>
      <c r="G66" s="183" t="str">
        <f>VLOOKUP($C66,CODE!$B:$F,4,FALSE)</f>
        <v>INFRA</v>
      </c>
      <c r="H66" s="187">
        <v>11</v>
      </c>
      <c r="I66" s="185">
        <f>SUMIF('MASTER DATA'!$E:$E,'GENERAL PAYROLL'!$E66,'MASTER DATA'!$O:$O)</f>
        <v>0</v>
      </c>
      <c r="J66" s="186">
        <f>SUMIF('MASTER DATA'!$E:$E,'GENERAL PAYROLL'!$E66,'MASTER DATA'!$N:$N)</f>
        <v>0</v>
      </c>
      <c r="K66" s="185">
        <f>SUMIF('MASTER DATA'!$E:$E,'GENERAL PAYROLL'!$E66,'MASTER DATA'!$W:$W)</f>
        <v>0</v>
      </c>
      <c r="L66" s="185">
        <f>SUMIF('MASTER DATA'!$E:$E,'GENERAL PAYROLL'!$E66,'MASTER DATA'!$X:$X)+SUMIF('MASTER DATA'!$E:$E,'GENERAL PAYROLL'!$E66,'MASTER DATA'!$Y:$Y)</f>
        <v>0</v>
      </c>
      <c r="M66" s="185">
        <f t="shared" si="1"/>
        <v>0</v>
      </c>
      <c r="N66" s="185">
        <f>SUMIF('MASTER DATA'!$E:$E,'GENERAL PAYROLL'!$E66,'MASTER DATA'!$AC:$AC)</f>
        <v>0</v>
      </c>
      <c r="O66" s="185">
        <f>SUMIF('MASTER DATA'!$E:$E,'GENERAL PAYROLL'!$E66,'MASTER DATA'!$AD:$AD)+SUMIF('MASTER DATA'!$E:$E,'GENERAL PAYROLL'!$E66,'MASTER DATA'!$AE:$AE)</f>
        <v>0</v>
      </c>
      <c r="P66" s="185">
        <f t="shared" si="2"/>
        <v>0</v>
      </c>
      <c r="Q66" s="185">
        <f>SUMIF('MASTER DATA'!$E:$E,'GENERAL PAYROLL'!$E66,'MASTER DATA'!$AI:$AI)</f>
        <v>0</v>
      </c>
      <c r="R66" s="185">
        <f>SUMIF('MASTER DATA'!$E:$E,'GENERAL PAYROLL'!$E66,'MASTER DATA'!$AJ:$AJ)+SUMIF('MASTER DATA'!$E:$E,'GENERAL PAYROLL'!$E66,'MASTER DATA'!$AK:$AK)</f>
        <v>0</v>
      </c>
      <c r="S66" s="185">
        <f t="shared" si="3"/>
        <v>0</v>
      </c>
      <c r="T66" s="185">
        <f>SUMIF('MASTER DATA'!$E:$E,'GENERAL PAYROLL'!$E66,'MASTER DATA'!$AO:$AO)</f>
        <v>0</v>
      </c>
      <c r="U66" s="185">
        <f>SUMIF('MASTER DATA'!$E:$E,'GENERAL PAYROLL'!$E66,'MASTER DATA'!$AP:$AP)</f>
        <v>0</v>
      </c>
      <c r="V66" s="186">
        <f>SUMIF('MASTER DATA'!$E:$E,'GENERAL PAYROLL'!$E66,'MASTER DATA'!$AR:$AR)</f>
        <v>0</v>
      </c>
      <c r="W66" s="185">
        <f>SUMIF('MASTER DATA'!$E:$E,'GENERAL PAYROLL'!$E66,'MASTER DATA'!$AS:$AS)</f>
        <v>0</v>
      </c>
      <c r="X66" s="185">
        <f>SUMIF('MASTER DATA'!$E:$E,'GENERAL PAYROLL'!$E66,'MASTER DATA'!$AT:$AT)</f>
        <v>0</v>
      </c>
      <c r="Y66" s="185">
        <f>SUMIF('MASTER DATA'!$E:$E,'GENERAL PAYROLL'!$E66,'MASTER DATA'!$AU:$AU)</f>
        <v>0</v>
      </c>
      <c r="Z66" s="185">
        <f>SUMIF('MASTER DATA'!$E:$E,'GENERAL PAYROLL'!$E66,'MASTER DATA'!$AV:$AV)</f>
        <v>0</v>
      </c>
      <c r="AA66" s="185">
        <f>SUMIF('MASTER DATA'!$E:$E,'GENERAL PAYROLL'!$E66,'MASTER DATA'!$AW:$AW)</f>
        <v>0</v>
      </c>
      <c r="AB66" s="185">
        <f>SUMIF('MASTER DATA'!$E:$E,'GENERAL PAYROLL'!$E66,'MASTER DATA'!$AX:$AX)</f>
        <v>0</v>
      </c>
      <c r="AC66" s="186">
        <f>SUMIF('MASTER DATA'!$E:$E,'GENERAL PAYROLL'!$E66,'MASTER DATA'!$AY:$AY)</f>
        <v>0</v>
      </c>
      <c r="AD66" s="137" t="str">
        <f t="shared" si="6"/>
        <v>SHOW</v>
      </c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</row>
    <row r="67" spans="2:42" ht="15.75" customHeight="1">
      <c r="B67" s="80"/>
      <c r="C67" s="137" t="s">
        <v>333</v>
      </c>
      <c r="D67" s="84">
        <f t="shared" si="0"/>
        <v>48</v>
      </c>
      <c r="E67" s="182" t="str">
        <f>IFERROR(VLOOKUP(C67,CODE!$B:$D,3,FALSE)," ")</f>
        <v xml:space="preserve">PATAN, LIOMYR A. </v>
      </c>
      <c r="F67" s="183" t="str">
        <f>VLOOKUP($C67,CODE!$B:$F,5,FALSE)</f>
        <v>Electrical Engineer I</v>
      </c>
      <c r="G67" s="183" t="str">
        <f>VLOOKUP($C67,CODE!$B:$F,4,FALSE)</f>
        <v>INFRA</v>
      </c>
      <c r="H67" s="187">
        <v>11</v>
      </c>
      <c r="I67" s="185">
        <f>SUMIF('MASTER DATA'!$E:$E,'GENERAL PAYROLL'!$E67,'MASTER DATA'!$O:$O)</f>
        <v>1538.3181818181818</v>
      </c>
      <c r="J67" s="186">
        <f>SUMIF('MASTER DATA'!$E:$E,'GENERAL PAYROLL'!$E67,'MASTER DATA'!$N:$N)</f>
        <v>16921.5</v>
      </c>
      <c r="K67" s="185">
        <f>SUMIF('MASTER DATA'!$E:$E,'GENERAL PAYROLL'!$E67,'MASTER DATA'!$W:$W)</f>
        <v>1538.32</v>
      </c>
      <c r="L67" s="185">
        <f>SUMIF('MASTER DATA'!$E:$E,'GENERAL PAYROLL'!$E67,'MASTER DATA'!$X:$X)+SUMIF('MASTER DATA'!$E:$E,'GENERAL PAYROLL'!$E67,'MASTER DATA'!$Y:$Y)</f>
        <v>458.28999999999996</v>
      </c>
      <c r="M67" s="185">
        <f t="shared" si="1"/>
        <v>1996.61</v>
      </c>
      <c r="N67" s="185">
        <f>SUMIF('MASTER DATA'!$E:$E,'GENERAL PAYROLL'!$E67,'MASTER DATA'!$AC:$AC)</f>
        <v>0</v>
      </c>
      <c r="O67" s="185">
        <f>SUMIF('MASTER DATA'!$E:$E,'GENERAL PAYROLL'!$E67,'MASTER DATA'!$AD:$AD)+SUMIF('MASTER DATA'!$E:$E,'GENERAL PAYROLL'!$E67,'MASTER DATA'!$AE:$AE)</f>
        <v>0</v>
      </c>
      <c r="P67" s="185">
        <f t="shared" si="2"/>
        <v>0</v>
      </c>
      <c r="Q67" s="185">
        <f>SUMIF('MASTER DATA'!$E:$E,'GENERAL PAYROLL'!$E67,'MASTER DATA'!$AI:$AI)</f>
        <v>0</v>
      </c>
      <c r="R67" s="185">
        <f>SUMIF('MASTER DATA'!$E:$E,'GENERAL PAYROLL'!$E67,'MASTER DATA'!$AJ:$AJ)+SUMIF('MASTER DATA'!$E:$E,'GENERAL PAYROLL'!$E67,'MASTER DATA'!$AK:$AK)</f>
        <v>0</v>
      </c>
      <c r="S67" s="185">
        <f t="shared" si="3"/>
        <v>0</v>
      </c>
      <c r="T67" s="185">
        <f>SUMIF('MASTER DATA'!$E:$E,'GENERAL PAYROLL'!$E67,'MASTER DATA'!$AO:$AO)</f>
        <v>1996.61</v>
      </c>
      <c r="U67" s="185">
        <f>SUMIF('MASTER DATA'!$E:$E,'GENERAL PAYROLL'!$E67,'MASTER DATA'!$AP:$AP)</f>
        <v>0.03</v>
      </c>
      <c r="V67" s="186">
        <f>SUMIF('MASTER DATA'!$E:$E,'GENERAL PAYROLL'!$E67,'MASTER DATA'!$AR:$AR)</f>
        <v>14924.92</v>
      </c>
      <c r="W67" s="185">
        <f>SUMIF('MASTER DATA'!$E:$E,'GENERAL PAYROLL'!$E67,'MASTER DATA'!$AS:$AS)</f>
        <v>0</v>
      </c>
      <c r="X67" s="185">
        <f>SUMIF('MASTER DATA'!$E:$E,'GENERAL PAYROLL'!$E67,'MASTER DATA'!$AT:$AT)</f>
        <v>1492.49</v>
      </c>
      <c r="Y67" s="185">
        <f>SUMIF('MASTER DATA'!$E:$E,'GENERAL PAYROLL'!$E67,'MASTER DATA'!$AU:$AU)</f>
        <v>0</v>
      </c>
      <c r="Z67" s="185">
        <f>SUMIF('MASTER DATA'!$E:$E,'GENERAL PAYROLL'!$E67,'MASTER DATA'!$AV:$AV)</f>
        <v>0</v>
      </c>
      <c r="AA67" s="185">
        <f>SUMIF('MASTER DATA'!$E:$E,'GENERAL PAYROLL'!$E67,'MASTER DATA'!$AW:$AW)</f>
        <v>0</v>
      </c>
      <c r="AB67" s="185">
        <f>SUMIF('MASTER DATA'!$E:$E,'GENERAL PAYROLL'!$E67,'MASTER DATA'!$AX:$AX)</f>
        <v>0</v>
      </c>
      <c r="AC67" s="186">
        <f>SUMIF('MASTER DATA'!$E:$E,'GENERAL PAYROLL'!$E67,'MASTER DATA'!$AY:$AY)</f>
        <v>13432.43</v>
      </c>
      <c r="AD67" s="137" t="str">
        <f t="shared" si="6"/>
        <v>SHOW</v>
      </c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</row>
    <row r="68" spans="2:42" ht="15.75" customHeight="1">
      <c r="B68" s="80"/>
      <c r="C68" s="137" t="s">
        <v>334</v>
      </c>
      <c r="D68" s="84">
        <f t="shared" si="0"/>
        <v>49</v>
      </c>
      <c r="E68" s="182" t="str">
        <f>IFERROR(VLOOKUP(C68,CODE!$B:$D,3,FALSE)," ")</f>
        <v>LORENA, SUSAN G</v>
      </c>
      <c r="F68" s="183" t="str">
        <f>VLOOKUP($C68,CODE!$B:$F,5,FALSE)</f>
        <v>Administrative Asst. II</v>
      </c>
      <c r="G68" s="183" t="str">
        <f>VLOOKUP($C68,CODE!$B:$F,4,FALSE)</f>
        <v>COA</v>
      </c>
      <c r="H68" s="187">
        <v>11</v>
      </c>
      <c r="I68" s="185">
        <f>SUMIF('MASTER DATA'!$E:$E,'GENERAL PAYROLL'!$E68,'MASTER DATA'!$O:$O)</f>
        <v>897.4545454545455</v>
      </c>
      <c r="J68" s="186">
        <f>SUMIF('MASTER DATA'!$E:$E,'GENERAL PAYROLL'!$E68,'MASTER DATA'!$N:$N)</f>
        <v>9872</v>
      </c>
      <c r="K68" s="185">
        <f>SUMIF('MASTER DATA'!$E:$E,'GENERAL PAYROLL'!$E68,'MASTER DATA'!$W:$W)</f>
        <v>0</v>
      </c>
      <c r="L68" s="185">
        <f>SUMIF('MASTER DATA'!$E:$E,'GENERAL PAYROLL'!$E68,'MASTER DATA'!$X:$X)+SUMIF('MASTER DATA'!$E:$E,'GENERAL PAYROLL'!$E68,'MASTER DATA'!$Y:$Y)</f>
        <v>0</v>
      </c>
      <c r="M68" s="185">
        <f t="shared" si="1"/>
        <v>0</v>
      </c>
      <c r="N68" s="185">
        <f>SUMIF('MASTER DATA'!$E:$E,'GENERAL PAYROLL'!$E68,'MASTER DATA'!$AC:$AC)</f>
        <v>0</v>
      </c>
      <c r="O68" s="185">
        <f>SUMIF('MASTER DATA'!$E:$E,'GENERAL PAYROLL'!$E68,'MASTER DATA'!$AD:$AD)+SUMIF('MASTER DATA'!$E:$E,'GENERAL PAYROLL'!$E68,'MASTER DATA'!$AE:$AE)</f>
        <v>0</v>
      </c>
      <c r="P68" s="185">
        <f t="shared" si="2"/>
        <v>0</v>
      </c>
      <c r="Q68" s="185">
        <f>SUMIF('MASTER DATA'!$E:$E,'GENERAL PAYROLL'!$E68,'MASTER DATA'!$AI:$AI)</f>
        <v>0</v>
      </c>
      <c r="R68" s="185">
        <f>SUMIF('MASTER DATA'!$E:$E,'GENERAL PAYROLL'!$E68,'MASTER DATA'!$AJ:$AJ)+SUMIF('MASTER DATA'!$E:$E,'GENERAL PAYROLL'!$E68,'MASTER DATA'!$AK:$AK)</f>
        <v>0</v>
      </c>
      <c r="S68" s="185">
        <f t="shared" si="3"/>
        <v>0</v>
      </c>
      <c r="T68" s="185">
        <f>SUMIF('MASTER DATA'!$E:$E,'GENERAL PAYROLL'!$E68,'MASTER DATA'!$AO:$AO)</f>
        <v>0</v>
      </c>
      <c r="U68" s="185">
        <f>SUMIF('MASTER DATA'!$E:$E,'GENERAL PAYROLL'!$E68,'MASTER DATA'!$AP:$AP)</f>
        <v>0</v>
      </c>
      <c r="V68" s="186">
        <f>SUMIF('MASTER DATA'!$E:$E,'GENERAL PAYROLL'!$E68,'MASTER DATA'!$AR:$AR)</f>
        <v>9872</v>
      </c>
      <c r="W68" s="185">
        <f>SUMIF('MASTER DATA'!$E:$E,'GENERAL PAYROLL'!$E68,'MASTER DATA'!$AS:$AS)</f>
        <v>0</v>
      </c>
      <c r="X68" s="185">
        <f>SUMIF('MASTER DATA'!$E:$E,'GENERAL PAYROLL'!$E68,'MASTER DATA'!$AT:$AT)</f>
        <v>0</v>
      </c>
      <c r="Y68" s="185">
        <f>SUMIF('MASTER DATA'!$E:$E,'GENERAL PAYROLL'!$E68,'MASTER DATA'!$AU:$AU)</f>
        <v>0</v>
      </c>
      <c r="Z68" s="185">
        <f>SUMIF('MASTER DATA'!$E:$E,'GENERAL PAYROLL'!$E68,'MASTER DATA'!$AV:$AV)</f>
        <v>0</v>
      </c>
      <c r="AA68" s="185">
        <f>SUMIF('MASTER DATA'!$E:$E,'GENERAL PAYROLL'!$E68,'MASTER DATA'!$AW:$AW)</f>
        <v>0</v>
      </c>
      <c r="AB68" s="185">
        <f>SUMIF('MASTER DATA'!$E:$E,'GENERAL PAYROLL'!$E68,'MASTER DATA'!$AX:$AX)</f>
        <v>0</v>
      </c>
      <c r="AC68" s="186">
        <f>SUMIF('MASTER DATA'!$E:$E,'GENERAL PAYROLL'!$E68,'MASTER DATA'!$AY:$AY)</f>
        <v>9872</v>
      </c>
      <c r="AD68" s="137" t="str">
        <f t="shared" si="6"/>
        <v>SHOW</v>
      </c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</row>
    <row r="69" spans="2:42" ht="15.75" customHeight="1">
      <c r="B69" s="80"/>
      <c r="C69" s="137" t="s">
        <v>335</v>
      </c>
      <c r="D69" s="84">
        <f t="shared" si="0"/>
        <v>50</v>
      </c>
      <c r="E69" s="182" t="str">
        <f>IFERROR(VLOOKUP(C69,CODE!$B:$D,3,FALSE)," ")</f>
        <v>GUZMAN, JESSA MAE G.</v>
      </c>
      <c r="F69" s="183" t="str">
        <f>VLOOKUP($C69,CODE!$B:$F,5,FALSE)</f>
        <v>Administrative Asst. II</v>
      </c>
      <c r="G69" s="183" t="str">
        <f>VLOOKUP($C69,CODE!$B:$F,4,FALSE)</f>
        <v>COA</v>
      </c>
      <c r="H69" s="187">
        <v>11</v>
      </c>
      <c r="I69" s="185">
        <f>SUMIF('MASTER DATA'!$E:$E,'GENERAL PAYROLL'!$E69,'MASTER DATA'!$O:$O)</f>
        <v>897.4545454545455</v>
      </c>
      <c r="J69" s="186">
        <f>SUMIF('MASTER DATA'!$E:$E,'GENERAL PAYROLL'!$E69,'MASTER DATA'!$N:$N)</f>
        <v>9872</v>
      </c>
      <c r="K69" s="185">
        <f>SUMIF('MASTER DATA'!$E:$E,'GENERAL PAYROLL'!$E69,'MASTER DATA'!$W:$W)</f>
        <v>0</v>
      </c>
      <c r="L69" s="185">
        <f>SUMIF('MASTER DATA'!$E:$E,'GENERAL PAYROLL'!$E69,'MASTER DATA'!$X:$X)+SUMIF('MASTER DATA'!$E:$E,'GENERAL PAYROLL'!$E69,'MASTER DATA'!$Y:$Y)</f>
        <v>125.27000000000001</v>
      </c>
      <c r="M69" s="185">
        <f t="shared" si="1"/>
        <v>125.27000000000001</v>
      </c>
      <c r="N69" s="185">
        <f>SUMIF('MASTER DATA'!$E:$E,'GENERAL PAYROLL'!$E69,'MASTER DATA'!$AC:$AC)</f>
        <v>0</v>
      </c>
      <c r="O69" s="185">
        <f>SUMIF('MASTER DATA'!$E:$E,'GENERAL PAYROLL'!$E69,'MASTER DATA'!$AD:$AD)+SUMIF('MASTER DATA'!$E:$E,'GENERAL PAYROLL'!$E69,'MASTER DATA'!$AE:$AE)</f>
        <v>0</v>
      </c>
      <c r="P69" s="185">
        <f t="shared" si="2"/>
        <v>0</v>
      </c>
      <c r="Q69" s="185">
        <f>SUMIF('MASTER DATA'!$E:$E,'GENERAL PAYROLL'!$E69,'MASTER DATA'!$AI:$AI)</f>
        <v>0</v>
      </c>
      <c r="R69" s="185">
        <f>SUMIF('MASTER DATA'!$E:$E,'GENERAL PAYROLL'!$E69,'MASTER DATA'!$AJ:$AJ)+SUMIF('MASTER DATA'!$E:$E,'GENERAL PAYROLL'!$E69,'MASTER DATA'!$AK:$AK)</f>
        <v>0</v>
      </c>
      <c r="S69" s="185">
        <f t="shared" si="3"/>
        <v>0</v>
      </c>
      <c r="T69" s="185">
        <f>SUMIF('MASTER DATA'!$E:$E,'GENERAL PAYROLL'!$E69,'MASTER DATA'!$AO:$AO)</f>
        <v>125.27000000000001</v>
      </c>
      <c r="U69" s="185">
        <f>SUMIF('MASTER DATA'!$E:$E,'GENERAL PAYROLL'!$E69,'MASTER DATA'!$AP:$AP)</f>
        <v>0</v>
      </c>
      <c r="V69" s="186">
        <f>SUMIF('MASTER DATA'!$E:$E,'GENERAL PAYROLL'!$E69,'MASTER DATA'!$AR:$AR)</f>
        <v>9746.73</v>
      </c>
      <c r="W69" s="185">
        <f>SUMIF('MASTER DATA'!$E:$E,'GENERAL PAYROLL'!$E69,'MASTER DATA'!$AS:$AS)</f>
        <v>0</v>
      </c>
      <c r="X69" s="185">
        <f>SUMIF('MASTER DATA'!$E:$E,'GENERAL PAYROLL'!$E69,'MASTER DATA'!$AT:$AT)</f>
        <v>0</v>
      </c>
      <c r="Y69" s="185">
        <f>SUMIF('MASTER DATA'!$E:$E,'GENERAL PAYROLL'!$E69,'MASTER DATA'!$AU:$AU)</f>
        <v>0</v>
      </c>
      <c r="Z69" s="185">
        <f>SUMIF('MASTER DATA'!$E:$E,'GENERAL PAYROLL'!$E69,'MASTER DATA'!$AV:$AV)</f>
        <v>0</v>
      </c>
      <c r="AA69" s="185">
        <f>SUMIF('MASTER DATA'!$E:$E,'GENERAL PAYROLL'!$E69,'MASTER DATA'!$AW:$AW)</f>
        <v>0</v>
      </c>
      <c r="AB69" s="185">
        <f>SUMIF('MASTER DATA'!$E:$E,'GENERAL PAYROLL'!$E69,'MASTER DATA'!$AX:$AX)</f>
        <v>0</v>
      </c>
      <c r="AC69" s="186">
        <f>SUMIF('MASTER DATA'!$E:$E,'GENERAL PAYROLL'!$E69,'MASTER DATA'!$AY:$AY)</f>
        <v>9746.73</v>
      </c>
      <c r="AD69" s="137" t="str">
        <f t="shared" si="6"/>
        <v>SHOW</v>
      </c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</row>
    <row r="70" spans="2:42" ht="15.75" customHeight="1">
      <c r="B70" s="80"/>
      <c r="C70" s="137" t="s">
        <v>336</v>
      </c>
      <c r="D70" s="84">
        <f t="shared" si="0"/>
        <v>51</v>
      </c>
      <c r="E70" s="182" t="str">
        <f>IFERROR(VLOOKUP(C70,CODE!$B:$D,3,FALSE)," ")</f>
        <v>SERDONCILLO, RANIL G.</v>
      </c>
      <c r="F70" s="183" t="str">
        <f>VLOOKUP($C70,CODE!$B:$F,5,FALSE)</f>
        <v>Administrative Asst. I</v>
      </c>
      <c r="G70" s="183" t="str">
        <f>VLOOKUP($C70,CODE!$B:$F,4,FALSE)</f>
        <v>COA</v>
      </c>
      <c r="H70" s="187">
        <v>11</v>
      </c>
      <c r="I70" s="185">
        <f>SUMIF('MASTER DATA'!$E:$E,'GENERAL PAYROLL'!$E70,'MASTER DATA'!$O:$O)</f>
        <v>846.36363636363637</v>
      </c>
      <c r="J70" s="186">
        <f>SUMIF('MASTER DATA'!$E:$E,'GENERAL PAYROLL'!$E70,'MASTER DATA'!$N:$N)</f>
        <v>9310</v>
      </c>
      <c r="K70" s="185">
        <f>SUMIF('MASTER DATA'!$E:$E,'GENERAL PAYROLL'!$E70,'MASTER DATA'!$W:$W)</f>
        <v>0</v>
      </c>
      <c r="L70" s="185">
        <f>SUMIF('MASTER DATA'!$E:$E,'GENERAL PAYROLL'!$E70,'MASTER DATA'!$X:$X)+SUMIF('MASTER DATA'!$E:$E,'GENERAL PAYROLL'!$E70,'MASTER DATA'!$Y:$Y)</f>
        <v>1.76</v>
      </c>
      <c r="M70" s="185">
        <f t="shared" si="1"/>
        <v>1.76</v>
      </c>
      <c r="N70" s="185">
        <f>SUMIF('MASTER DATA'!$E:$E,'GENERAL PAYROLL'!$E70,'MASTER DATA'!$AC:$AC)</f>
        <v>0</v>
      </c>
      <c r="O70" s="185">
        <f>SUMIF('MASTER DATA'!$E:$E,'GENERAL PAYROLL'!$E70,'MASTER DATA'!$AD:$AD)+SUMIF('MASTER DATA'!$E:$E,'GENERAL PAYROLL'!$E70,'MASTER DATA'!$AE:$AE)</f>
        <v>0</v>
      </c>
      <c r="P70" s="185">
        <f t="shared" si="2"/>
        <v>0</v>
      </c>
      <c r="Q70" s="185">
        <f>SUMIF('MASTER DATA'!$E:$E,'GENERAL PAYROLL'!$E70,'MASTER DATA'!$AI:$AI)</f>
        <v>0</v>
      </c>
      <c r="R70" s="185">
        <f>SUMIF('MASTER DATA'!$E:$E,'GENERAL PAYROLL'!$E70,'MASTER DATA'!$AJ:$AJ)+SUMIF('MASTER DATA'!$E:$E,'GENERAL PAYROLL'!$E70,'MASTER DATA'!$AK:$AK)</f>
        <v>0</v>
      </c>
      <c r="S70" s="185">
        <f t="shared" si="3"/>
        <v>0</v>
      </c>
      <c r="T70" s="185">
        <f>SUMIF('MASTER DATA'!$E:$E,'GENERAL PAYROLL'!$E70,'MASTER DATA'!$AO:$AO)</f>
        <v>1.76</v>
      </c>
      <c r="U70" s="185">
        <f>SUMIF('MASTER DATA'!$E:$E,'GENERAL PAYROLL'!$E70,'MASTER DATA'!$AP:$AP)</f>
        <v>0</v>
      </c>
      <c r="V70" s="186">
        <f>SUMIF('MASTER DATA'!$E:$E,'GENERAL PAYROLL'!$E70,'MASTER DATA'!$AR:$AR)</f>
        <v>9308.24</v>
      </c>
      <c r="W70" s="185">
        <f>SUMIF('MASTER DATA'!$E:$E,'GENERAL PAYROLL'!$E70,'MASTER DATA'!$AS:$AS)</f>
        <v>0</v>
      </c>
      <c r="X70" s="185">
        <f>SUMIF('MASTER DATA'!$E:$E,'GENERAL PAYROLL'!$E70,'MASTER DATA'!$AT:$AT)</f>
        <v>0</v>
      </c>
      <c r="Y70" s="185">
        <f>SUMIF('MASTER DATA'!$E:$E,'GENERAL PAYROLL'!$E70,'MASTER DATA'!$AU:$AU)</f>
        <v>0</v>
      </c>
      <c r="Z70" s="185">
        <f>SUMIF('MASTER DATA'!$E:$E,'GENERAL PAYROLL'!$E70,'MASTER DATA'!$AV:$AV)</f>
        <v>0</v>
      </c>
      <c r="AA70" s="185">
        <f>SUMIF('MASTER DATA'!$E:$E,'GENERAL PAYROLL'!$E70,'MASTER DATA'!$AW:$AW)</f>
        <v>0</v>
      </c>
      <c r="AB70" s="185">
        <f>SUMIF('MASTER DATA'!$E:$E,'GENERAL PAYROLL'!$E70,'MASTER DATA'!$AX:$AX)</f>
        <v>0</v>
      </c>
      <c r="AC70" s="186">
        <f>SUMIF('MASTER DATA'!$E:$E,'GENERAL PAYROLL'!$E70,'MASTER DATA'!$AY:$AY)</f>
        <v>9308.24</v>
      </c>
      <c r="AD70" s="137" t="str">
        <f t="shared" si="6"/>
        <v>SHOW</v>
      </c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</row>
    <row r="71" spans="2:42" ht="15.75" customHeight="1">
      <c r="B71" s="80"/>
      <c r="C71" s="137" t="s">
        <v>337</v>
      </c>
      <c r="D71" s="84">
        <f t="shared" si="0"/>
        <v>52</v>
      </c>
      <c r="E71" s="182" t="str">
        <f>IFERROR(VLOOKUP(C71,CODE!$B:$D,3,FALSE)," ")</f>
        <v>COMPLETO, CRIZANTO E.</v>
      </c>
      <c r="F71" s="183" t="str">
        <f>VLOOKUP($C71,CODE!$B:$F,5,FALSE)</f>
        <v>Administrative Asst. I</v>
      </c>
      <c r="G71" s="183" t="str">
        <f>VLOOKUP($C71,CODE!$B:$F,4,FALSE)</f>
        <v>COA</v>
      </c>
      <c r="H71" s="187">
        <v>11</v>
      </c>
      <c r="I71" s="185">
        <f>SUMIF('MASTER DATA'!$E:$E,'GENERAL PAYROLL'!$E71,'MASTER DATA'!$O:$O)</f>
        <v>846.36363636363637</v>
      </c>
      <c r="J71" s="186">
        <f>SUMIF('MASTER DATA'!$E:$E,'GENERAL PAYROLL'!$E71,'MASTER DATA'!$N:$N)</f>
        <v>9310</v>
      </c>
      <c r="K71" s="185">
        <f>SUMIF('MASTER DATA'!$E:$E,'GENERAL PAYROLL'!$E71,'MASTER DATA'!$W:$W)</f>
        <v>0</v>
      </c>
      <c r="L71" s="185">
        <f>SUMIF('MASTER DATA'!$E:$E,'GENERAL PAYROLL'!$E71,'MASTER DATA'!$X:$X)+SUMIF('MASTER DATA'!$E:$E,'GENERAL PAYROLL'!$E71,'MASTER DATA'!$Y:$Y)</f>
        <v>0</v>
      </c>
      <c r="M71" s="185">
        <f t="shared" si="1"/>
        <v>0</v>
      </c>
      <c r="N71" s="185">
        <f>SUMIF('MASTER DATA'!$E:$E,'GENERAL PAYROLL'!$E71,'MASTER DATA'!$AC:$AC)</f>
        <v>0</v>
      </c>
      <c r="O71" s="185">
        <f>SUMIF('MASTER DATA'!$E:$E,'GENERAL PAYROLL'!$E71,'MASTER DATA'!$AD:$AD)+SUMIF('MASTER DATA'!$E:$E,'GENERAL PAYROLL'!$E71,'MASTER DATA'!$AE:$AE)</f>
        <v>0</v>
      </c>
      <c r="P71" s="185">
        <f t="shared" si="2"/>
        <v>0</v>
      </c>
      <c r="Q71" s="185">
        <f>SUMIF('MASTER DATA'!$E:$E,'GENERAL PAYROLL'!$E71,'MASTER DATA'!$AI:$AI)</f>
        <v>0</v>
      </c>
      <c r="R71" s="185">
        <f>SUMIF('MASTER DATA'!$E:$E,'GENERAL PAYROLL'!$E71,'MASTER DATA'!$AJ:$AJ)+SUMIF('MASTER DATA'!$E:$E,'GENERAL PAYROLL'!$E71,'MASTER DATA'!$AK:$AK)</f>
        <v>0</v>
      </c>
      <c r="S71" s="185">
        <f t="shared" si="3"/>
        <v>0</v>
      </c>
      <c r="T71" s="185">
        <f>SUMIF('MASTER DATA'!$E:$E,'GENERAL PAYROLL'!$E71,'MASTER DATA'!$AO:$AO)</f>
        <v>0</v>
      </c>
      <c r="U71" s="185">
        <f>SUMIF('MASTER DATA'!$E:$E,'GENERAL PAYROLL'!$E71,'MASTER DATA'!$AP:$AP)</f>
        <v>0</v>
      </c>
      <c r="V71" s="186">
        <f>SUMIF('MASTER DATA'!$E:$E,'GENERAL PAYROLL'!$E71,'MASTER DATA'!$AR:$AR)</f>
        <v>9310</v>
      </c>
      <c r="W71" s="185">
        <f>SUMIF('MASTER DATA'!$E:$E,'GENERAL PAYROLL'!$E71,'MASTER DATA'!$AS:$AS)</f>
        <v>0</v>
      </c>
      <c r="X71" s="185">
        <f>SUMIF('MASTER DATA'!$E:$E,'GENERAL PAYROLL'!$E71,'MASTER DATA'!$AT:$AT)</f>
        <v>0</v>
      </c>
      <c r="Y71" s="185">
        <f>SUMIF('MASTER DATA'!$E:$E,'GENERAL PAYROLL'!$E71,'MASTER DATA'!$AU:$AU)</f>
        <v>0</v>
      </c>
      <c r="Z71" s="185">
        <f>SUMIF('MASTER DATA'!$E:$E,'GENERAL PAYROLL'!$E71,'MASTER DATA'!$AV:$AV)</f>
        <v>0</v>
      </c>
      <c r="AA71" s="185">
        <f>SUMIF('MASTER DATA'!$E:$E,'GENERAL PAYROLL'!$E71,'MASTER DATA'!$AW:$AW)</f>
        <v>0</v>
      </c>
      <c r="AB71" s="185">
        <f>SUMIF('MASTER DATA'!$E:$E,'GENERAL PAYROLL'!$E71,'MASTER DATA'!$AX:$AX)</f>
        <v>0</v>
      </c>
      <c r="AC71" s="186">
        <f>SUMIF('MASTER DATA'!$E:$E,'GENERAL PAYROLL'!$E71,'MASTER DATA'!$AY:$AY)</f>
        <v>9310</v>
      </c>
      <c r="AD71" s="137" t="str">
        <f t="shared" si="6"/>
        <v>SHOW</v>
      </c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</row>
    <row r="72" spans="2:42" ht="15.75" customHeight="1">
      <c r="B72" s="80"/>
      <c r="C72" s="137" t="s">
        <v>338</v>
      </c>
      <c r="D72" s="84">
        <f t="shared" si="0"/>
        <v>53</v>
      </c>
      <c r="E72" s="182" t="str">
        <f>IFERROR(VLOOKUP(C72,CODE!$B:$D,3,FALSE)," ")</f>
        <v>GAGUCAS, MICHAEL B.</v>
      </c>
      <c r="F72" s="183" t="str">
        <f>VLOOKUP($C72,CODE!$B:$F,5,FALSE)</f>
        <v>Administrative Asst. II</v>
      </c>
      <c r="G72" s="183" t="str">
        <f>VLOOKUP($C72,CODE!$B:$F,4,FALSE)</f>
        <v>SMS</v>
      </c>
      <c r="H72" s="187">
        <v>11</v>
      </c>
      <c r="I72" s="185">
        <f>SUMIF('MASTER DATA'!$E:$E,'GENERAL PAYROLL'!$E72,'MASTER DATA'!$O:$O)</f>
        <v>897.4545454545455</v>
      </c>
      <c r="J72" s="186">
        <f>SUMIF('MASTER DATA'!$E:$E,'GENERAL PAYROLL'!$E72,'MASTER DATA'!$N:$N)</f>
        <v>9872</v>
      </c>
      <c r="K72" s="185">
        <f>SUMIF('MASTER DATA'!$E:$E,'GENERAL PAYROLL'!$E72,'MASTER DATA'!$W:$W)</f>
        <v>0</v>
      </c>
      <c r="L72" s="185">
        <f>SUMIF('MASTER DATA'!$E:$E,'GENERAL PAYROLL'!$E72,'MASTER DATA'!$X:$X)+SUMIF('MASTER DATA'!$E:$E,'GENERAL PAYROLL'!$E72,'MASTER DATA'!$Y:$Y)</f>
        <v>123.4</v>
      </c>
      <c r="M72" s="185">
        <f t="shared" si="1"/>
        <v>123.4</v>
      </c>
      <c r="N72" s="185">
        <f>SUMIF('MASTER DATA'!$E:$E,'GENERAL PAYROLL'!$E72,'MASTER DATA'!$AC:$AC)</f>
        <v>0</v>
      </c>
      <c r="O72" s="185">
        <f>SUMIF('MASTER DATA'!$E:$E,'GENERAL PAYROLL'!$E72,'MASTER DATA'!$AD:$AD)+SUMIF('MASTER DATA'!$E:$E,'GENERAL PAYROLL'!$E72,'MASTER DATA'!$AE:$AE)</f>
        <v>0</v>
      </c>
      <c r="P72" s="185">
        <f t="shared" si="2"/>
        <v>0</v>
      </c>
      <c r="Q72" s="185">
        <f>SUMIF('MASTER DATA'!$E:$E,'GENERAL PAYROLL'!$E72,'MASTER DATA'!$AI:$AI)</f>
        <v>0</v>
      </c>
      <c r="R72" s="185">
        <f>SUMIF('MASTER DATA'!$E:$E,'GENERAL PAYROLL'!$E72,'MASTER DATA'!$AJ:$AJ)+SUMIF('MASTER DATA'!$E:$E,'GENERAL PAYROLL'!$E72,'MASTER DATA'!$AK:$AK)</f>
        <v>0</v>
      </c>
      <c r="S72" s="185">
        <f t="shared" si="3"/>
        <v>0</v>
      </c>
      <c r="T72" s="185">
        <f>SUMIF('MASTER DATA'!$E:$E,'GENERAL PAYROLL'!$E72,'MASTER DATA'!$AO:$AO)</f>
        <v>123.4</v>
      </c>
      <c r="U72" s="185">
        <f>SUMIF('MASTER DATA'!$E:$E,'GENERAL PAYROLL'!$E72,'MASTER DATA'!$AP:$AP)</f>
        <v>0</v>
      </c>
      <c r="V72" s="186">
        <f>SUMIF('MASTER DATA'!$E:$E,'GENERAL PAYROLL'!$E72,'MASTER DATA'!$AR:$AR)</f>
        <v>9748.6</v>
      </c>
      <c r="W72" s="185">
        <f>SUMIF('MASTER DATA'!$E:$E,'GENERAL PAYROLL'!$E72,'MASTER DATA'!$AS:$AS)</f>
        <v>0</v>
      </c>
      <c r="X72" s="185">
        <f>SUMIF('MASTER DATA'!$E:$E,'GENERAL PAYROLL'!$E72,'MASTER DATA'!$AT:$AT)</f>
        <v>0</v>
      </c>
      <c r="Y72" s="185">
        <f>SUMIF('MASTER DATA'!$E:$E,'GENERAL PAYROLL'!$E72,'MASTER DATA'!$AU:$AU)</f>
        <v>0</v>
      </c>
      <c r="Z72" s="185">
        <f>SUMIF('MASTER DATA'!$E:$E,'GENERAL PAYROLL'!$E72,'MASTER DATA'!$AV:$AV)</f>
        <v>0</v>
      </c>
      <c r="AA72" s="185">
        <f>SUMIF('MASTER DATA'!$E:$E,'GENERAL PAYROLL'!$E72,'MASTER DATA'!$AW:$AW)</f>
        <v>0</v>
      </c>
      <c r="AB72" s="185">
        <f>SUMIF('MASTER DATA'!$E:$E,'GENERAL PAYROLL'!$E72,'MASTER DATA'!$AX:$AX)</f>
        <v>0</v>
      </c>
      <c r="AC72" s="186">
        <f>SUMIF('MASTER DATA'!$E:$E,'GENERAL PAYROLL'!$E72,'MASTER DATA'!$AY:$AY)</f>
        <v>9748.6</v>
      </c>
      <c r="AD72" s="137" t="str">
        <f t="shared" si="6"/>
        <v>SHOW</v>
      </c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</row>
    <row r="73" spans="2:42" ht="15.75" customHeight="1">
      <c r="B73" s="80"/>
      <c r="C73" s="137" t="s">
        <v>339</v>
      </c>
      <c r="D73" s="84">
        <f t="shared" si="0"/>
        <v>54</v>
      </c>
      <c r="E73" s="182" t="str">
        <f>IFERROR(VLOOKUP(C73,CODE!$B:$D,3,FALSE)," ")</f>
        <v>WALICAN, CARLA S.</v>
      </c>
      <c r="F73" s="183" t="str">
        <f>VLOOKUP($C73,CODE!$B:$F,5,FALSE)</f>
        <v>Administrative Asst. II</v>
      </c>
      <c r="G73" s="183" t="str">
        <f>VLOOKUP($C73,CODE!$B:$F,4,FALSE)</f>
        <v>SMS</v>
      </c>
      <c r="H73" s="187">
        <v>11</v>
      </c>
      <c r="I73" s="185">
        <f>SUMIF('MASTER DATA'!$E:$E,'GENERAL PAYROLL'!$E73,'MASTER DATA'!$O:$O)</f>
        <v>897.4545454545455</v>
      </c>
      <c r="J73" s="186">
        <f>SUMIF('MASTER DATA'!$E:$E,'GENERAL PAYROLL'!$E73,'MASTER DATA'!$N:$N)</f>
        <v>9872</v>
      </c>
      <c r="K73" s="185">
        <f>SUMIF('MASTER DATA'!$E:$E,'GENERAL PAYROLL'!$E73,'MASTER DATA'!$W:$W)</f>
        <v>0</v>
      </c>
      <c r="L73" s="185">
        <f>SUMIF('MASTER DATA'!$E:$E,'GENERAL PAYROLL'!$E73,'MASTER DATA'!$X:$X)+SUMIF('MASTER DATA'!$E:$E,'GENERAL PAYROLL'!$E73,'MASTER DATA'!$Y:$Y)</f>
        <v>16.829999999999998</v>
      </c>
      <c r="M73" s="185">
        <f t="shared" si="1"/>
        <v>16.829999999999998</v>
      </c>
      <c r="N73" s="185">
        <f>SUMIF('MASTER DATA'!$E:$E,'GENERAL PAYROLL'!$E73,'MASTER DATA'!$AC:$AC)</f>
        <v>0</v>
      </c>
      <c r="O73" s="185">
        <f>SUMIF('MASTER DATA'!$E:$E,'GENERAL PAYROLL'!$E73,'MASTER DATA'!$AD:$AD)+SUMIF('MASTER DATA'!$E:$E,'GENERAL PAYROLL'!$E73,'MASTER DATA'!$AE:$AE)</f>
        <v>0</v>
      </c>
      <c r="P73" s="185">
        <f t="shared" si="2"/>
        <v>0</v>
      </c>
      <c r="Q73" s="185">
        <f>SUMIF('MASTER DATA'!$E:$E,'GENERAL PAYROLL'!$E73,'MASTER DATA'!$AI:$AI)</f>
        <v>0</v>
      </c>
      <c r="R73" s="185">
        <f>SUMIF('MASTER DATA'!$E:$E,'GENERAL PAYROLL'!$E73,'MASTER DATA'!$AJ:$AJ)+SUMIF('MASTER DATA'!$E:$E,'GENERAL PAYROLL'!$E73,'MASTER DATA'!$AK:$AK)</f>
        <v>0</v>
      </c>
      <c r="S73" s="185">
        <f t="shared" si="3"/>
        <v>0</v>
      </c>
      <c r="T73" s="185">
        <f>SUMIF('MASTER DATA'!$E:$E,'GENERAL PAYROLL'!$E73,'MASTER DATA'!$AO:$AO)</f>
        <v>16.829999999999998</v>
      </c>
      <c r="U73" s="185">
        <f>SUMIF('MASTER DATA'!$E:$E,'GENERAL PAYROLL'!$E73,'MASTER DATA'!$AP:$AP)</f>
        <v>0</v>
      </c>
      <c r="V73" s="186">
        <f>SUMIF('MASTER DATA'!$E:$E,'GENERAL PAYROLL'!$E73,'MASTER DATA'!$AR:$AR)</f>
        <v>9855.17</v>
      </c>
      <c r="W73" s="185">
        <f>SUMIF('MASTER DATA'!$E:$E,'GENERAL PAYROLL'!$E73,'MASTER DATA'!$AS:$AS)</f>
        <v>0</v>
      </c>
      <c r="X73" s="185">
        <f>SUMIF('MASTER DATA'!$E:$E,'GENERAL PAYROLL'!$E73,'MASTER DATA'!$AT:$AT)</f>
        <v>0</v>
      </c>
      <c r="Y73" s="185">
        <f>SUMIF('MASTER DATA'!$E:$E,'GENERAL PAYROLL'!$E73,'MASTER DATA'!$AU:$AU)</f>
        <v>0</v>
      </c>
      <c r="Z73" s="185">
        <f>SUMIF('MASTER DATA'!$E:$E,'GENERAL PAYROLL'!$E73,'MASTER DATA'!$AV:$AV)</f>
        <v>0</v>
      </c>
      <c r="AA73" s="185">
        <f>SUMIF('MASTER DATA'!$E:$E,'GENERAL PAYROLL'!$E73,'MASTER DATA'!$AW:$AW)</f>
        <v>0</v>
      </c>
      <c r="AB73" s="185">
        <f>SUMIF('MASTER DATA'!$E:$E,'GENERAL PAYROLL'!$E73,'MASTER DATA'!$AX:$AX)</f>
        <v>0</v>
      </c>
      <c r="AC73" s="186">
        <f>SUMIF('MASTER DATA'!$E:$E,'GENERAL PAYROLL'!$E73,'MASTER DATA'!$AY:$AY)</f>
        <v>9855.17</v>
      </c>
      <c r="AD73" s="137" t="str">
        <f t="shared" si="6"/>
        <v>SHOW</v>
      </c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</row>
    <row r="74" spans="2:42" ht="15.75" customHeight="1">
      <c r="B74" s="80"/>
      <c r="C74" s="137" t="s">
        <v>340</v>
      </c>
      <c r="D74" s="84">
        <f t="shared" si="0"/>
        <v>55</v>
      </c>
      <c r="E74" s="182" t="str">
        <f>IFERROR(VLOOKUP(C74,CODE!$B:$D,3,FALSE)," ")</f>
        <v>AKUT, FILSAN G.</v>
      </c>
      <c r="F74" s="183" t="str">
        <f>VLOOKUP($C74,CODE!$B:$F,5,FALSE)</f>
        <v>Administrative Asst. IV</v>
      </c>
      <c r="G74" s="183" t="str">
        <f>VLOOKUP($C74,CODE!$B:$F,4,FALSE)</f>
        <v>BAC</v>
      </c>
      <c r="H74" s="187">
        <v>11</v>
      </c>
      <c r="I74" s="185">
        <f>SUMIF('MASTER DATA'!$E:$E,'GENERAL PAYROLL'!$E74,'MASTER DATA'!$O:$O)</f>
        <v>1053.4545454545455</v>
      </c>
      <c r="J74" s="186">
        <f>SUMIF('MASTER DATA'!$E:$E,'GENERAL PAYROLL'!$E74,'MASTER DATA'!$N:$N)</f>
        <v>11588</v>
      </c>
      <c r="K74" s="185">
        <f>SUMIF('MASTER DATA'!$E:$E,'GENERAL PAYROLL'!$E74,'MASTER DATA'!$W:$W)</f>
        <v>0</v>
      </c>
      <c r="L74" s="185">
        <f>SUMIF('MASTER DATA'!$E:$E,'GENERAL PAYROLL'!$E74,'MASTER DATA'!$X:$X)+SUMIF('MASTER DATA'!$E:$E,'GENERAL PAYROLL'!$E74,'MASTER DATA'!$Y:$Y)</f>
        <v>0</v>
      </c>
      <c r="M74" s="185">
        <f t="shared" si="1"/>
        <v>0</v>
      </c>
      <c r="N74" s="185">
        <f>SUMIF('MASTER DATA'!$E:$E,'GENERAL PAYROLL'!$E74,'MASTER DATA'!$AC:$AC)</f>
        <v>0</v>
      </c>
      <c r="O74" s="185">
        <f>SUMIF('MASTER DATA'!$E:$E,'GENERAL PAYROLL'!$E74,'MASTER DATA'!$AD:$AD)+SUMIF('MASTER DATA'!$E:$E,'GENERAL PAYROLL'!$E74,'MASTER DATA'!$AE:$AE)</f>
        <v>0</v>
      </c>
      <c r="P74" s="185">
        <f t="shared" si="2"/>
        <v>0</v>
      </c>
      <c r="Q74" s="185">
        <f>SUMIF('MASTER DATA'!$E:$E,'GENERAL PAYROLL'!$E74,'MASTER DATA'!$AI:$AI)</f>
        <v>0</v>
      </c>
      <c r="R74" s="185">
        <f>SUMIF('MASTER DATA'!$E:$E,'GENERAL PAYROLL'!$E74,'MASTER DATA'!$AJ:$AJ)+SUMIF('MASTER DATA'!$E:$E,'GENERAL PAYROLL'!$E74,'MASTER DATA'!$AK:$AK)</f>
        <v>0</v>
      </c>
      <c r="S74" s="185">
        <f t="shared" si="3"/>
        <v>0</v>
      </c>
      <c r="T74" s="185">
        <f>SUMIF('MASTER DATA'!$E:$E,'GENERAL PAYROLL'!$E74,'MASTER DATA'!$AO:$AO)</f>
        <v>0</v>
      </c>
      <c r="U74" s="185">
        <f>SUMIF('MASTER DATA'!$E:$E,'GENERAL PAYROLL'!$E74,'MASTER DATA'!$AP:$AP)</f>
        <v>0</v>
      </c>
      <c r="V74" s="186">
        <f>SUMIF('MASTER DATA'!$E:$E,'GENERAL PAYROLL'!$E74,'MASTER DATA'!$AR:$AR)</f>
        <v>11588</v>
      </c>
      <c r="W74" s="185">
        <f>SUMIF('MASTER DATA'!$E:$E,'GENERAL PAYROLL'!$E74,'MASTER DATA'!$AS:$AS)</f>
        <v>0</v>
      </c>
      <c r="X74" s="185">
        <f>SUMIF('MASTER DATA'!$E:$E,'GENERAL PAYROLL'!$E74,'MASTER DATA'!$AT:$AT)</f>
        <v>0</v>
      </c>
      <c r="Y74" s="185">
        <f>SUMIF('MASTER DATA'!$E:$E,'GENERAL PAYROLL'!$E74,'MASTER DATA'!$AU:$AU)</f>
        <v>0</v>
      </c>
      <c r="Z74" s="185">
        <f>SUMIF('MASTER DATA'!$E:$E,'GENERAL PAYROLL'!$E74,'MASTER DATA'!$AV:$AV)</f>
        <v>0</v>
      </c>
      <c r="AA74" s="185">
        <f>SUMIF('MASTER DATA'!$E:$E,'GENERAL PAYROLL'!$E74,'MASTER DATA'!$AW:$AW)</f>
        <v>0</v>
      </c>
      <c r="AB74" s="185">
        <f>SUMIF('MASTER DATA'!$E:$E,'GENERAL PAYROLL'!$E74,'MASTER DATA'!$AX:$AX)</f>
        <v>0</v>
      </c>
      <c r="AC74" s="186">
        <f>SUMIF('MASTER DATA'!$E:$E,'GENERAL PAYROLL'!$E74,'MASTER DATA'!$AY:$AY)</f>
        <v>11588</v>
      </c>
      <c r="AD74" s="137" t="str">
        <f t="shared" si="6"/>
        <v>SHOW</v>
      </c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</row>
    <row r="75" spans="2:42" ht="15.75" customHeight="1">
      <c r="B75" s="80"/>
      <c r="C75" s="137" t="s">
        <v>341</v>
      </c>
      <c r="D75" s="84">
        <f t="shared" si="0"/>
        <v>56</v>
      </c>
      <c r="E75" s="182" t="str">
        <f>IFERROR(VLOOKUP(C75,CODE!$B:$D,3,FALSE)," ")</f>
        <v>LIPAN, AGNES J.</v>
      </c>
      <c r="F75" s="183" t="str">
        <f>VLOOKUP($C75,CODE!$B:$F,5,FALSE)</f>
        <v>Administrative Asst. II</v>
      </c>
      <c r="G75" s="183" t="str">
        <f>VLOOKUP($C75,CODE!$B:$F,4,FALSE)</f>
        <v>BAC</v>
      </c>
      <c r="H75" s="187">
        <v>11</v>
      </c>
      <c r="I75" s="185">
        <f>SUMIF('MASTER DATA'!$E:$E,'GENERAL PAYROLL'!$E75,'MASTER DATA'!$O:$O)</f>
        <v>897.4545454545455</v>
      </c>
      <c r="J75" s="186">
        <f>SUMIF('MASTER DATA'!$E:$E,'GENERAL PAYROLL'!$E75,'MASTER DATA'!$N:$N)</f>
        <v>9872</v>
      </c>
      <c r="K75" s="185">
        <f>SUMIF('MASTER DATA'!$E:$E,'GENERAL PAYROLL'!$E75,'MASTER DATA'!$W:$W)</f>
        <v>0</v>
      </c>
      <c r="L75" s="185">
        <f>SUMIF('MASTER DATA'!$E:$E,'GENERAL PAYROLL'!$E75,'MASTER DATA'!$X:$X)+SUMIF('MASTER DATA'!$E:$E,'GENERAL PAYROLL'!$E75,'MASTER DATA'!$Y:$Y)</f>
        <v>9.35</v>
      </c>
      <c r="M75" s="185">
        <f t="shared" si="1"/>
        <v>9.35</v>
      </c>
      <c r="N75" s="185">
        <f>SUMIF('MASTER DATA'!$E:$E,'GENERAL PAYROLL'!$E75,'MASTER DATA'!$AC:$AC)</f>
        <v>0</v>
      </c>
      <c r="O75" s="185">
        <f>SUMIF('MASTER DATA'!$E:$E,'GENERAL PAYROLL'!$E75,'MASTER DATA'!$AD:$AD)+SUMIF('MASTER DATA'!$E:$E,'GENERAL PAYROLL'!$E75,'MASTER DATA'!$AE:$AE)</f>
        <v>0</v>
      </c>
      <c r="P75" s="185">
        <f t="shared" si="2"/>
        <v>0</v>
      </c>
      <c r="Q75" s="185">
        <f>SUMIF('MASTER DATA'!$E:$E,'GENERAL PAYROLL'!$E75,'MASTER DATA'!$AI:$AI)</f>
        <v>0</v>
      </c>
      <c r="R75" s="185">
        <f>SUMIF('MASTER DATA'!$E:$E,'GENERAL PAYROLL'!$E75,'MASTER DATA'!$AJ:$AJ)+SUMIF('MASTER DATA'!$E:$E,'GENERAL PAYROLL'!$E75,'MASTER DATA'!$AK:$AK)</f>
        <v>0</v>
      </c>
      <c r="S75" s="185">
        <f t="shared" si="3"/>
        <v>0</v>
      </c>
      <c r="T75" s="185">
        <f>SUMIF('MASTER DATA'!$E:$E,'GENERAL PAYROLL'!$E75,'MASTER DATA'!$AO:$AO)</f>
        <v>9.35</v>
      </c>
      <c r="U75" s="185">
        <f>SUMIF('MASTER DATA'!$E:$E,'GENERAL PAYROLL'!$E75,'MASTER DATA'!$AP:$AP)</f>
        <v>0</v>
      </c>
      <c r="V75" s="186">
        <f>SUMIF('MASTER DATA'!$E:$E,'GENERAL PAYROLL'!$E75,'MASTER DATA'!$AR:$AR)</f>
        <v>9862.65</v>
      </c>
      <c r="W75" s="185">
        <f>SUMIF('MASTER DATA'!$E:$E,'GENERAL PAYROLL'!$E75,'MASTER DATA'!$AS:$AS)</f>
        <v>0</v>
      </c>
      <c r="X75" s="185">
        <f>SUMIF('MASTER DATA'!$E:$E,'GENERAL PAYROLL'!$E75,'MASTER DATA'!$AT:$AT)</f>
        <v>0</v>
      </c>
      <c r="Y75" s="185">
        <f>SUMIF('MASTER DATA'!$E:$E,'GENERAL PAYROLL'!$E75,'MASTER DATA'!$AU:$AU)</f>
        <v>0</v>
      </c>
      <c r="Z75" s="185">
        <f>SUMIF('MASTER DATA'!$E:$E,'GENERAL PAYROLL'!$E75,'MASTER DATA'!$AV:$AV)</f>
        <v>0</v>
      </c>
      <c r="AA75" s="185">
        <f>SUMIF('MASTER DATA'!$E:$E,'GENERAL PAYROLL'!$E75,'MASTER DATA'!$AW:$AW)</f>
        <v>0</v>
      </c>
      <c r="AB75" s="185">
        <f>SUMIF('MASTER DATA'!$E:$E,'GENERAL PAYROLL'!$E75,'MASTER DATA'!$AX:$AX)</f>
        <v>0</v>
      </c>
      <c r="AC75" s="186">
        <f>SUMIF('MASTER DATA'!$E:$E,'GENERAL PAYROLL'!$E75,'MASTER DATA'!$AY:$AY)</f>
        <v>9862.65</v>
      </c>
      <c r="AD75" s="137" t="str">
        <f t="shared" si="6"/>
        <v>SHOW</v>
      </c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</row>
    <row r="76" spans="2:42" ht="15.75" customHeight="1">
      <c r="B76" s="80"/>
      <c r="C76" s="137" t="s">
        <v>342</v>
      </c>
      <c r="D76" s="84">
        <f t="shared" si="0"/>
        <v>57</v>
      </c>
      <c r="E76" s="182" t="str">
        <f>IFERROR(VLOOKUP(C76,CODE!$B:$D,3,FALSE)," ")</f>
        <v>CELOCIA, ROSELY-ANN G.</v>
      </c>
      <c r="F76" s="183" t="str">
        <f>VLOOKUP($C76,CODE!$B:$F,5,FALSE)</f>
        <v>Administrative Asst. II</v>
      </c>
      <c r="G76" s="183" t="str">
        <f>VLOOKUP($C76,CODE!$B:$F,4,FALSE)</f>
        <v>DO</v>
      </c>
      <c r="H76" s="187">
        <v>11</v>
      </c>
      <c r="I76" s="185">
        <f>SUMIF('MASTER DATA'!$E:$E,'GENERAL PAYROLL'!$E76,'MASTER DATA'!$O:$O)</f>
        <v>897.4545454545455</v>
      </c>
      <c r="J76" s="186">
        <f>SUMIF('MASTER DATA'!$E:$E,'GENERAL PAYROLL'!$E76,'MASTER DATA'!$N:$N)</f>
        <v>9872</v>
      </c>
      <c r="K76" s="185">
        <f>SUMIF('MASTER DATA'!$E:$E,'GENERAL PAYROLL'!$E76,'MASTER DATA'!$W:$W)</f>
        <v>0</v>
      </c>
      <c r="L76" s="185">
        <f>SUMIF('MASTER DATA'!$E:$E,'GENERAL PAYROLL'!$E76,'MASTER DATA'!$X:$X)+SUMIF('MASTER DATA'!$E:$E,'GENERAL PAYROLL'!$E76,'MASTER DATA'!$Y:$Y)</f>
        <v>489.86</v>
      </c>
      <c r="M76" s="185">
        <f t="shared" si="1"/>
        <v>489.86</v>
      </c>
      <c r="N76" s="185">
        <f>SUMIF('MASTER DATA'!$E:$E,'GENERAL PAYROLL'!$E76,'MASTER DATA'!$AC:$AC)</f>
        <v>0</v>
      </c>
      <c r="O76" s="185">
        <f>SUMIF('MASTER DATA'!$E:$E,'GENERAL PAYROLL'!$E76,'MASTER DATA'!$AD:$AD)+SUMIF('MASTER DATA'!$E:$E,'GENERAL PAYROLL'!$E76,'MASTER DATA'!$AE:$AE)</f>
        <v>0</v>
      </c>
      <c r="P76" s="185">
        <f t="shared" si="2"/>
        <v>0</v>
      </c>
      <c r="Q76" s="185">
        <f>SUMIF('MASTER DATA'!$E:$E,'GENERAL PAYROLL'!$E76,'MASTER DATA'!$AI:$AI)</f>
        <v>0</v>
      </c>
      <c r="R76" s="185">
        <f>SUMIF('MASTER DATA'!$E:$E,'GENERAL PAYROLL'!$E76,'MASTER DATA'!$AJ:$AJ)+SUMIF('MASTER DATA'!$E:$E,'GENERAL PAYROLL'!$E76,'MASTER DATA'!$AK:$AK)</f>
        <v>0</v>
      </c>
      <c r="S76" s="185">
        <f t="shared" si="3"/>
        <v>0</v>
      </c>
      <c r="T76" s="185">
        <f>SUMIF('MASTER DATA'!$E:$E,'GENERAL PAYROLL'!$E76,'MASTER DATA'!$AO:$AO)</f>
        <v>489.86</v>
      </c>
      <c r="U76" s="185">
        <f>SUMIF('MASTER DATA'!$E:$E,'GENERAL PAYROLL'!$E76,'MASTER DATA'!$AP:$AP)</f>
        <v>0</v>
      </c>
      <c r="V76" s="186">
        <f>SUMIF('MASTER DATA'!$E:$E,'GENERAL PAYROLL'!$E76,'MASTER DATA'!$AR:$AR)</f>
        <v>9382.14</v>
      </c>
      <c r="W76" s="185">
        <f>SUMIF('MASTER DATA'!$E:$E,'GENERAL PAYROLL'!$E76,'MASTER DATA'!$AS:$AS)</f>
        <v>0</v>
      </c>
      <c r="X76" s="185">
        <f>SUMIF('MASTER DATA'!$E:$E,'GENERAL PAYROLL'!$E76,'MASTER DATA'!$AT:$AT)</f>
        <v>0</v>
      </c>
      <c r="Y76" s="185">
        <f>SUMIF('MASTER DATA'!$E:$E,'GENERAL PAYROLL'!$E76,'MASTER DATA'!$AU:$AU)</f>
        <v>0</v>
      </c>
      <c r="Z76" s="185">
        <f>SUMIF('MASTER DATA'!$E:$E,'GENERAL PAYROLL'!$E76,'MASTER DATA'!$AV:$AV)</f>
        <v>0</v>
      </c>
      <c r="AA76" s="185">
        <f>SUMIF('MASTER DATA'!$E:$E,'GENERAL PAYROLL'!$E76,'MASTER DATA'!$AW:$AW)</f>
        <v>0</v>
      </c>
      <c r="AB76" s="185">
        <f>SUMIF('MASTER DATA'!$E:$E,'GENERAL PAYROLL'!$E76,'MASTER DATA'!$AX:$AX)</f>
        <v>0</v>
      </c>
      <c r="AC76" s="186">
        <f>SUMIF('MASTER DATA'!$E:$E,'GENERAL PAYROLL'!$E76,'MASTER DATA'!$AY:$AY)</f>
        <v>9382.14</v>
      </c>
      <c r="AD76" s="137" t="str">
        <f t="shared" si="6"/>
        <v>SHOW</v>
      </c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</row>
    <row r="77" spans="2:42" ht="15.75" customHeight="1">
      <c r="B77" s="80"/>
      <c r="C77" s="137" t="s">
        <v>343</v>
      </c>
      <c r="D77" s="84">
        <f t="shared" si="0"/>
        <v>58</v>
      </c>
      <c r="E77" s="182" t="str">
        <f>IFERROR(VLOOKUP(C77,CODE!$B:$D,3,FALSE)," ")</f>
        <v>BRUZON, ANGENNITTE F.</v>
      </c>
      <c r="F77" s="183" t="str">
        <f>VLOOKUP($C77,CODE!$B:$F,5,FALSE)</f>
        <v>Administrative Asst. II</v>
      </c>
      <c r="G77" s="183" t="str">
        <f>VLOOKUP($C77,CODE!$B:$F,4,FALSE)</f>
        <v>PAD</v>
      </c>
      <c r="H77" s="187">
        <v>11</v>
      </c>
      <c r="I77" s="185">
        <f>SUMIF('MASTER DATA'!$E:$E,'GENERAL PAYROLL'!$E77,'MASTER DATA'!$O:$O)</f>
        <v>897.4545454545455</v>
      </c>
      <c r="J77" s="186">
        <f>SUMIF('MASTER DATA'!$E:$E,'GENERAL PAYROLL'!$E77,'MASTER DATA'!$N:$N)</f>
        <v>9872</v>
      </c>
      <c r="K77" s="185">
        <f>SUMIF('MASTER DATA'!$E:$E,'GENERAL PAYROLL'!$E77,'MASTER DATA'!$W:$W)</f>
        <v>0</v>
      </c>
      <c r="L77" s="185">
        <f>SUMIF('MASTER DATA'!$E:$E,'GENERAL PAYROLL'!$E77,'MASTER DATA'!$X:$X)+SUMIF('MASTER DATA'!$E:$E,'GENERAL PAYROLL'!$E77,'MASTER DATA'!$Y:$Y)</f>
        <v>506.69</v>
      </c>
      <c r="M77" s="185">
        <f t="shared" si="1"/>
        <v>506.69</v>
      </c>
      <c r="N77" s="185">
        <f>SUMIF('MASTER DATA'!$E:$E,'GENERAL PAYROLL'!$E77,'MASTER DATA'!$AC:$AC)</f>
        <v>0</v>
      </c>
      <c r="O77" s="185">
        <f>SUMIF('MASTER DATA'!$E:$E,'GENERAL PAYROLL'!$E77,'MASTER DATA'!$AD:$AD)+SUMIF('MASTER DATA'!$E:$E,'GENERAL PAYROLL'!$E77,'MASTER DATA'!$AE:$AE)</f>
        <v>0</v>
      </c>
      <c r="P77" s="185">
        <f t="shared" si="2"/>
        <v>0</v>
      </c>
      <c r="Q77" s="185">
        <f>SUMIF('MASTER DATA'!$E:$E,'GENERAL PAYROLL'!$E77,'MASTER DATA'!$AI:$AI)</f>
        <v>0</v>
      </c>
      <c r="R77" s="185">
        <f>SUMIF('MASTER DATA'!$E:$E,'GENERAL PAYROLL'!$E77,'MASTER DATA'!$AJ:$AJ)+SUMIF('MASTER DATA'!$E:$E,'GENERAL PAYROLL'!$E77,'MASTER DATA'!$AK:$AK)</f>
        <v>0</v>
      </c>
      <c r="S77" s="185">
        <f t="shared" si="3"/>
        <v>0</v>
      </c>
      <c r="T77" s="185">
        <f>SUMIF('MASTER DATA'!$E:$E,'GENERAL PAYROLL'!$E77,'MASTER DATA'!$AO:$AO)</f>
        <v>506.69</v>
      </c>
      <c r="U77" s="185">
        <f>SUMIF('MASTER DATA'!$E:$E,'GENERAL PAYROLL'!$E77,'MASTER DATA'!$AP:$AP)</f>
        <v>0</v>
      </c>
      <c r="V77" s="186">
        <f>SUMIF('MASTER DATA'!$E:$E,'GENERAL PAYROLL'!$E77,'MASTER DATA'!$AR:$AR)</f>
        <v>9365.31</v>
      </c>
      <c r="W77" s="185">
        <f>SUMIF('MASTER DATA'!$E:$E,'GENERAL PAYROLL'!$E77,'MASTER DATA'!$AS:$AS)</f>
        <v>0</v>
      </c>
      <c r="X77" s="185">
        <f>SUMIF('MASTER DATA'!$E:$E,'GENERAL PAYROLL'!$E77,'MASTER DATA'!$AT:$AT)</f>
        <v>0</v>
      </c>
      <c r="Y77" s="185">
        <f>SUMIF('MASTER DATA'!$E:$E,'GENERAL PAYROLL'!$E77,'MASTER DATA'!$AU:$AU)</f>
        <v>0</v>
      </c>
      <c r="Z77" s="185">
        <f>SUMIF('MASTER DATA'!$E:$E,'GENERAL PAYROLL'!$E77,'MASTER DATA'!$AV:$AV)</f>
        <v>0</v>
      </c>
      <c r="AA77" s="185">
        <f>SUMIF('MASTER DATA'!$E:$E,'GENERAL PAYROLL'!$E77,'MASTER DATA'!$AW:$AW)</f>
        <v>0</v>
      </c>
      <c r="AB77" s="185">
        <f>SUMIF('MASTER DATA'!$E:$E,'GENERAL PAYROLL'!$E77,'MASTER DATA'!$AX:$AX)</f>
        <v>0</v>
      </c>
      <c r="AC77" s="186">
        <f>SUMIF('MASTER DATA'!$E:$E,'GENERAL PAYROLL'!$E77,'MASTER DATA'!$AY:$AY)</f>
        <v>9365.31</v>
      </c>
      <c r="AD77" s="137" t="str">
        <f t="shared" si="6"/>
        <v>SHOW</v>
      </c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</row>
    <row r="78" spans="2:42" ht="33" customHeight="1">
      <c r="B78" s="80"/>
      <c r="C78" s="137" t="s">
        <v>344</v>
      </c>
      <c r="D78" s="84">
        <f t="shared" si="0"/>
        <v>59</v>
      </c>
      <c r="E78" s="182" t="str">
        <f>IFERROR(VLOOKUP(C78,CODE!$B:$D,3,FALSE)," ")</f>
        <v>BADILLO, ALBINO M.</v>
      </c>
      <c r="F78" s="183" t="str">
        <f>VLOOKUP($C78,CODE!$B:$F,5,FALSE)</f>
        <v>Administrative Aide VI (Gardener)</v>
      </c>
      <c r="G78" s="183" t="str">
        <f>VLOOKUP($C78,CODE!$B:$F,4,FALSE)</f>
        <v>PAD</v>
      </c>
      <c r="H78" s="187">
        <v>11</v>
      </c>
      <c r="I78" s="185">
        <f>SUMIF('MASTER DATA'!$E:$E,'GENERAL PAYROLL'!$E78,'MASTER DATA'!$O:$O)</f>
        <v>797.86363636363637</v>
      </c>
      <c r="J78" s="186">
        <f>SUMIF('MASTER DATA'!$E:$E,'GENERAL PAYROLL'!$E78,'MASTER DATA'!$N:$N)</f>
        <v>8776.5</v>
      </c>
      <c r="K78" s="185">
        <f>SUMIF('MASTER DATA'!$E:$E,'GENERAL PAYROLL'!$E78,'MASTER DATA'!$W:$W)</f>
        <v>0</v>
      </c>
      <c r="L78" s="185">
        <f>SUMIF('MASTER DATA'!$E:$E,'GENERAL PAYROLL'!$E78,'MASTER DATA'!$X:$X)+SUMIF('MASTER DATA'!$E:$E,'GENERAL PAYROLL'!$E78,'MASTER DATA'!$Y:$Y)</f>
        <v>0</v>
      </c>
      <c r="M78" s="185">
        <f t="shared" si="1"/>
        <v>0</v>
      </c>
      <c r="N78" s="185">
        <f>SUMIF('MASTER DATA'!$E:$E,'GENERAL PAYROLL'!$E78,'MASTER DATA'!$AC:$AC)</f>
        <v>0</v>
      </c>
      <c r="O78" s="185">
        <f>SUMIF('MASTER DATA'!$E:$E,'GENERAL PAYROLL'!$E78,'MASTER DATA'!$AD:$AD)+SUMIF('MASTER DATA'!$E:$E,'GENERAL PAYROLL'!$E78,'MASTER DATA'!$AE:$AE)</f>
        <v>0</v>
      </c>
      <c r="P78" s="185">
        <f t="shared" si="2"/>
        <v>0</v>
      </c>
      <c r="Q78" s="185">
        <f>SUMIF('MASTER DATA'!$E:$E,'GENERAL PAYROLL'!$E78,'MASTER DATA'!$AI:$AI)</f>
        <v>0</v>
      </c>
      <c r="R78" s="185">
        <f>SUMIF('MASTER DATA'!$E:$E,'GENERAL PAYROLL'!$E78,'MASTER DATA'!$AJ:$AJ)+SUMIF('MASTER DATA'!$E:$E,'GENERAL PAYROLL'!$E78,'MASTER DATA'!$AK:$AK)</f>
        <v>0</v>
      </c>
      <c r="S78" s="185">
        <f t="shared" si="3"/>
        <v>0</v>
      </c>
      <c r="T78" s="185">
        <f>SUMIF('MASTER DATA'!$E:$E,'GENERAL PAYROLL'!$E78,'MASTER DATA'!$AO:$AO)</f>
        <v>0</v>
      </c>
      <c r="U78" s="185">
        <f>SUMIF('MASTER DATA'!$E:$E,'GENERAL PAYROLL'!$E78,'MASTER DATA'!$AP:$AP)</f>
        <v>0</v>
      </c>
      <c r="V78" s="186">
        <f>SUMIF('MASTER DATA'!$E:$E,'GENERAL PAYROLL'!$E78,'MASTER DATA'!$AR:$AR)</f>
        <v>8776.5</v>
      </c>
      <c r="W78" s="185">
        <f>SUMIF('MASTER DATA'!$E:$E,'GENERAL PAYROLL'!$E78,'MASTER DATA'!$AS:$AS)</f>
        <v>0</v>
      </c>
      <c r="X78" s="185">
        <f>SUMIF('MASTER DATA'!$E:$E,'GENERAL PAYROLL'!$E78,'MASTER DATA'!$AT:$AT)</f>
        <v>0</v>
      </c>
      <c r="Y78" s="185">
        <f>SUMIF('MASTER DATA'!$E:$E,'GENERAL PAYROLL'!$E78,'MASTER DATA'!$AU:$AU)</f>
        <v>0</v>
      </c>
      <c r="Z78" s="185">
        <f>SUMIF('MASTER DATA'!$E:$E,'GENERAL PAYROLL'!$E78,'MASTER DATA'!$AV:$AV)</f>
        <v>0</v>
      </c>
      <c r="AA78" s="185">
        <f>SUMIF('MASTER DATA'!$E:$E,'GENERAL PAYROLL'!$E78,'MASTER DATA'!$AW:$AW)</f>
        <v>0</v>
      </c>
      <c r="AB78" s="185">
        <f>SUMIF('MASTER DATA'!$E:$E,'GENERAL PAYROLL'!$E78,'MASTER DATA'!$AX:$AX)</f>
        <v>0</v>
      </c>
      <c r="AC78" s="186">
        <f>SUMIF('MASTER DATA'!$E:$E,'GENERAL PAYROLL'!$E78,'MASTER DATA'!$AY:$AY)</f>
        <v>8776.5</v>
      </c>
      <c r="AD78" s="137" t="str">
        <f t="shared" si="6"/>
        <v>SHOW</v>
      </c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</row>
    <row r="79" spans="2:42" ht="27.75" customHeight="1">
      <c r="B79" s="80"/>
      <c r="C79" s="137" t="s">
        <v>345</v>
      </c>
      <c r="D79" s="84">
        <f t="shared" si="0"/>
        <v>60</v>
      </c>
      <c r="E79" s="182" t="str">
        <f>IFERROR(VLOOKUP(C79,CODE!$B:$D,3,FALSE)," ")</f>
        <v>BELO, JOSHUA G.</v>
      </c>
      <c r="F79" s="183" t="str">
        <f>VLOOKUP($C79,CODE!$B:$F,5,FALSE)</f>
        <v>Administrative Aide VI (Gardener)</v>
      </c>
      <c r="G79" s="183" t="str">
        <f>VLOOKUP($C79,CODE!$B:$F,4,FALSE)</f>
        <v>PAD</v>
      </c>
      <c r="H79" s="187">
        <v>11</v>
      </c>
      <c r="I79" s="185">
        <f>SUMIF('MASTER DATA'!$E:$E,'GENERAL PAYROLL'!$E79,'MASTER DATA'!$O:$O)</f>
        <v>797.86363636363637</v>
      </c>
      <c r="J79" s="186">
        <f>SUMIF('MASTER DATA'!$E:$E,'GENERAL PAYROLL'!$E79,'MASTER DATA'!$N:$N)</f>
        <v>8776.5</v>
      </c>
      <c r="K79" s="185">
        <f>SUMIF('MASTER DATA'!$E:$E,'GENERAL PAYROLL'!$E79,'MASTER DATA'!$W:$W)</f>
        <v>0</v>
      </c>
      <c r="L79" s="185">
        <f>SUMIF('MASTER DATA'!$E:$E,'GENERAL PAYROLL'!$E79,'MASTER DATA'!$X:$X)+SUMIF('MASTER DATA'!$E:$E,'GENERAL PAYROLL'!$E79,'MASTER DATA'!$Y:$Y)</f>
        <v>0</v>
      </c>
      <c r="M79" s="185">
        <f t="shared" si="1"/>
        <v>0</v>
      </c>
      <c r="N79" s="185">
        <f>SUMIF('MASTER DATA'!$E:$E,'GENERAL PAYROLL'!$E79,'MASTER DATA'!$AC:$AC)</f>
        <v>0</v>
      </c>
      <c r="O79" s="185">
        <f>SUMIF('MASTER DATA'!$E:$E,'GENERAL PAYROLL'!$E79,'MASTER DATA'!$AD:$AD)+SUMIF('MASTER DATA'!$E:$E,'GENERAL PAYROLL'!$E79,'MASTER DATA'!$AE:$AE)</f>
        <v>0</v>
      </c>
      <c r="P79" s="185">
        <f t="shared" si="2"/>
        <v>0</v>
      </c>
      <c r="Q79" s="185">
        <f>SUMIF('MASTER DATA'!$E:$E,'GENERAL PAYROLL'!$E79,'MASTER DATA'!$AI:$AI)</f>
        <v>0</v>
      </c>
      <c r="R79" s="185">
        <f>SUMIF('MASTER DATA'!$E:$E,'GENERAL PAYROLL'!$E79,'MASTER DATA'!$AJ:$AJ)+SUMIF('MASTER DATA'!$E:$E,'GENERAL PAYROLL'!$E79,'MASTER DATA'!$AK:$AK)</f>
        <v>0</v>
      </c>
      <c r="S79" s="185">
        <f t="shared" si="3"/>
        <v>0</v>
      </c>
      <c r="T79" s="185">
        <f>SUMIF('MASTER DATA'!$E:$E,'GENERAL PAYROLL'!$E79,'MASTER DATA'!$AO:$AO)</f>
        <v>0</v>
      </c>
      <c r="U79" s="185">
        <f>SUMIF('MASTER DATA'!$E:$E,'GENERAL PAYROLL'!$E79,'MASTER DATA'!$AP:$AP)</f>
        <v>0</v>
      </c>
      <c r="V79" s="186">
        <f>SUMIF('MASTER DATA'!$E:$E,'GENERAL PAYROLL'!$E79,'MASTER DATA'!$AR:$AR)</f>
        <v>8776.5</v>
      </c>
      <c r="W79" s="185">
        <f>SUMIF('MASTER DATA'!$E:$E,'GENERAL PAYROLL'!$E79,'MASTER DATA'!$AS:$AS)</f>
        <v>0</v>
      </c>
      <c r="X79" s="185">
        <f>SUMIF('MASTER DATA'!$E:$E,'GENERAL PAYROLL'!$E79,'MASTER DATA'!$AT:$AT)</f>
        <v>0</v>
      </c>
      <c r="Y79" s="185">
        <f>SUMIF('MASTER DATA'!$E:$E,'GENERAL PAYROLL'!$E79,'MASTER DATA'!$AU:$AU)</f>
        <v>0</v>
      </c>
      <c r="Z79" s="185">
        <f>SUMIF('MASTER DATA'!$E:$E,'GENERAL PAYROLL'!$E79,'MASTER DATA'!$AV:$AV)</f>
        <v>0</v>
      </c>
      <c r="AA79" s="185">
        <f>SUMIF('MASTER DATA'!$E:$E,'GENERAL PAYROLL'!$E79,'MASTER DATA'!$AW:$AW)</f>
        <v>0</v>
      </c>
      <c r="AB79" s="185">
        <f>SUMIF('MASTER DATA'!$E:$E,'GENERAL PAYROLL'!$E79,'MASTER DATA'!$AX:$AX)</f>
        <v>0</v>
      </c>
      <c r="AC79" s="186">
        <f>SUMIF('MASTER DATA'!$E:$E,'GENERAL PAYROLL'!$E79,'MASTER DATA'!$AY:$AY)</f>
        <v>8776.5</v>
      </c>
      <c r="AD79" s="137" t="str">
        <f t="shared" si="6"/>
        <v>SHOW</v>
      </c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</row>
    <row r="80" spans="2:42" ht="15.75" customHeight="1">
      <c r="B80" s="80"/>
      <c r="C80" s="137" t="s">
        <v>346</v>
      </c>
      <c r="D80" s="84">
        <f t="shared" si="0"/>
        <v>61</v>
      </c>
      <c r="E80" s="182" t="str">
        <f>IFERROR(VLOOKUP(C80,CODE!$B:$D,3,FALSE)," ")</f>
        <v>CATIMBANG, SHANDEE FAY O.</v>
      </c>
      <c r="F80" s="183" t="str">
        <f>VLOOKUP($C80,CODE!$B:$F,5,FALSE)</f>
        <v>Agriculturist I</v>
      </c>
      <c r="G80" s="183" t="str">
        <f>VLOOKUP($C80,CODE!$B:$F,4,FALSE)</f>
        <v>PAD</v>
      </c>
      <c r="H80" s="187">
        <v>11</v>
      </c>
      <c r="I80" s="185">
        <f>SUMIF('MASTER DATA'!$E:$E,'GENERAL PAYROLL'!$E80,'MASTER DATA'!$O:$O)</f>
        <v>1227.2727272727273</v>
      </c>
      <c r="J80" s="186">
        <f>SUMIF('MASTER DATA'!$E:$E,'GENERAL PAYROLL'!$E80,'MASTER DATA'!$N:$N)</f>
        <v>13500</v>
      </c>
      <c r="K80" s="185">
        <f>SUMIF('MASTER DATA'!$E:$E,'GENERAL PAYROLL'!$E80,'MASTER DATA'!$W:$W)</f>
        <v>0</v>
      </c>
      <c r="L80" s="185">
        <f>SUMIF('MASTER DATA'!$E:$E,'GENERAL PAYROLL'!$E80,'MASTER DATA'!$X:$X)+SUMIF('MASTER DATA'!$E:$E,'GENERAL PAYROLL'!$E80,'MASTER DATA'!$Y:$Y)</f>
        <v>0</v>
      </c>
      <c r="M80" s="185">
        <f t="shared" si="1"/>
        <v>0</v>
      </c>
      <c r="N80" s="185">
        <f>SUMIF('MASTER DATA'!$E:$E,'GENERAL PAYROLL'!$E80,'MASTER DATA'!$AC:$AC)</f>
        <v>0</v>
      </c>
      <c r="O80" s="185">
        <f>SUMIF('MASTER DATA'!$E:$E,'GENERAL PAYROLL'!$E80,'MASTER DATA'!$AD:$AD)+SUMIF('MASTER DATA'!$E:$E,'GENERAL PAYROLL'!$E80,'MASTER DATA'!$AE:$AE)</f>
        <v>0</v>
      </c>
      <c r="P80" s="185">
        <f t="shared" si="2"/>
        <v>0</v>
      </c>
      <c r="Q80" s="185">
        <f>SUMIF('MASTER DATA'!$E:$E,'GENERAL PAYROLL'!$E80,'MASTER DATA'!$AI:$AI)</f>
        <v>0</v>
      </c>
      <c r="R80" s="185">
        <f>SUMIF('MASTER DATA'!$E:$E,'GENERAL PAYROLL'!$E80,'MASTER DATA'!$AJ:$AJ)+SUMIF('MASTER DATA'!$E:$E,'GENERAL PAYROLL'!$E80,'MASTER DATA'!$AK:$AK)</f>
        <v>0</v>
      </c>
      <c r="S80" s="185">
        <f t="shared" si="3"/>
        <v>0</v>
      </c>
      <c r="T80" s="185">
        <f>SUMIF('MASTER DATA'!$E:$E,'GENERAL PAYROLL'!$E80,'MASTER DATA'!$AO:$AO)</f>
        <v>0</v>
      </c>
      <c r="U80" s="185">
        <f>SUMIF('MASTER DATA'!$E:$E,'GENERAL PAYROLL'!$E80,'MASTER DATA'!$AP:$AP)</f>
        <v>0</v>
      </c>
      <c r="V80" s="186">
        <f>SUMIF('MASTER DATA'!$E:$E,'GENERAL PAYROLL'!$E80,'MASTER DATA'!$AR:$AR)</f>
        <v>13500</v>
      </c>
      <c r="W80" s="185">
        <f>SUMIF('MASTER DATA'!$E:$E,'GENERAL PAYROLL'!$E80,'MASTER DATA'!$AS:$AS)</f>
        <v>0</v>
      </c>
      <c r="X80" s="185">
        <f>SUMIF('MASTER DATA'!$E:$E,'GENERAL PAYROLL'!$E80,'MASTER DATA'!$AT:$AT)</f>
        <v>0</v>
      </c>
      <c r="Y80" s="185">
        <f>SUMIF('MASTER DATA'!$E:$E,'GENERAL PAYROLL'!$E80,'MASTER DATA'!$AU:$AU)</f>
        <v>0</v>
      </c>
      <c r="Z80" s="185">
        <f>SUMIF('MASTER DATA'!$E:$E,'GENERAL PAYROLL'!$E80,'MASTER DATA'!$AV:$AV)</f>
        <v>0</v>
      </c>
      <c r="AA80" s="185">
        <f>SUMIF('MASTER DATA'!$E:$E,'GENERAL PAYROLL'!$E80,'MASTER DATA'!$AW:$AW)</f>
        <v>0</v>
      </c>
      <c r="AB80" s="185">
        <f>SUMIF('MASTER DATA'!$E:$E,'GENERAL PAYROLL'!$E80,'MASTER DATA'!$AX:$AX)</f>
        <v>0</v>
      </c>
      <c r="AC80" s="186">
        <f>SUMIF('MASTER DATA'!$E:$E,'GENERAL PAYROLL'!$E80,'MASTER DATA'!$AY:$AY)</f>
        <v>13500</v>
      </c>
      <c r="AD80" s="137" t="str">
        <f t="shared" si="6"/>
        <v>SHOW</v>
      </c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</row>
    <row r="81" spans="2:42" ht="26.25" customHeight="1">
      <c r="B81" s="80"/>
      <c r="C81" s="137" t="s">
        <v>347</v>
      </c>
      <c r="D81" s="84">
        <f t="shared" si="0"/>
        <v>62</v>
      </c>
      <c r="E81" s="182" t="str">
        <f>IFERROR(VLOOKUP(C81,CODE!$B:$D,3,FALSE)," ")</f>
        <v>MANGILOG, ERICCA MAE V.</v>
      </c>
      <c r="F81" s="183" t="str">
        <f>VLOOKUP($C81,CODE!$B:$F,5,FALSE)</f>
        <v>Technical Support Staff IV</v>
      </c>
      <c r="G81" s="183" t="str">
        <f>VLOOKUP($C81,CODE!$B:$F,4,FALSE)</f>
        <v>PAD</v>
      </c>
      <c r="H81" s="187">
        <v>11</v>
      </c>
      <c r="I81" s="185">
        <f>SUMIF('MASTER DATA'!$E:$E,'GENERAL PAYROLL'!$E81,'MASTER DATA'!$O:$O)</f>
        <v>1227.2727272727273</v>
      </c>
      <c r="J81" s="186">
        <f>SUMIF('MASTER DATA'!$E:$E,'GENERAL PAYROLL'!$E81,'MASTER DATA'!$N:$N)</f>
        <v>13500</v>
      </c>
      <c r="K81" s="185">
        <f>SUMIF('MASTER DATA'!$E:$E,'GENERAL PAYROLL'!$E81,'MASTER DATA'!$W:$W)</f>
        <v>0</v>
      </c>
      <c r="L81" s="185">
        <f>SUMIF('MASTER DATA'!$E:$E,'GENERAL PAYROLL'!$E81,'MASTER DATA'!$X:$X)+SUMIF('MASTER DATA'!$E:$E,'GENERAL PAYROLL'!$E81,'MASTER DATA'!$Y:$Y)</f>
        <v>97.16</v>
      </c>
      <c r="M81" s="185">
        <f t="shared" si="1"/>
        <v>97.16</v>
      </c>
      <c r="N81" s="185">
        <f>SUMIF('MASTER DATA'!$E:$E,'GENERAL PAYROLL'!$E81,'MASTER DATA'!$AC:$AC)</f>
        <v>0</v>
      </c>
      <c r="O81" s="185">
        <f>SUMIF('MASTER DATA'!$E:$E,'GENERAL PAYROLL'!$E81,'MASTER DATA'!$AD:$AD)+SUMIF('MASTER DATA'!$E:$E,'GENERAL PAYROLL'!$E81,'MASTER DATA'!$AE:$AE)</f>
        <v>0</v>
      </c>
      <c r="P81" s="185">
        <f t="shared" si="2"/>
        <v>0</v>
      </c>
      <c r="Q81" s="185">
        <f>SUMIF('MASTER DATA'!$E:$E,'GENERAL PAYROLL'!$E81,'MASTER DATA'!$AI:$AI)</f>
        <v>0</v>
      </c>
      <c r="R81" s="185">
        <f>SUMIF('MASTER DATA'!$E:$E,'GENERAL PAYROLL'!$E81,'MASTER DATA'!$AJ:$AJ)+SUMIF('MASTER DATA'!$E:$E,'GENERAL PAYROLL'!$E81,'MASTER DATA'!$AK:$AK)</f>
        <v>0</v>
      </c>
      <c r="S81" s="185">
        <f t="shared" si="3"/>
        <v>0</v>
      </c>
      <c r="T81" s="185">
        <f>SUMIF('MASTER DATA'!$E:$E,'GENERAL PAYROLL'!$E81,'MASTER DATA'!$AO:$AO)</f>
        <v>97.16</v>
      </c>
      <c r="U81" s="185">
        <f>SUMIF('MASTER DATA'!$E:$E,'GENERAL PAYROLL'!$E81,'MASTER DATA'!$AP:$AP)</f>
        <v>0</v>
      </c>
      <c r="V81" s="186">
        <f>SUMIF('MASTER DATA'!$E:$E,'GENERAL PAYROLL'!$E81,'MASTER DATA'!$AR:$AR)</f>
        <v>13402.84</v>
      </c>
      <c r="W81" s="185">
        <f>SUMIF('MASTER DATA'!$E:$E,'GENERAL PAYROLL'!$E81,'MASTER DATA'!$AS:$AS)</f>
        <v>0</v>
      </c>
      <c r="X81" s="185">
        <f>SUMIF('MASTER DATA'!$E:$E,'GENERAL PAYROLL'!$E81,'MASTER DATA'!$AT:$AT)</f>
        <v>0</v>
      </c>
      <c r="Y81" s="185">
        <f>SUMIF('MASTER DATA'!$E:$E,'GENERAL PAYROLL'!$E81,'MASTER DATA'!$AU:$AU)</f>
        <v>0</v>
      </c>
      <c r="Z81" s="185">
        <f>SUMIF('MASTER DATA'!$E:$E,'GENERAL PAYROLL'!$E81,'MASTER DATA'!$AV:$AV)</f>
        <v>0</v>
      </c>
      <c r="AA81" s="185">
        <f>SUMIF('MASTER DATA'!$E:$E,'GENERAL PAYROLL'!$E81,'MASTER DATA'!$AW:$AW)</f>
        <v>0</v>
      </c>
      <c r="AB81" s="185">
        <f>SUMIF('MASTER DATA'!$E:$E,'GENERAL PAYROLL'!$E81,'MASTER DATA'!$AX:$AX)</f>
        <v>0</v>
      </c>
      <c r="AC81" s="186">
        <f>SUMIF('MASTER DATA'!$E:$E,'GENERAL PAYROLL'!$E81,'MASTER DATA'!$AY:$AY)</f>
        <v>13402.84</v>
      </c>
      <c r="AD81" s="137" t="str">
        <f t="shared" si="6"/>
        <v>SHOW</v>
      </c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</row>
    <row r="82" spans="2:42" ht="27" customHeight="1">
      <c r="B82" s="80"/>
      <c r="C82" s="137" t="s">
        <v>348</v>
      </c>
      <c r="D82" s="84">
        <f t="shared" si="0"/>
        <v>63</v>
      </c>
      <c r="E82" s="182" t="str">
        <f>IFERROR(VLOOKUP(C82,CODE!$B:$D,3,FALSE)," ")</f>
        <v>FRANCISCO, ULYSSES H.</v>
      </c>
      <c r="F82" s="183" t="str">
        <f>VLOOKUP($C82,CODE!$B:$F,5,FALSE)</f>
        <v>Development Management Officer II</v>
      </c>
      <c r="G82" s="183" t="str">
        <f>VLOOKUP($C82,CODE!$B:$F,4,FALSE)</f>
        <v>PAD</v>
      </c>
      <c r="H82" s="187">
        <v>11</v>
      </c>
      <c r="I82" s="185">
        <f>SUMIF('MASTER DATA'!$E:$E,'GENERAL PAYROLL'!$E82,'MASTER DATA'!$O:$O)</f>
        <v>1664.5</v>
      </c>
      <c r="J82" s="186">
        <f>SUMIF('MASTER DATA'!$E:$E,'GENERAL PAYROLL'!$E82,'MASTER DATA'!$N:$N)</f>
        <v>18309.5</v>
      </c>
      <c r="K82" s="185">
        <f>SUMIF('MASTER DATA'!$E:$E,'GENERAL PAYROLL'!$E82,'MASTER DATA'!$W:$W)</f>
        <v>0</v>
      </c>
      <c r="L82" s="185">
        <f>SUMIF('MASTER DATA'!$E:$E,'GENERAL PAYROLL'!$E82,'MASTER DATA'!$X:$X)+SUMIF('MASTER DATA'!$E:$E,'GENERAL PAYROLL'!$E82,'MASTER DATA'!$Y:$Y)</f>
        <v>0</v>
      </c>
      <c r="M82" s="185">
        <f t="shared" si="1"/>
        <v>0</v>
      </c>
      <c r="N82" s="185">
        <f>SUMIF('MASTER DATA'!$E:$E,'GENERAL PAYROLL'!$E82,'MASTER DATA'!$AC:$AC)</f>
        <v>0</v>
      </c>
      <c r="O82" s="185">
        <f>SUMIF('MASTER DATA'!$E:$E,'GENERAL PAYROLL'!$E82,'MASTER DATA'!$AD:$AD)+SUMIF('MASTER DATA'!$E:$E,'GENERAL PAYROLL'!$E82,'MASTER DATA'!$AE:$AE)</f>
        <v>0</v>
      </c>
      <c r="P82" s="185">
        <f t="shared" si="2"/>
        <v>0</v>
      </c>
      <c r="Q82" s="185"/>
      <c r="R82" s="185"/>
      <c r="S82" s="185">
        <f t="shared" si="3"/>
        <v>0</v>
      </c>
      <c r="T82" s="185">
        <f>SUMIF('MASTER DATA'!$E:$E,'GENERAL PAYROLL'!$E82,'MASTER DATA'!$AO:$AO)</f>
        <v>0</v>
      </c>
      <c r="U82" s="185">
        <f>SUMIF('MASTER DATA'!$E:$E,'GENERAL PAYROLL'!$E82,'MASTER DATA'!$AP:$AP)</f>
        <v>0</v>
      </c>
      <c r="V82" s="186">
        <f>SUMIF('MASTER DATA'!$E:$E,'GENERAL PAYROLL'!$E82,'MASTER DATA'!$AR:$AR)</f>
        <v>18309.5</v>
      </c>
      <c r="W82" s="185">
        <f>SUMIF('MASTER DATA'!$E:$E,'GENERAL PAYROLL'!$E82,'MASTER DATA'!$AS:$AS)</f>
        <v>0</v>
      </c>
      <c r="X82" s="185">
        <f>SUMIF('MASTER DATA'!$E:$E,'GENERAL PAYROLL'!$E82,'MASTER DATA'!$AT:$AT)</f>
        <v>0</v>
      </c>
      <c r="Y82" s="185">
        <f>SUMIF('MASTER DATA'!$E:$E,'GENERAL PAYROLL'!$E82,'MASTER DATA'!$AU:$AU)</f>
        <v>0</v>
      </c>
      <c r="Z82" s="185">
        <f>SUMIF('MASTER DATA'!$E:$E,'GENERAL PAYROLL'!$E82,'MASTER DATA'!$AV:$AV)</f>
        <v>0</v>
      </c>
      <c r="AA82" s="185">
        <f>SUMIF('MASTER DATA'!$E:$E,'GENERAL PAYROLL'!$E82,'MASTER DATA'!$AW:$AW)</f>
        <v>0</v>
      </c>
      <c r="AB82" s="185">
        <f>SUMIF('MASTER DATA'!$E:$E,'GENERAL PAYROLL'!$E82,'MASTER DATA'!$AX:$AX)</f>
        <v>0</v>
      </c>
      <c r="AC82" s="186">
        <f>SUMIF('MASTER DATA'!$E:$E,'GENERAL PAYROLL'!$E82,'MASTER DATA'!$AY:$AY)</f>
        <v>18309.5</v>
      </c>
      <c r="AD82" s="137" t="str">
        <f t="shared" si="6"/>
        <v>SHOW</v>
      </c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</row>
    <row r="83" spans="2:42" ht="27" customHeight="1">
      <c r="B83" s="80"/>
      <c r="C83" s="137" t="s">
        <v>349</v>
      </c>
      <c r="D83" s="84">
        <f t="shared" si="0"/>
        <v>64</v>
      </c>
      <c r="E83" s="182" t="str">
        <f>IFERROR(VLOOKUP(C83,CODE!$B:$D,3,FALSE)," ")</f>
        <v>DITCHE, ALLIAH LYN P.</v>
      </c>
      <c r="F83" s="183" t="str">
        <f>VLOOKUP($C83,CODE!$B:$F,5,FALSE)</f>
        <v>Development Management Officer II</v>
      </c>
      <c r="G83" s="183" t="str">
        <f>VLOOKUP($C83,CODE!$B:$F,4,FALSE)</f>
        <v>PAD</v>
      </c>
      <c r="H83" s="187">
        <v>11</v>
      </c>
      <c r="I83" s="185">
        <f>SUMIF('MASTER DATA'!$E:$E,'GENERAL PAYROLL'!$E83,'MASTER DATA'!$O:$O)</f>
        <v>1664.5</v>
      </c>
      <c r="J83" s="186">
        <f>SUMIF('MASTER DATA'!$E:$E,'GENERAL PAYROLL'!$E83,'MASTER DATA'!$N:$N)</f>
        <v>18309.5</v>
      </c>
      <c r="K83" s="185">
        <f>SUMIF('MASTER DATA'!$E:$E,'GENERAL PAYROLL'!$E83,'MASTER DATA'!$W:$W)</f>
        <v>0</v>
      </c>
      <c r="L83" s="185">
        <f>SUMIF('MASTER DATA'!$E:$E,'GENERAL PAYROLL'!$E83,'MASTER DATA'!$X:$X)+SUMIF('MASTER DATA'!$E:$E,'GENERAL PAYROLL'!$E83,'MASTER DATA'!$Y:$Y)</f>
        <v>6.94</v>
      </c>
      <c r="M83" s="185">
        <f t="shared" si="1"/>
        <v>6.94</v>
      </c>
      <c r="N83" s="185">
        <f>SUMIF('MASTER DATA'!$E:$E,'GENERAL PAYROLL'!$E83,'MASTER DATA'!$AC:$AC)</f>
        <v>0</v>
      </c>
      <c r="O83" s="185">
        <f>SUMIF('MASTER DATA'!$E:$E,'GENERAL PAYROLL'!$E83,'MASTER DATA'!$AD:$AD)+SUMIF('MASTER DATA'!$E:$E,'GENERAL PAYROLL'!$E83,'MASTER DATA'!$AE:$AE)</f>
        <v>0</v>
      </c>
      <c r="P83" s="185">
        <f t="shared" si="2"/>
        <v>0</v>
      </c>
      <c r="Q83" s="185"/>
      <c r="R83" s="185"/>
      <c r="S83" s="185">
        <f t="shared" si="3"/>
        <v>0</v>
      </c>
      <c r="T83" s="185">
        <f>SUMIF('MASTER DATA'!$E:$E,'GENERAL PAYROLL'!$E83,'MASTER DATA'!$AO:$AO)</f>
        <v>6.94</v>
      </c>
      <c r="U83" s="185">
        <f>SUMIF('MASTER DATA'!$E:$E,'GENERAL PAYROLL'!$E83,'MASTER DATA'!$AP:$AP)</f>
        <v>0</v>
      </c>
      <c r="V83" s="186">
        <f>SUMIF('MASTER DATA'!$E:$E,'GENERAL PAYROLL'!$E83,'MASTER DATA'!$AR:$AR)</f>
        <v>18302.560000000001</v>
      </c>
      <c r="W83" s="185">
        <f>SUMIF('MASTER DATA'!$E:$E,'GENERAL PAYROLL'!$E83,'MASTER DATA'!$AS:$AS)</f>
        <v>0</v>
      </c>
      <c r="X83" s="185">
        <f>SUMIF('MASTER DATA'!$E:$E,'GENERAL PAYROLL'!$E83,'MASTER DATA'!$AT:$AT)</f>
        <v>0</v>
      </c>
      <c r="Y83" s="185">
        <f>SUMIF('MASTER DATA'!$E:$E,'GENERAL PAYROLL'!$E83,'MASTER DATA'!$AU:$AU)</f>
        <v>0</v>
      </c>
      <c r="Z83" s="185">
        <f>SUMIF('MASTER DATA'!$E:$E,'GENERAL PAYROLL'!$E83,'MASTER DATA'!$AV:$AV)</f>
        <v>0</v>
      </c>
      <c r="AA83" s="185">
        <f>SUMIF('MASTER DATA'!$E:$E,'GENERAL PAYROLL'!$E83,'MASTER DATA'!$AW:$AW)</f>
        <v>0</v>
      </c>
      <c r="AB83" s="185">
        <f>SUMIF('MASTER DATA'!$E:$E,'GENERAL PAYROLL'!$E83,'MASTER DATA'!$AX:$AX)</f>
        <v>0</v>
      </c>
      <c r="AC83" s="186">
        <f>SUMIF('MASTER DATA'!$E:$E,'GENERAL PAYROLL'!$E83,'MASTER DATA'!$AY:$AY)</f>
        <v>18302.560000000001</v>
      </c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</row>
    <row r="84" spans="2:42" ht="27" customHeight="1">
      <c r="B84" s="80"/>
      <c r="C84" s="137" t="s">
        <v>350</v>
      </c>
      <c r="D84" s="84">
        <f t="shared" si="0"/>
        <v>65</v>
      </c>
      <c r="E84" s="182" t="str">
        <f>IFERROR(VLOOKUP(C84,CODE!$B:$D,3,FALSE)," ")</f>
        <v>CORDOVA, JOEL M.</v>
      </c>
      <c r="F84" s="183" t="str">
        <f>VLOOKUP($C84,CODE!$B:$F,5,FALSE)</f>
        <v xml:space="preserve">Encoder </v>
      </c>
      <c r="G84" s="183" t="str">
        <f>VLOOKUP($C84,CODE!$B:$F,4,FALSE)</f>
        <v>PAD</v>
      </c>
      <c r="H84" s="187">
        <v>11</v>
      </c>
      <c r="I84" s="185">
        <f>SUMIF('MASTER DATA'!$E:$E,'GENERAL PAYROLL'!$E84,'MASTER DATA'!$O:$O)</f>
        <v>797.86363636363637</v>
      </c>
      <c r="J84" s="186">
        <f>SUMIF('MASTER DATA'!$E:$E,'GENERAL PAYROLL'!$E84,'MASTER DATA'!$N:$N)</f>
        <v>8776.5</v>
      </c>
      <c r="K84" s="185">
        <f>SUMIF('MASTER DATA'!$E:$E,'GENERAL PAYROLL'!$E84,'MASTER DATA'!$W:$W)</f>
        <v>0</v>
      </c>
      <c r="L84" s="185">
        <f>SUMIF('MASTER DATA'!$E:$E,'GENERAL PAYROLL'!$E84,'MASTER DATA'!$X:$X)+SUMIF('MASTER DATA'!$E:$E,'GENERAL PAYROLL'!$E84,'MASTER DATA'!$Y:$Y)</f>
        <v>0</v>
      </c>
      <c r="M84" s="185">
        <f t="shared" si="1"/>
        <v>0</v>
      </c>
      <c r="N84" s="185">
        <f>SUMIF('MASTER DATA'!$E:$E,'GENERAL PAYROLL'!$E84,'MASTER DATA'!$AC:$AC)</f>
        <v>0</v>
      </c>
      <c r="O84" s="185">
        <f>SUMIF('MASTER DATA'!$E:$E,'GENERAL PAYROLL'!$E84,'MASTER DATA'!$AD:$AD)+SUMIF('MASTER DATA'!$E:$E,'GENERAL PAYROLL'!$E84,'MASTER DATA'!$AE:$AE)</f>
        <v>0</v>
      </c>
      <c r="P84" s="185">
        <f t="shared" si="2"/>
        <v>0</v>
      </c>
      <c r="Q84" s="185"/>
      <c r="R84" s="185"/>
      <c r="S84" s="185">
        <f t="shared" si="3"/>
        <v>0</v>
      </c>
      <c r="T84" s="185">
        <f>SUMIF('MASTER DATA'!$E:$E,'GENERAL PAYROLL'!$E84,'MASTER DATA'!$AO:$AO)</f>
        <v>0</v>
      </c>
      <c r="U84" s="185">
        <f>SUMIF('MASTER DATA'!$E:$E,'GENERAL PAYROLL'!$E84,'MASTER DATA'!$AP:$AP)</f>
        <v>0</v>
      </c>
      <c r="V84" s="186">
        <f>SUMIF('MASTER DATA'!$E:$E,'GENERAL PAYROLL'!$E84,'MASTER DATA'!$AR:$AR)</f>
        <v>8776.5</v>
      </c>
      <c r="W84" s="185">
        <f>SUMIF('MASTER DATA'!$E:$E,'GENERAL PAYROLL'!$E84,'MASTER DATA'!$AS:$AS)</f>
        <v>0</v>
      </c>
      <c r="X84" s="185">
        <f>SUMIF('MASTER DATA'!$E:$E,'GENERAL PAYROLL'!$E84,'MASTER DATA'!$AT:$AT)</f>
        <v>0</v>
      </c>
      <c r="Y84" s="185">
        <f>SUMIF('MASTER DATA'!$E:$E,'GENERAL PAYROLL'!$E84,'MASTER DATA'!$AU:$AU)</f>
        <v>0</v>
      </c>
      <c r="Z84" s="185">
        <f>SUMIF('MASTER DATA'!$E:$E,'GENERAL PAYROLL'!$E84,'MASTER DATA'!$AV:$AV)</f>
        <v>0</v>
      </c>
      <c r="AA84" s="185">
        <f>SUMIF('MASTER DATA'!$E:$E,'GENERAL PAYROLL'!$E84,'MASTER DATA'!$AW:$AW)</f>
        <v>0</v>
      </c>
      <c r="AB84" s="185">
        <f>SUMIF('MASTER DATA'!$E:$E,'GENERAL PAYROLL'!$E84,'MASTER DATA'!$AX:$AX)</f>
        <v>0</v>
      </c>
      <c r="AC84" s="186">
        <f>SUMIF('MASTER DATA'!$E:$E,'GENERAL PAYROLL'!$E84,'MASTER DATA'!$AY:$AY)</f>
        <v>8776.5</v>
      </c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</row>
    <row r="85" spans="2:42" ht="27" customHeight="1">
      <c r="B85" s="80"/>
      <c r="C85" s="137" t="s">
        <v>351</v>
      </c>
      <c r="D85" s="84">
        <f t="shared" si="0"/>
        <v>66</v>
      </c>
      <c r="E85" s="182" t="str">
        <f>IFERROR(VLOOKUP(C85,CODE!$B:$D,3,FALSE)," ")</f>
        <v>ARANAZ, CZAREE JOSIAH A.</v>
      </c>
      <c r="F85" s="183" t="str">
        <f>VLOOKUP($C85,CODE!$B:$F,5,FALSE)</f>
        <v>Agriculturist I</v>
      </c>
      <c r="G85" s="183" t="str">
        <f>VLOOKUP($C85,CODE!$B:$F,4,FALSE)</f>
        <v>PAD</v>
      </c>
      <c r="H85" s="187">
        <v>11</v>
      </c>
      <c r="I85" s="185">
        <f>SUMIF('MASTER DATA'!$E:$E,'GENERAL PAYROLL'!$E85,'MASTER DATA'!$O:$O)</f>
        <v>1227.2727272727273</v>
      </c>
      <c r="J85" s="186">
        <f>SUMIF('MASTER DATA'!$E:$E,'GENERAL PAYROLL'!$E85,'MASTER DATA'!$N:$N)</f>
        <v>13500</v>
      </c>
      <c r="K85" s="185">
        <f>SUMIF('MASTER DATA'!$E:$E,'GENERAL PAYROLL'!$E85,'MASTER DATA'!$W:$W)</f>
        <v>0</v>
      </c>
      <c r="L85" s="185">
        <f>SUMIF('MASTER DATA'!$E:$E,'GENERAL PAYROLL'!$E85,'MASTER DATA'!$X:$X)+SUMIF('MASTER DATA'!$E:$E,'GENERAL PAYROLL'!$E85,'MASTER DATA'!$Y:$Y)</f>
        <v>63.92</v>
      </c>
      <c r="M85" s="185">
        <f t="shared" si="1"/>
        <v>63.92</v>
      </c>
      <c r="N85" s="185">
        <f>SUMIF('MASTER DATA'!$E:$E,'GENERAL PAYROLL'!$E85,'MASTER DATA'!$AC:$AC)</f>
        <v>0</v>
      </c>
      <c r="O85" s="185">
        <f>SUMIF('MASTER DATA'!$E:$E,'GENERAL PAYROLL'!$E85,'MASTER DATA'!$AD:$AD)+SUMIF('MASTER DATA'!$E:$E,'GENERAL PAYROLL'!$E85,'MASTER DATA'!$AE:$AE)</f>
        <v>0</v>
      </c>
      <c r="P85" s="185">
        <f t="shared" si="2"/>
        <v>0</v>
      </c>
      <c r="Q85" s="185"/>
      <c r="R85" s="185"/>
      <c r="S85" s="185">
        <f t="shared" si="3"/>
        <v>0</v>
      </c>
      <c r="T85" s="185">
        <f>SUMIF('MASTER DATA'!$E:$E,'GENERAL PAYROLL'!$E85,'MASTER DATA'!$AO:$AO)</f>
        <v>63.92</v>
      </c>
      <c r="U85" s="185">
        <f>SUMIF('MASTER DATA'!$E:$E,'GENERAL PAYROLL'!$E85,'MASTER DATA'!$AP:$AP)</f>
        <v>0</v>
      </c>
      <c r="V85" s="186">
        <f>SUMIF('MASTER DATA'!$E:$E,'GENERAL PAYROLL'!$E85,'MASTER DATA'!$AR:$AR)</f>
        <v>13436.08</v>
      </c>
      <c r="W85" s="185">
        <f>SUMIF('MASTER DATA'!$E:$E,'GENERAL PAYROLL'!$E85,'MASTER DATA'!$AS:$AS)</f>
        <v>0</v>
      </c>
      <c r="X85" s="185">
        <f>SUMIF('MASTER DATA'!$E:$E,'GENERAL PAYROLL'!$E85,'MASTER DATA'!$AT:$AT)</f>
        <v>0</v>
      </c>
      <c r="Y85" s="185">
        <f>SUMIF('MASTER DATA'!$E:$E,'GENERAL PAYROLL'!$E85,'MASTER DATA'!$AU:$AU)</f>
        <v>0</v>
      </c>
      <c r="Z85" s="185">
        <f>SUMIF('MASTER DATA'!$E:$E,'GENERAL PAYROLL'!$E85,'MASTER DATA'!$AV:$AV)</f>
        <v>0</v>
      </c>
      <c r="AA85" s="185">
        <f>SUMIF('MASTER DATA'!$E:$E,'GENERAL PAYROLL'!$E85,'MASTER DATA'!$AW:$AW)</f>
        <v>0</v>
      </c>
      <c r="AB85" s="185">
        <f>SUMIF('MASTER DATA'!$E:$E,'GENERAL PAYROLL'!$E85,'MASTER DATA'!$AX:$AX)</f>
        <v>0</v>
      </c>
      <c r="AC85" s="186">
        <f>SUMIF('MASTER DATA'!$E:$E,'GENERAL PAYROLL'!$E85,'MASTER DATA'!$AY:$AY)</f>
        <v>13436.08</v>
      </c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</row>
    <row r="86" spans="2:42" ht="27" customHeight="1">
      <c r="B86" s="80"/>
      <c r="C86" s="137" t="s">
        <v>352</v>
      </c>
      <c r="D86" s="84">
        <f t="shared" si="0"/>
        <v>67</v>
      </c>
      <c r="E86" s="182" t="str">
        <f>IFERROR(VLOOKUP(C86,CODE!$B:$D,3,FALSE)," ")</f>
        <v>AGUSTIN, PAULYN B.</v>
      </c>
      <c r="F86" s="183" t="str">
        <f>VLOOKUP($C86,CODE!$B:$F,5,FALSE)</f>
        <v>Agriculturist I</v>
      </c>
      <c r="G86" s="183" t="str">
        <f>VLOOKUP($C86,CODE!$B:$F,4,FALSE)</f>
        <v>PAD</v>
      </c>
      <c r="H86" s="187">
        <v>11</v>
      </c>
      <c r="I86" s="185">
        <f>SUMIF('MASTER DATA'!$E:$E,'GENERAL PAYROLL'!$E86,'MASTER DATA'!$O:$O)</f>
        <v>1227.2727272727273</v>
      </c>
      <c r="J86" s="186">
        <f>SUMIF('MASTER DATA'!$E:$E,'GENERAL PAYROLL'!$E86,'MASTER DATA'!$N:$N)</f>
        <v>13500</v>
      </c>
      <c r="K86" s="185">
        <f>SUMIF('MASTER DATA'!$E:$E,'GENERAL PAYROLL'!$E86,'MASTER DATA'!$W:$W)</f>
        <v>0</v>
      </c>
      <c r="L86" s="185">
        <f>SUMIF('MASTER DATA'!$E:$E,'GENERAL PAYROLL'!$E86,'MASTER DATA'!$X:$X)+SUMIF('MASTER DATA'!$E:$E,'GENERAL PAYROLL'!$E86,'MASTER DATA'!$Y:$Y)</f>
        <v>0</v>
      </c>
      <c r="M86" s="185">
        <f t="shared" si="1"/>
        <v>0</v>
      </c>
      <c r="N86" s="185">
        <f>SUMIF('MASTER DATA'!$E:$E,'GENERAL PAYROLL'!$E86,'MASTER DATA'!$AC:$AC)</f>
        <v>0</v>
      </c>
      <c r="O86" s="185">
        <f>SUMIF('MASTER DATA'!$E:$E,'GENERAL PAYROLL'!$E86,'MASTER DATA'!$AD:$AD)+SUMIF('MASTER DATA'!$E:$E,'GENERAL PAYROLL'!$E86,'MASTER DATA'!$AE:$AE)</f>
        <v>0</v>
      </c>
      <c r="P86" s="185">
        <f t="shared" si="2"/>
        <v>0</v>
      </c>
      <c r="Q86" s="185"/>
      <c r="R86" s="185"/>
      <c r="S86" s="185">
        <f t="shared" si="3"/>
        <v>0</v>
      </c>
      <c r="T86" s="185">
        <f>SUMIF('MASTER DATA'!$E:$E,'GENERAL PAYROLL'!$E86,'MASTER DATA'!$AO:$AO)</f>
        <v>0</v>
      </c>
      <c r="U86" s="185">
        <f>SUMIF('MASTER DATA'!$E:$E,'GENERAL PAYROLL'!$E86,'MASTER DATA'!$AP:$AP)</f>
        <v>0</v>
      </c>
      <c r="V86" s="186">
        <f>SUMIF('MASTER DATA'!$E:$E,'GENERAL PAYROLL'!$E86,'MASTER DATA'!$AR:$AR)</f>
        <v>13500</v>
      </c>
      <c r="W86" s="185">
        <f>SUMIF('MASTER DATA'!$E:$E,'GENERAL PAYROLL'!$E86,'MASTER DATA'!$AS:$AS)</f>
        <v>0</v>
      </c>
      <c r="X86" s="185">
        <f>SUMIF('MASTER DATA'!$E:$E,'GENERAL PAYROLL'!$E86,'MASTER DATA'!$AT:$AT)</f>
        <v>0</v>
      </c>
      <c r="Y86" s="185">
        <f>SUMIF('MASTER DATA'!$E:$E,'GENERAL PAYROLL'!$E86,'MASTER DATA'!$AU:$AU)</f>
        <v>0</v>
      </c>
      <c r="Z86" s="185">
        <f>SUMIF('MASTER DATA'!$E:$E,'GENERAL PAYROLL'!$E86,'MASTER DATA'!$AV:$AV)</f>
        <v>0</v>
      </c>
      <c r="AA86" s="185">
        <f>SUMIF('MASTER DATA'!$E:$E,'GENERAL PAYROLL'!$E86,'MASTER DATA'!$AW:$AW)</f>
        <v>0</v>
      </c>
      <c r="AB86" s="185">
        <f>SUMIF('MASTER DATA'!$E:$E,'GENERAL PAYROLL'!$E86,'MASTER DATA'!$AX:$AX)</f>
        <v>0</v>
      </c>
      <c r="AC86" s="186">
        <f>SUMIF('MASTER DATA'!$E:$E,'GENERAL PAYROLL'!$E86,'MASTER DATA'!$AY:$AY)</f>
        <v>13500</v>
      </c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</row>
    <row r="87" spans="2:42" ht="15.75" customHeight="1">
      <c r="D87" s="181" t="s">
        <v>21</v>
      </c>
      <c r="E87" s="49"/>
      <c r="F87" s="48"/>
      <c r="G87" s="49"/>
      <c r="H87" s="49"/>
      <c r="I87" s="188"/>
      <c r="J87" s="188">
        <f t="shared" ref="J87:AC87" si="7">SUM(J20:J86)</f>
        <v>675458</v>
      </c>
      <c r="K87" s="188">
        <f t="shared" si="7"/>
        <v>17705.990000000002</v>
      </c>
      <c r="L87" s="188">
        <f t="shared" si="7"/>
        <v>3597.9400000000005</v>
      </c>
      <c r="M87" s="188">
        <f t="shared" si="7"/>
        <v>21303.929999999997</v>
      </c>
      <c r="N87" s="188">
        <f t="shared" si="7"/>
        <v>0</v>
      </c>
      <c r="O87" s="188">
        <f t="shared" si="7"/>
        <v>0</v>
      </c>
      <c r="P87" s="188">
        <f t="shared" si="7"/>
        <v>0</v>
      </c>
      <c r="Q87" s="188">
        <f t="shared" si="7"/>
        <v>0</v>
      </c>
      <c r="R87" s="188">
        <f t="shared" si="7"/>
        <v>0</v>
      </c>
      <c r="S87" s="188">
        <f t="shared" si="7"/>
        <v>0</v>
      </c>
      <c r="T87" s="188">
        <f t="shared" si="7"/>
        <v>21303.93</v>
      </c>
      <c r="U87" s="188">
        <f t="shared" si="7"/>
        <v>0.03</v>
      </c>
      <c r="V87" s="188">
        <f t="shared" si="7"/>
        <v>654154.1</v>
      </c>
      <c r="W87" s="188">
        <f t="shared" si="7"/>
        <v>0</v>
      </c>
      <c r="X87" s="188">
        <f t="shared" si="7"/>
        <v>3476.09</v>
      </c>
      <c r="Y87" s="188">
        <f t="shared" si="7"/>
        <v>8000</v>
      </c>
      <c r="Z87" s="188">
        <f t="shared" si="7"/>
        <v>1779.65</v>
      </c>
      <c r="AA87" s="188">
        <f t="shared" si="7"/>
        <v>0</v>
      </c>
      <c r="AB87" s="188">
        <f t="shared" si="7"/>
        <v>0</v>
      </c>
      <c r="AC87" s="188">
        <f t="shared" si="7"/>
        <v>640898.35999999987</v>
      </c>
      <c r="AD87" s="137" t="s">
        <v>353</v>
      </c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</row>
    <row r="88" spans="2:42" ht="15.75" customHeight="1">
      <c r="D88" s="189"/>
      <c r="E88" s="190"/>
      <c r="F88" s="191"/>
      <c r="G88" s="190"/>
      <c r="H88" s="190"/>
      <c r="I88" s="192"/>
      <c r="J88" s="193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4"/>
    </row>
    <row r="89" spans="2:42" ht="15.75" customHeight="1">
      <c r="D89" s="195" t="s">
        <v>354</v>
      </c>
      <c r="F89" s="5"/>
      <c r="I89" s="7"/>
      <c r="J89" s="196" t="s">
        <v>355</v>
      </c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197"/>
    </row>
    <row r="90" spans="2:42" ht="15.75" customHeight="1">
      <c r="D90" s="195"/>
      <c r="F90" s="5"/>
      <c r="I90" s="7"/>
      <c r="J90" s="196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197"/>
    </row>
    <row r="91" spans="2:42" ht="15.75" customHeight="1">
      <c r="D91" s="195"/>
      <c r="F91" s="5"/>
      <c r="I91" s="7"/>
      <c r="J91" s="196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197"/>
    </row>
    <row r="92" spans="2:42" ht="15.75" customHeight="1">
      <c r="D92" s="195"/>
      <c r="E92" s="277" t="s">
        <v>356</v>
      </c>
      <c r="F92" s="278"/>
      <c r="G92" s="278"/>
      <c r="H92" s="278"/>
      <c r="I92" s="7"/>
      <c r="J92" s="279" t="s">
        <v>357</v>
      </c>
      <c r="K92" s="278"/>
      <c r="L92" s="278"/>
      <c r="M92" s="278"/>
      <c r="N92" s="278"/>
      <c r="O92" s="278"/>
      <c r="P92" s="278"/>
      <c r="Q92" s="171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197"/>
    </row>
    <row r="93" spans="2:42" ht="15.75" customHeight="1">
      <c r="D93" s="198"/>
      <c r="E93" s="282" t="s">
        <v>358</v>
      </c>
      <c r="F93" s="281"/>
      <c r="G93" s="281"/>
      <c r="H93" s="281"/>
      <c r="I93" s="199"/>
      <c r="J93" s="283" t="s">
        <v>359</v>
      </c>
      <c r="K93" s="281"/>
      <c r="L93" s="281"/>
      <c r="M93" s="281"/>
      <c r="N93" s="281"/>
      <c r="O93" s="281"/>
      <c r="P93" s="281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  <c r="AB93" s="199"/>
      <c r="AC93" s="200"/>
    </row>
    <row r="94" spans="2:42" ht="15.75" customHeight="1">
      <c r="D94" s="189" t="s">
        <v>360</v>
      </c>
      <c r="E94" s="190"/>
      <c r="F94" s="191"/>
      <c r="G94" s="190"/>
      <c r="H94" s="190"/>
      <c r="I94" s="192"/>
      <c r="J94" s="193" t="s">
        <v>361</v>
      </c>
      <c r="K94" s="192"/>
      <c r="L94" s="192"/>
      <c r="M94" s="192"/>
      <c r="N94" s="192"/>
      <c r="O94" s="192"/>
      <c r="P94" s="192"/>
      <c r="Q94" s="192"/>
      <c r="R94" s="192"/>
      <c r="S94" s="192"/>
      <c r="T94" s="192"/>
      <c r="U94" s="192"/>
      <c r="V94" s="192"/>
      <c r="W94" s="192"/>
      <c r="X94" s="194"/>
      <c r="Y94" s="276"/>
      <c r="Z94" s="254"/>
      <c r="AA94" s="254"/>
      <c r="AB94" s="254"/>
      <c r="AC94" s="255"/>
    </row>
    <row r="95" spans="2:42" ht="15.75" customHeight="1">
      <c r="D95" s="195"/>
      <c r="E95" s="137" t="s">
        <v>362</v>
      </c>
      <c r="F95" s="5"/>
      <c r="I95" s="7"/>
      <c r="J95" s="285" t="s">
        <v>363</v>
      </c>
      <c r="K95" s="278"/>
      <c r="L95" s="278"/>
      <c r="M95" s="278"/>
      <c r="N95" s="278"/>
      <c r="O95" s="7"/>
      <c r="P95" s="7"/>
      <c r="R95" s="7"/>
      <c r="S95" s="7"/>
      <c r="T95" s="7"/>
      <c r="U95" s="7"/>
      <c r="V95" s="7"/>
      <c r="W95" s="7"/>
      <c r="X95" s="197"/>
      <c r="Y95" s="276" t="s">
        <v>364</v>
      </c>
      <c r="Z95" s="254"/>
      <c r="AA95" s="254"/>
      <c r="AB95" s="254"/>
      <c r="AC95" s="255"/>
    </row>
    <row r="96" spans="2:42" ht="15.75" customHeight="1">
      <c r="D96" s="195"/>
      <c r="F96" s="5"/>
      <c r="I96" s="7"/>
      <c r="J96" s="196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197"/>
      <c r="Y96" s="276" t="s">
        <v>365</v>
      </c>
      <c r="Z96" s="254"/>
      <c r="AA96" s="254"/>
      <c r="AB96" s="254"/>
      <c r="AC96" s="255"/>
    </row>
    <row r="97" spans="4:29" ht="15.75" customHeight="1">
      <c r="D97" s="195"/>
      <c r="F97" s="5"/>
      <c r="I97" s="7"/>
      <c r="J97" s="196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197"/>
      <c r="Y97" s="276" t="s">
        <v>366</v>
      </c>
      <c r="Z97" s="254"/>
      <c r="AA97" s="254"/>
      <c r="AB97" s="254"/>
      <c r="AC97" s="255"/>
    </row>
    <row r="98" spans="4:29" ht="15.75" customHeight="1">
      <c r="D98" s="195"/>
      <c r="E98" s="277" t="s">
        <v>367</v>
      </c>
      <c r="F98" s="278"/>
      <c r="G98" s="278"/>
      <c r="H98" s="278"/>
      <c r="I98" s="7"/>
      <c r="J98" s="279" t="s">
        <v>368</v>
      </c>
      <c r="K98" s="278"/>
      <c r="L98" s="278"/>
      <c r="M98" s="278"/>
      <c r="N98" s="278"/>
      <c r="O98" s="278"/>
      <c r="P98" s="278"/>
      <c r="Q98" s="171"/>
      <c r="R98" s="7"/>
      <c r="S98" s="7"/>
      <c r="T98" s="7"/>
      <c r="U98" s="7"/>
      <c r="V98" s="280"/>
      <c r="W98" s="281"/>
      <c r="X98" s="274"/>
      <c r="Y98" s="276" t="s">
        <v>365</v>
      </c>
      <c r="Z98" s="254"/>
      <c r="AA98" s="254"/>
      <c r="AB98" s="254"/>
      <c r="AC98" s="255"/>
    </row>
    <row r="99" spans="4:29" ht="15.75" customHeight="1">
      <c r="D99" s="198"/>
      <c r="E99" s="282" t="s">
        <v>369</v>
      </c>
      <c r="F99" s="281"/>
      <c r="G99" s="281"/>
      <c r="H99" s="281"/>
      <c r="I99" s="199"/>
      <c r="J99" s="283" t="s">
        <v>370</v>
      </c>
      <c r="K99" s="281"/>
      <c r="L99" s="281"/>
      <c r="M99" s="281"/>
      <c r="N99" s="281"/>
      <c r="O99" s="281"/>
      <c r="P99" s="281"/>
      <c r="Q99" s="199"/>
      <c r="R99" s="199"/>
      <c r="S99" s="199"/>
      <c r="T99" s="199"/>
      <c r="U99" s="199"/>
      <c r="V99" s="284" t="s">
        <v>371</v>
      </c>
      <c r="W99" s="281"/>
      <c r="X99" s="274"/>
      <c r="Y99" s="276"/>
      <c r="Z99" s="254"/>
      <c r="AA99" s="254"/>
      <c r="AB99" s="254"/>
      <c r="AC99" s="255"/>
    </row>
    <row r="100" spans="4:29" ht="15.75" customHeight="1">
      <c r="F100" s="5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spans="4:29" ht="15.75" customHeight="1">
      <c r="F101" s="5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spans="4:29" ht="15.75" customHeight="1">
      <c r="F102" s="5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spans="4:29" ht="15.75" customHeight="1">
      <c r="F103" s="5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spans="4:29" ht="15.75" customHeight="1">
      <c r="F104" s="5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spans="4:29" ht="15.75" customHeight="1">
      <c r="F105" s="5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spans="4:29" ht="15.75" customHeight="1">
      <c r="F106" s="5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spans="4:29" ht="15.75" customHeight="1">
      <c r="F107" s="5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spans="4:29" ht="15.75" customHeight="1">
      <c r="F108" s="5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spans="4:29" ht="15.75" customHeight="1">
      <c r="F109" s="5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spans="4:29" ht="15.75" customHeight="1">
      <c r="F110" s="5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4:29" ht="15.75" customHeight="1">
      <c r="F111" s="5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spans="4:29" ht="15.75" customHeight="1">
      <c r="F112" s="5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spans="6:29" ht="15.75" customHeight="1">
      <c r="F113" s="5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spans="6:29" ht="15.75" customHeight="1">
      <c r="F114" s="5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spans="6:29" ht="15.75" customHeight="1">
      <c r="F115" s="5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spans="6:29" ht="15.75" customHeight="1">
      <c r="F116" s="5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spans="6:29" ht="15.75" customHeight="1">
      <c r="F117" s="5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spans="6:29" ht="15.75" customHeight="1">
      <c r="F118" s="5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spans="6:29" ht="15.75" customHeight="1">
      <c r="F119" s="5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spans="6:29" ht="15.75" customHeight="1">
      <c r="F120" s="5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spans="6:29" ht="15.75" customHeight="1">
      <c r="F121" s="5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spans="6:29" ht="15.75" customHeight="1">
      <c r="F122" s="5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spans="6:29" ht="15.75" customHeight="1">
      <c r="F123" s="5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spans="6:29" ht="15.75" customHeight="1">
      <c r="F124" s="5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spans="6:29" ht="15.75" customHeight="1">
      <c r="F125" s="5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spans="6:29" ht="15.75" customHeight="1">
      <c r="F126" s="5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spans="6:29" ht="15.75" customHeight="1">
      <c r="F127" s="5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spans="6:29" ht="15.75" customHeight="1">
      <c r="F128" s="5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spans="6:29" ht="15.75" customHeight="1">
      <c r="F129" s="5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spans="6:29" ht="15.75" customHeight="1">
      <c r="F130" s="5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spans="6:29" ht="15.75" customHeight="1">
      <c r="F131" s="5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spans="6:29" ht="15.75" customHeight="1">
      <c r="F132" s="5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spans="6:29" ht="15.75" customHeight="1">
      <c r="F133" s="5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spans="6:29" ht="15.75" customHeight="1">
      <c r="F134" s="5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spans="6:29" ht="15.75" customHeight="1">
      <c r="F135" s="5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spans="6:29" ht="15.75" customHeight="1">
      <c r="F136" s="5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spans="6:29" ht="15.75" customHeight="1">
      <c r="F137" s="5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spans="6:29" ht="15.75" customHeight="1">
      <c r="F138" s="5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spans="6:29" ht="15.75" customHeight="1">
      <c r="F139" s="5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spans="6:29" ht="15.75" customHeight="1">
      <c r="F140" s="5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spans="6:29" ht="15.75" customHeight="1">
      <c r="F141" s="5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spans="6:29" ht="15.75" customHeight="1">
      <c r="F142" s="5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spans="6:29" ht="15.75" customHeight="1">
      <c r="F143" s="5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spans="6:29" ht="15.75" customHeight="1">
      <c r="F144" s="5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spans="6:29" ht="15.75" customHeight="1">
      <c r="F145" s="5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spans="6:29" ht="15.75" customHeight="1">
      <c r="F146" s="5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spans="6:29" ht="15.75" customHeight="1">
      <c r="F147" s="5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spans="6:29" ht="15.75" customHeight="1">
      <c r="F148" s="5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spans="6:29" ht="15.75" customHeight="1">
      <c r="F149" s="5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spans="6:29" ht="15.75" customHeight="1">
      <c r="F150" s="5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spans="6:29" ht="15.75" customHeight="1">
      <c r="F151" s="5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spans="6:29" ht="15.75" customHeight="1">
      <c r="F152" s="5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spans="6:29" ht="15.75" customHeight="1">
      <c r="F153" s="5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spans="6:29" ht="15.75" customHeight="1">
      <c r="F154" s="5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spans="6:29" ht="15.75" customHeight="1">
      <c r="F155" s="5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spans="6:29" ht="15.75" customHeight="1">
      <c r="F156" s="5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spans="6:29" ht="15.75" customHeight="1">
      <c r="F157" s="5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spans="6:29" ht="15.75" customHeight="1">
      <c r="F158" s="5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spans="6:29" ht="15.75" customHeight="1">
      <c r="F159" s="5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spans="6:29" ht="15.75" customHeight="1">
      <c r="F160" s="5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spans="6:29" ht="15.75" customHeight="1">
      <c r="F161" s="5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spans="6:29" ht="15.75" customHeight="1">
      <c r="F162" s="5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spans="6:29" ht="15.75" customHeight="1">
      <c r="F163" s="5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spans="6:29" ht="15.75" customHeight="1">
      <c r="F164" s="5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spans="6:29" ht="15.75" customHeight="1">
      <c r="F165" s="5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spans="6:29" ht="15.75" customHeight="1">
      <c r="F166" s="5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spans="6:29" ht="15.75" customHeight="1">
      <c r="F167" s="5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spans="6:29" ht="15.75" customHeight="1">
      <c r="F168" s="5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spans="6:29" ht="15.75" customHeight="1">
      <c r="F169" s="5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spans="6:29" ht="15.75" customHeight="1">
      <c r="F170" s="5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spans="6:29" ht="15.75" customHeight="1">
      <c r="F171" s="5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spans="6:29" ht="15.75" customHeight="1">
      <c r="F172" s="5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spans="6:29" ht="15.75" customHeight="1">
      <c r="F173" s="5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spans="6:29" ht="15.75" customHeight="1">
      <c r="F174" s="5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spans="6:29" ht="15.75" customHeight="1">
      <c r="F175" s="5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spans="6:29" ht="15.75" customHeight="1">
      <c r="F176" s="5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spans="6:29" ht="15.75" customHeight="1">
      <c r="F177" s="5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spans="6:29" ht="15.75" customHeight="1">
      <c r="F178" s="5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spans="6:29" ht="15.75" customHeight="1">
      <c r="F179" s="5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spans="6:29" ht="15.75" customHeight="1">
      <c r="F180" s="5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spans="6:29" ht="15.75" customHeight="1">
      <c r="F181" s="5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spans="6:29" ht="15.75" customHeight="1">
      <c r="F182" s="5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spans="6:29" ht="15.75" customHeight="1">
      <c r="F183" s="5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spans="6:29" ht="15.75" customHeight="1">
      <c r="F184" s="5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spans="6:29" ht="15.75" customHeight="1">
      <c r="F185" s="5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spans="6:29" ht="15.75" customHeight="1">
      <c r="F186" s="5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spans="6:29" ht="15.75" customHeight="1">
      <c r="F187" s="5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spans="6:29" ht="15.75" customHeight="1">
      <c r="F188" s="5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spans="6:29" ht="15.75" customHeight="1">
      <c r="F189" s="5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spans="6:29" ht="15.75" customHeight="1">
      <c r="F190" s="5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spans="6:29" ht="15.75" customHeight="1">
      <c r="F191" s="5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spans="6:29" ht="15.75" customHeight="1">
      <c r="F192" s="5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spans="6:29" ht="15.75" customHeight="1">
      <c r="F193" s="5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spans="6:29" ht="15.75" customHeight="1">
      <c r="F194" s="5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spans="6:29" ht="15.75" customHeight="1">
      <c r="F195" s="5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spans="6:29" ht="15.75" customHeight="1">
      <c r="F196" s="5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spans="6:29" ht="15.75" customHeight="1">
      <c r="F197" s="5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spans="6:29" ht="15.75" customHeight="1">
      <c r="F198" s="5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spans="6:29" ht="15.75" customHeight="1">
      <c r="F199" s="5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spans="6:29" ht="15.75" customHeight="1">
      <c r="F200" s="5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spans="6:29" ht="15.75" customHeight="1">
      <c r="F201" s="5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spans="6:29" ht="15.75" customHeight="1">
      <c r="F202" s="5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spans="6:29" ht="15.75" customHeight="1">
      <c r="F203" s="5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spans="6:29" ht="15.75" customHeight="1">
      <c r="F204" s="5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spans="6:29" ht="15.75" customHeight="1">
      <c r="F205" s="5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spans="6:29" ht="15.75" customHeight="1">
      <c r="F206" s="5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spans="6:29" ht="15.75" customHeight="1">
      <c r="F207" s="5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spans="6:29" ht="15.75" customHeight="1">
      <c r="F208" s="5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spans="6:29" ht="15.75" customHeight="1">
      <c r="F209" s="5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spans="6:29" ht="15.75" customHeight="1">
      <c r="F210" s="5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spans="6:29" ht="15.75" customHeight="1">
      <c r="F211" s="5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spans="6:29" ht="15.75" customHeight="1">
      <c r="F212" s="5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spans="6:29" ht="15.75" customHeight="1">
      <c r="F213" s="5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spans="6:29" ht="15.75" customHeight="1">
      <c r="F214" s="5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spans="6:29" ht="15.75" customHeight="1">
      <c r="F215" s="5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spans="6:29" ht="15.75" customHeight="1">
      <c r="F216" s="5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spans="6:29" ht="15.75" customHeight="1">
      <c r="F217" s="5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spans="6:29" ht="15.75" customHeight="1">
      <c r="F218" s="5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spans="6:29" ht="15.75" customHeight="1">
      <c r="F219" s="5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spans="6:29" ht="15.75" customHeight="1">
      <c r="F220" s="5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spans="6:29" ht="15.75" customHeight="1">
      <c r="F221" s="5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spans="6:29" ht="15.75" customHeight="1">
      <c r="F222" s="5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spans="6:29" ht="15.75" customHeight="1">
      <c r="F223" s="5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spans="6:29" ht="15.75" customHeight="1">
      <c r="F224" s="5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spans="6:29" ht="15.75" customHeight="1">
      <c r="F225" s="5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spans="6:29" ht="15.75" customHeight="1">
      <c r="F226" s="5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spans="6:29" ht="15.75" customHeight="1">
      <c r="F227" s="5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spans="6:29" ht="15.75" customHeight="1">
      <c r="F228" s="5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spans="6:29" ht="15.75" customHeight="1">
      <c r="F229" s="5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spans="6:29" ht="15.75" customHeight="1">
      <c r="F230" s="5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spans="6:29" ht="15.75" customHeight="1">
      <c r="F231" s="5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spans="6:29" ht="15.75" customHeight="1">
      <c r="F232" s="5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spans="6:29" ht="15.75" customHeight="1">
      <c r="F233" s="5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spans="6:29" ht="15.75" customHeight="1">
      <c r="F234" s="5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spans="6:29" ht="15.75" customHeight="1">
      <c r="F235" s="5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spans="6:29" ht="15.75" customHeight="1">
      <c r="F236" s="5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spans="6:29" ht="15.75" customHeight="1">
      <c r="F237" s="5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spans="6:29" ht="15.75" customHeight="1">
      <c r="F238" s="5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spans="6:29" ht="15.75" customHeight="1">
      <c r="F239" s="5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spans="6:29" ht="15.75" customHeight="1">
      <c r="F240" s="5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spans="6:29" ht="15.75" customHeight="1">
      <c r="F241" s="5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spans="6:29" ht="15.75" customHeight="1">
      <c r="F242" s="5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spans="6:29" ht="15.75" customHeight="1">
      <c r="F243" s="5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spans="6:29" ht="15.75" customHeight="1">
      <c r="F244" s="5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spans="6:29" ht="15.75" customHeight="1">
      <c r="F245" s="5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spans="6:29" ht="15.75" customHeight="1">
      <c r="F246" s="5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spans="6:29" ht="15.75" customHeight="1">
      <c r="F247" s="5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spans="6:29" ht="15.75" customHeight="1">
      <c r="F248" s="5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spans="6:29" ht="15.75" customHeight="1">
      <c r="F249" s="5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spans="6:29" ht="15.75" customHeight="1">
      <c r="F250" s="5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spans="6:29" ht="15.75" customHeight="1">
      <c r="F251" s="5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spans="6:29" ht="15.75" customHeight="1">
      <c r="F252" s="5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spans="6:29" ht="15.75" customHeight="1">
      <c r="F253" s="5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spans="6:29" ht="15.75" customHeight="1">
      <c r="F254" s="5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spans="6:29" ht="15.75" customHeight="1">
      <c r="F255" s="5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spans="6:29" ht="15.75" customHeight="1">
      <c r="F256" s="5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spans="6:29" ht="15.75" customHeight="1">
      <c r="F257" s="5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spans="6:29" ht="15.75" customHeight="1">
      <c r="F258" s="5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spans="6:29" ht="15.75" customHeight="1">
      <c r="F259" s="5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spans="6:29" ht="15.75" customHeight="1">
      <c r="F260" s="5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spans="6:29" ht="15.75" customHeight="1">
      <c r="F261" s="5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spans="6:29" ht="15.75" customHeight="1">
      <c r="F262" s="5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spans="6:29" ht="15.75" customHeight="1">
      <c r="F263" s="5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spans="6:29" ht="15.75" customHeight="1">
      <c r="F264" s="5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spans="6:29" ht="15.75" customHeight="1">
      <c r="F265" s="5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spans="6:29" ht="15.75" customHeight="1">
      <c r="F266" s="5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spans="6:29" ht="15.75" customHeight="1">
      <c r="F267" s="5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spans="6:29" ht="15.75" customHeight="1">
      <c r="F268" s="5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spans="6:29" ht="15.75" customHeight="1">
      <c r="F269" s="5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spans="6:29" ht="15.75" customHeight="1">
      <c r="F270" s="5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spans="6:29" ht="15.75" customHeight="1">
      <c r="F271" s="5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spans="6:29" ht="15.75" customHeight="1">
      <c r="F272" s="5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spans="6:29" ht="15.75" customHeight="1">
      <c r="F273" s="5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spans="6:29" ht="15.75" customHeight="1">
      <c r="F274" s="5"/>
    </row>
    <row r="275" spans="6:29" ht="15.75" customHeight="1">
      <c r="F275" s="5"/>
    </row>
    <row r="276" spans="6:29" ht="15.75" customHeight="1">
      <c r="F276" s="5"/>
    </row>
    <row r="277" spans="6:29" ht="15.75" customHeight="1">
      <c r="F277" s="5"/>
    </row>
    <row r="278" spans="6:29" ht="15.75" customHeight="1">
      <c r="F278" s="5"/>
    </row>
    <row r="279" spans="6:29" ht="15.75" customHeight="1">
      <c r="F279" s="5"/>
    </row>
    <row r="280" spans="6:29" ht="15.75" customHeight="1">
      <c r="F280" s="5"/>
    </row>
    <row r="281" spans="6:29" ht="15.75" customHeight="1">
      <c r="F281" s="5"/>
    </row>
    <row r="282" spans="6:29" ht="15.75" customHeight="1">
      <c r="F282" s="5"/>
    </row>
    <row r="283" spans="6:29" ht="15.75" customHeight="1">
      <c r="F283" s="5"/>
    </row>
    <row r="284" spans="6:29" ht="15.75" customHeight="1">
      <c r="F284" s="5"/>
    </row>
    <row r="285" spans="6:29" ht="15.75" customHeight="1">
      <c r="F285" s="5"/>
    </row>
    <row r="286" spans="6:29" ht="15.75" customHeight="1">
      <c r="F286" s="5"/>
    </row>
    <row r="287" spans="6:29" ht="15.75" customHeight="1">
      <c r="F287" s="5"/>
    </row>
    <row r="288" spans="6:29" ht="15.75" customHeight="1">
      <c r="F288" s="5"/>
    </row>
    <row r="289" spans="6:6" ht="15.75" customHeight="1">
      <c r="F289" s="5"/>
    </row>
    <row r="290" spans="6:6" ht="15.75" customHeight="1">
      <c r="F290" s="5"/>
    </row>
    <row r="291" spans="6:6" ht="15.75" customHeight="1">
      <c r="F291" s="5"/>
    </row>
    <row r="292" spans="6:6" ht="15.75" customHeight="1">
      <c r="F292" s="5"/>
    </row>
    <row r="293" spans="6:6" ht="15.75" customHeight="1">
      <c r="F293" s="5"/>
    </row>
    <row r="294" spans="6:6" ht="15.75" customHeight="1">
      <c r="F294" s="5"/>
    </row>
    <row r="295" spans="6:6" ht="15.75" customHeight="1">
      <c r="F295" s="5"/>
    </row>
    <row r="296" spans="6:6" ht="15.75" customHeight="1">
      <c r="F296" s="5"/>
    </row>
    <row r="297" spans="6:6" ht="15.75" customHeight="1">
      <c r="F297" s="5"/>
    </row>
    <row r="298" spans="6:6" ht="15.75" customHeight="1">
      <c r="F298" s="5"/>
    </row>
    <row r="299" spans="6:6" ht="15.75" customHeight="1">
      <c r="F299" s="5"/>
    </row>
    <row r="300" spans="6:6" ht="15.75" customHeight="1"/>
    <row r="301" spans="6:6" ht="15.75" customHeight="1"/>
    <row r="302" spans="6:6" ht="15.75" customHeight="1"/>
    <row r="303" spans="6:6" ht="15.75" customHeight="1"/>
    <row r="304" spans="6: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AD19:AD87" xr:uid="{00000000-0009-0000-0000-000001000000}"/>
  <mergeCells count="33">
    <mergeCell ref="E92:H92"/>
    <mergeCell ref="J92:P92"/>
    <mergeCell ref="E93:H93"/>
    <mergeCell ref="J93:P93"/>
    <mergeCell ref="Y94:AC94"/>
    <mergeCell ref="E98:H98"/>
    <mergeCell ref="J98:P98"/>
    <mergeCell ref="V98:X98"/>
    <mergeCell ref="Y98:AC98"/>
    <mergeCell ref="E99:H99"/>
    <mergeCell ref="J99:P99"/>
    <mergeCell ref="V99:X99"/>
    <mergeCell ref="Y99:AC99"/>
    <mergeCell ref="K16:L16"/>
    <mergeCell ref="K18:L18"/>
    <mergeCell ref="Y95:AC95"/>
    <mergeCell ref="Y96:AC96"/>
    <mergeCell ref="Y97:AC97"/>
    <mergeCell ref="J95:N95"/>
    <mergeCell ref="D15:E18"/>
    <mergeCell ref="F15:F18"/>
    <mergeCell ref="G15:G18"/>
    <mergeCell ref="I16:I18"/>
    <mergeCell ref="J16:J18"/>
    <mergeCell ref="H15:H18"/>
    <mergeCell ref="N16:O16"/>
    <mergeCell ref="Q16:R16"/>
    <mergeCell ref="V16:V17"/>
    <mergeCell ref="W16:X16"/>
    <mergeCell ref="AC16:AC18"/>
    <mergeCell ref="W17:X17"/>
    <mergeCell ref="N18:O18"/>
    <mergeCell ref="Q18:R18"/>
  </mergeCells>
  <pageMargins left="0.4" right="0.6" top="0.4" bottom="0.75" header="0" footer="0"/>
  <pageSetup paperSize="8" orientation="landscape"/>
  <headerFooter>
    <oddHeader>&amp;L&amp;D &amp;T</oddHeader>
  </headerFooter>
  <rowBreaks count="2" manualBreakCount="2">
    <brk man="1"/>
    <brk id="99" man="1"/>
  </rowBreaks>
  <colBreaks count="1" manualBreakCount="1">
    <brk id="29" man="1"/>
  </colBreak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7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/>
  <cols>
    <col min="1" max="1" width="35.28515625" customWidth="1"/>
    <col min="2" max="2" width="18.5703125" customWidth="1"/>
    <col min="3" max="6" width="8.7109375" customWidth="1"/>
  </cols>
  <sheetData>
    <row r="1" spans="1:2" ht="18.75">
      <c r="A1" s="201" t="s">
        <v>372</v>
      </c>
      <c r="B1" s="202" t="str">
        <f>'MASTER DATA'!A4</f>
        <v>02-16-28-2026</v>
      </c>
    </row>
    <row r="2" spans="1:2">
      <c r="B2" s="7"/>
    </row>
    <row r="3" spans="1:2">
      <c r="A3" s="44" t="s">
        <v>373</v>
      </c>
      <c r="B3" s="203" t="s">
        <v>374</v>
      </c>
    </row>
    <row r="4" spans="1:2">
      <c r="A4" s="49" t="s">
        <v>133</v>
      </c>
      <c r="B4" s="55">
        <f>SUMIF('GENERAL PAYROLL'!$E$20:$E$86,TXTLIST!$A4,'GENERAL PAYROLL'!$AC$20:$AC$86)</f>
        <v>13500</v>
      </c>
    </row>
    <row r="5" spans="1:2">
      <c r="A5" s="49" t="s">
        <v>87</v>
      </c>
      <c r="B5" s="55">
        <f>SUMIF('GENERAL PAYROLL'!$E$20:$E$86,TXTLIST!$A5,'GENERAL PAYROLL'!$AC$20:$AC$86)</f>
        <v>13500</v>
      </c>
    </row>
    <row r="6" spans="1:2">
      <c r="A6" s="49" t="s">
        <v>91</v>
      </c>
      <c r="B6" s="55">
        <f>SUMIF('GENERAL PAYROLL'!$E$20:$E$86,TXTLIST!$A6,'GENERAL PAYROLL'!$AC$20:$AC$86)</f>
        <v>11588</v>
      </c>
    </row>
    <row r="7" spans="1:2">
      <c r="A7" s="49" t="s">
        <v>96</v>
      </c>
      <c r="B7" s="55">
        <f>SUMIF('GENERAL PAYROLL'!$E$20:$E$86,TXTLIST!$A7,'GENERAL PAYROLL'!$AC$20:$AC$86)</f>
        <v>18309.5</v>
      </c>
    </row>
    <row r="8" spans="1:2">
      <c r="A8" s="49" t="s">
        <v>100</v>
      </c>
      <c r="B8" s="55">
        <f>SUMIF('GENERAL PAYROLL'!$E$20:$E$86,TXTLIST!$A8,'GENERAL PAYROLL'!$AC$20:$AC$86)</f>
        <v>9423.27</v>
      </c>
    </row>
    <row r="9" spans="1:2">
      <c r="A9" s="49" t="s">
        <v>104</v>
      </c>
      <c r="B9" s="55">
        <f>SUMIF('GENERAL PAYROLL'!$E$20:$E$86,TXTLIST!$A9,'GENERAL PAYROLL'!$AC$20:$AC$86)</f>
        <v>13436.08</v>
      </c>
    </row>
    <row r="10" spans="1:2">
      <c r="A10" s="49" t="s">
        <v>78</v>
      </c>
      <c r="B10" s="55">
        <f>SUMIF('GENERAL PAYROLL'!$E$20:$E$86,TXTLIST!$A10,'GENERAL PAYROLL'!$AC$20:$AC$86)</f>
        <v>9872</v>
      </c>
    </row>
    <row r="11" spans="1:2">
      <c r="A11" s="49" t="s">
        <v>111</v>
      </c>
      <c r="B11" s="55">
        <f>SUMIF('GENERAL PAYROLL'!$E$20:$E$86,TXTLIST!$A11,'GENERAL PAYROLL'!$AC$20:$AC$86)</f>
        <v>8776.5</v>
      </c>
    </row>
    <row r="12" spans="1:2">
      <c r="A12" s="49" t="s">
        <v>117</v>
      </c>
      <c r="B12" s="55">
        <f>SUMIF('GENERAL PAYROLL'!$E$20:$E$86,TXTLIST!$A12,'GENERAL PAYROLL'!$AC$20:$AC$86)</f>
        <v>11500</v>
      </c>
    </row>
    <row r="13" spans="1:2">
      <c r="A13" s="49" t="s">
        <v>121</v>
      </c>
      <c r="B13" s="55">
        <f>SUMIF('GENERAL PAYROLL'!$E$20:$E$86,TXTLIST!$A13,'GENERAL PAYROLL'!$AC$20:$AC$86)</f>
        <v>13500</v>
      </c>
    </row>
    <row r="14" spans="1:2">
      <c r="A14" s="49" t="s">
        <v>124</v>
      </c>
      <c r="B14" s="55">
        <f>SUMIF('GENERAL PAYROLL'!$E$20:$E$86,TXTLIST!$A14,'GENERAL PAYROLL'!$AC$20:$AC$86)</f>
        <v>8776.5</v>
      </c>
    </row>
    <row r="15" spans="1:2">
      <c r="A15" s="49" t="s">
        <v>127</v>
      </c>
      <c r="B15" s="55">
        <f>SUMIF('GENERAL PAYROLL'!$E$20:$E$86,TXTLIST!$A15,'GENERAL PAYROLL'!$AC$20:$AC$86)</f>
        <v>9365.31</v>
      </c>
    </row>
    <row r="16" spans="1:2">
      <c r="A16" s="49" t="s">
        <v>135</v>
      </c>
      <c r="B16" s="55">
        <f>SUMIF('GENERAL PAYROLL'!$E$20:$E$86,TXTLIST!$A16,'GENERAL PAYROLL'!$AC$20:$AC$86)</f>
        <v>13310.93</v>
      </c>
    </row>
    <row r="17" spans="1:2">
      <c r="A17" s="49" t="s">
        <v>131</v>
      </c>
      <c r="B17" s="55">
        <f>SUMIF('GENERAL PAYROLL'!$E$20:$E$86,TXTLIST!$A17,'GENERAL PAYROLL'!$AC$20:$AC$86)</f>
        <v>9872</v>
      </c>
    </row>
    <row r="18" spans="1:2">
      <c r="A18" s="49" t="s">
        <v>137</v>
      </c>
      <c r="B18" s="55">
        <f>SUMIF('GENERAL PAYROLL'!$E$20:$E$86,TXTLIST!$A18,'GENERAL PAYROLL'!$AC$20:$AC$86)</f>
        <v>0</v>
      </c>
    </row>
    <row r="19" spans="1:2">
      <c r="A19" s="49" t="s">
        <v>141</v>
      </c>
      <c r="B19" s="55">
        <f>SUMIF('GENERAL PAYROLL'!$E$20:$E$86,TXTLIST!$A19,'GENERAL PAYROLL'!$AC$20:$AC$86)</f>
        <v>7410.61</v>
      </c>
    </row>
    <row r="20" spans="1:2">
      <c r="A20" s="49" t="s">
        <v>145</v>
      </c>
      <c r="B20" s="55">
        <f>SUMIF('GENERAL PAYROLL'!$E$20:$E$86,TXTLIST!$A20,'GENERAL PAYROLL'!$AC$20:$AC$86)</f>
        <v>13500</v>
      </c>
    </row>
    <row r="21" spans="1:2">
      <c r="A21" s="49" t="s">
        <v>149</v>
      </c>
      <c r="B21" s="55">
        <f>SUMIF('GENERAL PAYROLL'!$E$20:$E$86,TXTLIST!$A21,'GENERAL PAYROLL'!$AC$20:$AC$86)</f>
        <v>8974.5499999999993</v>
      </c>
    </row>
    <row r="22" spans="1:2">
      <c r="A22" s="49" t="s">
        <v>152</v>
      </c>
      <c r="B22" s="55">
        <f>SUMIF('GENERAL PAYROLL'!$E$20:$E$86,TXTLIST!$A22,'GENERAL PAYROLL'!$AC$20:$AC$86)</f>
        <v>9382.14</v>
      </c>
    </row>
    <row r="23" spans="1:2">
      <c r="A23" s="49" t="s">
        <v>155</v>
      </c>
      <c r="B23" s="55">
        <f>SUMIF('GENERAL PAYROLL'!$E$20:$E$86,TXTLIST!$A23,'GENERAL PAYROLL'!$AC$20:$AC$86)</f>
        <v>9310</v>
      </c>
    </row>
    <row r="24" spans="1:2">
      <c r="A24" s="49" t="s">
        <v>159</v>
      </c>
      <c r="B24" s="55">
        <f>SUMIF('GENERAL PAYROLL'!$E$20:$E$86,TXTLIST!$A24,'GENERAL PAYROLL'!$AC$20:$AC$86)</f>
        <v>8776.5</v>
      </c>
    </row>
    <row r="25" spans="1:2" ht="15.75" customHeight="1">
      <c r="A25" s="49" t="s">
        <v>163</v>
      </c>
      <c r="B25" s="55">
        <f>SUMIF('GENERAL PAYROLL'!$E$20:$E$86,TXTLIST!$A25,'GENERAL PAYROLL'!$AC$20:$AC$86)</f>
        <v>9872</v>
      </c>
    </row>
    <row r="26" spans="1:2" ht="16.5" customHeight="1">
      <c r="A26" s="49" t="s">
        <v>166</v>
      </c>
      <c r="B26" s="55">
        <f>SUMIF('GENERAL PAYROLL'!$E$20:$E$86,TXTLIST!$A26,'GENERAL PAYROLL'!$AC$20:$AC$86)</f>
        <v>9244.76</v>
      </c>
    </row>
    <row r="27" spans="1:2" ht="15.75" customHeight="1">
      <c r="A27" s="49" t="s">
        <v>143</v>
      </c>
      <c r="B27" s="55">
        <f>SUMIF('GENERAL PAYROLL'!$E$20:$E$86,TXTLIST!$A27,'GENERAL PAYROLL'!$AC$20:$AC$86)</f>
        <v>21515</v>
      </c>
    </row>
    <row r="28" spans="1:2" ht="15.75" customHeight="1">
      <c r="A28" s="49" t="s">
        <v>171</v>
      </c>
      <c r="B28" s="55">
        <f>SUMIF('GENERAL PAYROLL'!$E$20:$E$86,TXTLIST!$A28,'GENERAL PAYROLL'!$AC$20:$AC$86)</f>
        <v>18302.560000000001</v>
      </c>
    </row>
    <row r="29" spans="1:2" ht="15.75" customHeight="1">
      <c r="A29" s="49" t="s">
        <v>175</v>
      </c>
      <c r="B29" s="55">
        <f>SUMIF('GENERAL PAYROLL'!$E$20:$E$86,TXTLIST!$A29,'GENERAL PAYROLL'!$AC$20:$AC$86)</f>
        <v>0</v>
      </c>
    </row>
    <row r="30" spans="1:2" ht="15.75" customHeight="1">
      <c r="A30" s="49" t="s">
        <v>98</v>
      </c>
      <c r="B30" s="55">
        <f>SUMIF('GENERAL PAYROLL'!$E$20:$E$86,TXTLIST!$A30,'GENERAL PAYROLL'!$AC$20:$AC$86)</f>
        <v>7476.52</v>
      </c>
    </row>
    <row r="31" spans="1:2" ht="15.75" customHeight="1">
      <c r="A31" s="49" t="s">
        <v>161</v>
      </c>
      <c r="B31" s="55">
        <f>SUMIF('GENERAL PAYROLL'!$E$20:$E$86,TXTLIST!$A31,'GENERAL PAYROLL'!$AC$20:$AC$86)</f>
        <v>0</v>
      </c>
    </row>
    <row r="32" spans="1:2" ht="15.75" customHeight="1">
      <c r="A32" s="49" t="s">
        <v>181</v>
      </c>
      <c r="B32" s="55">
        <f>SUMIF('GENERAL PAYROLL'!$E$20:$E$86,TXTLIST!$A32,'GENERAL PAYROLL'!$AC$20:$AC$86)</f>
        <v>9314.83</v>
      </c>
    </row>
    <row r="33" spans="1:2" ht="15.75" customHeight="1">
      <c r="A33" s="49" t="s">
        <v>184</v>
      </c>
      <c r="B33" s="55">
        <f>SUMIF('GENERAL PAYROLL'!$E$20:$E$86,TXTLIST!$A33,'GENERAL PAYROLL'!$AC$20:$AC$86)</f>
        <v>18309.5</v>
      </c>
    </row>
    <row r="34" spans="1:2" ht="15.75" customHeight="1">
      <c r="A34" s="49" t="s">
        <v>187</v>
      </c>
      <c r="B34" s="55">
        <f>SUMIF('GENERAL PAYROLL'!$E$20:$E$86,TXTLIST!$A34,'GENERAL PAYROLL'!$AC$20:$AC$86)</f>
        <v>9748.6</v>
      </c>
    </row>
    <row r="35" spans="1:2" ht="15.75" customHeight="1">
      <c r="A35" s="49" t="s">
        <v>102</v>
      </c>
      <c r="B35" s="55">
        <f>SUMIF('GENERAL PAYROLL'!$E$20:$E$86,TXTLIST!$A35,'GENERAL PAYROLL'!$AC$20:$AC$86)</f>
        <v>0</v>
      </c>
    </row>
    <row r="36" spans="1:2" ht="15.75" customHeight="1">
      <c r="A36" s="49" t="s">
        <v>191</v>
      </c>
      <c r="B36" s="55">
        <f>SUMIF('GENERAL PAYROLL'!$E$20:$E$86,TXTLIST!$A36,'GENERAL PAYROLL'!$AC$20:$AC$86)</f>
        <v>6770.91</v>
      </c>
    </row>
    <row r="37" spans="1:2" ht="15.75" customHeight="1">
      <c r="A37" s="49" t="s">
        <v>195</v>
      </c>
      <c r="B37" s="55">
        <f>SUMIF('GENERAL PAYROLL'!$E$20:$E$86,TXTLIST!$A37,'GENERAL PAYROLL'!$AC$20:$AC$86)</f>
        <v>9269.4500000000007</v>
      </c>
    </row>
    <row r="38" spans="1:2" ht="15.75" customHeight="1">
      <c r="A38" s="49" t="s">
        <v>197</v>
      </c>
      <c r="B38" s="55">
        <f>SUMIF('GENERAL PAYROLL'!$E$20:$E$86,TXTLIST!$A38,'GENERAL PAYROLL'!$AC$20:$AC$86)</f>
        <v>9746.73</v>
      </c>
    </row>
    <row r="39" spans="1:2" ht="15.75" customHeight="1">
      <c r="A39" s="49" t="s">
        <v>113</v>
      </c>
      <c r="B39" s="55">
        <f>SUMIF('GENERAL PAYROLL'!$E$20:$E$86,TXTLIST!$A39,'GENERAL PAYROLL'!$AC$20:$AC$86)</f>
        <v>12272.73</v>
      </c>
    </row>
    <row r="40" spans="1:2" ht="15.75" customHeight="1">
      <c r="A40" s="48" t="s">
        <v>129</v>
      </c>
      <c r="B40" s="55">
        <f>SUMIF('GENERAL PAYROLL'!$E$20:$E$86,TXTLIST!$A40,'GENERAL PAYROLL'!$AC$20:$AC$86)</f>
        <v>13476.99</v>
      </c>
    </row>
    <row r="41" spans="1:2" ht="15.75" customHeight="1">
      <c r="A41" s="49" t="s">
        <v>203</v>
      </c>
      <c r="B41" s="55">
        <f>SUMIF('GENERAL PAYROLL'!$E$20:$E$86,TXTLIST!$A41,'GENERAL PAYROLL'!$AC$20:$AC$86)</f>
        <v>9862.65</v>
      </c>
    </row>
    <row r="42" spans="1:2" ht="15.75" customHeight="1">
      <c r="A42" s="49" t="s">
        <v>207</v>
      </c>
      <c r="B42" s="55">
        <f>SUMIF('GENERAL PAYROLL'!$E$20:$E$86,TXTLIST!$A42,'GENERAL PAYROLL'!$AC$20:$AC$86)</f>
        <v>9872</v>
      </c>
    </row>
    <row r="43" spans="1:2" ht="15.75" customHeight="1">
      <c r="A43" s="49" t="s">
        <v>170</v>
      </c>
      <c r="B43" s="55">
        <f>SUMIF('GENERAL PAYROLL'!$E$20:$E$86,TXTLIST!$A43,'GENERAL PAYROLL'!$AC$20:$AC$86)</f>
        <v>0</v>
      </c>
    </row>
    <row r="44" spans="1:2" ht="15.75" customHeight="1">
      <c r="A44" s="49" t="s">
        <v>168</v>
      </c>
      <c r="B44" s="55">
        <f>SUMIF('GENERAL PAYROLL'!$E$20:$E$86,TXTLIST!$A44,'GENERAL PAYROLL'!$AC$20:$AC$86)</f>
        <v>0</v>
      </c>
    </row>
    <row r="45" spans="1:2" ht="15.75" customHeight="1">
      <c r="A45" s="49" t="s">
        <v>119</v>
      </c>
      <c r="B45" s="55">
        <f>SUMIF('GENERAL PAYROLL'!$E$20:$E$86,TXTLIST!$A45,'GENERAL PAYROLL'!$AC$20:$AC$86)</f>
        <v>9310</v>
      </c>
    </row>
    <row r="46" spans="1:2" ht="15.75" customHeight="1">
      <c r="A46" s="49" t="s">
        <v>217</v>
      </c>
      <c r="B46" s="55">
        <f>SUMIF('GENERAL PAYROLL'!$E$20:$E$86,TXTLIST!$A46,'GENERAL PAYROLL'!$AC$20:$AC$86)</f>
        <v>13402.84</v>
      </c>
    </row>
    <row r="47" spans="1:2" ht="15.75" customHeight="1">
      <c r="A47" s="49" t="s">
        <v>199</v>
      </c>
      <c r="B47" s="55">
        <f>SUMIF('GENERAL PAYROLL'!$E$20:$E$86,TXTLIST!$A47,'GENERAL PAYROLL'!$AC$20:$AC$86)</f>
        <v>9310</v>
      </c>
    </row>
    <row r="48" spans="1:2" ht="15.75" customHeight="1">
      <c r="A48" s="49" t="s">
        <v>165</v>
      </c>
      <c r="B48" s="55">
        <f>SUMIF('GENERAL PAYROLL'!$E$20:$E$86,TXTLIST!$A48,'GENERAL PAYROLL'!$AC$20:$AC$86)</f>
        <v>9812.17</v>
      </c>
    </row>
    <row r="49" spans="1:2" ht="15.75" customHeight="1">
      <c r="A49" s="49" t="s">
        <v>186</v>
      </c>
      <c r="B49" s="55">
        <f>SUMIF('GENERAL PAYROLL'!$E$20:$E$86,TXTLIST!$A49,'GENERAL PAYROLL'!$AC$20:$AC$86)</f>
        <v>9872</v>
      </c>
    </row>
    <row r="50" spans="1:2" ht="15.75" customHeight="1">
      <c r="A50" s="49" t="s">
        <v>209</v>
      </c>
      <c r="B50" s="55">
        <f>SUMIF('GENERAL PAYROLL'!$E$20:$E$86,TXTLIST!$A50,'GENERAL PAYROLL'!$AC$20:$AC$86)</f>
        <v>9310</v>
      </c>
    </row>
    <row r="51" spans="1:2" ht="15.75" customHeight="1">
      <c r="A51" s="49" t="s">
        <v>106</v>
      </c>
      <c r="B51" s="55">
        <f>SUMIF('GENERAL PAYROLL'!$E$20:$E$86,TXTLIST!$A51,'GENERAL PAYROLL'!$AC$20:$AC$86)</f>
        <v>13489.77</v>
      </c>
    </row>
    <row r="52" spans="1:2" ht="15.75" customHeight="1">
      <c r="A52" s="49" t="s">
        <v>230</v>
      </c>
      <c r="B52" s="55">
        <f>SUMIF('GENERAL PAYROLL'!$E$20:$E$86,TXTLIST!$A52,'GENERAL PAYROLL'!$AC$20:$AC$86)</f>
        <v>18309.5</v>
      </c>
    </row>
    <row r="53" spans="1:2" ht="15.75" customHeight="1">
      <c r="A53" s="49" t="s">
        <v>173</v>
      </c>
      <c r="B53" s="55">
        <f>SUMIF('GENERAL PAYROLL'!$E$20:$E$86,TXTLIST!$A53,'GENERAL PAYROLL'!$AC$20:$AC$86)</f>
        <v>0</v>
      </c>
    </row>
    <row r="54" spans="1:2" ht="15.75" customHeight="1">
      <c r="A54" s="49" t="s">
        <v>93</v>
      </c>
      <c r="B54" s="55">
        <f>SUMIF('GENERAL PAYROLL'!$E$20:$E$86,TXTLIST!$A54,'GENERAL PAYROLL'!$AC$20:$AC$86)</f>
        <v>0</v>
      </c>
    </row>
    <row r="55" spans="1:2" ht="15.75" customHeight="1">
      <c r="A55" s="49" t="s">
        <v>85</v>
      </c>
      <c r="B55" s="55">
        <f>SUMIF('GENERAL PAYROLL'!$E$20:$E$86,TXTLIST!$A55,'GENERAL PAYROLL'!$AC$20:$AC$86)</f>
        <v>13500</v>
      </c>
    </row>
    <row r="56" spans="1:2" ht="15.75" customHeight="1">
      <c r="A56" s="49" t="s">
        <v>219</v>
      </c>
      <c r="B56" s="55">
        <f>SUMIF('GENERAL PAYROLL'!$E$20:$E$86,TXTLIST!$A56,'GENERAL PAYROLL'!$AC$20:$AC$86)</f>
        <v>13432.43</v>
      </c>
    </row>
    <row r="57" spans="1:2" ht="15.75" customHeight="1">
      <c r="A57" s="49" t="s">
        <v>212</v>
      </c>
      <c r="B57" s="55">
        <f>SUMIF('GENERAL PAYROLL'!$E$20:$E$86,TXTLIST!$A57,'GENERAL PAYROLL'!$AC$20:$AC$86)</f>
        <v>14929.62</v>
      </c>
    </row>
    <row r="58" spans="1:2" ht="15.75" customHeight="1">
      <c r="A58" s="49" t="s">
        <v>123</v>
      </c>
      <c r="B58" s="55">
        <f>SUMIF('GENERAL PAYROLL'!$E$20:$E$86,TXTLIST!$A58,'GENERAL PAYROLL'!$AC$20:$AC$86)</f>
        <v>9872</v>
      </c>
    </row>
    <row r="59" spans="1:2" ht="15.75" customHeight="1">
      <c r="A59" s="49" t="s">
        <v>215</v>
      </c>
      <c r="B59" s="55">
        <f>SUMIF('GENERAL PAYROLL'!$E$20:$E$86,TXTLIST!$A59,'GENERAL PAYROLL'!$AC$20:$AC$86)</f>
        <v>0</v>
      </c>
    </row>
    <row r="60" spans="1:2" ht="15.75" customHeight="1">
      <c r="A60" s="49" t="s">
        <v>89</v>
      </c>
      <c r="B60" s="55">
        <f>SUMIF('GENERAL PAYROLL'!$E$20:$E$86,TXTLIST!$A60,'GENERAL PAYROLL'!$AC$20:$AC$86)</f>
        <v>18309.5</v>
      </c>
    </row>
    <row r="61" spans="1:2" ht="15.75" customHeight="1">
      <c r="A61" s="49" t="s">
        <v>147</v>
      </c>
      <c r="B61" s="55">
        <f>SUMIF('GENERAL PAYROLL'!$E$20:$E$86,TXTLIST!$A61,'GENERAL PAYROLL'!$AC$20:$AC$86)</f>
        <v>9872</v>
      </c>
    </row>
    <row r="62" spans="1:2" ht="15.75" customHeight="1">
      <c r="A62" s="49" t="s">
        <v>157</v>
      </c>
      <c r="B62" s="55">
        <f>SUMIF('GENERAL PAYROLL'!$E$20:$E$86,TXTLIST!$A62,'GENERAL PAYROLL'!$AC$20:$AC$86)</f>
        <v>9872</v>
      </c>
    </row>
    <row r="63" spans="1:2" ht="15.75" customHeight="1">
      <c r="A63" s="49" t="s">
        <v>151</v>
      </c>
      <c r="B63" s="55">
        <f>SUMIF('GENERAL PAYROLL'!$E$20:$E$86,TXTLIST!$A63,'GENERAL PAYROLL'!$AC$20:$AC$86)</f>
        <v>0</v>
      </c>
    </row>
    <row r="64" spans="1:2" ht="15.75" customHeight="1">
      <c r="A64" s="49" t="s">
        <v>226</v>
      </c>
      <c r="B64" s="55">
        <f>SUMIF('GENERAL PAYROLL'!$E$20:$E$86,TXTLIST!$A64,'GENERAL PAYROLL'!$AC$20:$AC$86)</f>
        <v>9308.24</v>
      </c>
    </row>
    <row r="65" spans="1:2" ht="15.75" customHeight="1">
      <c r="A65" s="49" t="s">
        <v>201</v>
      </c>
      <c r="B65" s="55">
        <f>SUMIF('GENERAL PAYROLL'!$E$20:$E$86,TXTLIST!$A65,'GENERAL PAYROLL'!$AC$20:$AC$86)</f>
        <v>9310</v>
      </c>
    </row>
    <row r="66" spans="1:2" ht="15.75" customHeight="1">
      <c r="A66" s="49" t="s">
        <v>205</v>
      </c>
      <c r="B66" s="55">
        <f>SUMIF('GENERAL PAYROLL'!$E$20:$E$86,TXTLIST!$A66,'GENERAL PAYROLL'!$AC$20:$AC$86)</f>
        <v>9310</v>
      </c>
    </row>
    <row r="67" spans="1:2" ht="15.75" customHeight="1">
      <c r="A67" s="49" t="s">
        <v>109</v>
      </c>
      <c r="B67" s="55">
        <f>SUMIF('GENERAL PAYROLL'!$E$20:$E$86,TXTLIST!$A67,'GENERAL PAYROLL'!$AC$20:$AC$86)</f>
        <v>13500</v>
      </c>
    </row>
    <row r="68" spans="1:2" ht="15.75" customHeight="1">
      <c r="A68" s="49" t="s">
        <v>232</v>
      </c>
      <c r="B68" s="55">
        <f>SUMIF('GENERAL PAYROLL'!$E$20:$E$86,TXTLIST!$A68,'GENERAL PAYROLL'!$AC$20:$AC$86)</f>
        <v>9855.17</v>
      </c>
    </row>
    <row r="69" spans="1:2" ht="15.75" customHeight="1">
      <c r="A69" s="49" t="s">
        <v>178</v>
      </c>
      <c r="B69" s="55">
        <f>SUMIF('GENERAL PAYROLL'!$E$20:$E$86,TXTLIST!$A69,'GENERAL PAYROLL'!$AC$20:$AC$86)</f>
        <v>9872</v>
      </c>
    </row>
    <row r="70" spans="1:2" ht="15.75" customHeight="1">
      <c r="A70" s="49"/>
      <c r="B70" s="55"/>
    </row>
    <row r="71" spans="1:2" ht="15.75" customHeight="1">
      <c r="A71" s="181" t="s">
        <v>375</v>
      </c>
      <c r="B71" s="188">
        <f>SUM(B4:B70)</f>
        <v>640898.36</v>
      </c>
    </row>
    <row r="72" spans="1:2" ht="15.75" customHeight="1">
      <c r="B72" s="7"/>
    </row>
    <row r="73" spans="1:2" ht="15.75" customHeight="1">
      <c r="B73" s="7"/>
    </row>
    <row r="74" spans="1:2" ht="15.75" customHeight="1">
      <c r="B74" s="7"/>
    </row>
    <row r="75" spans="1:2" ht="15.75" customHeight="1">
      <c r="B75" s="7"/>
    </row>
    <row r="76" spans="1:2" ht="15.75" customHeight="1">
      <c r="B76" s="7"/>
    </row>
    <row r="77" spans="1:2" ht="15.75" customHeight="1">
      <c r="B77" s="7"/>
    </row>
    <row r="78" spans="1:2" ht="15.75" customHeight="1">
      <c r="B78" s="7"/>
    </row>
    <row r="79" spans="1:2" ht="15.75" customHeight="1">
      <c r="B79" s="7"/>
    </row>
    <row r="80" spans="1:2" ht="15.75" customHeight="1">
      <c r="B80" s="7"/>
    </row>
    <row r="81" spans="2:2" ht="15.75" customHeight="1">
      <c r="B81" s="7"/>
    </row>
    <row r="82" spans="2:2" ht="15.75" customHeight="1">
      <c r="B82" s="7"/>
    </row>
    <row r="83" spans="2:2" ht="15.75" customHeight="1">
      <c r="B83" s="7"/>
    </row>
    <row r="84" spans="2:2" ht="15.75" customHeight="1">
      <c r="B84" s="7"/>
    </row>
    <row r="85" spans="2:2" ht="15.75" customHeight="1">
      <c r="B85" s="7"/>
    </row>
    <row r="86" spans="2:2" ht="15.75" customHeight="1">
      <c r="B86" s="7"/>
    </row>
    <row r="87" spans="2:2" ht="15.75" customHeight="1">
      <c r="B87" s="7"/>
    </row>
    <row r="88" spans="2:2" ht="15.75" customHeight="1">
      <c r="B88" s="7"/>
    </row>
    <row r="89" spans="2:2" ht="15.75" customHeight="1">
      <c r="B89" s="7"/>
    </row>
    <row r="90" spans="2:2" ht="15.75" customHeight="1">
      <c r="B90" s="7"/>
    </row>
    <row r="91" spans="2:2" ht="15.75" customHeight="1">
      <c r="B91" s="7"/>
    </row>
    <row r="92" spans="2:2" ht="15.75" customHeight="1">
      <c r="B92" s="7"/>
    </row>
    <row r="93" spans="2:2" ht="15.75" customHeight="1">
      <c r="B93" s="7"/>
    </row>
    <row r="94" spans="2:2" ht="15.75" customHeight="1">
      <c r="B94" s="7"/>
    </row>
    <row r="95" spans="2:2" ht="15.75" customHeight="1">
      <c r="B95" s="7"/>
    </row>
    <row r="96" spans="2:2" ht="15.75" customHeight="1">
      <c r="B96" s="7"/>
    </row>
    <row r="97" spans="2:2" ht="15.75" customHeight="1">
      <c r="B97" s="7"/>
    </row>
    <row r="98" spans="2:2" ht="15.75" customHeight="1">
      <c r="B98" s="7"/>
    </row>
    <row r="99" spans="2:2" ht="15.75" customHeight="1">
      <c r="B99" s="7"/>
    </row>
    <row r="100" spans="2:2" ht="15.75" customHeight="1">
      <c r="B100" s="7"/>
    </row>
    <row r="101" spans="2:2" ht="15.75" customHeight="1">
      <c r="B101" s="7"/>
    </row>
    <row r="102" spans="2:2" ht="15.75" customHeight="1">
      <c r="B102" s="7"/>
    </row>
    <row r="103" spans="2:2" ht="15.75" customHeight="1">
      <c r="B103" s="7"/>
    </row>
    <row r="104" spans="2:2" ht="15.75" customHeight="1">
      <c r="B104" s="7"/>
    </row>
    <row r="105" spans="2:2" ht="15.75" customHeight="1">
      <c r="B105" s="7"/>
    </row>
    <row r="106" spans="2:2" ht="15.75" customHeight="1">
      <c r="B106" s="7"/>
    </row>
    <row r="107" spans="2:2" ht="15.75" customHeight="1">
      <c r="B107" s="7"/>
    </row>
    <row r="108" spans="2:2" ht="15.75" customHeight="1">
      <c r="B108" s="7"/>
    </row>
    <row r="109" spans="2:2" ht="15.75" customHeight="1">
      <c r="B109" s="7"/>
    </row>
    <row r="110" spans="2:2" ht="15.75" customHeight="1">
      <c r="B110" s="7"/>
    </row>
    <row r="111" spans="2:2" ht="15.75" customHeight="1">
      <c r="B111" s="7"/>
    </row>
    <row r="112" spans="2:2" ht="15.75" customHeight="1">
      <c r="B112" s="7"/>
    </row>
    <row r="113" spans="2:2" ht="15.75" customHeight="1">
      <c r="B113" s="7"/>
    </row>
    <row r="114" spans="2:2" ht="15.75" customHeight="1">
      <c r="B114" s="7"/>
    </row>
    <row r="115" spans="2:2" ht="15.75" customHeight="1">
      <c r="B115" s="7"/>
    </row>
    <row r="116" spans="2:2" ht="15.75" customHeight="1">
      <c r="B116" s="7"/>
    </row>
    <row r="117" spans="2:2" ht="15.75" customHeight="1">
      <c r="B117" s="7"/>
    </row>
    <row r="118" spans="2:2" ht="15.75" customHeight="1">
      <c r="B118" s="7"/>
    </row>
    <row r="119" spans="2:2" ht="15.75" customHeight="1">
      <c r="B119" s="7"/>
    </row>
    <row r="120" spans="2:2" ht="15.75" customHeight="1">
      <c r="B120" s="7"/>
    </row>
    <row r="121" spans="2:2" ht="15.75" customHeight="1">
      <c r="B121" s="7"/>
    </row>
    <row r="122" spans="2:2" ht="15.75" customHeight="1">
      <c r="B122" s="7"/>
    </row>
    <row r="123" spans="2:2" ht="15.75" customHeight="1">
      <c r="B123" s="7"/>
    </row>
    <row r="124" spans="2:2" ht="15.75" customHeight="1">
      <c r="B124" s="7"/>
    </row>
    <row r="125" spans="2:2" ht="15.75" customHeight="1">
      <c r="B125" s="7"/>
    </row>
    <row r="126" spans="2:2" ht="15.75" customHeight="1">
      <c r="B126" s="7"/>
    </row>
    <row r="127" spans="2:2" ht="15.75" customHeight="1">
      <c r="B127" s="7"/>
    </row>
    <row r="128" spans="2:2" ht="15.75" customHeight="1">
      <c r="B128" s="7"/>
    </row>
    <row r="129" spans="2:2" ht="15.75" customHeight="1">
      <c r="B129" s="7"/>
    </row>
    <row r="130" spans="2:2" ht="15.75" customHeight="1">
      <c r="B130" s="7"/>
    </row>
    <row r="131" spans="2:2" ht="15.75" customHeight="1">
      <c r="B131" s="7"/>
    </row>
    <row r="132" spans="2:2" ht="15.75" customHeight="1">
      <c r="B132" s="7"/>
    </row>
    <row r="133" spans="2:2" ht="15.75" customHeight="1">
      <c r="B133" s="7"/>
    </row>
    <row r="134" spans="2:2" ht="15.75" customHeight="1">
      <c r="B134" s="7"/>
    </row>
    <row r="135" spans="2:2" ht="15.75" customHeight="1">
      <c r="B135" s="7"/>
    </row>
    <row r="136" spans="2:2" ht="15.75" customHeight="1">
      <c r="B136" s="7"/>
    </row>
    <row r="137" spans="2:2" ht="15.75" customHeight="1">
      <c r="B137" s="7"/>
    </row>
    <row r="138" spans="2:2" ht="15.75" customHeight="1">
      <c r="B138" s="7"/>
    </row>
    <row r="139" spans="2:2" ht="15.75" customHeight="1">
      <c r="B139" s="7"/>
    </row>
    <row r="140" spans="2:2" ht="15.75" customHeight="1">
      <c r="B140" s="7"/>
    </row>
    <row r="141" spans="2:2" ht="15.75" customHeight="1">
      <c r="B141" s="7"/>
    </row>
    <row r="142" spans="2:2" ht="15.75" customHeight="1">
      <c r="B142" s="7"/>
    </row>
    <row r="143" spans="2:2" ht="15.75" customHeight="1">
      <c r="B143" s="7"/>
    </row>
    <row r="144" spans="2:2" ht="15.75" customHeight="1">
      <c r="B144" s="7"/>
    </row>
    <row r="145" spans="2:2" ht="15.75" customHeight="1">
      <c r="B145" s="7"/>
    </row>
    <row r="146" spans="2:2" ht="15.75" customHeight="1">
      <c r="B146" s="7"/>
    </row>
    <row r="147" spans="2:2" ht="15.75" customHeight="1">
      <c r="B147" s="7"/>
    </row>
    <row r="148" spans="2:2" ht="15.75" customHeight="1">
      <c r="B148" s="7"/>
    </row>
    <row r="149" spans="2:2" ht="15.75" customHeight="1">
      <c r="B149" s="7"/>
    </row>
    <row r="150" spans="2:2" ht="15.75" customHeight="1">
      <c r="B150" s="7"/>
    </row>
    <row r="151" spans="2:2" ht="15.75" customHeight="1">
      <c r="B151" s="7"/>
    </row>
    <row r="152" spans="2:2" ht="15.75" customHeight="1">
      <c r="B152" s="7"/>
    </row>
    <row r="153" spans="2:2" ht="15.75" customHeight="1">
      <c r="B153" s="7"/>
    </row>
    <row r="154" spans="2:2" ht="15.75" customHeight="1">
      <c r="B154" s="7"/>
    </row>
    <row r="155" spans="2:2" ht="15.75" customHeight="1">
      <c r="B155" s="7"/>
    </row>
    <row r="156" spans="2:2" ht="15.75" customHeight="1">
      <c r="B156" s="7"/>
    </row>
    <row r="157" spans="2:2" ht="15.75" customHeight="1">
      <c r="B157" s="7"/>
    </row>
    <row r="158" spans="2:2" ht="15.75" customHeight="1">
      <c r="B158" s="7"/>
    </row>
    <row r="159" spans="2:2" ht="15.75" customHeight="1">
      <c r="B159" s="7"/>
    </row>
    <row r="160" spans="2:2" ht="15.75" customHeight="1">
      <c r="B160" s="7"/>
    </row>
    <row r="161" spans="2:2" ht="15.75" customHeight="1">
      <c r="B161" s="7"/>
    </row>
    <row r="162" spans="2:2" ht="15.75" customHeight="1">
      <c r="B162" s="7"/>
    </row>
    <row r="163" spans="2:2" ht="15.75" customHeight="1">
      <c r="B163" s="7"/>
    </row>
    <row r="164" spans="2:2" ht="15.75" customHeight="1">
      <c r="B164" s="7"/>
    </row>
    <row r="165" spans="2:2" ht="15.75" customHeight="1">
      <c r="B165" s="7"/>
    </row>
    <row r="166" spans="2:2" ht="15.75" customHeight="1">
      <c r="B166" s="7"/>
    </row>
    <row r="167" spans="2:2" ht="15.75" customHeight="1">
      <c r="B167" s="7"/>
    </row>
    <row r="168" spans="2:2" ht="15.75" customHeight="1">
      <c r="B168" s="7"/>
    </row>
    <row r="169" spans="2:2" ht="15.75" customHeight="1">
      <c r="B169" s="7"/>
    </row>
    <row r="170" spans="2:2" ht="15.75" customHeight="1">
      <c r="B170" s="7"/>
    </row>
    <row r="171" spans="2:2" ht="15.75" customHeight="1">
      <c r="B171" s="7"/>
    </row>
    <row r="172" spans="2:2" ht="15.75" customHeight="1">
      <c r="B172" s="7"/>
    </row>
    <row r="173" spans="2:2" ht="15.75" customHeight="1">
      <c r="B173" s="7"/>
    </row>
    <row r="174" spans="2:2" ht="15.75" customHeight="1">
      <c r="B174" s="7"/>
    </row>
    <row r="175" spans="2:2" ht="15.75" customHeight="1">
      <c r="B175" s="7"/>
    </row>
    <row r="176" spans="2:2" ht="15.75" customHeight="1">
      <c r="B176" s="7"/>
    </row>
    <row r="177" spans="2:2" ht="15.75" customHeight="1">
      <c r="B177" s="7"/>
    </row>
    <row r="178" spans="2:2" ht="15.75" customHeight="1">
      <c r="B178" s="7"/>
    </row>
    <row r="179" spans="2:2" ht="15.75" customHeight="1">
      <c r="B179" s="7"/>
    </row>
    <row r="180" spans="2:2" ht="15.75" customHeight="1">
      <c r="B180" s="7"/>
    </row>
    <row r="181" spans="2:2" ht="15.75" customHeight="1">
      <c r="B181" s="7"/>
    </row>
    <row r="182" spans="2:2" ht="15.75" customHeight="1">
      <c r="B182" s="7"/>
    </row>
    <row r="183" spans="2:2" ht="15.75" customHeight="1">
      <c r="B183" s="7"/>
    </row>
    <row r="184" spans="2:2" ht="15.75" customHeight="1">
      <c r="B184" s="7"/>
    </row>
    <row r="185" spans="2:2" ht="15.75" customHeight="1">
      <c r="B185" s="7"/>
    </row>
    <row r="186" spans="2:2" ht="15.75" customHeight="1">
      <c r="B186" s="7"/>
    </row>
    <row r="187" spans="2:2" ht="15.75" customHeight="1">
      <c r="B187" s="7"/>
    </row>
    <row r="188" spans="2:2" ht="15.75" customHeight="1">
      <c r="B188" s="7"/>
    </row>
    <row r="189" spans="2:2" ht="15.75" customHeight="1">
      <c r="B189" s="7"/>
    </row>
    <row r="190" spans="2:2" ht="15.75" customHeight="1">
      <c r="B190" s="7"/>
    </row>
    <row r="191" spans="2:2" ht="15.75" customHeight="1">
      <c r="B191" s="7"/>
    </row>
    <row r="192" spans="2:2" ht="15.75" customHeight="1">
      <c r="B192" s="7"/>
    </row>
    <row r="193" spans="2:2" ht="15.75" customHeight="1">
      <c r="B193" s="7"/>
    </row>
    <row r="194" spans="2:2" ht="15.75" customHeight="1">
      <c r="B194" s="7"/>
    </row>
    <row r="195" spans="2:2" ht="15.75" customHeight="1">
      <c r="B195" s="7"/>
    </row>
    <row r="196" spans="2:2" ht="15.75" customHeight="1">
      <c r="B196" s="7"/>
    </row>
    <row r="197" spans="2:2" ht="15.75" customHeight="1">
      <c r="B197" s="7"/>
    </row>
    <row r="198" spans="2:2" ht="15.75" customHeight="1">
      <c r="B198" s="7"/>
    </row>
    <row r="199" spans="2:2" ht="15.75" customHeight="1">
      <c r="B199" s="7"/>
    </row>
    <row r="200" spans="2:2" ht="15.75" customHeight="1">
      <c r="B200" s="7"/>
    </row>
    <row r="201" spans="2:2" ht="15.75" customHeight="1">
      <c r="B201" s="7"/>
    </row>
    <row r="202" spans="2:2" ht="15.75" customHeight="1">
      <c r="B202" s="7"/>
    </row>
    <row r="203" spans="2:2" ht="15.75" customHeight="1">
      <c r="B203" s="7"/>
    </row>
    <row r="204" spans="2:2" ht="15.75" customHeight="1">
      <c r="B204" s="7"/>
    </row>
    <row r="205" spans="2:2" ht="15.75" customHeight="1">
      <c r="B205" s="7"/>
    </row>
    <row r="206" spans="2:2" ht="15.75" customHeight="1">
      <c r="B206" s="7"/>
    </row>
    <row r="207" spans="2:2" ht="15.75" customHeight="1">
      <c r="B207" s="7"/>
    </row>
    <row r="208" spans="2:2" ht="15.75" customHeight="1">
      <c r="B208" s="7"/>
    </row>
    <row r="209" spans="2:2" ht="15.75" customHeight="1">
      <c r="B209" s="7"/>
    </row>
    <row r="210" spans="2:2" ht="15.75" customHeight="1">
      <c r="B210" s="7"/>
    </row>
    <row r="211" spans="2:2" ht="15.75" customHeight="1">
      <c r="B211" s="7"/>
    </row>
    <row r="212" spans="2:2" ht="15.75" customHeight="1">
      <c r="B212" s="7"/>
    </row>
    <row r="213" spans="2:2" ht="15.75" customHeight="1">
      <c r="B213" s="7"/>
    </row>
    <row r="214" spans="2:2" ht="15.75" customHeight="1">
      <c r="B214" s="7"/>
    </row>
    <row r="215" spans="2:2" ht="15.75" customHeight="1">
      <c r="B215" s="7"/>
    </row>
    <row r="216" spans="2:2" ht="15.75" customHeight="1">
      <c r="B216" s="7"/>
    </row>
    <row r="217" spans="2:2" ht="15.75" customHeight="1">
      <c r="B217" s="7"/>
    </row>
    <row r="218" spans="2:2" ht="15.75" customHeight="1">
      <c r="B218" s="7"/>
    </row>
    <row r="219" spans="2:2" ht="15.75" customHeight="1">
      <c r="B219" s="7"/>
    </row>
    <row r="220" spans="2:2" ht="15.75" customHeight="1">
      <c r="B220" s="7"/>
    </row>
    <row r="221" spans="2:2" ht="15.75" customHeight="1">
      <c r="B221" s="7"/>
    </row>
    <row r="222" spans="2:2" ht="15.75" customHeight="1">
      <c r="B222" s="7"/>
    </row>
    <row r="223" spans="2:2" ht="15.75" customHeight="1">
      <c r="B223" s="7"/>
    </row>
    <row r="224" spans="2:2" ht="15.75" customHeight="1">
      <c r="B224" s="7"/>
    </row>
    <row r="225" spans="2:2" ht="15.75" customHeight="1">
      <c r="B225" s="7"/>
    </row>
    <row r="226" spans="2:2" ht="15.75" customHeight="1">
      <c r="B226" s="7"/>
    </row>
    <row r="227" spans="2:2" ht="15.75" customHeight="1">
      <c r="B227" s="7"/>
    </row>
    <row r="228" spans="2:2" ht="15.75" customHeight="1">
      <c r="B228" s="7"/>
    </row>
    <row r="229" spans="2:2" ht="15.75" customHeight="1">
      <c r="B229" s="7"/>
    </row>
    <row r="230" spans="2:2" ht="15.75" customHeight="1">
      <c r="B230" s="7"/>
    </row>
    <row r="231" spans="2:2" ht="15.75" customHeight="1">
      <c r="B231" s="7"/>
    </row>
    <row r="232" spans="2:2" ht="15.75" customHeight="1">
      <c r="B232" s="7"/>
    </row>
    <row r="233" spans="2:2" ht="15.75" customHeight="1">
      <c r="B233" s="7"/>
    </row>
    <row r="234" spans="2:2" ht="15.75" customHeight="1">
      <c r="B234" s="7"/>
    </row>
    <row r="235" spans="2:2" ht="15.75" customHeight="1">
      <c r="B235" s="7"/>
    </row>
    <row r="236" spans="2:2" ht="15.75" customHeight="1">
      <c r="B236" s="7"/>
    </row>
    <row r="237" spans="2:2" ht="15.75" customHeight="1">
      <c r="B237" s="7"/>
    </row>
    <row r="238" spans="2:2" ht="15.75" customHeight="1">
      <c r="B238" s="7"/>
    </row>
    <row r="239" spans="2:2" ht="15.75" customHeight="1">
      <c r="B239" s="7"/>
    </row>
    <row r="240" spans="2:2" ht="15.75" customHeight="1">
      <c r="B240" s="7"/>
    </row>
    <row r="241" spans="2:2" ht="15.75" customHeight="1">
      <c r="B241" s="7"/>
    </row>
    <row r="242" spans="2:2" ht="15.75" customHeight="1">
      <c r="B242" s="7"/>
    </row>
    <row r="243" spans="2:2" ht="15.75" customHeight="1">
      <c r="B243" s="7"/>
    </row>
    <row r="244" spans="2:2" ht="15.75" customHeight="1">
      <c r="B244" s="7"/>
    </row>
    <row r="245" spans="2:2" ht="15.75" customHeight="1">
      <c r="B245" s="7"/>
    </row>
    <row r="246" spans="2:2" ht="15.75" customHeight="1">
      <c r="B246" s="7"/>
    </row>
    <row r="247" spans="2:2" ht="15.75" customHeight="1">
      <c r="B247" s="7"/>
    </row>
    <row r="248" spans="2:2" ht="15.75" customHeight="1">
      <c r="B248" s="7"/>
    </row>
    <row r="249" spans="2:2" ht="15.75" customHeight="1">
      <c r="B249" s="7"/>
    </row>
    <row r="250" spans="2:2" ht="15.75" customHeight="1">
      <c r="B250" s="7"/>
    </row>
    <row r="251" spans="2:2" ht="15.75" customHeight="1">
      <c r="B251" s="7"/>
    </row>
    <row r="252" spans="2:2" ht="15.75" customHeight="1">
      <c r="B252" s="7"/>
    </row>
    <row r="253" spans="2:2" ht="15.75" customHeight="1">
      <c r="B253" s="7"/>
    </row>
    <row r="254" spans="2:2" ht="15.75" customHeight="1">
      <c r="B254" s="7"/>
    </row>
    <row r="255" spans="2:2" ht="15.75" customHeight="1">
      <c r="B255" s="7"/>
    </row>
    <row r="256" spans="2:2" ht="15.75" customHeight="1">
      <c r="B256" s="7"/>
    </row>
    <row r="257" spans="2:2" ht="15.75" customHeight="1">
      <c r="B257" s="7"/>
    </row>
    <row r="258" spans="2:2" ht="15.75" customHeight="1">
      <c r="B258" s="7"/>
    </row>
    <row r="259" spans="2:2" ht="15.75" customHeight="1">
      <c r="B259" s="7"/>
    </row>
    <row r="260" spans="2:2" ht="15.75" customHeight="1">
      <c r="B260" s="7"/>
    </row>
    <row r="261" spans="2:2" ht="15.75" customHeight="1">
      <c r="B261" s="7"/>
    </row>
    <row r="262" spans="2:2" ht="15.75" customHeight="1">
      <c r="B262" s="7"/>
    </row>
    <row r="263" spans="2:2" ht="15.75" customHeight="1">
      <c r="B263" s="7"/>
    </row>
    <row r="264" spans="2:2" ht="15.75" customHeight="1">
      <c r="B264" s="7"/>
    </row>
    <row r="265" spans="2:2" ht="15.75" customHeight="1">
      <c r="B265" s="7"/>
    </row>
    <row r="266" spans="2:2" ht="15.75" customHeight="1">
      <c r="B266" s="7"/>
    </row>
    <row r="267" spans="2:2" ht="15.75" customHeight="1">
      <c r="B267" s="7"/>
    </row>
    <row r="268" spans="2:2" ht="15.75" customHeight="1">
      <c r="B268" s="7"/>
    </row>
    <row r="269" spans="2:2" ht="15.75" customHeight="1">
      <c r="B269" s="7"/>
    </row>
    <row r="270" spans="2:2" ht="15.75" customHeight="1">
      <c r="B270" s="7"/>
    </row>
    <row r="271" spans="2:2" ht="15.75" customHeight="1">
      <c r="B271" s="7"/>
    </row>
    <row r="272" spans="2: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pageMargins left="0.7" right="0.7" top="0.75" bottom="0.75" header="0" footer="0"/>
  <pageSetup paperSize="9" orientation="portrait"/>
  <headerFooter>
    <oddHeader>&amp;L&amp;D &amp;T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1:A1000"/>
  <sheetViews>
    <sheetView workbookViewId="0"/>
  </sheetViews>
  <sheetFormatPr defaultColWidth="14.42578125" defaultRowHeight="15" customHeight="1"/>
  <cols>
    <col min="1" max="6" width="14.4257812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00"/>
  <sheetViews>
    <sheetView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ColWidth="14.42578125" defaultRowHeight="15" customHeight="1"/>
  <cols>
    <col min="1" max="1" width="5.28515625" customWidth="1"/>
    <col min="2" max="2" width="12" customWidth="1"/>
    <col min="3" max="4" width="13.5703125" customWidth="1"/>
    <col min="5" max="5" width="30.85546875" customWidth="1"/>
    <col min="6" max="6" width="8" customWidth="1"/>
    <col min="7" max="7" width="43.140625" customWidth="1"/>
    <col min="8" max="30" width="16.7109375" customWidth="1"/>
    <col min="31" max="32" width="15.140625" customWidth="1"/>
    <col min="33" max="33" width="16.7109375" customWidth="1"/>
  </cols>
  <sheetData>
    <row r="1" spans="1:33" ht="28.5">
      <c r="A1" s="1" t="s">
        <v>376</v>
      </c>
      <c r="C1" s="4"/>
      <c r="D1" s="4"/>
      <c r="F1" s="6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26.25">
      <c r="A2" s="10" t="s">
        <v>377</v>
      </c>
      <c r="C2" s="4"/>
      <c r="D2" s="4"/>
      <c r="F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  <row r="3" spans="1:33" ht="21">
      <c r="A3" s="11"/>
      <c r="C3" s="4"/>
      <c r="D3" s="4"/>
      <c r="F3" s="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8.75">
      <c r="A4" s="204" t="s">
        <v>378</v>
      </c>
      <c r="C4" s="4"/>
      <c r="D4" s="4"/>
      <c r="F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>
      <c r="A5" s="137" t="s">
        <v>379</v>
      </c>
      <c r="C5" s="4"/>
      <c r="D5" s="4"/>
      <c r="F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14.25" customHeight="1">
      <c r="A6" s="238" t="s">
        <v>3</v>
      </c>
      <c r="B6" s="238" t="s">
        <v>4</v>
      </c>
      <c r="C6" s="286" t="s">
        <v>5</v>
      </c>
      <c r="D6" s="14"/>
      <c r="E6" s="238" t="s">
        <v>6</v>
      </c>
      <c r="F6" s="238" t="s">
        <v>7</v>
      </c>
      <c r="G6" s="238" t="s">
        <v>8</v>
      </c>
      <c r="H6" s="244" t="s">
        <v>9</v>
      </c>
      <c r="I6" s="244" t="s">
        <v>10</v>
      </c>
      <c r="J6" s="245" t="s">
        <v>380</v>
      </c>
      <c r="K6" s="245" t="s">
        <v>381</v>
      </c>
      <c r="L6" s="245" t="s">
        <v>381</v>
      </c>
      <c r="M6" s="245" t="s">
        <v>381</v>
      </c>
      <c r="N6" s="245" t="s">
        <v>382</v>
      </c>
      <c r="O6" s="245" t="s">
        <v>382</v>
      </c>
      <c r="P6" s="245" t="s">
        <v>382</v>
      </c>
      <c r="Q6" s="245" t="s">
        <v>383</v>
      </c>
      <c r="R6" s="245" t="s">
        <v>383</v>
      </c>
      <c r="S6" s="245" t="s">
        <v>383</v>
      </c>
      <c r="T6" s="245" t="s">
        <v>384</v>
      </c>
      <c r="U6" s="245" t="s">
        <v>384</v>
      </c>
      <c r="V6" s="245" t="s">
        <v>384</v>
      </c>
      <c r="W6" s="245" t="s">
        <v>385</v>
      </c>
      <c r="X6" s="245" t="s">
        <v>385</v>
      </c>
      <c r="Y6" s="245" t="s">
        <v>385</v>
      </c>
      <c r="Z6" s="245" t="s">
        <v>386</v>
      </c>
      <c r="AA6" s="245" t="s">
        <v>386</v>
      </c>
      <c r="AB6" s="245" t="s">
        <v>386</v>
      </c>
      <c r="AC6" s="245" t="s">
        <v>375</v>
      </c>
      <c r="AD6" s="245" t="s">
        <v>387</v>
      </c>
      <c r="AE6" s="261" t="s">
        <v>24</v>
      </c>
      <c r="AF6" s="255"/>
      <c r="AG6" s="245" t="s">
        <v>388</v>
      </c>
    </row>
    <row r="7" spans="1:33" ht="14.25" customHeight="1">
      <c r="A7" s="239"/>
      <c r="B7" s="239"/>
      <c r="C7" s="239"/>
      <c r="D7" s="18"/>
      <c r="E7" s="239"/>
      <c r="F7" s="239"/>
      <c r="G7" s="239"/>
      <c r="H7" s="239"/>
      <c r="I7" s="239"/>
      <c r="J7" s="239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39"/>
      <c r="AE7" s="205" t="s">
        <v>31</v>
      </c>
      <c r="AF7" s="205" t="s">
        <v>32</v>
      </c>
      <c r="AG7" s="239"/>
    </row>
    <row r="8" spans="1:33">
      <c r="A8" s="240"/>
      <c r="B8" s="240"/>
      <c r="C8" s="240"/>
      <c r="D8" s="28"/>
      <c r="E8" s="240"/>
      <c r="F8" s="240"/>
      <c r="G8" s="240"/>
      <c r="H8" s="240"/>
      <c r="I8" s="240"/>
      <c r="J8" s="240"/>
      <c r="K8" s="206" t="s">
        <v>389</v>
      </c>
      <c r="L8" s="206" t="s">
        <v>390</v>
      </c>
      <c r="M8" s="206" t="s">
        <v>391</v>
      </c>
      <c r="N8" s="206" t="s">
        <v>389</v>
      </c>
      <c r="O8" s="206" t="s">
        <v>392</v>
      </c>
      <c r="P8" s="206" t="s">
        <v>393</v>
      </c>
      <c r="Q8" s="206" t="s">
        <v>389</v>
      </c>
      <c r="R8" s="206" t="s">
        <v>390</v>
      </c>
      <c r="S8" s="206" t="s">
        <v>391</v>
      </c>
      <c r="T8" s="206" t="s">
        <v>389</v>
      </c>
      <c r="U8" s="206" t="s">
        <v>394</v>
      </c>
      <c r="V8" s="206" t="s">
        <v>394</v>
      </c>
      <c r="W8" s="206" t="s">
        <v>389</v>
      </c>
      <c r="X8" s="206" t="s">
        <v>390</v>
      </c>
      <c r="Y8" s="206" t="s">
        <v>390</v>
      </c>
      <c r="Z8" s="206" t="s">
        <v>389</v>
      </c>
      <c r="AA8" s="206" t="s">
        <v>394</v>
      </c>
      <c r="AB8" s="206" t="s">
        <v>394</v>
      </c>
      <c r="AC8" s="206" t="s">
        <v>395</v>
      </c>
      <c r="AD8" s="240"/>
      <c r="AE8" s="207">
        <v>0.02</v>
      </c>
      <c r="AF8" s="207">
        <v>0.01</v>
      </c>
      <c r="AG8" s="240"/>
    </row>
    <row r="9" spans="1:33" ht="18" customHeight="1">
      <c r="A9" s="38" t="s">
        <v>42</v>
      </c>
      <c r="B9" s="41">
        <v>2</v>
      </c>
      <c r="C9" s="41">
        <v>3</v>
      </c>
      <c r="D9" s="38" t="s">
        <v>43</v>
      </c>
      <c r="E9" s="41">
        <v>5</v>
      </c>
      <c r="F9" s="41">
        <v>6</v>
      </c>
      <c r="G9" s="41">
        <v>7</v>
      </c>
      <c r="H9" s="38" t="s">
        <v>44</v>
      </c>
      <c r="I9" s="41"/>
      <c r="J9" s="38" t="s">
        <v>396</v>
      </c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41" t="s">
        <v>71</v>
      </c>
      <c r="AF9" s="41" t="s">
        <v>72</v>
      </c>
      <c r="AG9" s="208"/>
    </row>
    <row r="10" spans="1:33">
      <c r="A10" s="44">
        <f t="shared" ref="A10:A69" si="0">IF(B10="","",COUNTA($B$10:B10))</f>
        <v>1</v>
      </c>
      <c r="B10" s="209" t="s">
        <v>397</v>
      </c>
      <c r="C10" s="210">
        <v>44942</v>
      </c>
      <c r="D10" s="47"/>
      <c r="E10" s="49" t="s">
        <v>78</v>
      </c>
      <c r="F10" s="44" t="s">
        <v>79</v>
      </c>
      <c r="G10" s="49" t="s">
        <v>398</v>
      </c>
      <c r="H10" s="50">
        <v>8</v>
      </c>
      <c r="I10" s="51" t="s">
        <v>399</v>
      </c>
      <c r="J10" s="51" t="s">
        <v>400</v>
      </c>
      <c r="K10" s="51"/>
      <c r="L10" s="51"/>
      <c r="M10" s="51">
        <f t="shared" ref="M10:M69" si="1">SUM(K10:L10)</f>
        <v>0</v>
      </c>
      <c r="N10" s="51"/>
      <c r="O10" s="51"/>
      <c r="P10" s="51">
        <f t="shared" ref="P10:P69" si="2">SUM(N10:O10)</f>
        <v>0</v>
      </c>
      <c r="Q10" s="51"/>
      <c r="R10" s="51"/>
      <c r="S10" s="51">
        <f t="shared" ref="S10:S69" si="3">SUM(Q10:R10)</f>
        <v>0</v>
      </c>
      <c r="T10" s="51"/>
      <c r="U10" s="51"/>
      <c r="V10" s="51">
        <f t="shared" ref="V10:V69" si="4">SUM(T10:U10)</f>
        <v>0</v>
      </c>
      <c r="W10" s="51"/>
      <c r="X10" s="51"/>
      <c r="Y10" s="51">
        <f t="shared" ref="Y10:Y69" si="5">SUM(W10:X10)</f>
        <v>0</v>
      </c>
      <c r="Z10" s="51"/>
      <c r="AA10" s="51"/>
      <c r="AB10" s="51">
        <f t="shared" ref="AB10:AB69" si="6">SUM(Z10:AA10)</f>
        <v>0</v>
      </c>
      <c r="AC10" s="51">
        <f t="shared" ref="AC10:AC69" si="7">M10+P10+S10+V10+Y10+AB10</f>
        <v>0</v>
      </c>
      <c r="AD10" s="51">
        <f t="shared" ref="AD10:AD69" si="8">AC10*0.2</f>
        <v>0</v>
      </c>
      <c r="AE10" s="55"/>
      <c r="AF10" s="55">
        <f t="shared" ref="AF10:AF69" si="9">ROUND((AD10*$AF$8),2)</f>
        <v>0</v>
      </c>
      <c r="AG10" s="51">
        <f t="shared" ref="AG10:AG69" si="10">AD10-AE10-AF10</f>
        <v>0</v>
      </c>
    </row>
    <row r="11" spans="1:33">
      <c r="A11" s="44">
        <f t="shared" si="0"/>
        <v>2</v>
      </c>
      <c r="B11" s="211" t="s">
        <v>401</v>
      </c>
      <c r="C11" s="212">
        <v>44942</v>
      </c>
      <c r="D11" s="47"/>
      <c r="E11" s="49" t="s">
        <v>402</v>
      </c>
      <c r="F11" s="44" t="s">
        <v>79</v>
      </c>
      <c r="G11" s="49" t="s">
        <v>403</v>
      </c>
      <c r="H11" s="50">
        <v>11</v>
      </c>
      <c r="I11" s="51" t="s">
        <v>399</v>
      </c>
      <c r="J11" s="51" t="s">
        <v>400</v>
      </c>
      <c r="K11" s="51"/>
      <c r="L11" s="51"/>
      <c r="M11" s="51">
        <f t="shared" si="1"/>
        <v>0</v>
      </c>
      <c r="N11" s="51"/>
      <c r="O11" s="51"/>
      <c r="P11" s="51">
        <f t="shared" si="2"/>
        <v>0</v>
      </c>
      <c r="Q11" s="51"/>
      <c r="R11" s="51"/>
      <c r="S11" s="51">
        <f t="shared" si="3"/>
        <v>0</v>
      </c>
      <c r="T11" s="51"/>
      <c r="U11" s="51"/>
      <c r="V11" s="51">
        <f t="shared" si="4"/>
        <v>0</v>
      </c>
      <c r="W11" s="51"/>
      <c r="X11" s="51"/>
      <c r="Y11" s="51">
        <f t="shared" si="5"/>
        <v>0</v>
      </c>
      <c r="Z11" s="51"/>
      <c r="AA11" s="51"/>
      <c r="AB11" s="51">
        <f t="shared" si="6"/>
        <v>0</v>
      </c>
      <c r="AC11" s="51">
        <f t="shared" si="7"/>
        <v>0</v>
      </c>
      <c r="AD11" s="51">
        <f t="shared" si="8"/>
        <v>0</v>
      </c>
      <c r="AE11" s="55"/>
      <c r="AF11" s="55">
        <f t="shared" si="9"/>
        <v>0</v>
      </c>
      <c r="AG11" s="51">
        <f t="shared" si="10"/>
        <v>0</v>
      </c>
    </row>
    <row r="12" spans="1:33">
      <c r="A12" s="44">
        <f t="shared" si="0"/>
        <v>3</v>
      </c>
      <c r="B12" s="49" t="s">
        <v>404</v>
      </c>
      <c r="C12" s="47">
        <v>44942</v>
      </c>
      <c r="D12" s="47"/>
      <c r="E12" s="49" t="s">
        <v>405</v>
      </c>
      <c r="F12" s="44" t="s">
        <v>79</v>
      </c>
      <c r="G12" s="49" t="s">
        <v>403</v>
      </c>
      <c r="H12" s="50">
        <v>11</v>
      </c>
      <c r="I12" s="51" t="s">
        <v>399</v>
      </c>
      <c r="J12" s="51" t="s">
        <v>400</v>
      </c>
      <c r="K12" s="51"/>
      <c r="L12" s="51"/>
      <c r="M12" s="51">
        <f t="shared" si="1"/>
        <v>0</v>
      </c>
      <c r="N12" s="51"/>
      <c r="O12" s="51"/>
      <c r="P12" s="51">
        <f t="shared" si="2"/>
        <v>0</v>
      </c>
      <c r="Q12" s="51"/>
      <c r="R12" s="51"/>
      <c r="S12" s="51">
        <f t="shared" si="3"/>
        <v>0</v>
      </c>
      <c r="T12" s="51"/>
      <c r="U12" s="51"/>
      <c r="V12" s="51">
        <f t="shared" si="4"/>
        <v>0</v>
      </c>
      <c r="W12" s="51"/>
      <c r="X12" s="51"/>
      <c r="Y12" s="51">
        <f t="shared" si="5"/>
        <v>0</v>
      </c>
      <c r="Z12" s="51"/>
      <c r="AA12" s="51"/>
      <c r="AB12" s="51">
        <f t="shared" si="6"/>
        <v>0</v>
      </c>
      <c r="AC12" s="51">
        <f t="shared" si="7"/>
        <v>0</v>
      </c>
      <c r="AD12" s="51">
        <f t="shared" si="8"/>
        <v>0</v>
      </c>
      <c r="AE12" s="55"/>
      <c r="AF12" s="55">
        <f t="shared" si="9"/>
        <v>0</v>
      </c>
      <c r="AG12" s="51">
        <f t="shared" si="10"/>
        <v>0</v>
      </c>
    </row>
    <row r="13" spans="1:33">
      <c r="A13" s="44">
        <f t="shared" si="0"/>
        <v>4</v>
      </c>
      <c r="B13" s="49" t="s">
        <v>406</v>
      </c>
      <c r="C13" s="47">
        <v>44942</v>
      </c>
      <c r="D13" s="47"/>
      <c r="E13" s="49" t="s">
        <v>407</v>
      </c>
      <c r="F13" s="44" t="s">
        <v>79</v>
      </c>
      <c r="G13" s="49" t="s">
        <v>403</v>
      </c>
      <c r="H13" s="50">
        <v>11</v>
      </c>
      <c r="I13" s="51" t="s">
        <v>399</v>
      </c>
      <c r="J13" s="51" t="s">
        <v>400</v>
      </c>
      <c r="K13" s="51"/>
      <c r="L13" s="51"/>
      <c r="M13" s="51">
        <f t="shared" si="1"/>
        <v>0</v>
      </c>
      <c r="N13" s="51"/>
      <c r="O13" s="51"/>
      <c r="P13" s="51">
        <f t="shared" si="2"/>
        <v>0</v>
      </c>
      <c r="Q13" s="51"/>
      <c r="R13" s="51"/>
      <c r="S13" s="51">
        <f t="shared" si="3"/>
        <v>0</v>
      </c>
      <c r="T13" s="51"/>
      <c r="U13" s="51"/>
      <c r="V13" s="51">
        <f t="shared" si="4"/>
        <v>0</v>
      </c>
      <c r="W13" s="51"/>
      <c r="X13" s="51"/>
      <c r="Y13" s="51">
        <f t="shared" si="5"/>
        <v>0</v>
      </c>
      <c r="Z13" s="51"/>
      <c r="AA13" s="51"/>
      <c r="AB13" s="51">
        <f t="shared" si="6"/>
        <v>0</v>
      </c>
      <c r="AC13" s="51">
        <f t="shared" si="7"/>
        <v>0</v>
      </c>
      <c r="AD13" s="51">
        <f t="shared" si="8"/>
        <v>0</v>
      </c>
      <c r="AE13" s="55"/>
      <c r="AF13" s="55">
        <f t="shared" si="9"/>
        <v>0</v>
      </c>
      <c r="AG13" s="51">
        <f t="shared" si="10"/>
        <v>0</v>
      </c>
    </row>
    <row r="14" spans="1:33">
      <c r="A14" s="44">
        <f t="shared" si="0"/>
        <v>5</v>
      </c>
      <c r="B14" s="209" t="s">
        <v>408</v>
      </c>
      <c r="C14" s="210">
        <v>44942</v>
      </c>
      <c r="D14" s="47"/>
      <c r="E14" s="49" t="s">
        <v>98</v>
      </c>
      <c r="F14" s="44" t="s">
        <v>99</v>
      </c>
      <c r="G14" s="49" t="s">
        <v>80</v>
      </c>
      <c r="H14" s="50">
        <v>8</v>
      </c>
      <c r="I14" s="51" t="s">
        <v>399</v>
      </c>
      <c r="J14" s="51" t="s">
        <v>400</v>
      </c>
      <c r="K14" s="51"/>
      <c r="L14" s="51"/>
      <c r="M14" s="51">
        <f t="shared" si="1"/>
        <v>0</v>
      </c>
      <c r="N14" s="51"/>
      <c r="O14" s="51"/>
      <c r="P14" s="51">
        <f t="shared" si="2"/>
        <v>0</v>
      </c>
      <c r="Q14" s="51"/>
      <c r="R14" s="51"/>
      <c r="S14" s="51">
        <f t="shared" si="3"/>
        <v>0</v>
      </c>
      <c r="T14" s="51"/>
      <c r="U14" s="51"/>
      <c r="V14" s="51">
        <f t="shared" si="4"/>
        <v>0</v>
      </c>
      <c r="W14" s="51"/>
      <c r="X14" s="51"/>
      <c r="Y14" s="51">
        <f t="shared" si="5"/>
        <v>0</v>
      </c>
      <c r="Z14" s="51"/>
      <c r="AA14" s="51"/>
      <c r="AB14" s="51">
        <f t="shared" si="6"/>
        <v>0</v>
      </c>
      <c r="AC14" s="51">
        <f t="shared" si="7"/>
        <v>0</v>
      </c>
      <c r="AD14" s="51">
        <f t="shared" si="8"/>
        <v>0</v>
      </c>
      <c r="AE14" s="55"/>
      <c r="AF14" s="55">
        <f t="shared" si="9"/>
        <v>0</v>
      </c>
      <c r="AG14" s="51">
        <f t="shared" si="10"/>
        <v>0</v>
      </c>
    </row>
    <row r="15" spans="1:33">
      <c r="A15" s="44">
        <f t="shared" si="0"/>
        <v>6</v>
      </c>
      <c r="B15" s="211" t="s">
        <v>409</v>
      </c>
      <c r="C15" s="212">
        <v>44942</v>
      </c>
      <c r="D15" s="47"/>
      <c r="E15" s="49" t="s">
        <v>410</v>
      </c>
      <c r="F15" s="44" t="s">
        <v>99</v>
      </c>
      <c r="G15" s="49" t="s">
        <v>107</v>
      </c>
      <c r="H15" s="50">
        <v>11</v>
      </c>
      <c r="I15" s="51" t="s">
        <v>399</v>
      </c>
      <c r="J15" s="51" t="s">
        <v>400</v>
      </c>
      <c r="K15" s="51"/>
      <c r="L15" s="51"/>
      <c r="M15" s="51">
        <f t="shared" si="1"/>
        <v>0</v>
      </c>
      <c r="N15" s="51"/>
      <c r="O15" s="51"/>
      <c r="P15" s="51">
        <f t="shared" si="2"/>
        <v>0</v>
      </c>
      <c r="Q15" s="51"/>
      <c r="R15" s="51"/>
      <c r="S15" s="51">
        <f t="shared" si="3"/>
        <v>0</v>
      </c>
      <c r="T15" s="51"/>
      <c r="U15" s="51"/>
      <c r="V15" s="51">
        <f t="shared" si="4"/>
        <v>0</v>
      </c>
      <c r="W15" s="51"/>
      <c r="X15" s="51"/>
      <c r="Y15" s="51">
        <f t="shared" si="5"/>
        <v>0</v>
      </c>
      <c r="Z15" s="51"/>
      <c r="AA15" s="51"/>
      <c r="AB15" s="51">
        <f t="shared" si="6"/>
        <v>0</v>
      </c>
      <c r="AC15" s="51">
        <f t="shared" si="7"/>
        <v>0</v>
      </c>
      <c r="AD15" s="51">
        <f t="shared" si="8"/>
        <v>0</v>
      </c>
      <c r="AE15" s="55"/>
      <c r="AF15" s="55">
        <f t="shared" si="9"/>
        <v>0</v>
      </c>
      <c r="AG15" s="51">
        <f t="shared" si="10"/>
        <v>0</v>
      </c>
    </row>
    <row r="16" spans="1:33">
      <c r="A16" s="44">
        <f t="shared" si="0"/>
        <v>7</v>
      </c>
      <c r="B16" s="209" t="s">
        <v>411</v>
      </c>
      <c r="C16" s="210">
        <v>44942</v>
      </c>
      <c r="D16" s="47"/>
      <c r="E16" s="49" t="s">
        <v>412</v>
      </c>
      <c r="F16" s="44" t="s">
        <v>114</v>
      </c>
      <c r="G16" s="49" t="s">
        <v>80</v>
      </c>
      <c r="H16" s="50">
        <v>8</v>
      </c>
      <c r="I16" s="51" t="s">
        <v>413</v>
      </c>
      <c r="J16" s="51" t="s">
        <v>400</v>
      </c>
      <c r="K16" s="51"/>
      <c r="L16" s="51"/>
      <c r="M16" s="51">
        <f t="shared" si="1"/>
        <v>0</v>
      </c>
      <c r="N16" s="51"/>
      <c r="O16" s="51"/>
      <c r="P16" s="51">
        <f t="shared" si="2"/>
        <v>0</v>
      </c>
      <c r="Q16" s="51"/>
      <c r="R16" s="51"/>
      <c r="S16" s="51">
        <f t="shared" si="3"/>
        <v>0</v>
      </c>
      <c r="T16" s="51"/>
      <c r="U16" s="51"/>
      <c r="V16" s="51">
        <f t="shared" si="4"/>
        <v>0</v>
      </c>
      <c r="W16" s="51"/>
      <c r="X16" s="51"/>
      <c r="Y16" s="51">
        <f t="shared" si="5"/>
        <v>0</v>
      </c>
      <c r="Z16" s="51"/>
      <c r="AA16" s="51"/>
      <c r="AB16" s="51">
        <f t="shared" si="6"/>
        <v>0</v>
      </c>
      <c r="AC16" s="51">
        <f t="shared" si="7"/>
        <v>0</v>
      </c>
      <c r="AD16" s="51">
        <f t="shared" si="8"/>
        <v>0</v>
      </c>
      <c r="AE16" s="55"/>
      <c r="AF16" s="55">
        <f t="shared" si="9"/>
        <v>0</v>
      </c>
      <c r="AG16" s="51">
        <f t="shared" si="10"/>
        <v>0</v>
      </c>
    </row>
    <row r="17" spans="1:33">
      <c r="A17" s="44">
        <f t="shared" si="0"/>
        <v>8</v>
      </c>
      <c r="B17" s="211" t="s">
        <v>414</v>
      </c>
      <c r="C17" s="212">
        <v>44942</v>
      </c>
      <c r="D17" s="47"/>
      <c r="E17" s="49" t="s">
        <v>415</v>
      </c>
      <c r="F17" s="44" t="s">
        <v>114</v>
      </c>
      <c r="G17" s="49" t="s">
        <v>134</v>
      </c>
      <c r="H17" s="50">
        <v>11</v>
      </c>
      <c r="I17" s="51" t="s">
        <v>399</v>
      </c>
      <c r="J17" s="51" t="s">
        <v>400</v>
      </c>
      <c r="K17" s="51"/>
      <c r="L17" s="51"/>
      <c r="M17" s="51">
        <f t="shared" si="1"/>
        <v>0</v>
      </c>
      <c r="N17" s="51"/>
      <c r="O17" s="51"/>
      <c r="P17" s="51">
        <f t="shared" si="2"/>
        <v>0</v>
      </c>
      <c r="Q17" s="51"/>
      <c r="R17" s="51"/>
      <c r="S17" s="51">
        <f t="shared" si="3"/>
        <v>0</v>
      </c>
      <c r="T17" s="51"/>
      <c r="U17" s="51"/>
      <c r="V17" s="51">
        <f t="shared" si="4"/>
        <v>0</v>
      </c>
      <c r="W17" s="51"/>
      <c r="X17" s="51"/>
      <c r="Y17" s="51">
        <f t="shared" si="5"/>
        <v>0</v>
      </c>
      <c r="Z17" s="51"/>
      <c r="AA17" s="51"/>
      <c r="AB17" s="51">
        <f t="shared" si="6"/>
        <v>0</v>
      </c>
      <c r="AC17" s="51">
        <f t="shared" si="7"/>
        <v>0</v>
      </c>
      <c r="AD17" s="51">
        <f t="shared" si="8"/>
        <v>0</v>
      </c>
      <c r="AE17" s="55"/>
      <c r="AF17" s="55">
        <f t="shared" si="9"/>
        <v>0</v>
      </c>
      <c r="AG17" s="51">
        <f t="shared" si="10"/>
        <v>0</v>
      </c>
    </row>
    <row r="18" spans="1:33">
      <c r="A18" s="44">
        <f t="shared" si="0"/>
        <v>9</v>
      </c>
      <c r="B18" s="211" t="s">
        <v>416</v>
      </c>
      <c r="C18" s="212">
        <v>44942</v>
      </c>
      <c r="D18" s="47"/>
      <c r="E18" s="49" t="s">
        <v>113</v>
      </c>
      <c r="F18" s="44" t="s">
        <v>114</v>
      </c>
      <c r="G18" s="49" t="s">
        <v>417</v>
      </c>
      <c r="H18" s="50">
        <v>11</v>
      </c>
      <c r="I18" s="51" t="s">
        <v>413</v>
      </c>
      <c r="J18" s="51" t="s">
        <v>400</v>
      </c>
      <c r="K18" s="51"/>
      <c r="L18" s="51"/>
      <c r="M18" s="51">
        <f t="shared" si="1"/>
        <v>0</v>
      </c>
      <c r="N18" s="51"/>
      <c r="O18" s="51"/>
      <c r="P18" s="51">
        <f t="shared" si="2"/>
        <v>0</v>
      </c>
      <c r="Q18" s="51"/>
      <c r="R18" s="51"/>
      <c r="S18" s="51">
        <f t="shared" si="3"/>
        <v>0</v>
      </c>
      <c r="T18" s="51"/>
      <c r="U18" s="51"/>
      <c r="V18" s="51">
        <f t="shared" si="4"/>
        <v>0</v>
      </c>
      <c r="W18" s="51"/>
      <c r="X18" s="51"/>
      <c r="Y18" s="51">
        <f t="shared" si="5"/>
        <v>0</v>
      </c>
      <c r="Z18" s="51"/>
      <c r="AA18" s="51"/>
      <c r="AB18" s="51">
        <f t="shared" si="6"/>
        <v>0</v>
      </c>
      <c r="AC18" s="51">
        <f t="shared" si="7"/>
        <v>0</v>
      </c>
      <c r="AD18" s="51">
        <f t="shared" si="8"/>
        <v>0</v>
      </c>
      <c r="AE18" s="55"/>
      <c r="AF18" s="55">
        <f t="shared" si="9"/>
        <v>0</v>
      </c>
      <c r="AG18" s="51">
        <f t="shared" si="10"/>
        <v>0</v>
      </c>
    </row>
    <row r="19" spans="1:33">
      <c r="A19" s="44">
        <f t="shared" si="0"/>
        <v>10</v>
      </c>
      <c r="B19" s="211" t="s">
        <v>418</v>
      </c>
      <c r="C19" s="212">
        <v>44942</v>
      </c>
      <c r="D19" s="47"/>
      <c r="E19" s="49" t="s">
        <v>119</v>
      </c>
      <c r="F19" s="44" t="s">
        <v>114</v>
      </c>
      <c r="G19" s="49" t="s">
        <v>120</v>
      </c>
      <c r="H19" s="50">
        <v>7</v>
      </c>
      <c r="I19" s="51" t="s">
        <v>399</v>
      </c>
      <c r="J19" s="51" t="s">
        <v>400</v>
      </c>
      <c r="K19" s="51"/>
      <c r="L19" s="51"/>
      <c r="M19" s="51">
        <f t="shared" si="1"/>
        <v>0</v>
      </c>
      <c r="N19" s="51"/>
      <c r="O19" s="51"/>
      <c r="P19" s="51">
        <f t="shared" si="2"/>
        <v>0</v>
      </c>
      <c r="Q19" s="51"/>
      <c r="R19" s="51"/>
      <c r="S19" s="51">
        <f t="shared" si="3"/>
        <v>0</v>
      </c>
      <c r="T19" s="51"/>
      <c r="U19" s="51"/>
      <c r="V19" s="51">
        <f t="shared" si="4"/>
        <v>0</v>
      </c>
      <c r="W19" s="51"/>
      <c r="X19" s="51"/>
      <c r="Y19" s="51">
        <f t="shared" si="5"/>
        <v>0</v>
      </c>
      <c r="Z19" s="51"/>
      <c r="AA19" s="51"/>
      <c r="AB19" s="51">
        <f t="shared" si="6"/>
        <v>0</v>
      </c>
      <c r="AC19" s="51">
        <f t="shared" si="7"/>
        <v>0</v>
      </c>
      <c r="AD19" s="51">
        <f t="shared" si="8"/>
        <v>0</v>
      </c>
      <c r="AE19" s="55"/>
      <c r="AF19" s="55">
        <f t="shared" si="9"/>
        <v>0</v>
      </c>
      <c r="AG19" s="51">
        <f t="shared" si="10"/>
        <v>0</v>
      </c>
    </row>
    <row r="20" spans="1:33">
      <c r="A20" s="44">
        <f t="shared" si="0"/>
        <v>11</v>
      </c>
      <c r="B20" s="211" t="s">
        <v>419</v>
      </c>
      <c r="C20" s="212">
        <v>44942</v>
      </c>
      <c r="D20" s="47"/>
      <c r="E20" s="49" t="s">
        <v>123</v>
      </c>
      <c r="F20" s="44" t="s">
        <v>114</v>
      </c>
      <c r="G20" s="49" t="s">
        <v>80</v>
      </c>
      <c r="H20" s="50">
        <v>8</v>
      </c>
      <c r="I20" s="51" t="s">
        <v>399</v>
      </c>
      <c r="J20" s="51" t="s">
        <v>400</v>
      </c>
      <c r="K20" s="51"/>
      <c r="L20" s="51"/>
      <c r="M20" s="51">
        <f t="shared" si="1"/>
        <v>0</v>
      </c>
      <c r="N20" s="51"/>
      <c r="O20" s="51"/>
      <c r="P20" s="51">
        <f t="shared" si="2"/>
        <v>0</v>
      </c>
      <c r="Q20" s="51"/>
      <c r="R20" s="51"/>
      <c r="S20" s="51">
        <f t="shared" si="3"/>
        <v>0</v>
      </c>
      <c r="T20" s="51"/>
      <c r="U20" s="51"/>
      <c r="V20" s="51">
        <f t="shared" si="4"/>
        <v>0</v>
      </c>
      <c r="W20" s="51"/>
      <c r="X20" s="51"/>
      <c r="Y20" s="51">
        <f t="shared" si="5"/>
        <v>0</v>
      </c>
      <c r="Z20" s="51"/>
      <c r="AA20" s="51"/>
      <c r="AB20" s="51">
        <f t="shared" si="6"/>
        <v>0</v>
      </c>
      <c r="AC20" s="51">
        <f t="shared" si="7"/>
        <v>0</v>
      </c>
      <c r="AD20" s="51">
        <f t="shared" si="8"/>
        <v>0</v>
      </c>
      <c r="AE20" s="55"/>
      <c r="AF20" s="55">
        <f t="shared" si="9"/>
        <v>0</v>
      </c>
      <c r="AG20" s="51">
        <f t="shared" si="10"/>
        <v>0</v>
      </c>
    </row>
    <row r="21" spans="1:33" ht="15.75" customHeight="1">
      <c r="A21" s="44">
        <f t="shared" si="0"/>
        <v>12</v>
      </c>
      <c r="B21" s="211" t="s">
        <v>420</v>
      </c>
      <c r="C21" s="212">
        <v>44942</v>
      </c>
      <c r="D21" s="47"/>
      <c r="E21" s="49" t="s">
        <v>421</v>
      </c>
      <c r="F21" s="44" t="s">
        <v>114</v>
      </c>
      <c r="G21" s="49" t="s">
        <v>134</v>
      </c>
      <c r="H21" s="50">
        <v>11</v>
      </c>
      <c r="I21" s="51" t="s">
        <v>399</v>
      </c>
      <c r="J21" s="51" t="s">
        <v>400</v>
      </c>
      <c r="K21" s="51"/>
      <c r="L21" s="51"/>
      <c r="M21" s="51">
        <f t="shared" si="1"/>
        <v>0</v>
      </c>
      <c r="N21" s="51"/>
      <c r="O21" s="51"/>
      <c r="P21" s="51">
        <f t="shared" si="2"/>
        <v>0</v>
      </c>
      <c r="Q21" s="51"/>
      <c r="R21" s="51"/>
      <c r="S21" s="51">
        <f t="shared" si="3"/>
        <v>0</v>
      </c>
      <c r="T21" s="51"/>
      <c r="U21" s="51"/>
      <c r="V21" s="51">
        <f t="shared" si="4"/>
        <v>0</v>
      </c>
      <c r="W21" s="51"/>
      <c r="X21" s="51"/>
      <c r="Y21" s="51">
        <f t="shared" si="5"/>
        <v>0</v>
      </c>
      <c r="Z21" s="51"/>
      <c r="AA21" s="51"/>
      <c r="AB21" s="51">
        <f t="shared" si="6"/>
        <v>0</v>
      </c>
      <c r="AC21" s="51">
        <f t="shared" si="7"/>
        <v>0</v>
      </c>
      <c r="AD21" s="51">
        <f t="shared" si="8"/>
        <v>0</v>
      </c>
      <c r="AE21" s="55"/>
      <c r="AF21" s="55">
        <f t="shared" si="9"/>
        <v>0</v>
      </c>
      <c r="AG21" s="51">
        <f t="shared" si="10"/>
        <v>0</v>
      </c>
    </row>
    <row r="22" spans="1:33" ht="13.5" customHeight="1">
      <c r="A22" s="44">
        <f t="shared" si="0"/>
        <v>13</v>
      </c>
      <c r="B22" s="211" t="s">
        <v>422</v>
      </c>
      <c r="C22" s="212">
        <v>44942</v>
      </c>
      <c r="D22" s="47"/>
      <c r="E22" s="49" t="s">
        <v>121</v>
      </c>
      <c r="F22" s="44" t="s">
        <v>114</v>
      </c>
      <c r="G22" s="49" t="s">
        <v>126</v>
      </c>
      <c r="H22" s="50">
        <v>11</v>
      </c>
      <c r="I22" s="51" t="s">
        <v>399</v>
      </c>
      <c r="J22" s="51" t="s">
        <v>400</v>
      </c>
      <c r="K22" s="51"/>
      <c r="L22" s="51"/>
      <c r="M22" s="51">
        <f t="shared" si="1"/>
        <v>0</v>
      </c>
      <c r="N22" s="51"/>
      <c r="O22" s="51"/>
      <c r="P22" s="51">
        <f t="shared" si="2"/>
        <v>0</v>
      </c>
      <c r="Q22" s="51"/>
      <c r="R22" s="51"/>
      <c r="S22" s="51">
        <f t="shared" si="3"/>
        <v>0</v>
      </c>
      <c r="T22" s="51"/>
      <c r="U22" s="51"/>
      <c r="V22" s="51">
        <f t="shared" si="4"/>
        <v>0</v>
      </c>
      <c r="W22" s="51"/>
      <c r="X22" s="51"/>
      <c r="Y22" s="51">
        <f t="shared" si="5"/>
        <v>0</v>
      </c>
      <c r="Z22" s="51"/>
      <c r="AA22" s="51"/>
      <c r="AB22" s="51">
        <f t="shared" si="6"/>
        <v>0</v>
      </c>
      <c r="AC22" s="51">
        <f t="shared" si="7"/>
        <v>0</v>
      </c>
      <c r="AD22" s="51">
        <f t="shared" si="8"/>
        <v>0</v>
      </c>
      <c r="AE22" s="55"/>
      <c r="AF22" s="55">
        <f t="shared" si="9"/>
        <v>0</v>
      </c>
      <c r="AG22" s="51">
        <f t="shared" si="10"/>
        <v>0</v>
      </c>
    </row>
    <row r="23" spans="1:33" ht="15.75" customHeight="1">
      <c r="A23" s="44">
        <f t="shared" si="0"/>
        <v>14</v>
      </c>
      <c r="B23" s="209" t="s">
        <v>423</v>
      </c>
      <c r="C23" s="210">
        <v>44930</v>
      </c>
      <c r="D23" s="47"/>
      <c r="E23" s="49" t="s">
        <v>424</v>
      </c>
      <c r="F23" s="44" t="s">
        <v>139</v>
      </c>
      <c r="G23" s="49" t="s">
        <v>80</v>
      </c>
      <c r="H23" s="50">
        <v>8</v>
      </c>
      <c r="I23" s="51" t="s">
        <v>425</v>
      </c>
      <c r="J23" s="51" t="s">
        <v>400</v>
      </c>
      <c r="K23" s="51"/>
      <c r="L23" s="51"/>
      <c r="M23" s="51">
        <f t="shared" si="1"/>
        <v>0</v>
      </c>
      <c r="N23" s="51"/>
      <c r="O23" s="51"/>
      <c r="P23" s="51">
        <f t="shared" si="2"/>
        <v>0</v>
      </c>
      <c r="Q23" s="51"/>
      <c r="R23" s="51"/>
      <c r="S23" s="51">
        <f t="shared" si="3"/>
        <v>0</v>
      </c>
      <c r="T23" s="51"/>
      <c r="U23" s="51"/>
      <c r="V23" s="51">
        <f t="shared" si="4"/>
        <v>0</v>
      </c>
      <c r="W23" s="51"/>
      <c r="X23" s="51"/>
      <c r="Y23" s="51">
        <f t="shared" si="5"/>
        <v>0</v>
      </c>
      <c r="Z23" s="51"/>
      <c r="AA23" s="51"/>
      <c r="AB23" s="51">
        <f t="shared" si="6"/>
        <v>0</v>
      </c>
      <c r="AC23" s="51">
        <f t="shared" si="7"/>
        <v>0</v>
      </c>
      <c r="AD23" s="51">
        <f t="shared" si="8"/>
        <v>0</v>
      </c>
      <c r="AE23" s="55"/>
      <c r="AF23" s="55">
        <f t="shared" si="9"/>
        <v>0</v>
      </c>
      <c r="AG23" s="51">
        <f t="shared" si="10"/>
        <v>0</v>
      </c>
    </row>
    <row r="24" spans="1:33" ht="15.75" customHeight="1">
      <c r="A24" s="117">
        <f t="shared" si="0"/>
        <v>15</v>
      </c>
      <c r="B24" s="118" t="s">
        <v>426</v>
      </c>
      <c r="C24" s="132">
        <v>44930</v>
      </c>
      <c r="D24" s="132"/>
      <c r="E24" s="118" t="s">
        <v>143</v>
      </c>
      <c r="F24" s="117" t="s">
        <v>139</v>
      </c>
      <c r="G24" s="118" t="s">
        <v>427</v>
      </c>
      <c r="H24" s="119">
        <v>15</v>
      </c>
      <c r="I24" s="120" t="s">
        <v>425</v>
      </c>
      <c r="J24" s="120"/>
      <c r="K24" s="120"/>
      <c r="L24" s="120"/>
      <c r="M24" s="120">
        <f t="shared" si="1"/>
        <v>0</v>
      </c>
      <c r="N24" s="120"/>
      <c r="O24" s="120"/>
      <c r="P24" s="120">
        <f t="shared" si="2"/>
        <v>0</v>
      </c>
      <c r="Q24" s="120"/>
      <c r="R24" s="120"/>
      <c r="S24" s="120">
        <f t="shared" si="3"/>
        <v>0</v>
      </c>
      <c r="T24" s="120"/>
      <c r="U24" s="120"/>
      <c r="V24" s="120">
        <f t="shared" si="4"/>
        <v>0</v>
      </c>
      <c r="W24" s="120"/>
      <c r="X24" s="120"/>
      <c r="Y24" s="120">
        <f t="shared" si="5"/>
        <v>0</v>
      </c>
      <c r="Z24" s="120"/>
      <c r="AA24" s="120"/>
      <c r="AB24" s="120">
        <f t="shared" si="6"/>
        <v>0</v>
      </c>
      <c r="AC24" s="120">
        <f t="shared" si="7"/>
        <v>0</v>
      </c>
      <c r="AD24" s="120">
        <f t="shared" si="8"/>
        <v>0</v>
      </c>
      <c r="AE24" s="213">
        <f>ROUND(($AN24*$AO$8),2)</f>
        <v>0</v>
      </c>
      <c r="AF24" s="213">
        <f t="shared" si="9"/>
        <v>0</v>
      </c>
      <c r="AG24" s="120">
        <f t="shared" si="10"/>
        <v>0</v>
      </c>
    </row>
    <row r="25" spans="1:33" ht="13.5" customHeight="1">
      <c r="A25" s="44">
        <f t="shared" si="0"/>
        <v>16</v>
      </c>
      <c r="B25" s="209" t="s">
        <v>428</v>
      </c>
      <c r="C25" s="210">
        <v>44930</v>
      </c>
      <c r="D25" s="47"/>
      <c r="E25" s="49" t="s">
        <v>429</v>
      </c>
      <c r="F25" s="44" t="s">
        <v>148</v>
      </c>
      <c r="G25" s="49" t="s">
        <v>80</v>
      </c>
      <c r="H25" s="50">
        <v>8</v>
      </c>
      <c r="I25" s="51" t="s">
        <v>399</v>
      </c>
      <c r="J25" s="51" t="s">
        <v>400</v>
      </c>
      <c r="K25" s="51"/>
      <c r="L25" s="51"/>
      <c r="M25" s="51">
        <f t="shared" si="1"/>
        <v>0</v>
      </c>
      <c r="N25" s="51"/>
      <c r="O25" s="51"/>
      <c r="P25" s="51">
        <f t="shared" si="2"/>
        <v>0</v>
      </c>
      <c r="Q25" s="51"/>
      <c r="R25" s="51"/>
      <c r="S25" s="51">
        <f t="shared" si="3"/>
        <v>0</v>
      </c>
      <c r="T25" s="51"/>
      <c r="U25" s="51"/>
      <c r="V25" s="51">
        <f t="shared" si="4"/>
        <v>0</v>
      </c>
      <c r="W25" s="51"/>
      <c r="X25" s="51"/>
      <c r="Y25" s="51">
        <f t="shared" si="5"/>
        <v>0</v>
      </c>
      <c r="Z25" s="51"/>
      <c r="AA25" s="51"/>
      <c r="AB25" s="51">
        <f t="shared" si="6"/>
        <v>0</v>
      </c>
      <c r="AC25" s="51">
        <f t="shared" si="7"/>
        <v>0</v>
      </c>
      <c r="AD25" s="51">
        <f t="shared" si="8"/>
        <v>0</v>
      </c>
      <c r="AE25" s="55"/>
      <c r="AF25" s="55">
        <f t="shared" si="9"/>
        <v>0</v>
      </c>
      <c r="AG25" s="51">
        <f t="shared" si="10"/>
        <v>0</v>
      </c>
    </row>
    <row r="26" spans="1:33" ht="15.75" customHeight="1">
      <c r="A26" s="44">
        <f t="shared" si="0"/>
        <v>17</v>
      </c>
      <c r="B26" s="211" t="s">
        <v>430</v>
      </c>
      <c r="C26" s="212">
        <v>44942</v>
      </c>
      <c r="D26" s="47"/>
      <c r="E26" s="49" t="s">
        <v>147</v>
      </c>
      <c r="F26" s="44" t="s">
        <v>148</v>
      </c>
      <c r="G26" s="49" t="s">
        <v>80</v>
      </c>
      <c r="H26" s="50">
        <v>8</v>
      </c>
      <c r="I26" s="51" t="s">
        <v>399</v>
      </c>
      <c r="J26" s="51" t="s">
        <v>400</v>
      </c>
      <c r="K26" s="51"/>
      <c r="L26" s="51"/>
      <c r="M26" s="51">
        <f t="shared" si="1"/>
        <v>0</v>
      </c>
      <c r="N26" s="51"/>
      <c r="O26" s="51"/>
      <c r="P26" s="51">
        <f t="shared" si="2"/>
        <v>0</v>
      </c>
      <c r="Q26" s="51"/>
      <c r="R26" s="51"/>
      <c r="S26" s="51">
        <f t="shared" si="3"/>
        <v>0</v>
      </c>
      <c r="T26" s="51"/>
      <c r="U26" s="51"/>
      <c r="V26" s="51">
        <f t="shared" si="4"/>
        <v>0</v>
      </c>
      <c r="W26" s="51"/>
      <c r="X26" s="51"/>
      <c r="Y26" s="51">
        <f t="shared" si="5"/>
        <v>0</v>
      </c>
      <c r="Z26" s="51"/>
      <c r="AA26" s="51"/>
      <c r="AB26" s="51">
        <f t="shared" si="6"/>
        <v>0</v>
      </c>
      <c r="AC26" s="51">
        <f t="shared" si="7"/>
        <v>0</v>
      </c>
      <c r="AD26" s="51">
        <f t="shared" si="8"/>
        <v>0</v>
      </c>
      <c r="AE26" s="55"/>
      <c r="AF26" s="55">
        <f t="shared" si="9"/>
        <v>0</v>
      </c>
      <c r="AG26" s="51">
        <f t="shared" si="10"/>
        <v>0</v>
      </c>
    </row>
    <row r="27" spans="1:33" ht="15.75" customHeight="1">
      <c r="A27" s="44">
        <f t="shared" si="0"/>
        <v>18</v>
      </c>
      <c r="B27" s="209" t="s">
        <v>431</v>
      </c>
      <c r="C27" s="210">
        <v>44942</v>
      </c>
      <c r="D27" s="47"/>
      <c r="E27" s="49" t="s">
        <v>163</v>
      </c>
      <c r="F27" s="44" t="s">
        <v>158</v>
      </c>
      <c r="G27" s="49" t="s">
        <v>80</v>
      </c>
      <c r="H27" s="50">
        <v>8</v>
      </c>
      <c r="I27" s="51" t="s">
        <v>413</v>
      </c>
      <c r="J27" s="51" t="s">
        <v>400</v>
      </c>
      <c r="K27" s="51"/>
      <c r="L27" s="51"/>
      <c r="M27" s="51">
        <f t="shared" si="1"/>
        <v>0</v>
      </c>
      <c r="N27" s="51"/>
      <c r="O27" s="51"/>
      <c r="P27" s="51">
        <f t="shared" si="2"/>
        <v>0</v>
      </c>
      <c r="Q27" s="51"/>
      <c r="R27" s="51"/>
      <c r="S27" s="51">
        <f t="shared" si="3"/>
        <v>0</v>
      </c>
      <c r="T27" s="51"/>
      <c r="U27" s="51"/>
      <c r="V27" s="51">
        <f t="shared" si="4"/>
        <v>0</v>
      </c>
      <c r="W27" s="51"/>
      <c r="X27" s="51"/>
      <c r="Y27" s="51">
        <f t="shared" si="5"/>
        <v>0</v>
      </c>
      <c r="Z27" s="51"/>
      <c r="AA27" s="51"/>
      <c r="AB27" s="51">
        <f t="shared" si="6"/>
        <v>0</v>
      </c>
      <c r="AC27" s="51">
        <f t="shared" si="7"/>
        <v>0</v>
      </c>
      <c r="AD27" s="51">
        <f t="shared" si="8"/>
        <v>0</v>
      </c>
      <c r="AE27" s="55"/>
      <c r="AF27" s="55">
        <f t="shared" si="9"/>
        <v>0</v>
      </c>
      <c r="AG27" s="51">
        <f t="shared" si="10"/>
        <v>0</v>
      </c>
    </row>
    <row r="28" spans="1:33" ht="15.75" customHeight="1">
      <c r="A28" s="44">
        <f t="shared" si="0"/>
        <v>19</v>
      </c>
      <c r="B28" s="211" t="s">
        <v>432</v>
      </c>
      <c r="C28" s="212">
        <v>44942</v>
      </c>
      <c r="D28" s="47"/>
      <c r="E28" s="49" t="s">
        <v>433</v>
      </c>
      <c r="F28" s="44" t="s">
        <v>158</v>
      </c>
      <c r="G28" s="49" t="s">
        <v>80</v>
      </c>
      <c r="H28" s="50">
        <v>8</v>
      </c>
      <c r="I28" s="51" t="s">
        <v>413</v>
      </c>
      <c r="J28" s="51" t="s">
        <v>400</v>
      </c>
      <c r="K28" s="51"/>
      <c r="L28" s="51"/>
      <c r="M28" s="51">
        <f t="shared" si="1"/>
        <v>0</v>
      </c>
      <c r="N28" s="51"/>
      <c r="O28" s="51"/>
      <c r="P28" s="51">
        <f t="shared" si="2"/>
        <v>0</v>
      </c>
      <c r="Q28" s="51"/>
      <c r="R28" s="51"/>
      <c r="S28" s="51">
        <f t="shared" si="3"/>
        <v>0</v>
      </c>
      <c r="T28" s="51"/>
      <c r="U28" s="51"/>
      <c r="V28" s="51">
        <f t="shared" si="4"/>
        <v>0</v>
      </c>
      <c r="W28" s="51"/>
      <c r="X28" s="51"/>
      <c r="Y28" s="51">
        <f t="shared" si="5"/>
        <v>0</v>
      </c>
      <c r="Z28" s="51"/>
      <c r="AA28" s="51"/>
      <c r="AB28" s="51">
        <f t="shared" si="6"/>
        <v>0</v>
      </c>
      <c r="AC28" s="51">
        <f t="shared" si="7"/>
        <v>0</v>
      </c>
      <c r="AD28" s="51">
        <f t="shared" si="8"/>
        <v>0</v>
      </c>
      <c r="AE28" s="55"/>
      <c r="AF28" s="55">
        <f t="shared" si="9"/>
        <v>0</v>
      </c>
      <c r="AG28" s="51">
        <f t="shared" si="10"/>
        <v>0</v>
      </c>
    </row>
    <row r="29" spans="1:33" ht="15.75" customHeight="1">
      <c r="A29" s="44">
        <f t="shared" si="0"/>
        <v>20</v>
      </c>
      <c r="B29" s="211" t="s">
        <v>434</v>
      </c>
      <c r="C29" s="212">
        <v>44942</v>
      </c>
      <c r="D29" s="47"/>
      <c r="E29" s="49" t="s">
        <v>435</v>
      </c>
      <c r="F29" s="44" t="s">
        <v>158</v>
      </c>
      <c r="G29" s="49" t="s">
        <v>436</v>
      </c>
      <c r="H29" s="50">
        <v>11</v>
      </c>
      <c r="I29" s="51" t="s">
        <v>413</v>
      </c>
      <c r="J29" s="51" t="s">
        <v>400</v>
      </c>
      <c r="K29" s="51"/>
      <c r="L29" s="51"/>
      <c r="M29" s="51">
        <f t="shared" si="1"/>
        <v>0</v>
      </c>
      <c r="N29" s="51"/>
      <c r="O29" s="51"/>
      <c r="P29" s="51">
        <f t="shared" si="2"/>
        <v>0</v>
      </c>
      <c r="Q29" s="51"/>
      <c r="R29" s="51"/>
      <c r="S29" s="51">
        <f t="shared" si="3"/>
        <v>0</v>
      </c>
      <c r="T29" s="51"/>
      <c r="U29" s="51"/>
      <c r="V29" s="51">
        <f t="shared" si="4"/>
        <v>0</v>
      </c>
      <c r="W29" s="51"/>
      <c r="X29" s="51"/>
      <c r="Y29" s="51">
        <f t="shared" si="5"/>
        <v>0</v>
      </c>
      <c r="Z29" s="51"/>
      <c r="AA29" s="51"/>
      <c r="AB29" s="51">
        <f t="shared" si="6"/>
        <v>0</v>
      </c>
      <c r="AC29" s="51">
        <f t="shared" si="7"/>
        <v>0</v>
      </c>
      <c r="AD29" s="51">
        <f t="shared" si="8"/>
        <v>0</v>
      </c>
      <c r="AE29" s="55"/>
      <c r="AF29" s="55">
        <f t="shared" si="9"/>
        <v>0</v>
      </c>
      <c r="AG29" s="51">
        <f t="shared" si="10"/>
        <v>0</v>
      </c>
    </row>
    <row r="30" spans="1:33" ht="15.75" customHeight="1">
      <c r="A30" s="44">
        <f t="shared" si="0"/>
        <v>21</v>
      </c>
      <c r="B30" s="211" t="s">
        <v>437</v>
      </c>
      <c r="C30" s="212">
        <v>44942</v>
      </c>
      <c r="D30" s="47"/>
      <c r="E30" s="49" t="s">
        <v>438</v>
      </c>
      <c r="F30" s="44" t="s">
        <v>158</v>
      </c>
      <c r="G30" s="49" t="s">
        <v>80</v>
      </c>
      <c r="H30" s="50">
        <v>8</v>
      </c>
      <c r="I30" s="51" t="s">
        <v>413</v>
      </c>
      <c r="J30" s="51" t="s">
        <v>400</v>
      </c>
      <c r="K30" s="51"/>
      <c r="L30" s="51"/>
      <c r="M30" s="51">
        <f t="shared" si="1"/>
        <v>0</v>
      </c>
      <c r="N30" s="51"/>
      <c r="O30" s="51"/>
      <c r="P30" s="51">
        <f t="shared" si="2"/>
        <v>0</v>
      </c>
      <c r="Q30" s="51"/>
      <c r="R30" s="51"/>
      <c r="S30" s="51">
        <f t="shared" si="3"/>
        <v>0</v>
      </c>
      <c r="T30" s="51"/>
      <c r="U30" s="51"/>
      <c r="V30" s="51">
        <f t="shared" si="4"/>
        <v>0</v>
      </c>
      <c r="W30" s="51"/>
      <c r="X30" s="51"/>
      <c r="Y30" s="51">
        <f t="shared" si="5"/>
        <v>0</v>
      </c>
      <c r="Z30" s="51"/>
      <c r="AA30" s="51"/>
      <c r="AB30" s="51">
        <f t="shared" si="6"/>
        <v>0</v>
      </c>
      <c r="AC30" s="51">
        <f t="shared" si="7"/>
        <v>0</v>
      </c>
      <c r="AD30" s="51">
        <f t="shared" si="8"/>
        <v>0</v>
      </c>
      <c r="AE30" s="55"/>
      <c r="AF30" s="55">
        <f t="shared" si="9"/>
        <v>0</v>
      </c>
      <c r="AG30" s="51">
        <f t="shared" si="10"/>
        <v>0</v>
      </c>
    </row>
    <row r="31" spans="1:33" ht="15.75" customHeight="1">
      <c r="A31" s="44">
        <f t="shared" si="0"/>
        <v>22</v>
      </c>
      <c r="B31" s="211" t="s">
        <v>439</v>
      </c>
      <c r="C31" s="212">
        <v>44942</v>
      </c>
      <c r="D31" s="47"/>
      <c r="E31" s="49" t="s">
        <v>181</v>
      </c>
      <c r="F31" s="44" t="s">
        <v>158</v>
      </c>
      <c r="G31" s="49" t="s">
        <v>80</v>
      </c>
      <c r="H31" s="50">
        <v>8</v>
      </c>
      <c r="I31" s="51" t="s">
        <v>413</v>
      </c>
      <c r="J31" s="51" t="s">
        <v>400</v>
      </c>
      <c r="K31" s="51"/>
      <c r="L31" s="51"/>
      <c r="M31" s="51">
        <f t="shared" si="1"/>
        <v>0</v>
      </c>
      <c r="N31" s="51"/>
      <c r="O31" s="51"/>
      <c r="P31" s="51">
        <f t="shared" si="2"/>
        <v>0</v>
      </c>
      <c r="Q31" s="51"/>
      <c r="R31" s="51"/>
      <c r="S31" s="51">
        <f t="shared" si="3"/>
        <v>0</v>
      </c>
      <c r="T31" s="51"/>
      <c r="U31" s="51"/>
      <c r="V31" s="51">
        <f t="shared" si="4"/>
        <v>0</v>
      </c>
      <c r="W31" s="51"/>
      <c r="X31" s="51"/>
      <c r="Y31" s="51">
        <f t="shared" si="5"/>
        <v>0</v>
      </c>
      <c r="Z31" s="51"/>
      <c r="AA31" s="51"/>
      <c r="AB31" s="51">
        <f t="shared" si="6"/>
        <v>0</v>
      </c>
      <c r="AC31" s="51">
        <f t="shared" si="7"/>
        <v>0</v>
      </c>
      <c r="AD31" s="51">
        <f t="shared" si="8"/>
        <v>0</v>
      </c>
      <c r="AE31" s="55"/>
      <c r="AF31" s="55">
        <f t="shared" si="9"/>
        <v>0</v>
      </c>
      <c r="AG31" s="51">
        <f t="shared" si="10"/>
        <v>0</v>
      </c>
    </row>
    <row r="32" spans="1:33" ht="15.75" customHeight="1">
      <c r="A32" s="44">
        <f t="shared" si="0"/>
        <v>23</v>
      </c>
      <c r="B32" s="209" t="s">
        <v>440</v>
      </c>
      <c r="C32" s="210">
        <v>44942</v>
      </c>
      <c r="D32" s="47"/>
      <c r="E32" s="49" t="s">
        <v>157</v>
      </c>
      <c r="F32" s="44" t="s">
        <v>158</v>
      </c>
      <c r="G32" s="49" t="s">
        <v>80</v>
      </c>
      <c r="H32" s="50">
        <v>8</v>
      </c>
      <c r="I32" s="51" t="s">
        <v>413</v>
      </c>
      <c r="J32" s="51" t="s">
        <v>400</v>
      </c>
      <c r="K32" s="51"/>
      <c r="L32" s="51"/>
      <c r="M32" s="51">
        <f t="shared" si="1"/>
        <v>0</v>
      </c>
      <c r="N32" s="51"/>
      <c r="O32" s="51"/>
      <c r="P32" s="51">
        <f t="shared" si="2"/>
        <v>0</v>
      </c>
      <c r="Q32" s="51"/>
      <c r="R32" s="51"/>
      <c r="S32" s="51">
        <f t="shared" si="3"/>
        <v>0</v>
      </c>
      <c r="T32" s="51"/>
      <c r="U32" s="51"/>
      <c r="V32" s="51">
        <f t="shared" si="4"/>
        <v>0</v>
      </c>
      <c r="W32" s="51"/>
      <c r="X32" s="51"/>
      <c r="Y32" s="51">
        <f t="shared" si="5"/>
        <v>0</v>
      </c>
      <c r="Z32" s="51"/>
      <c r="AA32" s="51"/>
      <c r="AB32" s="51">
        <f t="shared" si="6"/>
        <v>0</v>
      </c>
      <c r="AC32" s="51">
        <f t="shared" si="7"/>
        <v>0</v>
      </c>
      <c r="AD32" s="51">
        <f t="shared" si="8"/>
        <v>0</v>
      </c>
      <c r="AE32" s="55"/>
      <c r="AF32" s="55">
        <f t="shared" si="9"/>
        <v>0</v>
      </c>
      <c r="AG32" s="51">
        <f t="shared" si="10"/>
        <v>0</v>
      </c>
    </row>
    <row r="33" spans="1:33" ht="15.75" customHeight="1">
      <c r="A33" s="44">
        <f t="shared" si="0"/>
        <v>24</v>
      </c>
      <c r="B33" s="209" t="s">
        <v>441</v>
      </c>
      <c r="C33" s="210">
        <v>44942</v>
      </c>
      <c r="D33" s="47"/>
      <c r="E33" s="49" t="s">
        <v>442</v>
      </c>
      <c r="F33" s="44" t="s">
        <v>158</v>
      </c>
      <c r="G33" s="49" t="s">
        <v>80</v>
      </c>
      <c r="H33" s="50">
        <v>8</v>
      </c>
      <c r="I33" s="51" t="s">
        <v>413</v>
      </c>
      <c r="J33" s="51" t="s">
        <v>400</v>
      </c>
      <c r="K33" s="51"/>
      <c r="L33" s="51"/>
      <c r="M33" s="51">
        <f t="shared" si="1"/>
        <v>0</v>
      </c>
      <c r="N33" s="51"/>
      <c r="O33" s="51"/>
      <c r="P33" s="51">
        <f t="shared" si="2"/>
        <v>0</v>
      </c>
      <c r="Q33" s="51"/>
      <c r="R33" s="51"/>
      <c r="S33" s="51">
        <f t="shared" si="3"/>
        <v>0</v>
      </c>
      <c r="T33" s="51"/>
      <c r="U33" s="51"/>
      <c r="V33" s="51">
        <f t="shared" si="4"/>
        <v>0</v>
      </c>
      <c r="W33" s="51"/>
      <c r="X33" s="51"/>
      <c r="Y33" s="51">
        <f t="shared" si="5"/>
        <v>0</v>
      </c>
      <c r="Z33" s="51"/>
      <c r="AA33" s="51"/>
      <c r="AB33" s="51">
        <f t="shared" si="6"/>
        <v>0</v>
      </c>
      <c r="AC33" s="51">
        <f t="shared" si="7"/>
        <v>0</v>
      </c>
      <c r="AD33" s="51">
        <f t="shared" si="8"/>
        <v>0</v>
      </c>
      <c r="AE33" s="55"/>
      <c r="AF33" s="55">
        <f t="shared" si="9"/>
        <v>0</v>
      </c>
      <c r="AG33" s="51">
        <f t="shared" si="10"/>
        <v>0</v>
      </c>
    </row>
    <row r="34" spans="1:33" ht="15.75" customHeight="1">
      <c r="A34" s="117">
        <f t="shared" si="0"/>
        <v>25</v>
      </c>
      <c r="B34" s="214" t="s">
        <v>443</v>
      </c>
      <c r="C34" s="215">
        <v>44942</v>
      </c>
      <c r="D34" s="132"/>
      <c r="E34" s="118" t="s">
        <v>444</v>
      </c>
      <c r="F34" s="117" t="s">
        <v>445</v>
      </c>
      <c r="G34" s="118" t="s">
        <v>257</v>
      </c>
      <c r="H34" s="119">
        <v>15</v>
      </c>
      <c r="I34" s="120" t="s">
        <v>399</v>
      </c>
      <c r="J34" s="120"/>
      <c r="K34" s="120"/>
      <c r="L34" s="120"/>
      <c r="M34" s="120">
        <f t="shared" si="1"/>
        <v>0</v>
      </c>
      <c r="N34" s="120"/>
      <c r="O34" s="120"/>
      <c r="P34" s="120">
        <f t="shared" si="2"/>
        <v>0</v>
      </c>
      <c r="Q34" s="120"/>
      <c r="R34" s="120"/>
      <c r="S34" s="120">
        <f t="shared" si="3"/>
        <v>0</v>
      </c>
      <c r="T34" s="120"/>
      <c r="U34" s="120"/>
      <c r="V34" s="120">
        <f t="shared" si="4"/>
        <v>0</v>
      </c>
      <c r="W34" s="120"/>
      <c r="X34" s="120"/>
      <c r="Y34" s="120">
        <f t="shared" si="5"/>
        <v>0</v>
      </c>
      <c r="Z34" s="120"/>
      <c r="AA34" s="120"/>
      <c r="AB34" s="120">
        <f t="shared" si="6"/>
        <v>0</v>
      </c>
      <c r="AC34" s="120">
        <f t="shared" si="7"/>
        <v>0</v>
      </c>
      <c r="AD34" s="120">
        <f t="shared" si="8"/>
        <v>0</v>
      </c>
      <c r="AE34" s="213">
        <f>ROUND(($AN34*$AO$8),2)</f>
        <v>0</v>
      </c>
      <c r="AF34" s="213">
        <f t="shared" si="9"/>
        <v>0</v>
      </c>
      <c r="AG34" s="120">
        <f t="shared" si="10"/>
        <v>0</v>
      </c>
    </row>
    <row r="35" spans="1:33" ht="14.25" customHeight="1">
      <c r="A35" s="44">
        <f t="shared" si="0"/>
        <v>26</v>
      </c>
      <c r="B35" s="211" t="s">
        <v>446</v>
      </c>
      <c r="C35" s="212">
        <v>44942</v>
      </c>
      <c r="D35" s="47"/>
      <c r="E35" s="49" t="s">
        <v>447</v>
      </c>
      <c r="F35" s="44" t="s">
        <v>445</v>
      </c>
      <c r="G35" s="49" t="s">
        <v>80</v>
      </c>
      <c r="H35" s="50">
        <v>8</v>
      </c>
      <c r="I35" s="51" t="s">
        <v>399</v>
      </c>
      <c r="J35" s="51" t="s">
        <v>400</v>
      </c>
      <c r="K35" s="51"/>
      <c r="L35" s="51"/>
      <c r="M35" s="51">
        <f t="shared" si="1"/>
        <v>0</v>
      </c>
      <c r="N35" s="51"/>
      <c r="O35" s="51"/>
      <c r="P35" s="51">
        <f t="shared" si="2"/>
        <v>0</v>
      </c>
      <c r="Q35" s="51"/>
      <c r="R35" s="51"/>
      <c r="S35" s="51">
        <f t="shared" si="3"/>
        <v>0</v>
      </c>
      <c r="T35" s="51"/>
      <c r="U35" s="51"/>
      <c r="V35" s="51">
        <f t="shared" si="4"/>
        <v>0</v>
      </c>
      <c r="W35" s="51"/>
      <c r="X35" s="51"/>
      <c r="Y35" s="51">
        <f t="shared" si="5"/>
        <v>0</v>
      </c>
      <c r="Z35" s="51"/>
      <c r="AA35" s="51"/>
      <c r="AB35" s="51">
        <f t="shared" si="6"/>
        <v>0</v>
      </c>
      <c r="AC35" s="51">
        <f t="shared" si="7"/>
        <v>0</v>
      </c>
      <c r="AD35" s="51">
        <f t="shared" si="8"/>
        <v>0</v>
      </c>
      <c r="AE35" s="55"/>
      <c r="AF35" s="55">
        <f t="shared" si="9"/>
        <v>0</v>
      </c>
      <c r="AG35" s="51">
        <f t="shared" si="10"/>
        <v>0</v>
      </c>
    </row>
    <row r="36" spans="1:33" ht="15.75" customHeight="1">
      <c r="A36" s="44">
        <f t="shared" si="0"/>
        <v>27</v>
      </c>
      <c r="B36" s="209" t="s">
        <v>448</v>
      </c>
      <c r="C36" s="210">
        <v>44930</v>
      </c>
      <c r="D36" s="47"/>
      <c r="E36" s="49" t="s">
        <v>449</v>
      </c>
      <c r="F36" s="44" t="s">
        <v>183</v>
      </c>
      <c r="G36" s="49" t="s">
        <v>80</v>
      </c>
      <c r="H36" s="50">
        <v>8</v>
      </c>
      <c r="I36" s="51" t="s">
        <v>399</v>
      </c>
      <c r="J36" s="51" t="s">
        <v>400</v>
      </c>
      <c r="K36" s="51"/>
      <c r="L36" s="51"/>
      <c r="M36" s="51">
        <f t="shared" si="1"/>
        <v>0</v>
      </c>
      <c r="N36" s="51"/>
      <c r="O36" s="51"/>
      <c r="P36" s="51">
        <f t="shared" si="2"/>
        <v>0</v>
      </c>
      <c r="Q36" s="51"/>
      <c r="R36" s="51"/>
      <c r="S36" s="51">
        <f t="shared" si="3"/>
        <v>0</v>
      </c>
      <c r="T36" s="51"/>
      <c r="U36" s="51"/>
      <c r="V36" s="51">
        <f t="shared" si="4"/>
        <v>0</v>
      </c>
      <c r="W36" s="51"/>
      <c r="X36" s="51"/>
      <c r="Y36" s="51">
        <f t="shared" si="5"/>
        <v>0</v>
      </c>
      <c r="Z36" s="51"/>
      <c r="AA36" s="51"/>
      <c r="AB36" s="51">
        <f t="shared" si="6"/>
        <v>0</v>
      </c>
      <c r="AC36" s="51">
        <f t="shared" si="7"/>
        <v>0</v>
      </c>
      <c r="AD36" s="51">
        <f t="shared" si="8"/>
        <v>0</v>
      </c>
      <c r="AE36" s="55"/>
      <c r="AF36" s="55">
        <f t="shared" si="9"/>
        <v>0</v>
      </c>
      <c r="AG36" s="51">
        <f t="shared" si="10"/>
        <v>0</v>
      </c>
    </row>
    <row r="37" spans="1:33" ht="15.75" customHeight="1">
      <c r="A37" s="44">
        <f t="shared" si="0"/>
        <v>28</v>
      </c>
      <c r="B37" s="209" t="s">
        <v>450</v>
      </c>
      <c r="C37" s="210">
        <v>44930</v>
      </c>
      <c r="D37" s="47"/>
      <c r="E37" s="49" t="s">
        <v>451</v>
      </c>
      <c r="F37" s="44" t="s">
        <v>183</v>
      </c>
      <c r="G37" s="49" t="s">
        <v>80</v>
      </c>
      <c r="H37" s="50">
        <v>8</v>
      </c>
      <c r="I37" s="51" t="s">
        <v>399</v>
      </c>
      <c r="J37" s="51" t="s">
        <v>400</v>
      </c>
      <c r="K37" s="51"/>
      <c r="L37" s="51"/>
      <c r="M37" s="51">
        <f t="shared" si="1"/>
        <v>0</v>
      </c>
      <c r="N37" s="51"/>
      <c r="O37" s="51"/>
      <c r="P37" s="51">
        <f t="shared" si="2"/>
        <v>0</v>
      </c>
      <c r="Q37" s="51"/>
      <c r="R37" s="51"/>
      <c r="S37" s="51">
        <f t="shared" si="3"/>
        <v>0</v>
      </c>
      <c r="T37" s="51"/>
      <c r="U37" s="51"/>
      <c r="V37" s="51">
        <f t="shared" si="4"/>
        <v>0</v>
      </c>
      <c r="W37" s="51"/>
      <c r="X37" s="51"/>
      <c r="Y37" s="51">
        <f t="shared" si="5"/>
        <v>0</v>
      </c>
      <c r="Z37" s="51"/>
      <c r="AA37" s="51"/>
      <c r="AB37" s="51">
        <f t="shared" si="6"/>
        <v>0</v>
      </c>
      <c r="AC37" s="51">
        <f t="shared" si="7"/>
        <v>0</v>
      </c>
      <c r="AD37" s="51">
        <f t="shared" si="8"/>
        <v>0</v>
      </c>
      <c r="AE37" s="55"/>
      <c r="AF37" s="55">
        <f t="shared" si="9"/>
        <v>0</v>
      </c>
      <c r="AG37" s="51">
        <f t="shared" si="10"/>
        <v>0</v>
      </c>
    </row>
    <row r="38" spans="1:33" ht="15.75" customHeight="1">
      <c r="A38" s="44">
        <f t="shared" si="0"/>
        <v>29</v>
      </c>
      <c r="B38" s="209" t="s">
        <v>452</v>
      </c>
      <c r="C38" s="210">
        <v>44930</v>
      </c>
      <c r="D38" s="47"/>
      <c r="E38" s="49" t="s">
        <v>141</v>
      </c>
      <c r="F38" s="44" t="s">
        <v>189</v>
      </c>
      <c r="G38" s="49" t="s">
        <v>80</v>
      </c>
      <c r="H38" s="50">
        <v>8</v>
      </c>
      <c r="I38" s="51" t="s">
        <v>399</v>
      </c>
      <c r="J38" s="51" t="s">
        <v>400</v>
      </c>
      <c r="K38" s="51"/>
      <c r="L38" s="51"/>
      <c r="M38" s="51">
        <f t="shared" si="1"/>
        <v>0</v>
      </c>
      <c r="N38" s="51"/>
      <c r="O38" s="51"/>
      <c r="P38" s="51">
        <f t="shared" si="2"/>
        <v>0</v>
      </c>
      <c r="Q38" s="51"/>
      <c r="R38" s="51"/>
      <c r="S38" s="51">
        <f t="shared" si="3"/>
        <v>0</v>
      </c>
      <c r="T38" s="51"/>
      <c r="U38" s="51"/>
      <c r="V38" s="51">
        <f t="shared" si="4"/>
        <v>0</v>
      </c>
      <c r="W38" s="51"/>
      <c r="X38" s="51"/>
      <c r="Y38" s="51">
        <f t="shared" si="5"/>
        <v>0</v>
      </c>
      <c r="Z38" s="51"/>
      <c r="AA38" s="51"/>
      <c r="AB38" s="51">
        <f t="shared" si="6"/>
        <v>0</v>
      </c>
      <c r="AC38" s="51">
        <f t="shared" si="7"/>
        <v>0</v>
      </c>
      <c r="AD38" s="51">
        <f t="shared" si="8"/>
        <v>0</v>
      </c>
      <c r="AE38" s="55"/>
      <c r="AF38" s="55">
        <f t="shared" si="9"/>
        <v>0</v>
      </c>
      <c r="AG38" s="51">
        <f t="shared" si="10"/>
        <v>0</v>
      </c>
    </row>
    <row r="39" spans="1:33" ht="15.75" customHeight="1">
      <c r="A39" s="44">
        <f t="shared" si="0"/>
        <v>30</v>
      </c>
      <c r="B39" s="209" t="s">
        <v>453</v>
      </c>
      <c r="C39" s="210">
        <v>44930</v>
      </c>
      <c r="D39" s="112"/>
      <c r="E39" s="49" t="s">
        <v>166</v>
      </c>
      <c r="F39" s="44" t="s">
        <v>193</v>
      </c>
      <c r="G39" s="49" t="s">
        <v>194</v>
      </c>
      <c r="H39" s="50">
        <v>7</v>
      </c>
      <c r="I39" s="51" t="s">
        <v>399</v>
      </c>
      <c r="J39" s="51" t="s">
        <v>400</v>
      </c>
      <c r="K39" s="51"/>
      <c r="L39" s="51"/>
      <c r="M39" s="51">
        <f t="shared" si="1"/>
        <v>0</v>
      </c>
      <c r="N39" s="51"/>
      <c r="O39" s="51"/>
      <c r="P39" s="51">
        <f t="shared" si="2"/>
        <v>0</v>
      </c>
      <c r="Q39" s="51"/>
      <c r="R39" s="51"/>
      <c r="S39" s="51">
        <f t="shared" si="3"/>
        <v>0</v>
      </c>
      <c r="T39" s="51"/>
      <c r="U39" s="51"/>
      <c r="V39" s="51">
        <f t="shared" si="4"/>
        <v>0</v>
      </c>
      <c r="W39" s="51"/>
      <c r="X39" s="51"/>
      <c r="Y39" s="51">
        <f t="shared" si="5"/>
        <v>0</v>
      </c>
      <c r="Z39" s="51"/>
      <c r="AA39" s="51"/>
      <c r="AB39" s="51">
        <f t="shared" si="6"/>
        <v>0</v>
      </c>
      <c r="AC39" s="51">
        <f t="shared" si="7"/>
        <v>0</v>
      </c>
      <c r="AD39" s="51">
        <f t="shared" si="8"/>
        <v>0</v>
      </c>
      <c r="AE39" s="55"/>
      <c r="AF39" s="55">
        <f t="shared" si="9"/>
        <v>0</v>
      </c>
      <c r="AG39" s="51">
        <f t="shared" si="10"/>
        <v>0</v>
      </c>
    </row>
    <row r="40" spans="1:33" ht="15.75" customHeight="1">
      <c r="A40" s="44">
        <f t="shared" si="0"/>
        <v>31</v>
      </c>
      <c r="B40" s="211" t="s">
        <v>454</v>
      </c>
      <c r="C40" s="212">
        <v>44930</v>
      </c>
      <c r="D40" s="113"/>
      <c r="E40" s="49" t="s">
        <v>455</v>
      </c>
      <c r="F40" s="44" t="s">
        <v>193</v>
      </c>
      <c r="G40" s="49" t="s">
        <v>456</v>
      </c>
      <c r="H40" s="50">
        <v>7</v>
      </c>
      <c r="I40" s="51" t="s">
        <v>399</v>
      </c>
      <c r="J40" s="51" t="s">
        <v>400</v>
      </c>
      <c r="K40" s="51"/>
      <c r="L40" s="51"/>
      <c r="M40" s="51">
        <f t="shared" si="1"/>
        <v>0</v>
      </c>
      <c r="N40" s="51"/>
      <c r="O40" s="51"/>
      <c r="P40" s="51">
        <f t="shared" si="2"/>
        <v>0</v>
      </c>
      <c r="Q40" s="51"/>
      <c r="R40" s="51"/>
      <c r="S40" s="51">
        <f t="shared" si="3"/>
        <v>0</v>
      </c>
      <c r="T40" s="51"/>
      <c r="U40" s="51"/>
      <c r="V40" s="51">
        <f t="shared" si="4"/>
        <v>0</v>
      </c>
      <c r="W40" s="51"/>
      <c r="X40" s="51"/>
      <c r="Y40" s="51">
        <f t="shared" si="5"/>
        <v>0</v>
      </c>
      <c r="Z40" s="51"/>
      <c r="AA40" s="51"/>
      <c r="AB40" s="51">
        <f t="shared" si="6"/>
        <v>0</v>
      </c>
      <c r="AC40" s="51">
        <f t="shared" si="7"/>
        <v>0</v>
      </c>
      <c r="AD40" s="51">
        <f t="shared" si="8"/>
        <v>0</v>
      </c>
      <c r="AE40" s="55"/>
      <c r="AF40" s="55">
        <f t="shared" si="9"/>
        <v>0</v>
      </c>
      <c r="AG40" s="51">
        <f t="shared" si="10"/>
        <v>0</v>
      </c>
    </row>
    <row r="41" spans="1:33" ht="15.75" customHeight="1">
      <c r="A41" s="44">
        <f t="shared" si="0"/>
        <v>32</v>
      </c>
      <c r="B41" s="211" t="s">
        <v>457</v>
      </c>
      <c r="C41" s="212">
        <v>44930</v>
      </c>
      <c r="D41" s="113"/>
      <c r="E41" s="49" t="s">
        <v>149</v>
      </c>
      <c r="F41" s="44" t="s">
        <v>193</v>
      </c>
      <c r="G41" s="49" t="s">
        <v>80</v>
      </c>
      <c r="H41" s="50">
        <v>8</v>
      </c>
      <c r="I41" s="51" t="s">
        <v>399</v>
      </c>
      <c r="J41" s="51" t="s">
        <v>400</v>
      </c>
      <c r="K41" s="51"/>
      <c r="L41" s="51"/>
      <c r="M41" s="51">
        <f t="shared" si="1"/>
        <v>0</v>
      </c>
      <c r="N41" s="51"/>
      <c r="O41" s="51"/>
      <c r="P41" s="51">
        <f t="shared" si="2"/>
        <v>0</v>
      </c>
      <c r="Q41" s="51"/>
      <c r="R41" s="51"/>
      <c r="S41" s="51">
        <f t="shared" si="3"/>
        <v>0</v>
      </c>
      <c r="T41" s="51"/>
      <c r="U41" s="51"/>
      <c r="V41" s="51">
        <f t="shared" si="4"/>
        <v>0</v>
      </c>
      <c r="W41" s="51"/>
      <c r="X41" s="51"/>
      <c r="Y41" s="51">
        <f t="shared" si="5"/>
        <v>0</v>
      </c>
      <c r="Z41" s="51"/>
      <c r="AA41" s="51"/>
      <c r="AB41" s="51">
        <f t="shared" si="6"/>
        <v>0</v>
      </c>
      <c r="AC41" s="51">
        <f t="shared" si="7"/>
        <v>0</v>
      </c>
      <c r="AD41" s="51">
        <f t="shared" si="8"/>
        <v>0</v>
      </c>
      <c r="AE41" s="55"/>
      <c r="AF41" s="55">
        <f t="shared" si="9"/>
        <v>0</v>
      </c>
      <c r="AG41" s="51">
        <f t="shared" si="10"/>
        <v>0</v>
      </c>
    </row>
    <row r="42" spans="1:33" ht="15.75" customHeight="1">
      <c r="A42" s="44">
        <f t="shared" si="0"/>
        <v>33</v>
      </c>
      <c r="B42" s="211" t="s">
        <v>458</v>
      </c>
      <c r="C42" s="212">
        <v>44930</v>
      </c>
      <c r="D42" s="113"/>
      <c r="E42" s="49" t="s">
        <v>199</v>
      </c>
      <c r="F42" s="44" t="s">
        <v>193</v>
      </c>
      <c r="G42" s="49" t="s">
        <v>194</v>
      </c>
      <c r="H42" s="50">
        <v>7</v>
      </c>
      <c r="I42" s="51" t="s">
        <v>399</v>
      </c>
      <c r="J42" s="51" t="s">
        <v>400</v>
      </c>
      <c r="K42" s="51"/>
      <c r="L42" s="51"/>
      <c r="M42" s="51">
        <f t="shared" si="1"/>
        <v>0</v>
      </c>
      <c r="N42" s="51"/>
      <c r="O42" s="51"/>
      <c r="P42" s="51">
        <f t="shared" si="2"/>
        <v>0</v>
      </c>
      <c r="Q42" s="51"/>
      <c r="R42" s="51"/>
      <c r="S42" s="51">
        <f t="shared" si="3"/>
        <v>0</v>
      </c>
      <c r="T42" s="51"/>
      <c r="U42" s="51"/>
      <c r="V42" s="51">
        <f t="shared" si="4"/>
        <v>0</v>
      </c>
      <c r="W42" s="51"/>
      <c r="X42" s="51"/>
      <c r="Y42" s="51">
        <f t="shared" si="5"/>
        <v>0</v>
      </c>
      <c r="Z42" s="51"/>
      <c r="AA42" s="51"/>
      <c r="AB42" s="51">
        <f t="shared" si="6"/>
        <v>0</v>
      </c>
      <c r="AC42" s="51">
        <f t="shared" si="7"/>
        <v>0</v>
      </c>
      <c r="AD42" s="51">
        <f t="shared" si="8"/>
        <v>0</v>
      </c>
      <c r="AE42" s="55"/>
      <c r="AF42" s="55">
        <f t="shared" si="9"/>
        <v>0</v>
      </c>
      <c r="AG42" s="51">
        <f t="shared" si="10"/>
        <v>0</v>
      </c>
    </row>
    <row r="43" spans="1:33" ht="15.75" customHeight="1">
      <c r="A43" s="44">
        <f t="shared" si="0"/>
        <v>34</v>
      </c>
      <c r="B43" s="211" t="s">
        <v>459</v>
      </c>
      <c r="C43" s="212">
        <v>44930</v>
      </c>
      <c r="D43" s="113"/>
      <c r="E43" s="49" t="s">
        <v>201</v>
      </c>
      <c r="F43" s="44" t="s">
        <v>193</v>
      </c>
      <c r="G43" s="49" t="s">
        <v>194</v>
      </c>
      <c r="H43" s="50">
        <v>7</v>
      </c>
      <c r="I43" s="51" t="s">
        <v>399</v>
      </c>
      <c r="J43" s="51" t="s">
        <v>400</v>
      </c>
      <c r="K43" s="51"/>
      <c r="L43" s="51"/>
      <c r="M43" s="51">
        <f t="shared" si="1"/>
        <v>0</v>
      </c>
      <c r="N43" s="51"/>
      <c r="O43" s="51"/>
      <c r="P43" s="51">
        <f t="shared" si="2"/>
        <v>0</v>
      </c>
      <c r="Q43" s="51"/>
      <c r="R43" s="51"/>
      <c r="S43" s="51">
        <f t="shared" si="3"/>
        <v>0</v>
      </c>
      <c r="T43" s="51"/>
      <c r="U43" s="51"/>
      <c r="V43" s="51">
        <f t="shared" si="4"/>
        <v>0</v>
      </c>
      <c r="W43" s="51"/>
      <c r="X43" s="51"/>
      <c r="Y43" s="51">
        <f t="shared" si="5"/>
        <v>0</v>
      </c>
      <c r="Z43" s="51"/>
      <c r="AA43" s="51"/>
      <c r="AB43" s="51">
        <f t="shared" si="6"/>
        <v>0</v>
      </c>
      <c r="AC43" s="51">
        <f t="shared" si="7"/>
        <v>0</v>
      </c>
      <c r="AD43" s="51">
        <f t="shared" si="8"/>
        <v>0</v>
      </c>
      <c r="AE43" s="55"/>
      <c r="AF43" s="55">
        <f t="shared" si="9"/>
        <v>0</v>
      </c>
      <c r="AG43" s="51">
        <f t="shared" si="10"/>
        <v>0</v>
      </c>
    </row>
    <row r="44" spans="1:33" ht="15.75" customHeight="1">
      <c r="A44" s="117">
        <f t="shared" si="0"/>
        <v>35</v>
      </c>
      <c r="B44" s="214" t="s">
        <v>460</v>
      </c>
      <c r="C44" s="215">
        <v>44930</v>
      </c>
      <c r="D44" s="123"/>
      <c r="E44" s="118" t="s">
        <v>212</v>
      </c>
      <c r="F44" s="117" t="s">
        <v>213</v>
      </c>
      <c r="G44" s="118" t="s">
        <v>214</v>
      </c>
      <c r="H44" s="119">
        <v>16</v>
      </c>
      <c r="I44" s="120" t="s">
        <v>399</v>
      </c>
      <c r="J44" s="120"/>
      <c r="K44" s="120"/>
      <c r="L44" s="120"/>
      <c r="M44" s="120">
        <f t="shared" si="1"/>
        <v>0</v>
      </c>
      <c r="N44" s="120"/>
      <c r="O44" s="120"/>
      <c r="P44" s="120">
        <f t="shared" si="2"/>
        <v>0</v>
      </c>
      <c r="Q44" s="120"/>
      <c r="R44" s="120"/>
      <c r="S44" s="120">
        <f t="shared" si="3"/>
        <v>0</v>
      </c>
      <c r="T44" s="120"/>
      <c r="U44" s="120"/>
      <c r="V44" s="120">
        <f t="shared" si="4"/>
        <v>0</v>
      </c>
      <c r="W44" s="120"/>
      <c r="X44" s="120"/>
      <c r="Y44" s="120">
        <f t="shared" si="5"/>
        <v>0</v>
      </c>
      <c r="Z44" s="120"/>
      <c r="AA44" s="120"/>
      <c r="AB44" s="120">
        <f t="shared" si="6"/>
        <v>0</v>
      </c>
      <c r="AC44" s="120">
        <f t="shared" si="7"/>
        <v>0</v>
      </c>
      <c r="AD44" s="120">
        <f t="shared" si="8"/>
        <v>0</v>
      </c>
      <c r="AE44" s="213">
        <f>ROUND(($AN44*$AO$8),2)</f>
        <v>0</v>
      </c>
      <c r="AF44" s="213">
        <f t="shared" si="9"/>
        <v>0</v>
      </c>
      <c r="AG44" s="120">
        <f t="shared" si="10"/>
        <v>0</v>
      </c>
    </row>
    <row r="45" spans="1:33" ht="15.75" customHeight="1">
      <c r="A45" s="44">
        <f t="shared" si="0"/>
        <v>36</v>
      </c>
      <c r="B45" s="211" t="s">
        <v>461</v>
      </c>
      <c r="C45" s="212">
        <v>44930</v>
      </c>
      <c r="D45" s="113"/>
      <c r="E45" s="49" t="s">
        <v>215</v>
      </c>
      <c r="F45" s="44" t="s">
        <v>213</v>
      </c>
      <c r="G45" s="49" t="s">
        <v>462</v>
      </c>
      <c r="H45" s="50">
        <v>9</v>
      </c>
      <c r="I45" s="51" t="s">
        <v>399</v>
      </c>
      <c r="J45" s="51" t="s">
        <v>400</v>
      </c>
      <c r="K45" s="51"/>
      <c r="L45" s="51"/>
      <c r="M45" s="51">
        <f t="shared" si="1"/>
        <v>0</v>
      </c>
      <c r="N45" s="51"/>
      <c r="O45" s="51"/>
      <c r="P45" s="51">
        <f t="shared" si="2"/>
        <v>0</v>
      </c>
      <c r="Q45" s="51"/>
      <c r="R45" s="51"/>
      <c r="S45" s="51">
        <f t="shared" si="3"/>
        <v>0</v>
      </c>
      <c r="T45" s="51"/>
      <c r="U45" s="51"/>
      <c r="V45" s="51">
        <f t="shared" si="4"/>
        <v>0</v>
      </c>
      <c r="W45" s="51"/>
      <c r="X45" s="51"/>
      <c r="Y45" s="51">
        <f t="shared" si="5"/>
        <v>0</v>
      </c>
      <c r="Z45" s="51"/>
      <c r="AA45" s="51"/>
      <c r="AB45" s="51">
        <f t="shared" si="6"/>
        <v>0</v>
      </c>
      <c r="AC45" s="51">
        <f t="shared" si="7"/>
        <v>0</v>
      </c>
      <c r="AD45" s="51">
        <f t="shared" si="8"/>
        <v>0</v>
      </c>
      <c r="AE45" s="55"/>
      <c r="AF45" s="55">
        <f t="shared" si="9"/>
        <v>0</v>
      </c>
      <c r="AG45" s="51">
        <f t="shared" si="10"/>
        <v>0</v>
      </c>
    </row>
    <row r="46" spans="1:33" ht="15.75" customHeight="1">
      <c r="A46" s="44">
        <f t="shared" si="0"/>
        <v>37</v>
      </c>
      <c r="B46" s="211" t="s">
        <v>463</v>
      </c>
      <c r="C46" s="212">
        <v>44930</v>
      </c>
      <c r="D46" s="113"/>
      <c r="E46" s="118" t="s">
        <v>464</v>
      </c>
      <c r="F46" s="44" t="s">
        <v>213</v>
      </c>
      <c r="G46" s="49" t="s">
        <v>465</v>
      </c>
      <c r="H46" s="50">
        <v>16</v>
      </c>
      <c r="I46" s="51" t="s">
        <v>399</v>
      </c>
      <c r="J46" s="51"/>
      <c r="K46" s="51"/>
      <c r="L46" s="51"/>
      <c r="M46" s="51">
        <f t="shared" si="1"/>
        <v>0</v>
      </c>
      <c r="N46" s="51"/>
      <c r="O46" s="51"/>
      <c r="P46" s="51">
        <f t="shared" si="2"/>
        <v>0</v>
      </c>
      <c r="Q46" s="51"/>
      <c r="R46" s="51"/>
      <c r="S46" s="51">
        <f t="shared" si="3"/>
        <v>0</v>
      </c>
      <c r="T46" s="51"/>
      <c r="U46" s="51"/>
      <c r="V46" s="51">
        <f t="shared" si="4"/>
        <v>0</v>
      </c>
      <c r="W46" s="51"/>
      <c r="X46" s="51"/>
      <c r="Y46" s="51">
        <f t="shared" si="5"/>
        <v>0</v>
      </c>
      <c r="Z46" s="51"/>
      <c r="AA46" s="51"/>
      <c r="AB46" s="51">
        <f t="shared" si="6"/>
        <v>0</v>
      </c>
      <c r="AC46" s="51">
        <f t="shared" si="7"/>
        <v>0</v>
      </c>
      <c r="AD46" s="51">
        <f t="shared" si="8"/>
        <v>0</v>
      </c>
      <c r="AE46" s="55"/>
      <c r="AF46" s="55">
        <f t="shared" si="9"/>
        <v>0</v>
      </c>
      <c r="AG46" s="51">
        <f t="shared" si="10"/>
        <v>0</v>
      </c>
    </row>
    <row r="47" spans="1:33" ht="15.75" customHeight="1">
      <c r="A47" s="44">
        <f t="shared" si="0"/>
        <v>38</v>
      </c>
      <c r="B47" s="209" t="s">
        <v>466</v>
      </c>
      <c r="C47" s="210">
        <v>44942</v>
      </c>
      <c r="D47" s="112"/>
      <c r="E47" s="49" t="s">
        <v>207</v>
      </c>
      <c r="F47" s="44" t="s">
        <v>223</v>
      </c>
      <c r="G47" s="49" t="s">
        <v>80</v>
      </c>
      <c r="H47" s="50">
        <v>8</v>
      </c>
      <c r="I47" s="51" t="s">
        <v>399</v>
      </c>
      <c r="J47" s="51" t="s">
        <v>400</v>
      </c>
      <c r="K47" s="51"/>
      <c r="L47" s="51"/>
      <c r="M47" s="51">
        <f t="shared" si="1"/>
        <v>0</v>
      </c>
      <c r="N47" s="51"/>
      <c r="O47" s="51"/>
      <c r="P47" s="51">
        <f t="shared" si="2"/>
        <v>0</v>
      </c>
      <c r="Q47" s="51"/>
      <c r="R47" s="51"/>
      <c r="S47" s="51">
        <f t="shared" si="3"/>
        <v>0</v>
      </c>
      <c r="T47" s="51"/>
      <c r="U47" s="51"/>
      <c r="V47" s="51">
        <f t="shared" si="4"/>
        <v>0</v>
      </c>
      <c r="W47" s="51"/>
      <c r="X47" s="51"/>
      <c r="Y47" s="51">
        <f t="shared" si="5"/>
        <v>0</v>
      </c>
      <c r="Z47" s="51"/>
      <c r="AA47" s="51"/>
      <c r="AB47" s="51">
        <f t="shared" si="6"/>
        <v>0</v>
      </c>
      <c r="AC47" s="51">
        <f t="shared" si="7"/>
        <v>0</v>
      </c>
      <c r="AD47" s="51">
        <f t="shared" si="8"/>
        <v>0</v>
      </c>
      <c r="AE47" s="55"/>
      <c r="AF47" s="55">
        <f t="shared" si="9"/>
        <v>0</v>
      </c>
      <c r="AG47" s="51">
        <f t="shared" si="10"/>
        <v>0</v>
      </c>
    </row>
    <row r="48" spans="1:33" ht="15.75" customHeight="1">
      <c r="A48" s="44">
        <f t="shared" si="0"/>
        <v>39</v>
      </c>
      <c r="B48" s="211" t="s">
        <v>467</v>
      </c>
      <c r="C48" s="212">
        <v>44942</v>
      </c>
      <c r="D48" s="113"/>
      <c r="E48" s="49" t="s">
        <v>468</v>
      </c>
      <c r="F48" s="44" t="s">
        <v>223</v>
      </c>
      <c r="G48" s="49" t="s">
        <v>80</v>
      </c>
      <c r="H48" s="50">
        <v>8</v>
      </c>
      <c r="I48" s="51" t="s">
        <v>399</v>
      </c>
      <c r="J48" s="51" t="s">
        <v>400</v>
      </c>
      <c r="K48" s="51"/>
      <c r="L48" s="51"/>
      <c r="M48" s="51">
        <f t="shared" si="1"/>
        <v>0</v>
      </c>
      <c r="N48" s="51"/>
      <c r="O48" s="51"/>
      <c r="P48" s="51">
        <f t="shared" si="2"/>
        <v>0</v>
      </c>
      <c r="Q48" s="51"/>
      <c r="R48" s="51"/>
      <c r="S48" s="51">
        <f t="shared" si="3"/>
        <v>0</v>
      </c>
      <c r="T48" s="51"/>
      <c r="U48" s="51"/>
      <c r="V48" s="51">
        <f t="shared" si="4"/>
        <v>0</v>
      </c>
      <c r="W48" s="51"/>
      <c r="X48" s="51"/>
      <c r="Y48" s="51">
        <f t="shared" si="5"/>
        <v>0</v>
      </c>
      <c r="Z48" s="51"/>
      <c r="AA48" s="51"/>
      <c r="AB48" s="51">
        <f t="shared" si="6"/>
        <v>0</v>
      </c>
      <c r="AC48" s="51">
        <f t="shared" si="7"/>
        <v>0</v>
      </c>
      <c r="AD48" s="51">
        <f t="shared" si="8"/>
        <v>0</v>
      </c>
      <c r="AE48" s="55"/>
      <c r="AF48" s="55">
        <f t="shared" si="9"/>
        <v>0</v>
      </c>
      <c r="AG48" s="51">
        <f t="shared" si="10"/>
        <v>0</v>
      </c>
    </row>
    <row r="49" spans="1:33" ht="15.75" customHeight="1">
      <c r="A49" s="44">
        <f t="shared" si="0"/>
        <v>40</v>
      </c>
      <c r="B49" s="211" t="s">
        <v>469</v>
      </c>
      <c r="C49" s="212">
        <v>44930</v>
      </c>
      <c r="D49" s="113"/>
      <c r="E49" s="49" t="s">
        <v>470</v>
      </c>
      <c r="F49" s="44" t="s">
        <v>223</v>
      </c>
      <c r="G49" s="49" t="s">
        <v>194</v>
      </c>
      <c r="H49" s="50">
        <v>7</v>
      </c>
      <c r="I49" s="51" t="s">
        <v>399</v>
      </c>
      <c r="J49" s="51" t="s">
        <v>400</v>
      </c>
      <c r="K49" s="51"/>
      <c r="L49" s="51"/>
      <c r="M49" s="51">
        <f t="shared" si="1"/>
        <v>0</v>
      </c>
      <c r="N49" s="51"/>
      <c r="O49" s="51"/>
      <c r="P49" s="51">
        <f t="shared" si="2"/>
        <v>0</v>
      </c>
      <c r="Q49" s="51"/>
      <c r="R49" s="51"/>
      <c r="S49" s="51">
        <f t="shared" si="3"/>
        <v>0</v>
      </c>
      <c r="T49" s="51"/>
      <c r="U49" s="51"/>
      <c r="V49" s="51">
        <f t="shared" si="4"/>
        <v>0</v>
      </c>
      <c r="W49" s="51"/>
      <c r="X49" s="51"/>
      <c r="Y49" s="51">
        <f t="shared" si="5"/>
        <v>0</v>
      </c>
      <c r="Z49" s="51"/>
      <c r="AA49" s="51"/>
      <c r="AB49" s="51">
        <f t="shared" si="6"/>
        <v>0</v>
      </c>
      <c r="AC49" s="51">
        <f t="shared" si="7"/>
        <v>0</v>
      </c>
      <c r="AD49" s="51">
        <f t="shared" si="8"/>
        <v>0</v>
      </c>
      <c r="AE49" s="55"/>
      <c r="AF49" s="55">
        <f t="shared" si="9"/>
        <v>0</v>
      </c>
      <c r="AG49" s="51">
        <f t="shared" si="10"/>
        <v>0</v>
      </c>
    </row>
    <row r="50" spans="1:33" ht="15.75" customHeight="1">
      <c r="A50" s="44">
        <f t="shared" si="0"/>
        <v>41</v>
      </c>
      <c r="B50" s="49" t="s">
        <v>471</v>
      </c>
      <c r="C50" s="47">
        <v>44930</v>
      </c>
      <c r="D50" s="47"/>
      <c r="E50" s="49" t="s">
        <v>187</v>
      </c>
      <c r="F50" s="44" t="s">
        <v>229</v>
      </c>
      <c r="G50" s="49" t="s">
        <v>80</v>
      </c>
      <c r="H50" s="50">
        <v>8</v>
      </c>
      <c r="I50" s="51" t="s">
        <v>399</v>
      </c>
      <c r="J50" s="51" t="s">
        <v>400</v>
      </c>
      <c r="K50" s="51"/>
      <c r="L50" s="51"/>
      <c r="M50" s="51">
        <f t="shared" si="1"/>
        <v>0</v>
      </c>
      <c r="N50" s="51"/>
      <c r="O50" s="51"/>
      <c r="P50" s="51">
        <f t="shared" si="2"/>
        <v>0</v>
      </c>
      <c r="Q50" s="51"/>
      <c r="R50" s="51"/>
      <c r="S50" s="51">
        <f t="shared" si="3"/>
        <v>0</v>
      </c>
      <c r="T50" s="51"/>
      <c r="U50" s="51"/>
      <c r="V50" s="51">
        <f t="shared" si="4"/>
        <v>0</v>
      </c>
      <c r="W50" s="51"/>
      <c r="X50" s="51"/>
      <c r="Y50" s="51">
        <f t="shared" si="5"/>
        <v>0</v>
      </c>
      <c r="Z50" s="51"/>
      <c r="AA50" s="51"/>
      <c r="AB50" s="51">
        <f t="shared" si="6"/>
        <v>0</v>
      </c>
      <c r="AC50" s="51">
        <f t="shared" si="7"/>
        <v>0</v>
      </c>
      <c r="AD50" s="51">
        <f t="shared" si="8"/>
        <v>0</v>
      </c>
      <c r="AE50" s="55"/>
      <c r="AF50" s="55">
        <f t="shared" si="9"/>
        <v>0</v>
      </c>
      <c r="AG50" s="51">
        <f t="shared" si="10"/>
        <v>0</v>
      </c>
    </row>
    <row r="51" spans="1:33" ht="15.75" customHeight="1">
      <c r="A51" s="117">
        <f t="shared" si="0"/>
        <v>42</v>
      </c>
      <c r="B51" s="214" t="s">
        <v>472</v>
      </c>
      <c r="C51" s="215">
        <v>44930</v>
      </c>
      <c r="D51" s="132"/>
      <c r="E51" s="118" t="s">
        <v>473</v>
      </c>
      <c r="F51" s="117" t="s">
        <v>229</v>
      </c>
      <c r="G51" s="118" t="s">
        <v>80</v>
      </c>
      <c r="H51" s="119">
        <v>8</v>
      </c>
      <c r="I51" s="120" t="s">
        <v>399</v>
      </c>
      <c r="J51" s="120"/>
      <c r="K51" s="120"/>
      <c r="L51" s="120"/>
      <c r="M51" s="120">
        <f t="shared" si="1"/>
        <v>0</v>
      </c>
      <c r="N51" s="120"/>
      <c r="O51" s="120"/>
      <c r="P51" s="120">
        <f t="shared" si="2"/>
        <v>0</v>
      </c>
      <c r="Q51" s="120"/>
      <c r="R51" s="120"/>
      <c r="S51" s="120">
        <f t="shared" si="3"/>
        <v>0</v>
      </c>
      <c r="T51" s="120"/>
      <c r="U51" s="120"/>
      <c r="V51" s="120">
        <f t="shared" si="4"/>
        <v>0</v>
      </c>
      <c r="W51" s="120"/>
      <c r="X51" s="120"/>
      <c r="Y51" s="120">
        <f t="shared" si="5"/>
        <v>0</v>
      </c>
      <c r="Z51" s="120"/>
      <c r="AA51" s="120"/>
      <c r="AB51" s="120">
        <f t="shared" si="6"/>
        <v>0</v>
      </c>
      <c r="AC51" s="120">
        <f t="shared" si="7"/>
        <v>0</v>
      </c>
      <c r="AD51" s="120">
        <f t="shared" si="8"/>
        <v>0</v>
      </c>
      <c r="AE51" s="213">
        <f>ROUND(($AN51*$AO$8),2)</f>
        <v>0</v>
      </c>
      <c r="AF51" s="213">
        <f t="shared" si="9"/>
        <v>0</v>
      </c>
      <c r="AG51" s="120">
        <f t="shared" si="10"/>
        <v>0</v>
      </c>
    </row>
    <row r="52" spans="1:33" ht="15.75" customHeight="1">
      <c r="A52" s="44">
        <f t="shared" si="0"/>
        <v>43</v>
      </c>
      <c r="B52" s="209" t="s">
        <v>474</v>
      </c>
      <c r="C52" s="210">
        <v>44942</v>
      </c>
      <c r="D52" s="47"/>
      <c r="E52" s="49" t="s">
        <v>91</v>
      </c>
      <c r="F52" s="44" t="s">
        <v>234</v>
      </c>
      <c r="G52" s="49" t="s">
        <v>80</v>
      </c>
      <c r="H52" s="50">
        <v>8</v>
      </c>
      <c r="I52" s="51" t="s">
        <v>399</v>
      </c>
      <c r="J52" s="51" t="s">
        <v>400</v>
      </c>
      <c r="K52" s="51"/>
      <c r="L52" s="51"/>
      <c r="M52" s="51">
        <f t="shared" si="1"/>
        <v>0</v>
      </c>
      <c r="N52" s="51"/>
      <c r="O52" s="51"/>
      <c r="P52" s="51">
        <f t="shared" si="2"/>
        <v>0</v>
      </c>
      <c r="Q52" s="51"/>
      <c r="R52" s="51"/>
      <c r="S52" s="51">
        <f t="shared" si="3"/>
        <v>0</v>
      </c>
      <c r="T52" s="51"/>
      <c r="U52" s="51"/>
      <c r="V52" s="51">
        <f t="shared" si="4"/>
        <v>0</v>
      </c>
      <c r="W52" s="51"/>
      <c r="X52" s="51"/>
      <c r="Y52" s="51">
        <f t="shared" si="5"/>
        <v>0</v>
      </c>
      <c r="Z52" s="51"/>
      <c r="AA52" s="51"/>
      <c r="AB52" s="51">
        <f t="shared" si="6"/>
        <v>0</v>
      </c>
      <c r="AC52" s="51">
        <f t="shared" si="7"/>
        <v>0</v>
      </c>
      <c r="AD52" s="51">
        <f t="shared" si="8"/>
        <v>0</v>
      </c>
      <c r="AE52" s="55"/>
      <c r="AF52" s="55">
        <f t="shared" si="9"/>
        <v>0</v>
      </c>
      <c r="AG52" s="51">
        <f t="shared" si="10"/>
        <v>0</v>
      </c>
    </row>
    <row r="53" spans="1:33" ht="15.75" customHeight="1">
      <c r="A53" s="117">
        <f t="shared" si="0"/>
        <v>44</v>
      </c>
      <c r="B53" s="214" t="s">
        <v>475</v>
      </c>
      <c r="C53" s="215">
        <v>44930</v>
      </c>
      <c r="D53" s="132"/>
      <c r="E53" s="118" t="s">
        <v>152</v>
      </c>
      <c r="F53" s="117" t="s">
        <v>238</v>
      </c>
      <c r="G53" s="118" t="s">
        <v>80</v>
      </c>
      <c r="H53" s="119">
        <v>8</v>
      </c>
      <c r="I53" s="120" t="s">
        <v>425</v>
      </c>
      <c r="J53" s="120"/>
      <c r="K53" s="120"/>
      <c r="L53" s="120"/>
      <c r="M53" s="120">
        <f t="shared" si="1"/>
        <v>0</v>
      </c>
      <c r="N53" s="120"/>
      <c r="O53" s="120"/>
      <c r="P53" s="120">
        <f t="shared" si="2"/>
        <v>0</v>
      </c>
      <c r="Q53" s="120"/>
      <c r="R53" s="120"/>
      <c r="S53" s="120">
        <f t="shared" si="3"/>
        <v>0</v>
      </c>
      <c r="T53" s="120"/>
      <c r="U53" s="120"/>
      <c r="V53" s="120">
        <f t="shared" si="4"/>
        <v>0</v>
      </c>
      <c r="W53" s="120"/>
      <c r="X53" s="120"/>
      <c r="Y53" s="120">
        <f t="shared" si="5"/>
        <v>0</v>
      </c>
      <c r="Z53" s="120"/>
      <c r="AA53" s="120"/>
      <c r="AB53" s="120">
        <f t="shared" si="6"/>
        <v>0</v>
      </c>
      <c r="AC53" s="120">
        <f t="shared" si="7"/>
        <v>0</v>
      </c>
      <c r="AD53" s="120">
        <f t="shared" si="8"/>
        <v>0</v>
      </c>
      <c r="AE53" s="213">
        <f>ROUND(($AN53*$AO$8),2)</f>
        <v>0</v>
      </c>
      <c r="AF53" s="213">
        <f t="shared" si="9"/>
        <v>0</v>
      </c>
      <c r="AG53" s="120">
        <f t="shared" si="10"/>
        <v>0</v>
      </c>
    </row>
    <row r="54" spans="1:33" ht="15.75" customHeight="1">
      <c r="A54" s="44">
        <f t="shared" si="0"/>
        <v>45</v>
      </c>
      <c r="B54" s="209" t="s">
        <v>476</v>
      </c>
      <c r="C54" s="210">
        <v>44930</v>
      </c>
      <c r="D54" s="47"/>
      <c r="E54" s="49" t="s">
        <v>127</v>
      </c>
      <c r="F54" s="44" t="s">
        <v>240</v>
      </c>
      <c r="G54" s="49" t="s">
        <v>80</v>
      </c>
      <c r="H54" s="50">
        <v>8</v>
      </c>
      <c r="I54" s="51" t="s">
        <v>399</v>
      </c>
      <c r="J54" s="51" t="s">
        <v>400</v>
      </c>
      <c r="K54" s="51"/>
      <c r="L54" s="51"/>
      <c r="M54" s="51">
        <f t="shared" si="1"/>
        <v>0</v>
      </c>
      <c r="N54" s="51"/>
      <c r="O54" s="51"/>
      <c r="P54" s="51">
        <f t="shared" si="2"/>
        <v>0</v>
      </c>
      <c r="Q54" s="51"/>
      <c r="R54" s="51"/>
      <c r="S54" s="51">
        <f t="shared" si="3"/>
        <v>0</v>
      </c>
      <c r="T54" s="51"/>
      <c r="U54" s="51"/>
      <c r="V54" s="51">
        <f t="shared" si="4"/>
        <v>0</v>
      </c>
      <c r="W54" s="51"/>
      <c r="X54" s="51"/>
      <c r="Y54" s="51">
        <f t="shared" si="5"/>
        <v>0</v>
      </c>
      <c r="Z54" s="51"/>
      <c r="AA54" s="51"/>
      <c r="AB54" s="51">
        <f t="shared" si="6"/>
        <v>0</v>
      </c>
      <c r="AC54" s="51">
        <f t="shared" si="7"/>
        <v>0</v>
      </c>
      <c r="AD54" s="51">
        <f t="shared" si="8"/>
        <v>0</v>
      </c>
      <c r="AE54" s="55"/>
      <c r="AF54" s="55">
        <f t="shared" si="9"/>
        <v>0</v>
      </c>
      <c r="AG54" s="51">
        <f t="shared" si="10"/>
        <v>0</v>
      </c>
    </row>
    <row r="55" spans="1:33" ht="15.75" customHeight="1">
      <c r="A55" s="117">
        <f t="shared" si="0"/>
        <v>46</v>
      </c>
      <c r="B55" s="214" t="s">
        <v>477</v>
      </c>
      <c r="C55" s="215">
        <v>44942</v>
      </c>
      <c r="D55" s="132"/>
      <c r="E55" s="118" t="s">
        <v>478</v>
      </c>
      <c r="F55" s="117" t="s">
        <v>240</v>
      </c>
      <c r="G55" s="118" t="s">
        <v>479</v>
      </c>
      <c r="H55" s="119">
        <v>15</v>
      </c>
      <c r="I55" s="120" t="s">
        <v>480</v>
      </c>
      <c r="J55" s="120"/>
      <c r="K55" s="120"/>
      <c r="L55" s="120"/>
      <c r="M55" s="120">
        <f t="shared" si="1"/>
        <v>0</v>
      </c>
      <c r="N55" s="120"/>
      <c r="O55" s="120"/>
      <c r="P55" s="120">
        <f t="shared" si="2"/>
        <v>0</v>
      </c>
      <c r="Q55" s="120"/>
      <c r="R55" s="120"/>
      <c r="S55" s="120">
        <f t="shared" si="3"/>
        <v>0</v>
      </c>
      <c r="T55" s="120"/>
      <c r="U55" s="120"/>
      <c r="V55" s="120">
        <f t="shared" si="4"/>
        <v>0</v>
      </c>
      <c r="W55" s="120"/>
      <c r="X55" s="120"/>
      <c r="Y55" s="120">
        <f t="shared" si="5"/>
        <v>0</v>
      </c>
      <c r="Z55" s="120"/>
      <c r="AA55" s="120"/>
      <c r="AB55" s="120">
        <f t="shared" si="6"/>
        <v>0</v>
      </c>
      <c r="AC55" s="120">
        <f t="shared" si="7"/>
        <v>0</v>
      </c>
      <c r="AD55" s="120">
        <f t="shared" si="8"/>
        <v>0</v>
      </c>
      <c r="AE55" s="213">
        <f>ROUND(($AN55*$AO$8),2)</f>
        <v>0</v>
      </c>
      <c r="AF55" s="213">
        <f t="shared" si="9"/>
        <v>0</v>
      </c>
      <c r="AG55" s="120">
        <f t="shared" si="10"/>
        <v>0</v>
      </c>
    </row>
    <row r="56" spans="1:33" ht="15.75" customHeight="1">
      <c r="A56" s="44">
        <f t="shared" si="0"/>
        <v>47</v>
      </c>
      <c r="B56" s="211" t="s">
        <v>481</v>
      </c>
      <c r="C56" s="212">
        <v>44942</v>
      </c>
      <c r="D56" s="47"/>
      <c r="E56" s="49" t="s">
        <v>482</v>
      </c>
      <c r="F56" s="44" t="s">
        <v>240</v>
      </c>
      <c r="G56" s="49" t="s">
        <v>242</v>
      </c>
      <c r="H56" s="50">
        <v>6</v>
      </c>
      <c r="I56" s="51" t="s">
        <v>483</v>
      </c>
      <c r="J56" s="51" t="s">
        <v>400</v>
      </c>
      <c r="K56" s="51"/>
      <c r="L56" s="51"/>
      <c r="M56" s="51">
        <f t="shared" si="1"/>
        <v>0</v>
      </c>
      <c r="N56" s="51"/>
      <c r="O56" s="51"/>
      <c r="P56" s="51">
        <f t="shared" si="2"/>
        <v>0</v>
      </c>
      <c r="Q56" s="51"/>
      <c r="R56" s="51"/>
      <c r="S56" s="51">
        <f t="shared" si="3"/>
        <v>0</v>
      </c>
      <c r="T56" s="51"/>
      <c r="U56" s="51"/>
      <c r="V56" s="51">
        <f t="shared" si="4"/>
        <v>0</v>
      </c>
      <c r="W56" s="51"/>
      <c r="X56" s="51"/>
      <c r="Y56" s="51">
        <f t="shared" si="5"/>
        <v>0</v>
      </c>
      <c r="Z56" s="51"/>
      <c r="AA56" s="51"/>
      <c r="AB56" s="51">
        <f t="shared" si="6"/>
        <v>0</v>
      </c>
      <c r="AC56" s="51">
        <f t="shared" si="7"/>
        <v>0</v>
      </c>
      <c r="AD56" s="51">
        <f t="shared" si="8"/>
        <v>0</v>
      </c>
      <c r="AE56" s="55"/>
      <c r="AF56" s="55">
        <f t="shared" si="9"/>
        <v>0</v>
      </c>
      <c r="AG56" s="51">
        <f t="shared" si="10"/>
        <v>0</v>
      </c>
    </row>
    <row r="57" spans="1:33" ht="15.75" customHeight="1">
      <c r="A57" s="117">
        <f t="shared" si="0"/>
        <v>48</v>
      </c>
      <c r="B57" s="216" t="s">
        <v>484</v>
      </c>
      <c r="C57" s="217">
        <v>44942</v>
      </c>
      <c r="D57" s="132"/>
      <c r="E57" s="118" t="s">
        <v>485</v>
      </c>
      <c r="F57" s="117" t="s">
        <v>240</v>
      </c>
      <c r="G57" s="118" t="s">
        <v>90</v>
      </c>
      <c r="H57" s="119">
        <v>15</v>
      </c>
      <c r="I57" s="120" t="s">
        <v>413</v>
      </c>
      <c r="J57" s="120"/>
      <c r="K57" s="120"/>
      <c r="L57" s="120"/>
      <c r="M57" s="120">
        <f t="shared" si="1"/>
        <v>0</v>
      </c>
      <c r="N57" s="120"/>
      <c r="O57" s="120"/>
      <c r="P57" s="120">
        <f t="shared" si="2"/>
        <v>0</v>
      </c>
      <c r="Q57" s="120"/>
      <c r="R57" s="120"/>
      <c r="S57" s="120">
        <f t="shared" si="3"/>
        <v>0</v>
      </c>
      <c r="T57" s="120"/>
      <c r="U57" s="120"/>
      <c r="V57" s="120">
        <f t="shared" si="4"/>
        <v>0</v>
      </c>
      <c r="W57" s="120"/>
      <c r="X57" s="120"/>
      <c r="Y57" s="120">
        <f t="shared" si="5"/>
        <v>0</v>
      </c>
      <c r="Z57" s="120"/>
      <c r="AA57" s="120"/>
      <c r="AB57" s="120">
        <f t="shared" si="6"/>
        <v>0</v>
      </c>
      <c r="AC57" s="120">
        <f t="shared" si="7"/>
        <v>0</v>
      </c>
      <c r="AD57" s="120">
        <f t="shared" si="8"/>
        <v>0</v>
      </c>
      <c r="AE57" s="213">
        <f t="shared" ref="AE57:AE58" si="11">ROUND(($AN57*$AO$8),2)</f>
        <v>0</v>
      </c>
      <c r="AF57" s="213">
        <f t="shared" si="9"/>
        <v>0</v>
      </c>
      <c r="AG57" s="120">
        <f t="shared" si="10"/>
        <v>0</v>
      </c>
    </row>
    <row r="58" spans="1:33" ht="15.75" customHeight="1">
      <c r="A58" s="117">
        <f t="shared" si="0"/>
        <v>49</v>
      </c>
      <c r="B58" s="216" t="s">
        <v>486</v>
      </c>
      <c r="C58" s="217">
        <v>44942</v>
      </c>
      <c r="D58" s="132"/>
      <c r="E58" s="118" t="s">
        <v>487</v>
      </c>
      <c r="F58" s="117" t="s">
        <v>240</v>
      </c>
      <c r="G58" s="118" t="s">
        <v>479</v>
      </c>
      <c r="H58" s="119">
        <v>15</v>
      </c>
      <c r="I58" s="120" t="s">
        <v>488</v>
      </c>
      <c r="J58" s="120"/>
      <c r="K58" s="120"/>
      <c r="L58" s="120"/>
      <c r="M58" s="120">
        <f t="shared" si="1"/>
        <v>0</v>
      </c>
      <c r="N58" s="120"/>
      <c r="O58" s="120"/>
      <c r="P58" s="120">
        <f t="shared" si="2"/>
        <v>0</v>
      </c>
      <c r="Q58" s="120"/>
      <c r="R58" s="120"/>
      <c r="S58" s="120">
        <f t="shared" si="3"/>
        <v>0</v>
      </c>
      <c r="T58" s="120"/>
      <c r="U58" s="120"/>
      <c r="V58" s="120">
        <f t="shared" si="4"/>
        <v>0</v>
      </c>
      <c r="W58" s="120"/>
      <c r="X58" s="120"/>
      <c r="Y58" s="120">
        <f t="shared" si="5"/>
        <v>0</v>
      </c>
      <c r="Z58" s="120"/>
      <c r="AA58" s="120"/>
      <c r="AB58" s="120">
        <f t="shared" si="6"/>
        <v>0</v>
      </c>
      <c r="AC58" s="120">
        <f t="shared" si="7"/>
        <v>0</v>
      </c>
      <c r="AD58" s="120">
        <f t="shared" si="8"/>
        <v>0</v>
      </c>
      <c r="AE58" s="213">
        <f t="shared" si="11"/>
        <v>0</v>
      </c>
      <c r="AF58" s="213">
        <f t="shared" si="9"/>
        <v>0</v>
      </c>
      <c r="AG58" s="120">
        <f t="shared" si="10"/>
        <v>0</v>
      </c>
    </row>
    <row r="59" spans="1:33" ht="15.75" customHeight="1">
      <c r="A59" s="44">
        <f t="shared" si="0"/>
        <v>50</v>
      </c>
      <c r="B59" s="211" t="s">
        <v>489</v>
      </c>
      <c r="C59" s="212">
        <v>44942</v>
      </c>
      <c r="D59" s="47"/>
      <c r="E59" s="49" t="s">
        <v>111</v>
      </c>
      <c r="F59" s="44" t="s">
        <v>240</v>
      </c>
      <c r="G59" s="49" t="s">
        <v>242</v>
      </c>
      <c r="H59" s="50">
        <v>6</v>
      </c>
      <c r="I59" s="51" t="s">
        <v>483</v>
      </c>
      <c r="J59" s="51" t="s">
        <v>400</v>
      </c>
      <c r="K59" s="51"/>
      <c r="L59" s="51"/>
      <c r="M59" s="51">
        <f t="shared" si="1"/>
        <v>0</v>
      </c>
      <c r="N59" s="51"/>
      <c r="O59" s="51"/>
      <c r="P59" s="51">
        <f t="shared" si="2"/>
        <v>0</v>
      </c>
      <c r="Q59" s="51"/>
      <c r="R59" s="51"/>
      <c r="S59" s="51">
        <f t="shared" si="3"/>
        <v>0</v>
      </c>
      <c r="T59" s="51"/>
      <c r="U59" s="51"/>
      <c r="V59" s="51">
        <f t="shared" si="4"/>
        <v>0</v>
      </c>
      <c r="W59" s="51"/>
      <c r="X59" s="51"/>
      <c r="Y59" s="51">
        <f t="shared" si="5"/>
        <v>0</v>
      </c>
      <c r="Z59" s="51"/>
      <c r="AA59" s="51"/>
      <c r="AB59" s="51">
        <f t="shared" si="6"/>
        <v>0</v>
      </c>
      <c r="AC59" s="51">
        <f t="shared" si="7"/>
        <v>0</v>
      </c>
      <c r="AD59" s="51">
        <f t="shared" si="8"/>
        <v>0</v>
      </c>
      <c r="AE59" s="55"/>
      <c r="AF59" s="55">
        <f t="shared" si="9"/>
        <v>0</v>
      </c>
      <c r="AG59" s="51">
        <f t="shared" si="10"/>
        <v>0</v>
      </c>
    </row>
    <row r="60" spans="1:33" ht="15.75" customHeight="1">
      <c r="A60" s="44">
        <f t="shared" si="0"/>
        <v>51</v>
      </c>
      <c r="B60" s="211" t="s">
        <v>490</v>
      </c>
      <c r="C60" s="212">
        <v>44942</v>
      </c>
      <c r="D60" s="47"/>
      <c r="E60" s="49" t="s">
        <v>124</v>
      </c>
      <c r="F60" s="44" t="s">
        <v>240</v>
      </c>
      <c r="G60" s="49" t="s">
        <v>242</v>
      </c>
      <c r="H60" s="50">
        <v>6</v>
      </c>
      <c r="I60" s="51" t="s">
        <v>483</v>
      </c>
      <c r="J60" s="51" t="s">
        <v>400</v>
      </c>
      <c r="K60" s="51"/>
      <c r="L60" s="51"/>
      <c r="M60" s="51">
        <f t="shared" si="1"/>
        <v>0</v>
      </c>
      <c r="N60" s="51"/>
      <c r="O60" s="51"/>
      <c r="P60" s="51">
        <f t="shared" si="2"/>
        <v>0</v>
      </c>
      <c r="Q60" s="51"/>
      <c r="R60" s="51"/>
      <c r="S60" s="51">
        <f t="shared" si="3"/>
        <v>0</v>
      </c>
      <c r="T60" s="51"/>
      <c r="U60" s="51"/>
      <c r="V60" s="51">
        <f t="shared" si="4"/>
        <v>0</v>
      </c>
      <c r="W60" s="51"/>
      <c r="X60" s="51"/>
      <c r="Y60" s="51">
        <f t="shared" si="5"/>
        <v>0</v>
      </c>
      <c r="Z60" s="51"/>
      <c r="AA60" s="51"/>
      <c r="AB60" s="51">
        <f t="shared" si="6"/>
        <v>0</v>
      </c>
      <c r="AC60" s="51">
        <f t="shared" si="7"/>
        <v>0</v>
      </c>
      <c r="AD60" s="51">
        <f t="shared" si="8"/>
        <v>0</v>
      </c>
      <c r="AE60" s="55"/>
      <c r="AF60" s="55">
        <f t="shared" si="9"/>
        <v>0</v>
      </c>
      <c r="AG60" s="51">
        <f t="shared" si="10"/>
        <v>0</v>
      </c>
    </row>
    <row r="61" spans="1:33" ht="15.75" customHeight="1">
      <c r="A61" s="44">
        <f t="shared" si="0"/>
        <v>52</v>
      </c>
      <c r="B61" s="211" t="s">
        <v>491</v>
      </c>
      <c r="C61" s="212">
        <v>44942</v>
      </c>
      <c r="D61" s="47"/>
      <c r="E61" s="83" t="s">
        <v>492</v>
      </c>
      <c r="F61" s="44" t="s">
        <v>240</v>
      </c>
      <c r="G61" s="83" t="s">
        <v>86</v>
      </c>
      <c r="H61" s="134">
        <v>11</v>
      </c>
      <c r="I61" s="145" t="s">
        <v>399</v>
      </c>
      <c r="J61" s="51" t="s">
        <v>400</v>
      </c>
      <c r="K61" s="51"/>
      <c r="L61" s="51"/>
      <c r="M61" s="51">
        <f t="shared" si="1"/>
        <v>0</v>
      </c>
      <c r="N61" s="51"/>
      <c r="O61" s="51"/>
      <c r="P61" s="51">
        <f t="shared" si="2"/>
        <v>0</v>
      </c>
      <c r="Q61" s="51"/>
      <c r="R61" s="51"/>
      <c r="S61" s="51">
        <f t="shared" si="3"/>
        <v>0</v>
      </c>
      <c r="T61" s="51"/>
      <c r="U61" s="51"/>
      <c r="V61" s="51">
        <f t="shared" si="4"/>
        <v>0</v>
      </c>
      <c r="W61" s="51"/>
      <c r="X61" s="51"/>
      <c r="Y61" s="51">
        <f t="shared" si="5"/>
        <v>0</v>
      </c>
      <c r="Z61" s="51"/>
      <c r="AA61" s="51"/>
      <c r="AB61" s="51">
        <f t="shared" si="6"/>
        <v>0</v>
      </c>
      <c r="AC61" s="51">
        <f t="shared" si="7"/>
        <v>0</v>
      </c>
      <c r="AD61" s="51">
        <f t="shared" si="8"/>
        <v>0</v>
      </c>
      <c r="AE61" s="55"/>
      <c r="AF61" s="55">
        <f t="shared" si="9"/>
        <v>0</v>
      </c>
      <c r="AG61" s="51">
        <f t="shared" si="10"/>
        <v>0</v>
      </c>
    </row>
    <row r="62" spans="1:33" ht="15.75" customHeight="1">
      <c r="A62" s="44">
        <f t="shared" si="0"/>
        <v>53</v>
      </c>
      <c r="B62" s="218" t="s">
        <v>493</v>
      </c>
      <c r="C62" s="219">
        <v>44930</v>
      </c>
      <c r="D62" s="47"/>
      <c r="E62" s="83" t="s">
        <v>494</v>
      </c>
      <c r="F62" s="44" t="s">
        <v>240</v>
      </c>
      <c r="G62" s="83" t="s">
        <v>495</v>
      </c>
      <c r="H62" s="134">
        <v>6</v>
      </c>
      <c r="I62" s="145" t="s">
        <v>425</v>
      </c>
      <c r="J62" s="51" t="s">
        <v>400</v>
      </c>
      <c r="K62" s="51"/>
      <c r="L62" s="51"/>
      <c r="M62" s="51">
        <f t="shared" si="1"/>
        <v>0</v>
      </c>
      <c r="N62" s="51"/>
      <c r="O62" s="51"/>
      <c r="P62" s="51">
        <f t="shared" si="2"/>
        <v>0</v>
      </c>
      <c r="Q62" s="51"/>
      <c r="R62" s="51"/>
      <c r="S62" s="51">
        <f t="shared" si="3"/>
        <v>0</v>
      </c>
      <c r="T62" s="51"/>
      <c r="U62" s="51"/>
      <c r="V62" s="51">
        <f t="shared" si="4"/>
        <v>0</v>
      </c>
      <c r="W62" s="51"/>
      <c r="X62" s="51"/>
      <c r="Y62" s="51">
        <f t="shared" si="5"/>
        <v>0</v>
      </c>
      <c r="Z62" s="51"/>
      <c r="AA62" s="51"/>
      <c r="AB62" s="51">
        <f t="shared" si="6"/>
        <v>0</v>
      </c>
      <c r="AC62" s="51">
        <f t="shared" si="7"/>
        <v>0</v>
      </c>
      <c r="AD62" s="51">
        <f t="shared" si="8"/>
        <v>0</v>
      </c>
      <c r="AE62" s="55"/>
      <c r="AF62" s="55">
        <f t="shared" si="9"/>
        <v>0</v>
      </c>
      <c r="AG62" s="51">
        <f t="shared" si="10"/>
        <v>0</v>
      </c>
    </row>
    <row r="63" spans="1:33" ht="15.75" customHeight="1">
      <c r="A63" s="44" t="str">
        <f t="shared" si="0"/>
        <v/>
      </c>
      <c r="B63" s="83"/>
      <c r="C63" s="140"/>
      <c r="D63" s="47"/>
      <c r="E63" s="49"/>
      <c r="F63" s="44"/>
      <c r="G63" s="49"/>
      <c r="H63" s="134"/>
      <c r="I63" s="145"/>
      <c r="J63" s="145"/>
      <c r="K63" s="51"/>
      <c r="L63" s="51"/>
      <c r="M63" s="51">
        <f t="shared" si="1"/>
        <v>0</v>
      </c>
      <c r="N63" s="51"/>
      <c r="O63" s="51"/>
      <c r="P63" s="51">
        <f t="shared" si="2"/>
        <v>0</v>
      </c>
      <c r="Q63" s="51"/>
      <c r="R63" s="51"/>
      <c r="S63" s="51">
        <f t="shared" si="3"/>
        <v>0</v>
      </c>
      <c r="T63" s="51"/>
      <c r="U63" s="51"/>
      <c r="V63" s="51">
        <f t="shared" si="4"/>
        <v>0</v>
      </c>
      <c r="W63" s="51"/>
      <c r="X63" s="51"/>
      <c r="Y63" s="51">
        <f t="shared" si="5"/>
        <v>0</v>
      </c>
      <c r="Z63" s="51"/>
      <c r="AA63" s="51"/>
      <c r="AB63" s="51">
        <f t="shared" si="6"/>
        <v>0</v>
      </c>
      <c r="AC63" s="51">
        <f t="shared" si="7"/>
        <v>0</v>
      </c>
      <c r="AD63" s="51">
        <f t="shared" si="8"/>
        <v>0</v>
      </c>
      <c r="AE63" s="55"/>
      <c r="AF63" s="55">
        <f t="shared" si="9"/>
        <v>0</v>
      </c>
      <c r="AG63" s="51">
        <f t="shared" si="10"/>
        <v>0</v>
      </c>
    </row>
    <row r="64" spans="1:33" ht="15.75" customHeight="1">
      <c r="A64" s="44" t="str">
        <f t="shared" si="0"/>
        <v/>
      </c>
      <c r="B64" s="49"/>
      <c r="C64" s="47"/>
      <c r="D64" s="47"/>
      <c r="E64" s="49"/>
      <c r="F64" s="44"/>
      <c r="G64" s="49"/>
      <c r="H64" s="50"/>
      <c r="I64" s="51"/>
      <c r="J64" s="51"/>
      <c r="K64" s="51"/>
      <c r="L64" s="51"/>
      <c r="M64" s="51">
        <f t="shared" si="1"/>
        <v>0</v>
      </c>
      <c r="N64" s="51"/>
      <c r="O64" s="51"/>
      <c r="P64" s="51">
        <f t="shared" si="2"/>
        <v>0</v>
      </c>
      <c r="Q64" s="51"/>
      <c r="R64" s="51"/>
      <c r="S64" s="51">
        <f t="shared" si="3"/>
        <v>0</v>
      </c>
      <c r="T64" s="51"/>
      <c r="U64" s="51"/>
      <c r="V64" s="51">
        <f t="shared" si="4"/>
        <v>0</v>
      </c>
      <c r="W64" s="51"/>
      <c r="X64" s="51"/>
      <c r="Y64" s="51">
        <f t="shared" si="5"/>
        <v>0</v>
      </c>
      <c r="Z64" s="51"/>
      <c r="AA64" s="51"/>
      <c r="AB64" s="51">
        <f t="shared" si="6"/>
        <v>0</v>
      </c>
      <c r="AC64" s="51">
        <f t="shared" si="7"/>
        <v>0</v>
      </c>
      <c r="AD64" s="51">
        <f t="shared" si="8"/>
        <v>0</v>
      </c>
      <c r="AE64" s="55"/>
      <c r="AF64" s="55">
        <f t="shared" si="9"/>
        <v>0</v>
      </c>
      <c r="AG64" s="51">
        <f t="shared" si="10"/>
        <v>0</v>
      </c>
    </row>
    <row r="65" spans="1:33" ht="15.75" customHeight="1">
      <c r="A65" s="44" t="str">
        <f t="shared" si="0"/>
        <v/>
      </c>
      <c r="B65" s="49"/>
      <c r="C65" s="47"/>
      <c r="D65" s="47"/>
      <c r="E65" s="49"/>
      <c r="F65" s="44"/>
      <c r="G65" s="49"/>
      <c r="H65" s="50"/>
      <c r="I65" s="51"/>
      <c r="J65" s="51"/>
      <c r="K65" s="51"/>
      <c r="L65" s="51"/>
      <c r="M65" s="51">
        <f t="shared" si="1"/>
        <v>0</v>
      </c>
      <c r="N65" s="51"/>
      <c r="O65" s="51"/>
      <c r="P65" s="51">
        <f t="shared" si="2"/>
        <v>0</v>
      </c>
      <c r="Q65" s="51"/>
      <c r="R65" s="51"/>
      <c r="S65" s="51">
        <f t="shared" si="3"/>
        <v>0</v>
      </c>
      <c r="T65" s="51"/>
      <c r="U65" s="51"/>
      <c r="V65" s="51">
        <f t="shared" si="4"/>
        <v>0</v>
      </c>
      <c r="W65" s="51"/>
      <c r="X65" s="51"/>
      <c r="Y65" s="51">
        <f t="shared" si="5"/>
        <v>0</v>
      </c>
      <c r="Z65" s="51"/>
      <c r="AA65" s="51"/>
      <c r="AB65" s="51">
        <f t="shared" si="6"/>
        <v>0</v>
      </c>
      <c r="AC65" s="51">
        <f t="shared" si="7"/>
        <v>0</v>
      </c>
      <c r="AD65" s="51">
        <f t="shared" si="8"/>
        <v>0</v>
      </c>
      <c r="AE65" s="55"/>
      <c r="AF65" s="55">
        <f t="shared" si="9"/>
        <v>0</v>
      </c>
      <c r="AG65" s="51">
        <f t="shared" si="10"/>
        <v>0</v>
      </c>
    </row>
    <row r="66" spans="1:33" ht="15.75" customHeight="1">
      <c r="A66" s="44" t="str">
        <f t="shared" si="0"/>
        <v/>
      </c>
      <c r="B66" s="49"/>
      <c r="C66" s="47"/>
      <c r="D66" s="47"/>
      <c r="E66" s="49"/>
      <c r="F66" s="44"/>
      <c r="G66" s="49"/>
      <c r="H66" s="50"/>
      <c r="I66" s="51"/>
      <c r="J66" s="51"/>
      <c r="K66" s="51"/>
      <c r="L66" s="51"/>
      <c r="M66" s="51">
        <f t="shared" si="1"/>
        <v>0</v>
      </c>
      <c r="N66" s="51"/>
      <c r="O66" s="51"/>
      <c r="P66" s="51">
        <f t="shared" si="2"/>
        <v>0</v>
      </c>
      <c r="Q66" s="51"/>
      <c r="R66" s="51"/>
      <c r="S66" s="51">
        <f t="shared" si="3"/>
        <v>0</v>
      </c>
      <c r="T66" s="51"/>
      <c r="U66" s="51"/>
      <c r="V66" s="51">
        <f t="shared" si="4"/>
        <v>0</v>
      </c>
      <c r="W66" s="51"/>
      <c r="X66" s="51"/>
      <c r="Y66" s="51">
        <f t="shared" si="5"/>
        <v>0</v>
      </c>
      <c r="Z66" s="51"/>
      <c r="AA66" s="51"/>
      <c r="AB66" s="51">
        <f t="shared" si="6"/>
        <v>0</v>
      </c>
      <c r="AC66" s="51">
        <f t="shared" si="7"/>
        <v>0</v>
      </c>
      <c r="AD66" s="51">
        <f t="shared" si="8"/>
        <v>0</v>
      </c>
      <c r="AE66" s="55"/>
      <c r="AF66" s="55">
        <f t="shared" si="9"/>
        <v>0</v>
      </c>
      <c r="AG66" s="51">
        <f t="shared" si="10"/>
        <v>0</v>
      </c>
    </row>
    <row r="67" spans="1:33" ht="15.75" customHeight="1">
      <c r="A67" s="44" t="str">
        <f t="shared" si="0"/>
        <v/>
      </c>
      <c r="B67" s="49"/>
      <c r="C67" s="47"/>
      <c r="D67" s="47"/>
      <c r="E67" s="49"/>
      <c r="F67" s="44"/>
      <c r="G67" s="49"/>
      <c r="H67" s="50"/>
      <c r="I67" s="51"/>
      <c r="J67" s="51"/>
      <c r="K67" s="51"/>
      <c r="L67" s="51"/>
      <c r="M67" s="51">
        <f t="shared" si="1"/>
        <v>0</v>
      </c>
      <c r="N67" s="51"/>
      <c r="O67" s="51"/>
      <c r="P67" s="51">
        <f t="shared" si="2"/>
        <v>0</v>
      </c>
      <c r="Q67" s="51"/>
      <c r="R67" s="51"/>
      <c r="S67" s="51">
        <f t="shared" si="3"/>
        <v>0</v>
      </c>
      <c r="T67" s="51"/>
      <c r="U67" s="51"/>
      <c r="V67" s="51">
        <f t="shared" si="4"/>
        <v>0</v>
      </c>
      <c r="W67" s="51"/>
      <c r="X67" s="51"/>
      <c r="Y67" s="51">
        <f t="shared" si="5"/>
        <v>0</v>
      </c>
      <c r="Z67" s="51"/>
      <c r="AA67" s="51"/>
      <c r="AB67" s="51">
        <f t="shared" si="6"/>
        <v>0</v>
      </c>
      <c r="AC67" s="51">
        <f t="shared" si="7"/>
        <v>0</v>
      </c>
      <c r="AD67" s="51">
        <f t="shared" si="8"/>
        <v>0</v>
      </c>
      <c r="AE67" s="55"/>
      <c r="AF67" s="55">
        <f t="shared" si="9"/>
        <v>0</v>
      </c>
      <c r="AG67" s="51">
        <f t="shared" si="10"/>
        <v>0</v>
      </c>
    </row>
    <row r="68" spans="1:33" ht="15.75" customHeight="1">
      <c r="A68" s="44" t="str">
        <f t="shared" si="0"/>
        <v/>
      </c>
      <c r="B68" s="49"/>
      <c r="C68" s="47"/>
      <c r="D68" s="47"/>
      <c r="E68" s="49"/>
      <c r="F68" s="44"/>
      <c r="G68" s="49"/>
      <c r="H68" s="50"/>
      <c r="I68" s="51"/>
      <c r="J68" s="51"/>
      <c r="K68" s="51"/>
      <c r="L68" s="51"/>
      <c r="M68" s="51">
        <f t="shared" si="1"/>
        <v>0</v>
      </c>
      <c r="N68" s="51"/>
      <c r="O68" s="51"/>
      <c r="P68" s="51">
        <f t="shared" si="2"/>
        <v>0</v>
      </c>
      <c r="Q68" s="51"/>
      <c r="R68" s="51"/>
      <c r="S68" s="51">
        <f t="shared" si="3"/>
        <v>0</v>
      </c>
      <c r="T68" s="51"/>
      <c r="U68" s="51"/>
      <c r="V68" s="51">
        <f t="shared" si="4"/>
        <v>0</v>
      </c>
      <c r="W68" s="51"/>
      <c r="X68" s="51"/>
      <c r="Y68" s="51">
        <f t="shared" si="5"/>
        <v>0</v>
      </c>
      <c r="Z68" s="51"/>
      <c r="AA68" s="51"/>
      <c r="AB68" s="51">
        <f t="shared" si="6"/>
        <v>0</v>
      </c>
      <c r="AC68" s="51">
        <f t="shared" si="7"/>
        <v>0</v>
      </c>
      <c r="AD68" s="51">
        <f t="shared" si="8"/>
        <v>0</v>
      </c>
      <c r="AE68" s="55"/>
      <c r="AF68" s="55">
        <f t="shared" si="9"/>
        <v>0</v>
      </c>
      <c r="AG68" s="51">
        <f t="shared" si="10"/>
        <v>0</v>
      </c>
    </row>
    <row r="69" spans="1:33" ht="15.75" customHeight="1">
      <c r="A69" s="144" t="str">
        <f t="shared" si="0"/>
        <v/>
      </c>
      <c r="B69" s="83"/>
      <c r="C69" s="140"/>
      <c r="D69" s="140"/>
      <c r="E69" s="83"/>
      <c r="F69" s="144"/>
      <c r="G69" s="83"/>
      <c r="H69" s="134"/>
      <c r="I69" s="145"/>
      <c r="J69" s="145"/>
      <c r="K69" s="145"/>
      <c r="L69" s="145"/>
      <c r="M69" s="145">
        <f t="shared" si="1"/>
        <v>0</v>
      </c>
      <c r="N69" s="145"/>
      <c r="O69" s="145"/>
      <c r="P69" s="145">
        <f t="shared" si="2"/>
        <v>0</v>
      </c>
      <c r="Q69" s="145"/>
      <c r="R69" s="145"/>
      <c r="S69" s="145">
        <f t="shared" si="3"/>
        <v>0</v>
      </c>
      <c r="T69" s="145"/>
      <c r="U69" s="145"/>
      <c r="V69" s="145">
        <f t="shared" si="4"/>
        <v>0</v>
      </c>
      <c r="W69" s="145"/>
      <c r="X69" s="145"/>
      <c r="Y69" s="145">
        <f t="shared" si="5"/>
        <v>0</v>
      </c>
      <c r="Z69" s="145"/>
      <c r="AA69" s="145"/>
      <c r="AB69" s="145">
        <f t="shared" si="6"/>
        <v>0</v>
      </c>
      <c r="AC69" s="145">
        <f t="shared" si="7"/>
        <v>0</v>
      </c>
      <c r="AD69" s="145">
        <f t="shared" si="8"/>
        <v>0</v>
      </c>
      <c r="AE69" s="111"/>
      <c r="AF69" s="111">
        <f t="shared" si="9"/>
        <v>0</v>
      </c>
      <c r="AG69" s="145">
        <f t="shared" si="10"/>
        <v>0</v>
      </c>
    </row>
    <row r="70" spans="1:33" ht="15.75" customHeight="1">
      <c r="A70" s="147" t="s">
        <v>21</v>
      </c>
      <c r="B70" s="220"/>
      <c r="C70" s="150"/>
      <c r="D70" s="150"/>
      <c r="E70" s="153"/>
      <c r="F70" s="152"/>
      <c r="G70" s="153"/>
      <c r="H70" s="154"/>
      <c r="I70" s="154"/>
      <c r="J70" s="154"/>
      <c r="K70" s="154">
        <f t="shared" ref="K70:AG70" si="12">SUM(K10:K69)</f>
        <v>0</v>
      </c>
      <c r="L70" s="154">
        <f t="shared" si="12"/>
        <v>0</v>
      </c>
      <c r="M70" s="154">
        <f t="shared" si="12"/>
        <v>0</v>
      </c>
      <c r="N70" s="154">
        <f t="shared" si="12"/>
        <v>0</v>
      </c>
      <c r="O70" s="154">
        <f t="shared" si="12"/>
        <v>0</v>
      </c>
      <c r="P70" s="154">
        <f t="shared" si="12"/>
        <v>0</v>
      </c>
      <c r="Q70" s="154">
        <f t="shared" si="12"/>
        <v>0</v>
      </c>
      <c r="R70" s="154">
        <f t="shared" si="12"/>
        <v>0</v>
      </c>
      <c r="S70" s="154">
        <f t="shared" si="12"/>
        <v>0</v>
      </c>
      <c r="T70" s="154">
        <f t="shared" si="12"/>
        <v>0</v>
      </c>
      <c r="U70" s="154">
        <f t="shared" si="12"/>
        <v>0</v>
      </c>
      <c r="V70" s="154">
        <f t="shared" si="12"/>
        <v>0</v>
      </c>
      <c r="W70" s="154">
        <f t="shared" si="12"/>
        <v>0</v>
      </c>
      <c r="X70" s="154">
        <f t="shared" si="12"/>
        <v>0</v>
      </c>
      <c r="Y70" s="154">
        <f t="shared" si="12"/>
        <v>0</v>
      </c>
      <c r="Z70" s="154">
        <f t="shared" si="12"/>
        <v>0</v>
      </c>
      <c r="AA70" s="154">
        <f t="shared" si="12"/>
        <v>0</v>
      </c>
      <c r="AB70" s="154">
        <f t="shared" si="12"/>
        <v>0</v>
      </c>
      <c r="AC70" s="154">
        <f t="shared" si="12"/>
        <v>0</v>
      </c>
      <c r="AD70" s="154">
        <f t="shared" si="12"/>
        <v>0</v>
      </c>
      <c r="AE70" s="162">
        <f t="shared" si="12"/>
        <v>0</v>
      </c>
      <c r="AF70" s="162">
        <f t="shared" si="12"/>
        <v>0</v>
      </c>
      <c r="AG70" s="221">
        <f t="shared" si="12"/>
        <v>0</v>
      </c>
    </row>
    <row r="71" spans="1:33" ht="15.75" customHeight="1">
      <c r="C71" s="4"/>
      <c r="D71" s="4"/>
      <c r="F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5.75" customHeight="1">
      <c r="B72" s="222" t="s">
        <v>496</v>
      </c>
      <c r="C72" s="4"/>
      <c r="D72" s="4"/>
      <c r="F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5.75" customHeight="1">
      <c r="B73" s="223"/>
      <c r="C73" s="13" t="s">
        <v>259</v>
      </c>
      <c r="D73" s="4"/>
      <c r="F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5.75" customHeight="1">
      <c r="B74" s="224"/>
      <c r="C74" s="4"/>
      <c r="D74" s="4"/>
      <c r="F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5.75" customHeight="1">
      <c r="C75" s="4"/>
      <c r="D75" s="4"/>
      <c r="F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5.75" customHeight="1">
      <c r="C76" s="4"/>
      <c r="D76" s="4"/>
      <c r="F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5.75" customHeight="1">
      <c r="C77" s="4"/>
      <c r="D77" s="4"/>
      <c r="F77" s="6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5.75" customHeight="1">
      <c r="C78" s="4"/>
      <c r="D78" s="4"/>
      <c r="F78" s="6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5.75" customHeight="1">
      <c r="C79" s="4"/>
      <c r="D79" s="4"/>
      <c r="F79" s="6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5.75" customHeight="1">
      <c r="C80" s="4"/>
      <c r="D80" s="4"/>
      <c r="F80" s="6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3:33" ht="15.75" customHeight="1">
      <c r="C81" s="4"/>
      <c r="D81" s="4"/>
      <c r="F81" s="6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3:33" ht="15.75" customHeight="1">
      <c r="C82" s="4"/>
      <c r="D82" s="4"/>
      <c r="F82" s="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3:33" ht="15.75" customHeight="1">
      <c r="C83" s="4"/>
      <c r="D83" s="4"/>
      <c r="F83" s="6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3:33" ht="15.75" customHeight="1">
      <c r="C84" s="4"/>
      <c r="D84" s="4"/>
      <c r="F84" s="6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3:33" ht="15.75" customHeight="1">
      <c r="C85" s="4"/>
      <c r="D85" s="4"/>
      <c r="F85" s="6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3:33" ht="15.75" customHeight="1">
      <c r="C86" s="4"/>
      <c r="D86" s="4"/>
      <c r="F86" s="6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3:33" ht="15.75" customHeight="1">
      <c r="C87" s="4"/>
      <c r="D87" s="4"/>
      <c r="F87" s="6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3:33" ht="15.75" customHeight="1">
      <c r="C88" s="4"/>
      <c r="D88" s="4"/>
      <c r="F88" s="6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3:33" ht="15.75" customHeight="1">
      <c r="C89" s="4"/>
      <c r="D89" s="4"/>
      <c r="F89" s="6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3:33" ht="15.75" customHeight="1">
      <c r="C90" s="4"/>
      <c r="D90" s="4"/>
      <c r="F90" s="6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3:33" ht="15.75" customHeight="1">
      <c r="C91" s="4"/>
      <c r="D91" s="4"/>
      <c r="F91" s="6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3:33" ht="15.75" customHeight="1">
      <c r="C92" s="4"/>
      <c r="D92" s="4"/>
      <c r="F92" s="6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3:33" ht="15.75" customHeight="1">
      <c r="C93" s="4"/>
      <c r="D93" s="4"/>
      <c r="F93" s="6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3:33" ht="15.75" customHeight="1">
      <c r="C94" s="4"/>
      <c r="D94" s="4"/>
      <c r="F94" s="6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3:33" ht="15.75" customHeight="1">
      <c r="C95" s="4"/>
      <c r="D95" s="4"/>
      <c r="F95" s="6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3:33" ht="15.75" customHeight="1">
      <c r="C96" s="4"/>
      <c r="D96" s="4"/>
      <c r="F96" s="6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3:33" ht="15.75" customHeight="1">
      <c r="C97" s="4"/>
      <c r="D97" s="4"/>
      <c r="F97" s="6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3:33" ht="15.75" customHeight="1">
      <c r="C98" s="4"/>
      <c r="D98" s="4"/>
      <c r="F98" s="6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3:33" ht="15.75" customHeight="1">
      <c r="C99" s="4"/>
      <c r="D99" s="4"/>
      <c r="F99" s="6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3:33" ht="15.75" customHeight="1">
      <c r="C100" s="4"/>
      <c r="D100" s="4"/>
      <c r="F100" s="6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3:33" ht="15.75" customHeight="1">
      <c r="C101" s="4"/>
      <c r="D101" s="4"/>
      <c r="F101" s="6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3:33" ht="15.75" customHeight="1">
      <c r="C102" s="4"/>
      <c r="D102" s="4"/>
      <c r="F102" s="6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3:33" ht="15.75" customHeight="1">
      <c r="C103" s="4"/>
      <c r="D103" s="4"/>
      <c r="F103" s="6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3:33" ht="15.75" customHeight="1">
      <c r="C104" s="4"/>
      <c r="D104" s="4"/>
      <c r="F104" s="6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3:33" ht="15.75" customHeight="1">
      <c r="C105" s="4"/>
      <c r="D105" s="4"/>
      <c r="F105" s="6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3:33" ht="15.75" customHeight="1">
      <c r="C106" s="4"/>
      <c r="D106" s="4"/>
      <c r="F106" s="6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3:33" ht="15.75" customHeight="1">
      <c r="C107" s="4"/>
      <c r="D107" s="4"/>
      <c r="F107" s="6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3:33" ht="15.75" customHeight="1">
      <c r="C108" s="4"/>
      <c r="D108" s="4"/>
      <c r="F108" s="6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3:33" ht="15.75" customHeight="1">
      <c r="C109" s="4"/>
      <c r="D109" s="4"/>
      <c r="F109" s="6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3:33" ht="15.75" customHeight="1">
      <c r="C110" s="4"/>
      <c r="D110" s="4"/>
      <c r="F110" s="6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3:33" ht="15.75" customHeight="1">
      <c r="C111" s="4"/>
      <c r="D111" s="4"/>
      <c r="F111" s="6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3:33" ht="15.75" customHeight="1">
      <c r="C112" s="4"/>
      <c r="D112" s="4"/>
      <c r="F112" s="6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3:33" ht="15.75" customHeight="1">
      <c r="C113" s="4"/>
      <c r="D113" s="4"/>
      <c r="F113" s="6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3:33" ht="15.75" customHeight="1">
      <c r="C114" s="4"/>
      <c r="D114" s="4"/>
      <c r="F114" s="6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3:33" ht="15.75" customHeight="1">
      <c r="C115" s="4"/>
      <c r="D115" s="4"/>
      <c r="F115" s="6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3:33" ht="15.75" customHeight="1">
      <c r="C116" s="4"/>
      <c r="D116" s="4"/>
      <c r="F116" s="6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3:33" ht="15.75" customHeight="1">
      <c r="C117" s="4"/>
      <c r="D117" s="4"/>
      <c r="F117" s="6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3:33" ht="15.75" customHeight="1">
      <c r="C118" s="4"/>
      <c r="D118" s="4"/>
      <c r="F118" s="6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3:33" ht="15.75" customHeight="1">
      <c r="C119" s="4"/>
      <c r="D119" s="4"/>
      <c r="F119" s="6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3:33" ht="15.75" customHeight="1">
      <c r="C120" s="4"/>
      <c r="D120" s="4"/>
      <c r="F120" s="6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3:33" ht="15.75" customHeight="1">
      <c r="C121" s="4"/>
      <c r="D121" s="4"/>
      <c r="F121" s="6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3:33" ht="15.75" customHeight="1">
      <c r="C122" s="4"/>
      <c r="D122" s="4"/>
      <c r="F122" s="6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3:33" ht="15.75" customHeight="1">
      <c r="C123" s="4"/>
      <c r="D123" s="4"/>
      <c r="F123" s="6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3:33" ht="15.75" customHeight="1">
      <c r="C124" s="4"/>
      <c r="D124" s="4"/>
      <c r="F124" s="6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3:33" ht="15.75" customHeight="1">
      <c r="C125" s="4"/>
      <c r="D125" s="4"/>
      <c r="F125" s="6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3:33" ht="15.75" customHeight="1">
      <c r="C126" s="4"/>
      <c r="D126" s="4"/>
      <c r="F126" s="6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3:33" ht="15.75" customHeight="1">
      <c r="C127" s="4"/>
      <c r="D127" s="4"/>
      <c r="F127" s="6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3:33" ht="15.75" customHeight="1">
      <c r="C128" s="4"/>
      <c r="D128" s="4"/>
      <c r="F128" s="6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3:33" ht="15.75" customHeight="1">
      <c r="C129" s="4"/>
      <c r="D129" s="4"/>
      <c r="F129" s="6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3:33" ht="15.75" customHeight="1">
      <c r="C130" s="4"/>
      <c r="D130" s="4"/>
      <c r="F130" s="6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3:33" ht="15.75" customHeight="1">
      <c r="C131" s="4"/>
      <c r="D131" s="4"/>
      <c r="F131" s="6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3:33" ht="15.75" customHeight="1">
      <c r="C132" s="4"/>
      <c r="D132" s="4"/>
      <c r="F132" s="6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3:33" ht="15.75" customHeight="1">
      <c r="C133" s="4"/>
      <c r="D133" s="4"/>
      <c r="F133" s="6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3:33" ht="15.75" customHeight="1">
      <c r="C134" s="4"/>
      <c r="D134" s="4"/>
      <c r="F134" s="6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3:33" ht="15.75" customHeight="1">
      <c r="C135" s="4"/>
      <c r="D135" s="4"/>
      <c r="F135" s="6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3:33" ht="15.75" customHeight="1">
      <c r="C136" s="4"/>
      <c r="D136" s="4"/>
      <c r="F136" s="6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3:33" ht="15.75" customHeight="1">
      <c r="C137" s="4"/>
      <c r="D137" s="4"/>
      <c r="F137" s="6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3:33" ht="15.75" customHeight="1">
      <c r="C138" s="4"/>
      <c r="D138" s="4"/>
      <c r="F138" s="6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3:33" ht="15.75" customHeight="1">
      <c r="C139" s="4"/>
      <c r="D139" s="4"/>
      <c r="F139" s="6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3:33" ht="15.75" customHeight="1">
      <c r="C140" s="4"/>
      <c r="D140" s="4"/>
      <c r="F140" s="6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3:33" ht="15.75" customHeight="1">
      <c r="C141" s="4"/>
      <c r="D141" s="4"/>
      <c r="F141" s="6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3:33" ht="15.75" customHeight="1">
      <c r="C142" s="4"/>
      <c r="D142" s="4"/>
      <c r="F142" s="6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3:33" ht="15.75" customHeight="1">
      <c r="C143" s="4"/>
      <c r="D143" s="4"/>
      <c r="F143" s="6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3:33" ht="15.75" customHeight="1">
      <c r="C144" s="4"/>
      <c r="D144" s="4"/>
      <c r="F144" s="6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3:33" ht="15.75" customHeight="1">
      <c r="C145" s="4"/>
      <c r="D145" s="4"/>
      <c r="F145" s="6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3:33" ht="15.75" customHeight="1">
      <c r="C146" s="4"/>
      <c r="D146" s="4"/>
      <c r="F146" s="6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3:33" ht="15.75" customHeight="1">
      <c r="C147" s="4"/>
      <c r="D147" s="4"/>
      <c r="F147" s="6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3:33" ht="15.75" customHeight="1">
      <c r="C148" s="4"/>
      <c r="D148" s="4"/>
      <c r="F148" s="6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3:33" ht="15.75" customHeight="1">
      <c r="C149" s="4"/>
      <c r="D149" s="4"/>
      <c r="F149" s="6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3:33" ht="15.75" customHeight="1">
      <c r="C150" s="4"/>
      <c r="D150" s="4"/>
      <c r="F150" s="6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3:33" ht="15.75" customHeight="1">
      <c r="C151" s="4"/>
      <c r="D151" s="4"/>
      <c r="F151" s="6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3:33" ht="15.75" customHeight="1">
      <c r="C152" s="4"/>
      <c r="D152" s="4"/>
      <c r="F152" s="6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3:33" ht="15.75" customHeight="1">
      <c r="C153" s="4"/>
      <c r="D153" s="4"/>
      <c r="F153" s="6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3:33" ht="15.75" customHeight="1">
      <c r="C154" s="4"/>
      <c r="D154" s="4"/>
      <c r="F154" s="6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3:33" ht="15.75" customHeight="1">
      <c r="C155" s="4"/>
      <c r="D155" s="4"/>
      <c r="F155" s="6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3:33" ht="15.75" customHeight="1">
      <c r="C156" s="4"/>
      <c r="D156" s="4"/>
      <c r="F156" s="6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3:33" ht="15.75" customHeight="1">
      <c r="C157" s="4"/>
      <c r="D157" s="4"/>
      <c r="F157" s="6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3:33" ht="15.75" customHeight="1">
      <c r="C158" s="4"/>
      <c r="D158" s="4"/>
      <c r="F158" s="6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3:33" ht="15.75" customHeight="1">
      <c r="C159" s="4"/>
      <c r="D159" s="4"/>
      <c r="F159" s="6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3:33" ht="15.75" customHeight="1">
      <c r="C160" s="4"/>
      <c r="D160" s="4"/>
      <c r="F160" s="6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3:33" ht="15.75" customHeight="1">
      <c r="C161" s="4"/>
      <c r="D161" s="4"/>
      <c r="F161" s="6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3:33" ht="15.75" customHeight="1">
      <c r="C162" s="4"/>
      <c r="D162" s="4"/>
      <c r="F162" s="6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3:33" ht="15.75" customHeight="1">
      <c r="C163" s="4"/>
      <c r="D163" s="4"/>
      <c r="F163" s="6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3:33" ht="15.75" customHeight="1">
      <c r="C164" s="4"/>
      <c r="D164" s="4"/>
      <c r="F164" s="6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3:33" ht="15.75" customHeight="1">
      <c r="C165" s="4"/>
      <c r="D165" s="4"/>
      <c r="F165" s="6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3:33" ht="15.75" customHeight="1">
      <c r="C166" s="4"/>
      <c r="D166" s="4"/>
      <c r="F166" s="6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3:33" ht="15.75" customHeight="1">
      <c r="C167" s="4"/>
      <c r="D167" s="4"/>
      <c r="F167" s="6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3:33" ht="15.75" customHeight="1">
      <c r="C168" s="4"/>
      <c r="D168" s="4"/>
      <c r="F168" s="6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3:33" ht="15.75" customHeight="1">
      <c r="C169" s="4"/>
      <c r="D169" s="4"/>
      <c r="F169" s="6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3:33" ht="15.75" customHeight="1">
      <c r="C170" s="4"/>
      <c r="D170" s="4"/>
      <c r="F170" s="6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3:33" ht="15.75" customHeight="1">
      <c r="C171" s="4"/>
      <c r="D171" s="4"/>
      <c r="F171" s="6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3:33" ht="15.75" customHeight="1">
      <c r="C172" s="4"/>
      <c r="D172" s="4"/>
      <c r="F172" s="6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3:33" ht="15.75" customHeight="1">
      <c r="C173" s="4"/>
      <c r="D173" s="4"/>
      <c r="F173" s="6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3:33" ht="15.75" customHeight="1">
      <c r="C174" s="4"/>
      <c r="D174" s="4"/>
      <c r="F174" s="6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3:33" ht="15.75" customHeight="1">
      <c r="C175" s="4"/>
      <c r="D175" s="4"/>
      <c r="F175" s="6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3:33" ht="15.75" customHeight="1">
      <c r="C176" s="4"/>
      <c r="D176" s="4"/>
      <c r="F176" s="6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3:33" ht="15.75" customHeight="1">
      <c r="C177" s="4"/>
      <c r="D177" s="4"/>
      <c r="F177" s="6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3:33" ht="15.75" customHeight="1">
      <c r="C178" s="4"/>
      <c r="D178" s="4"/>
      <c r="F178" s="6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3:33" ht="15.75" customHeight="1">
      <c r="C179" s="4"/>
      <c r="D179" s="4"/>
      <c r="F179" s="6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3:33" ht="15.75" customHeight="1">
      <c r="C180" s="4"/>
      <c r="D180" s="4"/>
      <c r="F180" s="6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3:33" ht="15.75" customHeight="1">
      <c r="C181" s="4"/>
      <c r="D181" s="4"/>
      <c r="F181" s="6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3:33" ht="15.75" customHeight="1">
      <c r="C182" s="4"/>
      <c r="D182" s="4"/>
      <c r="F182" s="6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3:33" ht="15.75" customHeight="1">
      <c r="C183" s="4"/>
      <c r="D183" s="4"/>
      <c r="F183" s="6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3:33" ht="15.75" customHeight="1">
      <c r="C184" s="4"/>
      <c r="D184" s="4"/>
      <c r="F184" s="6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3:33" ht="15.75" customHeight="1">
      <c r="C185" s="4"/>
      <c r="D185" s="4"/>
      <c r="F185" s="6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3:33" ht="15.75" customHeight="1">
      <c r="C186" s="4"/>
      <c r="D186" s="4"/>
      <c r="F186" s="6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3:33" ht="15.75" customHeight="1">
      <c r="C187" s="4"/>
      <c r="D187" s="4"/>
      <c r="F187" s="6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3:33" ht="15.75" customHeight="1">
      <c r="C188" s="4"/>
      <c r="D188" s="4"/>
      <c r="F188" s="6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3:33" ht="15.75" customHeight="1">
      <c r="C189" s="4"/>
      <c r="D189" s="4"/>
      <c r="F189" s="6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3:33" ht="15.75" customHeight="1">
      <c r="C190" s="4"/>
      <c r="D190" s="4"/>
      <c r="F190" s="6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3:33" ht="15.75" customHeight="1">
      <c r="C191" s="4"/>
      <c r="D191" s="4"/>
      <c r="F191" s="6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3:33" ht="15.75" customHeight="1">
      <c r="C192" s="4"/>
      <c r="D192" s="4"/>
      <c r="F192" s="6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3:33" ht="15.75" customHeight="1">
      <c r="C193" s="4"/>
      <c r="D193" s="4"/>
      <c r="F193" s="6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3:33" ht="15.75" customHeight="1">
      <c r="C194" s="4"/>
      <c r="D194" s="4"/>
      <c r="F194" s="6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3:33" ht="15.75" customHeight="1">
      <c r="C195" s="4"/>
      <c r="D195" s="4"/>
      <c r="F195" s="6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3:33" ht="15.75" customHeight="1">
      <c r="C196" s="4"/>
      <c r="D196" s="4"/>
      <c r="F196" s="6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3:33" ht="15.75" customHeight="1">
      <c r="C197" s="4"/>
      <c r="D197" s="4"/>
      <c r="F197" s="6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3:33" ht="15.75" customHeight="1">
      <c r="C198" s="4"/>
      <c r="D198" s="4"/>
      <c r="F198" s="6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3:33" ht="15.75" customHeight="1">
      <c r="C199" s="4"/>
      <c r="D199" s="4"/>
      <c r="F199" s="6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3:33" ht="15.75" customHeight="1">
      <c r="C200" s="4"/>
      <c r="D200" s="4"/>
      <c r="F200" s="6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3:33" ht="15.75" customHeight="1">
      <c r="C201" s="4"/>
      <c r="D201" s="4"/>
      <c r="F201" s="6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3:33" ht="15.75" customHeight="1">
      <c r="C202" s="4"/>
      <c r="D202" s="4"/>
      <c r="F202" s="6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3:33" ht="15.75" customHeight="1">
      <c r="C203" s="4"/>
      <c r="D203" s="4"/>
      <c r="F203" s="6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3:33" ht="15.75" customHeight="1">
      <c r="C204" s="4"/>
      <c r="D204" s="4"/>
      <c r="F204" s="6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3:33" ht="15.75" customHeight="1">
      <c r="C205" s="4"/>
      <c r="D205" s="4"/>
      <c r="F205" s="6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3:33" ht="15.75" customHeight="1">
      <c r="C206" s="4"/>
      <c r="D206" s="4"/>
      <c r="F206" s="6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3:33" ht="15.75" customHeight="1">
      <c r="C207" s="4"/>
      <c r="D207" s="4"/>
      <c r="F207" s="6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3:33" ht="15.75" customHeight="1">
      <c r="C208" s="4"/>
      <c r="D208" s="4"/>
      <c r="F208" s="6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3:33" ht="15.75" customHeight="1">
      <c r="C209" s="4"/>
      <c r="D209" s="4"/>
      <c r="F209" s="6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3:33" ht="15.75" customHeight="1">
      <c r="C210" s="4"/>
      <c r="D210" s="4"/>
      <c r="F210" s="6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3:33" ht="15.75" customHeight="1">
      <c r="C211" s="4"/>
      <c r="D211" s="4"/>
      <c r="F211" s="6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3:33" ht="15.75" customHeight="1">
      <c r="C212" s="4"/>
      <c r="D212" s="4"/>
      <c r="F212" s="6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3:33" ht="15.75" customHeight="1">
      <c r="C213" s="4"/>
      <c r="D213" s="4"/>
      <c r="F213" s="6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3:33" ht="15.75" customHeight="1">
      <c r="C214" s="4"/>
      <c r="D214" s="4"/>
      <c r="F214" s="6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3:33" ht="15.75" customHeight="1">
      <c r="C215" s="4"/>
      <c r="D215" s="4"/>
      <c r="F215" s="6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3:33" ht="15.75" customHeight="1">
      <c r="C216" s="4"/>
      <c r="D216" s="4"/>
      <c r="F216" s="6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3:33" ht="15.75" customHeight="1">
      <c r="C217" s="4"/>
      <c r="D217" s="4"/>
      <c r="F217" s="6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3:33" ht="15.75" customHeight="1">
      <c r="C218" s="4"/>
      <c r="D218" s="4"/>
      <c r="F218" s="6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3:33" ht="15.75" customHeight="1">
      <c r="C219" s="4"/>
      <c r="D219" s="4"/>
      <c r="F219" s="6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3:33" ht="15.75" customHeight="1">
      <c r="C220" s="4"/>
      <c r="D220" s="4"/>
      <c r="F220" s="6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3:33" ht="15.75" customHeight="1">
      <c r="C221" s="4"/>
      <c r="D221" s="4"/>
      <c r="F221" s="6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3:33" ht="15.75" customHeight="1">
      <c r="C222" s="4"/>
      <c r="D222" s="4"/>
      <c r="F222" s="6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3:33" ht="15.75" customHeight="1">
      <c r="C223" s="4"/>
      <c r="D223" s="4"/>
      <c r="F223" s="6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3:33" ht="15.75" customHeight="1">
      <c r="C224" s="4"/>
      <c r="D224" s="4"/>
      <c r="F224" s="6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3:33" ht="15.75" customHeight="1">
      <c r="C225" s="4"/>
      <c r="D225" s="4"/>
      <c r="F225" s="6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3:33" ht="15.75" customHeight="1">
      <c r="C226" s="4"/>
      <c r="D226" s="4"/>
      <c r="F226" s="6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3:33" ht="15.75" customHeight="1">
      <c r="C227" s="4"/>
      <c r="D227" s="4"/>
      <c r="F227" s="6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3:33" ht="15.75" customHeight="1">
      <c r="C228" s="4"/>
      <c r="D228" s="4"/>
      <c r="F228" s="6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3:33" ht="15.75" customHeight="1">
      <c r="C229" s="4"/>
      <c r="D229" s="4"/>
      <c r="F229" s="6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3:33" ht="15.75" customHeight="1">
      <c r="C230" s="4"/>
      <c r="D230" s="4"/>
      <c r="F230" s="6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3:33" ht="15.75" customHeight="1">
      <c r="C231" s="4"/>
      <c r="D231" s="4"/>
      <c r="F231" s="6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3:33" ht="15.75" customHeight="1">
      <c r="C232" s="4"/>
      <c r="D232" s="4"/>
      <c r="F232" s="6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3:33" ht="15.75" customHeight="1">
      <c r="C233" s="4"/>
      <c r="D233" s="4"/>
      <c r="F233" s="6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3:33" ht="15.75" customHeight="1">
      <c r="C234" s="4"/>
      <c r="D234" s="4"/>
      <c r="F234" s="6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3:33" ht="15.75" customHeight="1">
      <c r="C235" s="4"/>
      <c r="D235" s="4"/>
      <c r="F235" s="6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3:33" ht="15.75" customHeight="1">
      <c r="C236" s="4"/>
      <c r="D236" s="4"/>
      <c r="F236" s="6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3:33" ht="15.75" customHeight="1">
      <c r="C237" s="4"/>
      <c r="D237" s="4"/>
      <c r="F237" s="6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3:33" ht="15.75" customHeight="1">
      <c r="C238" s="4"/>
      <c r="D238" s="4"/>
      <c r="F238" s="6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3:33" ht="15.75" customHeight="1">
      <c r="C239" s="4"/>
      <c r="D239" s="4"/>
      <c r="F239" s="6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3:33" ht="15.75" customHeight="1">
      <c r="C240" s="4"/>
      <c r="D240" s="4"/>
      <c r="F240" s="6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3:33" ht="15.75" customHeight="1">
      <c r="C241" s="4"/>
      <c r="D241" s="4"/>
      <c r="F241" s="6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3:33" ht="15.75" customHeight="1">
      <c r="C242" s="4"/>
      <c r="D242" s="4"/>
      <c r="F242" s="6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3:33" ht="15.75" customHeight="1">
      <c r="C243" s="4"/>
      <c r="D243" s="4"/>
      <c r="F243" s="6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3:33" ht="15.75" customHeight="1">
      <c r="C244" s="4"/>
      <c r="D244" s="4"/>
      <c r="F244" s="6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3:33" ht="15.75" customHeight="1">
      <c r="C245" s="4"/>
      <c r="D245" s="4"/>
      <c r="F245" s="6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3:33" ht="15.75" customHeight="1">
      <c r="C246" s="4"/>
      <c r="D246" s="4"/>
      <c r="F246" s="6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3:33" ht="15.75" customHeight="1">
      <c r="C247" s="4"/>
      <c r="D247" s="4"/>
      <c r="F247" s="6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3:33" ht="15.75" customHeight="1">
      <c r="C248" s="4"/>
      <c r="D248" s="4"/>
      <c r="F248" s="6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3:33" ht="15.75" customHeight="1">
      <c r="C249" s="4"/>
      <c r="D249" s="4"/>
      <c r="F249" s="6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3:33" ht="15.75" customHeight="1">
      <c r="C250" s="4"/>
      <c r="D250" s="4"/>
      <c r="F250" s="6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3:33" ht="15.75" customHeight="1">
      <c r="C251" s="4"/>
      <c r="D251" s="4"/>
      <c r="F251" s="6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3:33" ht="15.75" customHeight="1">
      <c r="C252" s="4"/>
      <c r="D252" s="4"/>
      <c r="F252" s="6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3:33" ht="15.75" customHeight="1">
      <c r="C253" s="4"/>
      <c r="D253" s="4"/>
      <c r="F253" s="6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3:33" ht="15.75" customHeight="1">
      <c r="C254" s="4"/>
      <c r="D254" s="4"/>
      <c r="F254" s="6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3:33" ht="15.75" customHeight="1">
      <c r="C255" s="4"/>
      <c r="D255" s="4"/>
      <c r="F255" s="6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3:33" ht="15.75" customHeight="1">
      <c r="C256" s="4"/>
      <c r="D256" s="4"/>
      <c r="F256" s="6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3:33" ht="15.75" customHeight="1">
      <c r="C257" s="4"/>
      <c r="D257" s="4"/>
      <c r="F257" s="6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3:33" ht="15.75" customHeight="1">
      <c r="C258" s="4"/>
      <c r="D258" s="4"/>
      <c r="F258" s="6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3:33" ht="15.75" customHeight="1">
      <c r="C259" s="4"/>
      <c r="D259" s="4"/>
      <c r="F259" s="6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3:33" ht="15.75" customHeight="1">
      <c r="C260" s="4"/>
      <c r="D260" s="4"/>
      <c r="F260" s="6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3:33" ht="15.75" customHeight="1">
      <c r="C261" s="4"/>
      <c r="D261" s="4"/>
      <c r="F261" s="6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3:33" ht="15.75" customHeight="1">
      <c r="C262" s="4"/>
      <c r="D262" s="4"/>
      <c r="F262" s="6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3:33" ht="15.75" customHeight="1">
      <c r="C263" s="4"/>
      <c r="D263" s="4"/>
      <c r="F263" s="6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3:33" ht="15.75" customHeight="1">
      <c r="C264" s="4"/>
      <c r="D264" s="4"/>
      <c r="F264" s="6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3:33" ht="15.75" customHeight="1">
      <c r="C265" s="4"/>
      <c r="D265" s="4"/>
      <c r="F265" s="6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3:33" ht="15.75" customHeight="1">
      <c r="C266" s="4"/>
      <c r="D266" s="4"/>
      <c r="F266" s="6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3:33" ht="15.75" customHeight="1">
      <c r="C267" s="4"/>
      <c r="D267" s="4"/>
      <c r="F267" s="6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3:33" ht="15.75" customHeight="1">
      <c r="C268" s="4"/>
      <c r="D268" s="4"/>
      <c r="F268" s="6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3:33" ht="15.75" customHeight="1">
      <c r="C269" s="4"/>
      <c r="D269" s="4"/>
      <c r="F269" s="6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3:33" ht="15.75" customHeight="1">
      <c r="C270" s="4"/>
      <c r="D270" s="4"/>
      <c r="F270" s="6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3:33" ht="15.75" customHeight="1">
      <c r="C271" s="4"/>
      <c r="D271" s="4"/>
      <c r="F271" s="6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3:33" ht="15.75" customHeight="1">
      <c r="C272" s="4"/>
      <c r="D272" s="4"/>
      <c r="F272" s="6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3:33" ht="15.75" customHeight="1">
      <c r="C273" s="4"/>
      <c r="D273" s="4"/>
      <c r="F273" s="6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3:33" ht="15.75" customHeight="1"/>
    <row r="275" spans="3:33" ht="15.75" customHeight="1"/>
    <row r="276" spans="3:33" ht="15.75" customHeight="1"/>
    <row r="277" spans="3:33" ht="15.75" customHeight="1"/>
    <row r="278" spans="3:33" ht="15.75" customHeight="1"/>
    <row r="279" spans="3:33" ht="15.75" customHeight="1"/>
    <row r="280" spans="3:33" ht="15.75" customHeight="1"/>
    <row r="281" spans="3:33" ht="15.75" customHeight="1"/>
    <row r="282" spans="3:33" ht="15.75" customHeight="1"/>
    <row r="283" spans="3:33" ht="15.75" customHeight="1"/>
    <row r="284" spans="3:33" ht="15.75" customHeight="1"/>
    <row r="285" spans="3:33" ht="15.75" customHeight="1"/>
    <row r="286" spans="3:33" ht="15.75" customHeight="1"/>
    <row r="287" spans="3:33" ht="15.75" customHeight="1"/>
    <row r="288" spans="3:33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V6:V7"/>
    <mergeCell ref="AD6:AD8"/>
    <mergeCell ref="AE6:AF6"/>
    <mergeCell ref="AG6:AG8"/>
    <mergeCell ref="W6:W7"/>
    <mergeCell ref="X6:X7"/>
    <mergeCell ref="Y6:Y7"/>
    <mergeCell ref="Z6:Z7"/>
    <mergeCell ref="AA6:AA7"/>
    <mergeCell ref="AB6:AB7"/>
    <mergeCell ref="AC6:AC7"/>
    <mergeCell ref="Q6:Q7"/>
    <mergeCell ref="R6:R7"/>
    <mergeCell ref="S6:S7"/>
    <mergeCell ref="T6:T7"/>
    <mergeCell ref="U6:U7"/>
    <mergeCell ref="L6:L7"/>
    <mergeCell ref="M6:M7"/>
    <mergeCell ref="N6:N7"/>
    <mergeCell ref="O6:O7"/>
    <mergeCell ref="P6:P7"/>
    <mergeCell ref="G6:G8"/>
    <mergeCell ref="H6:H8"/>
    <mergeCell ref="I6:I8"/>
    <mergeCell ref="J6:J8"/>
    <mergeCell ref="K6:K7"/>
    <mergeCell ref="A6:A8"/>
    <mergeCell ref="B6:B8"/>
    <mergeCell ref="C6:C8"/>
    <mergeCell ref="E6:E8"/>
    <mergeCell ref="F6:F8"/>
  </mergeCells>
  <pageMargins left="0.7" right="0.7" top="0.75" bottom="0.75" header="0" footer="0"/>
  <pageSetup paperSize="9" orientation="portrait"/>
  <colBreaks count="2" manualBreakCount="2">
    <brk id="4" man="1"/>
    <brk id="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001"/>
  <sheetViews>
    <sheetView workbookViewId="0"/>
  </sheetViews>
  <sheetFormatPr defaultColWidth="14.42578125" defaultRowHeight="15" customHeight="1" outlineLevelCol="1"/>
  <cols>
    <col min="1" max="1" width="8.85546875" customWidth="1"/>
    <col min="2" max="2" width="13.28515625" customWidth="1"/>
    <col min="3" max="3" width="6.140625" customWidth="1"/>
    <col min="4" max="4" width="35.28515625" customWidth="1"/>
    <col min="5" max="5" width="7.140625" customWidth="1"/>
    <col min="6" max="6" width="39.28515625" customWidth="1"/>
    <col min="7" max="7" width="19.85546875" customWidth="1"/>
    <col min="8" max="8" width="19" customWidth="1"/>
    <col min="9" max="9" width="8.7109375" customWidth="1"/>
    <col min="10" max="10" width="19" customWidth="1"/>
    <col min="11" max="11" width="22.28515625" customWidth="1"/>
    <col min="12" max="13" width="20.7109375" customWidth="1" outlineLevel="1"/>
    <col min="14" max="14" width="20.7109375" customWidth="1"/>
    <col min="15" max="16" width="20.7109375" hidden="1" customWidth="1" outlineLevel="1"/>
    <col min="17" max="17" width="20.7109375" customWidth="1"/>
    <col min="18" max="19" width="20.7109375" hidden="1" customWidth="1" outlineLevel="1"/>
    <col min="20" max="20" width="20.7109375" customWidth="1"/>
  </cols>
  <sheetData>
    <row r="1" spans="1:20">
      <c r="A1" s="6" t="s">
        <v>261</v>
      </c>
      <c r="B1" s="225" t="s">
        <v>261</v>
      </c>
      <c r="C1" s="225" t="s">
        <v>261</v>
      </c>
      <c r="D1" s="6" t="s">
        <v>261</v>
      </c>
      <c r="E1" s="6" t="s">
        <v>261</v>
      </c>
      <c r="F1" s="6" t="s">
        <v>261</v>
      </c>
      <c r="G1" s="226" t="s">
        <v>497</v>
      </c>
      <c r="H1" s="6"/>
      <c r="I1" s="6"/>
      <c r="J1" s="227"/>
      <c r="K1" s="6"/>
      <c r="L1" s="227" t="s">
        <v>381</v>
      </c>
      <c r="M1" s="227" t="s">
        <v>381</v>
      </c>
      <c r="N1" s="227" t="s">
        <v>381</v>
      </c>
      <c r="O1" s="227" t="s">
        <v>498</v>
      </c>
      <c r="P1" s="227" t="s">
        <v>498</v>
      </c>
      <c r="Q1" s="227" t="s">
        <v>498</v>
      </c>
      <c r="R1" s="227" t="s">
        <v>383</v>
      </c>
      <c r="S1" s="227" t="s">
        <v>383</v>
      </c>
      <c r="T1" s="227" t="s">
        <v>383</v>
      </c>
    </row>
    <row r="2" spans="1:20">
      <c r="A2" s="6"/>
      <c r="B2" s="225"/>
      <c r="C2" s="225"/>
      <c r="D2" s="6"/>
      <c r="E2" s="6"/>
      <c r="F2" s="6"/>
      <c r="G2" s="6" t="s">
        <v>499</v>
      </c>
      <c r="H2" s="6" t="s">
        <v>500</v>
      </c>
      <c r="I2" s="6" t="s">
        <v>501</v>
      </c>
      <c r="J2" s="227" t="s">
        <v>374</v>
      </c>
      <c r="K2" s="6" t="s">
        <v>502</v>
      </c>
      <c r="L2" s="228" t="s">
        <v>503</v>
      </c>
      <c r="M2" s="228" t="s">
        <v>504</v>
      </c>
      <c r="N2" s="229">
        <v>45322</v>
      </c>
      <c r="O2" s="228" t="s">
        <v>503</v>
      </c>
      <c r="P2" s="227" t="s">
        <v>505</v>
      </c>
      <c r="Q2" s="229">
        <v>45320</v>
      </c>
      <c r="R2" s="228" t="s">
        <v>503</v>
      </c>
      <c r="S2" s="228" t="s">
        <v>504</v>
      </c>
      <c r="T2" s="229">
        <v>45322</v>
      </c>
    </row>
    <row r="3" spans="1:20">
      <c r="A3" s="6" t="s">
        <v>506</v>
      </c>
      <c r="B3" s="225" t="s">
        <v>507</v>
      </c>
      <c r="C3" s="225" t="s">
        <v>508</v>
      </c>
      <c r="D3" s="6" t="s">
        <v>373</v>
      </c>
      <c r="E3" s="6" t="s">
        <v>509</v>
      </c>
      <c r="F3" s="6" t="s">
        <v>510</v>
      </c>
      <c r="G3" s="13" t="s">
        <v>511</v>
      </c>
      <c r="J3" s="230">
        <f t="shared" ref="J3:K3" si="0">SUBTOTAL(109,J4:J5011)</f>
        <v>125000</v>
      </c>
      <c r="K3" s="230">
        <f t="shared" si="0"/>
        <v>125000</v>
      </c>
      <c r="L3" s="230"/>
      <c r="M3" s="230"/>
      <c r="N3" s="230">
        <f>SUBTOTAL(109,N4:N5011)</f>
        <v>0</v>
      </c>
      <c r="O3" s="230"/>
      <c r="P3" s="230"/>
      <c r="Q3" s="230">
        <f>SUBTOTAL(109,Q4:Q5011)</f>
        <v>0</v>
      </c>
      <c r="R3" s="230"/>
      <c r="S3" s="230"/>
      <c r="T3" s="230">
        <f>SUBTOTAL(109,T4:T5011)</f>
        <v>0</v>
      </c>
    </row>
    <row r="4" spans="1:20">
      <c r="A4" s="80">
        <v>1</v>
      </c>
      <c r="B4" s="231" t="str">
        <f t="shared" ref="B4:B18" si="1">CONCATENATE(A4,"-",E4)</f>
        <v>1-CDMD</v>
      </c>
      <c r="C4" s="231">
        <f t="shared" ref="C4:C10" si="2">IF(D4="","",COUNTA($D$4:D4))</f>
        <v>1</v>
      </c>
      <c r="D4" s="137" t="s">
        <v>78</v>
      </c>
      <c r="E4" s="13" t="s">
        <v>79</v>
      </c>
      <c r="F4" s="137" t="s">
        <v>80</v>
      </c>
      <c r="G4" s="137" t="s">
        <v>512</v>
      </c>
      <c r="H4" s="232">
        <v>45314</v>
      </c>
      <c r="I4" s="137">
        <v>3</v>
      </c>
      <c r="J4" s="226">
        <v>125000</v>
      </c>
      <c r="K4" s="226">
        <f>J4-SUM(N4,Q4,T4)</f>
        <v>125000</v>
      </c>
      <c r="L4" s="226">
        <f>SUMIF('MASTER DATA'!$B:$B,$G1,'MASTER DATA'!$AR:$AR)</f>
        <v>0</v>
      </c>
      <c r="M4" s="226"/>
      <c r="N4" s="226">
        <f>SUM(L4:M4)</f>
        <v>0</v>
      </c>
      <c r="O4" s="226"/>
      <c r="P4" s="226"/>
      <c r="Q4" s="226">
        <f>SUM(O4:P4)</f>
        <v>0</v>
      </c>
      <c r="R4" s="226"/>
      <c r="S4" s="226"/>
      <c r="T4" s="226">
        <f>SUM(R4:S4)</f>
        <v>0</v>
      </c>
    </row>
    <row r="5" spans="1:20">
      <c r="A5" s="80">
        <v>2</v>
      </c>
      <c r="B5" s="231" t="str">
        <f t="shared" si="1"/>
        <v>2-CDMD</v>
      </c>
      <c r="C5" s="231">
        <f t="shared" si="2"/>
        <v>2</v>
      </c>
      <c r="D5" s="137" t="s">
        <v>85</v>
      </c>
      <c r="E5" s="13" t="s">
        <v>79</v>
      </c>
      <c r="F5" s="137" t="s">
        <v>86</v>
      </c>
      <c r="G5" s="137" t="s">
        <v>513</v>
      </c>
      <c r="H5" s="232">
        <v>45314</v>
      </c>
      <c r="J5" s="226"/>
      <c r="L5" s="226"/>
      <c r="M5" s="226"/>
      <c r="N5" s="226"/>
      <c r="O5" s="226"/>
      <c r="P5" s="226"/>
      <c r="Q5" s="226"/>
      <c r="R5" s="226"/>
      <c r="S5" s="226"/>
      <c r="T5" s="226"/>
    </row>
    <row r="6" spans="1:20">
      <c r="A6" s="80">
        <v>3</v>
      </c>
      <c r="B6" s="231" t="str">
        <f t="shared" si="1"/>
        <v>3-CDMD</v>
      </c>
      <c r="C6" s="231">
        <f t="shared" si="2"/>
        <v>3</v>
      </c>
      <c r="D6" s="233" t="s">
        <v>89</v>
      </c>
      <c r="E6" s="13" t="s">
        <v>79</v>
      </c>
      <c r="F6" s="137" t="s">
        <v>90</v>
      </c>
      <c r="H6" s="232"/>
      <c r="J6" s="226"/>
      <c r="L6" s="226"/>
      <c r="M6" s="226"/>
      <c r="N6" s="226"/>
      <c r="O6" s="226"/>
      <c r="P6" s="226"/>
      <c r="Q6" s="226"/>
      <c r="R6" s="226"/>
      <c r="S6" s="226"/>
      <c r="T6" s="226"/>
    </row>
    <row r="7" spans="1:20">
      <c r="A7" s="80">
        <v>4</v>
      </c>
      <c r="B7" s="231" t="str">
        <f t="shared" si="1"/>
        <v>4-CDMD</v>
      </c>
      <c r="C7" s="231">
        <f t="shared" si="2"/>
        <v>4</v>
      </c>
      <c r="D7" s="137" t="s">
        <v>93</v>
      </c>
      <c r="E7" s="13" t="s">
        <v>79</v>
      </c>
      <c r="F7" s="137" t="s">
        <v>86</v>
      </c>
      <c r="G7" s="137"/>
      <c r="H7" s="232"/>
      <c r="J7" s="226"/>
      <c r="L7" s="226"/>
      <c r="M7" s="226"/>
      <c r="N7" s="226"/>
      <c r="O7" s="226"/>
      <c r="P7" s="226"/>
      <c r="Q7" s="226"/>
      <c r="R7" s="226"/>
      <c r="S7" s="226"/>
      <c r="T7" s="226"/>
    </row>
    <row r="8" spans="1:20">
      <c r="A8" s="80">
        <v>1</v>
      </c>
      <c r="B8" s="231" t="str">
        <f t="shared" si="1"/>
        <v>1-PPD</v>
      </c>
      <c r="C8" s="231">
        <f t="shared" si="2"/>
        <v>5</v>
      </c>
      <c r="D8" s="137" t="s">
        <v>98</v>
      </c>
      <c r="E8" s="13" t="s">
        <v>99</v>
      </c>
      <c r="F8" s="137" t="s">
        <v>80</v>
      </c>
      <c r="G8" s="137" t="s">
        <v>514</v>
      </c>
      <c r="H8" s="232">
        <v>45314</v>
      </c>
      <c r="J8" s="226"/>
      <c r="L8" s="226"/>
      <c r="M8" s="226"/>
      <c r="N8" s="226"/>
      <c r="O8" s="226"/>
      <c r="P8" s="226"/>
      <c r="Q8" s="226"/>
      <c r="R8" s="226"/>
      <c r="S8" s="226"/>
      <c r="T8" s="226"/>
    </row>
    <row r="9" spans="1:20">
      <c r="A9" s="80">
        <v>2</v>
      </c>
      <c r="B9" s="231" t="str">
        <f t="shared" si="1"/>
        <v>2-PPD</v>
      </c>
      <c r="C9" s="231">
        <f t="shared" si="2"/>
        <v>6</v>
      </c>
      <c r="D9" s="137" t="s">
        <v>102</v>
      </c>
      <c r="E9" s="13" t="s">
        <v>99</v>
      </c>
      <c r="F9" s="137" t="s">
        <v>103</v>
      </c>
      <c r="G9" s="137" t="s">
        <v>515</v>
      </c>
      <c r="H9" s="232">
        <v>45314</v>
      </c>
      <c r="J9" s="226"/>
      <c r="L9" s="226"/>
      <c r="M9" s="226"/>
      <c r="N9" s="226"/>
      <c r="O9" s="226"/>
      <c r="P9" s="226"/>
      <c r="Q9" s="226"/>
      <c r="R9" s="226"/>
      <c r="S9" s="226"/>
      <c r="T9" s="226"/>
    </row>
    <row r="10" spans="1:20">
      <c r="A10" s="80">
        <v>3</v>
      </c>
      <c r="B10" s="231" t="str">
        <f t="shared" si="1"/>
        <v>3-PPD</v>
      </c>
      <c r="C10" s="231">
        <f t="shared" si="2"/>
        <v>7</v>
      </c>
      <c r="D10" s="137" t="s">
        <v>516</v>
      </c>
      <c r="E10" s="13" t="s">
        <v>99</v>
      </c>
      <c r="F10" s="137" t="s">
        <v>103</v>
      </c>
      <c r="G10" s="137"/>
      <c r="H10" s="232"/>
      <c r="J10" s="226"/>
      <c r="L10" s="226"/>
      <c r="M10" s="226"/>
      <c r="N10" s="226"/>
      <c r="O10" s="226"/>
      <c r="P10" s="226"/>
      <c r="Q10" s="226"/>
      <c r="R10" s="226"/>
      <c r="S10" s="226"/>
      <c r="T10" s="226"/>
    </row>
    <row r="11" spans="1:20">
      <c r="A11" s="80">
        <v>4</v>
      </c>
      <c r="B11" s="231" t="str">
        <f t="shared" si="1"/>
        <v>4-PPD</v>
      </c>
      <c r="C11" s="231">
        <v>7</v>
      </c>
      <c r="D11" s="137" t="s">
        <v>106</v>
      </c>
      <c r="E11" s="13" t="s">
        <v>99</v>
      </c>
      <c r="F11" s="137" t="s">
        <v>107</v>
      </c>
      <c r="G11" s="137"/>
      <c r="H11" s="232"/>
      <c r="J11" s="226"/>
      <c r="L11" s="226"/>
      <c r="M11" s="226"/>
      <c r="N11" s="226"/>
      <c r="O11" s="226"/>
      <c r="P11" s="226"/>
      <c r="Q11" s="226"/>
      <c r="R11" s="226"/>
      <c r="S11" s="226"/>
      <c r="T11" s="226"/>
    </row>
    <row r="12" spans="1:20">
      <c r="A12" s="80">
        <v>5</v>
      </c>
      <c r="B12" s="231" t="str">
        <f t="shared" si="1"/>
        <v>5-PPD</v>
      </c>
      <c r="C12" s="231">
        <v>8</v>
      </c>
      <c r="D12" s="137" t="s">
        <v>109</v>
      </c>
      <c r="E12" s="13" t="s">
        <v>99</v>
      </c>
      <c r="F12" s="137" t="s">
        <v>517</v>
      </c>
      <c r="G12" s="137"/>
      <c r="H12" s="232"/>
      <c r="J12" s="226"/>
      <c r="L12" s="226"/>
      <c r="M12" s="226"/>
      <c r="N12" s="226"/>
      <c r="O12" s="226"/>
      <c r="P12" s="226"/>
      <c r="Q12" s="226"/>
      <c r="R12" s="226"/>
      <c r="S12" s="226"/>
      <c r="T12" s="226"/>
    </row>
    <row r="13" spans="1:20">
      <c r="A13" s="80">
        <v>1</v>
      </c>
      <c r="B13" s="231" t="str">
        <f t="shared" si="1"/>
        <v>1-ISD</v>
      </c>
      <c r="C13" s="231">
        <f t="shared" ref="C13:C18" si="3">IF(D13="","",COUNTA($D$4:D13))</f>
        <v>10</v>
      </c>
      <c r="D13" s="137" t="s">
        <v>113</v>
      </c>
      <c r="E13" s="13" t="s">
        <v>114</v>
      </c>
      <c r="F13" s="137" t="s">
        <v>417</v>
      </c>
      <c r="G13" s="137" t="s">
        <v>518</v>
      </c>
      <c r="H13" s="232">
        <v>45314</v>
      </c>
      <c r="J13" s="226"/>
      <c r="L13" s="226"/>
      <c r="M13" s="226"/>
      <c r="N13" s="226"/>
      <c r="O13" s="226"/>
      <c r="P13" s="226"/>
      <c r="Q13" s="226"/>
      <c r="R13" s="226"/>
      <c r="S13" s="226"/>
      <c r="T13" s="226"/>
    </row>
    <row r="14" spans="1:20">
      <c r="A14" s="80">
        <v>2</v>
      </c>
      <c r="B14" s="231" t="str">
        <f t="shared" si="1"/>
        <v>2-ISD</v>
      </c>
      <c r="C14" s="231">
        <f t="shared" si="3"/>
        <v>11</v>
      </c>
      <c r="D14" s="137" t="s">
        <v>119</v>
      </c>
      <c r="E14" s="13" t="s">
        <v>114</v>
      </c>
      <c r="F14" s="137" t="s">
        <v>120</v>
      </c>
      <c r="G14" s="137" t="s">
        <v>519</v>
      </c>
      <c r="H14" s="232">
        <v>45314</v>
      </c>
      <c r="J14" s="226"/>
      <c r="L14" s="226"/>
      <c r="M14" s="226"/>
      <c r="N14" s="226"/>
      <c r="O14" s="226"/>
      <c r="P14" s="226"/>
      <c r="Q14" s="226"/>
      <c r="R14" s="226"/>
      <c r="S14" s="226"/>
      <c r="T14" s="226"/>
    </row>
    <row r="15" spans="1:20">
      <c r="A15" s="80">
        <v>3</v>
      </c>
      <c r="B15" s="231" t="str">
        <f t="shared" si="1"/>
        <v>3-ISD</v>
      </c>
      <c r="C15" s="231">
        <f t="shared" si="3"/>
        <v>12</v>
      </c>
      <c r="D15" s="137" t="s">
        <v>123</v>
      </c>
      <c r="E15" s="13" t="s">
        <v>114</v>
      </c>
      <c r="F15" s="137" t="s">
        <v>80</v>
      </c>
      <c r="G15" s="137" t="s">
        <v>520</v>
      </c>
      <c r="H15" s="232">
        <v>45314</v>
      </c>
      <c r="J15" s="226"/>
      <c r="L15" s="226"/>
      <c r="M15" s="226"/>
      <c r="N15" s="226"/>
      <c r="O15" s="226"/>
      <c r="P15" s="226"/>
      <c r="Q15" s="226"/>
      <c r="R15" s="226"/>
      <c r="S15" s="226"/>
      <c r="T15" s="226"/>
    </row>
    <row r="16" spans="1:20">
      <c r="A16" s="80">
        <v>4</v>
      </c>
      <c r="B16" s="231" t="str">
        <f t="shared" si="1"/>
        <v>4-ISD</v>
      </c>
      <c r="C16" s="231">
        <f t="shared" si="3"/>
        <v>13</v>
      </c>
      <c r="D16" s="137" t="s">
        <v>121</v>
      </c>
      <c r="E16" s="13" t="s">
        <v>114</v>
      </c>
      <c r="F16" s="137" t="s">
        <v>126</v>
      </c>
      <c r="G16" s="137" t="s">
        <v>521</v>
      </c>
      <c r="H16" s="232">
        <v>45314</v>
      </c>
      <c r="J16" s="226"/>
      <c r="L16" s="226"/>
      <c r="M16" s="226"/>
      <c r="N16" s="226"/>
      <c r="O16" s="226"/>
      <c r="P16" s="226"/>
      <c r="Q16" s="226"/>
      <c r="R16" s="226"/>
      <c r="S16" s="226"/>
      <c r="T16" s="226"/>
    </row>
    <row r="17" spans="1:20">
      <c r="A17" s="80">
        <v>5</v>
      </c>
      <c r="B17" s="231" t="str">
        <f t="shared" si="1"/>
        <v>5-ISD</v>
      </c>
      <c r="C17" s="231">
        <f t="shared" si="3"/>
        <v>14</v>
      </c>
      <c r="D17" s="137" t="s">
        <v>129</v>
      </c>
      <c r="E17" s="13" t="s">
        <v>114</v>
      </c>
      <c r="F17" s="137" t="s">
        <v>130</v>
      </c>
      <c r="G17" s="137" t="s">
        <v>522</v>
      </c>
      <c r="H17" s="232">
        <v>45314</v>
      </c>
      <c r="J17" s="226"/>
      <c r="L17" s="226"/>
      <c r="M17" s="226"/>
      <c r="N17" s="226"/>
      <c r="O17" s="226"/>
      <c r="P17" s="226"/>
      <c r="Q17" s="226"/>
      <c r="R17" s="226"/>
      <c r="S17" s="226"/>
      <c r="T17" s="226"/>
    </row>
    <row r="18" spans="1:20">
      <c r="A18" s="80">
        <v>6</v>
      </c>
      <c r="B18" s="231" t="str">
        <f t="shared" si="1"/>
        <v>6-ISD</v>
      </c>
      <c r="C18" s="231">
        <f t="shared" si="3"/>
        <v>15</v>
      </c>
      <c r="D18" s="233" t="s">
        <v>133</v>
      </c>
      <c r="E18" s="13" t="s">
        <v>114</v>
      </c>
      <c r="F18" s="137" t="s">
        <v>134</v>
      </c>
      <c r="G18" s="137"/>
      <c r="H18" s="232"/>
      <c r="J18" s="226"/>
      <c r="L18" s="226"/>
      <c r="M18" s="226"/>
      <c r="N18" s="226"/>
      <c r="O18" s="226"/>
      <c r="P18" s="226"/>
      <c r="Q18" s="226"/>
      <c r="R18" s="226"/>
      <c r="S18" s="226"/>
      <c r="T18" s="226"/>
    </row>
    <row r="19" spans="1:20">
      <c r="A19" s="80">
        <v>7</v>
      </c>
      <c r="B19" s="231" t="s">
        <v>300</v>
      </c>
      <c r="C19" s="231">
        <v>16</v>
      </c>
      <c r="D19" s="137" t="s">
        <v>117</v>
      </c>
      <c r="E19" s="13" t="s">
        <v>114</v>
      </c>
      <c r="F19" s="137" t="s">
        <v>134</v>
      </c>
      <c r="G19" s="137"/>
      <c r="H19" s="232"/>
      <c r="J19" s="226"/>
      <c r="L19" s="226"/>
      <c r="M19" s="226"/>
      <c r="N19" s="226"/>
      <c r="O19" s="226"/>
      <c r="P19" s="226"/>
      <c r="Q19" s="226"/>
      <c r="R19" s="226"/>
      <c r="S19" s="226"/>
      <c r="T19" s="226"/>
    </row>
    <row r="20" spans="1:20">
      <c r="A20" s="80">
        <v>1</v>
      </c>
      <c r="B20" s="231" t="str">
        <f t="shared" ref="B20:B71" si="4">CONCATENATE(A20,"-",E20)</f>
        <v>1-ADO</v>
      </c>
      <c r="C20" s="231">
        <f t="shared" ref="C20:C35" si="5">IF(D20="","",COUNTA($D$4:D20))</f>
        <v>17</v>
      </c>
      <c r="D20" s="137" t="s">
        <v>131</v>
      </c>
      <c r="E20" s="13" t="s">
        <v>139</v>
      </c>
      <c r="F20" s="137" t="s">
        <v>80</v>
      </c>
      <c r="G20" s="137" t="s">
        <v>523</v>
      </c>
      <c r="H20" s="232">
        <v>45314</v>
      </c>
      <c r="J20" s="226"/>
      <c r="L20" s="226"/>
      <c r="M20" s="226"/>
      <c r="N20" s="226"/>
      <c r="O20" s="226"/>
      <c r="P20" s="226"/>
      <c r="Q20" s="226"/>
      <c r="R20" s="226"/>
      <c r="S20" s="226"/>
      <c r="T20" s="226"/>
    </row>
    <row r="21" spans="1:20">
      <c r="A21" s="80">
        <v>2</v>
      </c>
      <c r="B21" s="231" t="str">
        <f t="shared" si="4"/>
        <v>2-ADO</v>
      </c>
      <c r="C21" s="231">
        <f t="shared" si="5"/>
        <v>18</v>
      </c>
      <c r="D21" s="137" t="s">
        <v>143</v>
      </c>
      <c r="E21" s="13" t="s">
        <v>139</v>
      </c>
      <c r="F21" s="137" t="s">
        <v>144</v>
      </c>
      <c r="G21" s="137" t="s">
        <v>524</v>
      </c>
      <c r="H21" s="232">
        <v>45314</v>
      </c>
      <c r="J21" s="226"/>
      <c r="L21" s="226"/>
      <c r="M21" s="226"/>
      <c r="N21" s="226"/>
      <c r="O21" s="226"/>
      <c r="P21" s="226"/>
      <c r="Q21" s="226"/>
      <c r="R21" s="226"/>
      <c r="S21" s="226"/>
      <c r="T21" s="226"/>
    </row>
    <row r="22" spans="1:20" ht="15.75" customHeight="1">
      <c r="A22" s="80">
        <v>1</v>
      </c>
      <c r="B22" s="231" t="str">
        <f t="shared" si="4"/>
        <v>1-BGT.</v>
      </c>
      <c r="C22" s="231">
        <f t="shared" si="5"/>
        <v>19</v>
      </c>
      <c r="D22" s="137" t="s">
        <v>151</v>
      </c>
      <c r="E22" s="13" t="s">
        <v>148</v>
      </c>
      <c r="F22" s="137" t="s">
        <v>80</v>
      </c>
      <c r="G22" s="137" t="s">
        <v>525</v>
      </c>
      <c r="H22" s="232">
        <v>45314</v>
      </c>
      <c r="J22" s="226"/>
      <c r="L22" s="226"/>
      <c r="M22" s="226"/>
      <c r="N22" s="226"/>
      <c r="O22" s="226"/>
      <c r="P22" s="226"/>
      <c r="Q22" s="226"/>
      <c r="R22" s="226"/>
      <c r="S22" s="226"/>
      <c r="T22" s="226"/>
    </row>
    <row r="23" spans="1:20" ht="15.75" customHeight="1">
      <c r="A23" s="80">
        <v>2</v>
      </c>
      <c r="B23" s="231" t="str">
        <f t="shared" si="4"/>
        <v>2-BGT.</v>
      </c>
      <c r="C23" s="231">
        <f t="shared" si="5"/>
        <v>20</v>
      </c>
      <c r="D23" s="137" t="s">
        <v>147</v>
      </c>
      <c r="E23" s="13" t="s">
        <v>148</v>
      </c>
      <c r="F23" s="137" t="s">
        <v>80</v>
      </c>
      <c r="G23" s="137" t="s">
        <v>526</v>
      </c>
      <c r="H23" s="232">
        <v>45314</v>
      </c>
      <c r="J23" s="226"/>
      <c r="L23" s="226"/>
      <c r="M23" s="226"/>
      <c r="N23" s="226"/>
      <c r="O23" s="226"/>
      <c r="P23" s="226"/>
      <c r="Q23" s="226"/>
      <c r="R23" s="226"/>
      <c r="S23" s="226"/>
      <c r="T23" s="226"/>
    </row>
    <row r="24" spans="1:20" ht="15.75" customHeight="1">
      <c r="A24" s="80">
        <v>3</v>
      </c>
      <c r="B24" s="231" t="str">
        <f t="shared" si="4"/>
        <v>3-BGT.</v>
      </c>
      <c r="C24" s="231">
        <f t="shared" si="5"/>
        <v>21</v>
      </c>
      <c r="D24" s="137" t="s">
        <v>135</v>
      </c>
      <c r="E24" s="13" t="s">
        <v>148</v>
      </c>
      <c r="F24" s="137" t="s">
        <v>154</v>
      </c>
      <c r="G24" s="137"/>
      <c r="H24" s="232"/>
      <c r="J24" s="226"/>
      <c r="L24" s="226"/>
      <c r="M24" s="226"/>
      <c r="N24" s="226"/>
      <c r="O24" s="226"/>
      <c r="P24" s="226"/>
      <c r="Q24" s="226"/>
      <c r="R24" s="226"/>
      <c r="S24" s="226"/>
      <c r="T24" s="226"/>
    </row>
    <row r="25" spans="1:20" ht="15.75" customHeight="1">
      <c r="A25" s="80">
        <v>1</v>
      </c>
      <c r="B25" s="231" t="str">
        <f t="shared" si="4"/>
        <v>1-ACCTG.</v>
      </c>
      <c r="C25" s="231">
        <f t="shared" si="5"/>
        <v>22</v>
      </c>
      <c r="D25" s="137" t="s">
        <v>157</v>
      </c>
      <c r="E25" s="13" t="s">
        <v>158</v>
      </c>
      <c r="F25" s="137" t="s">
        <v>80</v>
      </c>
      <c r="G25" s="137" t="s">
        <v>527</v>
      </c>
      <c r="H25" s="232">
        <v>45314</v>
      </c>
      <c r="J25" s="226"/>
      <c r="L25" s="226"/>
      <c r="M25" s="226"/>
      <c r="N25" s="226"/>
      <c r="O25" s="226"/>
      <c r="P25" s="226"/>
      <c r="Q25" s="226"/>
      <c r="R25" s="226"/>
      <c r="S25" s="226"/>
      <c r="T25" s="226"/>
    </row>
    <row r="26" spans="1:20" ht="15.75" customHeight="1">
      <c r="A26" s="80">
        <v>2</v>
      </c>
      <c r="B26" s="231" t="str">
        <f t="shared" si="4"/>
        <v>2-ACCTG.</v>
      </c>
      <c r="C26" s="231">
        <f t="shared" si="5"/>
        <v>23</v>
      </c>
      <c r="D26" s="137" t="s">
        <v>161</v>
      </c>
      <c r="E26" s="13" t="s">
        <v>158</v>
      </c>
      <c r="F26" s="137" t="s">
        <v>80</v>
      </c>
      <c r="G26" s="137" t="s">
        <v>528</v>
      </c>
      <c r="H26" s="232">
        <v>45314</v>
      </c>
      <c r="J26" s="226"/>
      <c r="L26" s="226"/>
      <c r="M26" s="226"/>
      <c r="N26" s="226"/>
      <c r="O26" s="226"/>
      <c r="P26" s="226"/>
      <c r="Q26" s="226"/>
      <c r="R26" s="226"/>
      <c r="S26" s="226"/>
      <c r="T26" s="226"/>
    </row>
    <row r="27" spans="1:20" ht="15.75" customHeight="1">
      <c r="A27" s="80">
        <v>3</v>
      </c>
      <c r="B27" s="231" t="str">
        <f t="shared" si="4"/>
        <v>3-ACCTG.</v>
      </c>
      <c r="C27" s="231">
        <f t="shared" si="5"/>
        <v>24</v>
      </c>
      <c r="D27" s="137" t="s">
        <v>165</v>
      </c>
      <c r="E27" s="13" t="s">
        <v>158</v>
      </c>
      <c r="F27" s="137" t="s">
        <v>80</v>
      </c>
      <c r="G27" s="137" t="s">
        <v>529</v>
      </c>
      <c r="H27" s="232">
        <v>45314</v>
      </c>
      <c r="J27" s="226"/>
      <c r="L27" s="226"/>
      <c r="M27" s="226"/>
      <c r="N27" s="226"/>
      <c r="O27" s="226"/>
      <c r="P27" s="226"/>
      <c r="Q27" s="226"/>
      <c r="R27" s="226"/>
      <c r="S27" s="226"/>
      <c r="T27" s="226"/>
    </row>
    <row r="28" spans="1:20" ht="15.75" customHeight="1">
      <c r="A28" s="80">
        <v>4</v>
      </c>
      <c r="B28" s="231" t="str">
        <f t="shared" si="4"/>
        <v>4-ACCTG.</v>
      </c>
      <c r="C28" s="231">
        <f t="shared" si="5"/>
        <v>25</v>
      </c>
      <c r="D28" s="137" t="s">
        <v>168</v>
      </c>
      <c r="E28" s="13" t="s">
        <v>158</v>
      </c>
      <c r="F28" s="137" t="s">
        <v>80</v>
      </c>
      <c r="G28" s="137" t="s">
        <v>530</v>
      </c>
      <c r="H28" s="232">
        <v>45314</v>
      </c>
      <c r="J28" s="226"/>
      <c r="L28" s="226"/>
      <c r="M28" s="226"/>
      <c r="N28" s="226"/>
      <c r="O28" s="226"/>
      <c r="P28" s="226"/>
      <c r="Q28" s="226"/>
      <c r="R28" s="226"/>
      <c r="S28" s="226"/>
      <c r="T28" s="226"/>
    </row>
    <row r="29" spans="1:20" ht="15.75" customHeight="1">
      <c r="A29" s="80">
        <v>5</v>
      </c>
      <c r="B29" s="231" t="str">
        <f t="shared" si="4"/>
        <v>5-ACCTG.</v>
      </c>
      <c r="C29" s="231">
        <f t="shared" si="5"/>
        <v>26</v>
      </c>
      <c r="D29" s="137" t="s">
        <v>170</v>
      </c>
      <c r="E29" s="13" t="s">
        <v>158</v>
      </c>
      <c r="F29" s="137" t="s">
        <v>80</v>
      </c>
      <c r="G29" s="137" t="s">
        <v>531</v>
      </c>
      <c r="H29" s="232">
        <v>45314</v>
      </c>
      <c r="J29" s="226"/>
      <c r="L29" s="226"/>
      <c r="M29" s="226"/>
      <c r="N29" s="226"/>
      <c r="O29" s="226"/>
      <c r="P29" s="226"/>
      <c r="Q29" s="226"/>
      <c r="R29" s="226"/>
      <c r="S29" s="226"/>
      <c r="T29" s="226"/>
    </row>
    <row r="30" spans="1:20" ht="15.75" customHeight="1">
      <c r="A30" s="80">
        <v>6</v>
      </c>
      <c r="B30" s="231" t="str">
        <f t="shared" si="4"/>
        <v>6-ACCTG.</v>
      </c>
      <c r="C30" s="231">
        <f t="shared" si="5"/>
        <v>27</v>
      </c>
      <c r="D30" s="137" t="s">
        <v>173</v>
      </c>
      <c r="E30" s="13" t="s">
        <v>158</v>
      </c>
      <c r="F30" s="234" t="s">
        <v>532</v>
      </c>
      <c r="G30" s="137"/>
      <c r="H30" s="232"/>
      <c r="J30" s="226"/>
      <c r="L30" s="226"/>
      <c r="M30" s="226"/>
      <c r="N30" s="226"/>
      <c r="O30" s="226"/>
      <c r="P30" s="226"/>
      <c r="Q30" s="226"/>
      <c r="R30" s="226"/>
      <c r="S30" s="226"/>
      <c r="T30" s="226"/>
    </row>
    <row r="31" spans="1:20" ht="15.75" customHeight="1">
      <c r="A31" s="80">
        <v>7</v>
      </c>
      <c r="B31" s="231" t="str">
        <f t="shared" si="4"/>
        <v>7-ACCTG.</v>
      </c>
      <c r="C31" s="231">
        <f t="shared" si="5"/>
        <v>28</v>
      </c>
      <c r="D31" s="137" t="s">
        <v>137</v>
      </c>
      <c r="E31" s="13" t="s">
        <v>158</v>
      </c>
      <c r="F31" s="137" t="s">
        <v>80</v>
      </c>
      <c r="G31" s="137"/>
      <c r="H31" s="232"/>
      <c r="J31" s="226"/>
      <c r="L31" s="226"/>
      <c r="M31" s="226"/>
      <c r="N31" s="226"/>
      <c r="O31" s="226"/>
      <c r="P31" s="226"/>
      <c r="Q31" s="226"/>
      <c r="R31" s="226"/>
      <c r="S31" s="226"/>
      <c r="T31" s="226"/>
    </row>
    <row r="32" spans="1:20" ht="15.75" customHeight="1">
      <c r="A32" s="80">
        <v>8</v>
      </c>
      <c r="B32" s="231" t="str">
        <f t="shared" si="4"/>
        <v>8-ACCTG.</v>
      </c>
      <c r="C32" s="231">
        <f t="shared" si="5"/>
        <v>29</v>
      </c>
      <c r="D32" s="137" t="s">
        <v>178</v>
      </c>
      <c r="E32" s="13" t="s">
        <v>158</v>
      </c>
      <c r="F32" s="137" t="s">
        <v>80</v>
      </c>
      <c r="G32" s="137"/>
      <c r="H32" s="232"/>
      <c r="J32" s="226"/>
      <c r="L32" s="226"/>
      <c r="M32" s="226"/>
      <c r="N32" s="226"/>
      <c r="O32" s="226"/>
      <c r="P32" s="226"/>
      <c r="Q32" s="226"/>
      <c r="R32" s="226"/>
      <c r="S32" s="226"/>
      <c r="T32" s="226"/>
    </row>
    <row r="33" spans="1:20" ht="15.75" customHeight="1">
      <c r="A33" s="80">
        <v>1</v>
      </c>
      <c r="B33" s="231" t="str">
        <f t="shared" si="4"/>
        <v>1-HRMO</v>
      </c>
      <c r="C33" s="231">
        <f t="shared" si="5"/>
        <v>30</v>
      </c>
      <c r="D33" s="137" t="s">
        <v>533</v>
      </c>
      <c r="E33" s="13" t="s">
        <v>255</v>
      </c>
      <c r="F33" s="137" t="s">
        <v>257</v>
      </c>
      <c r="G33" s="137" t="s">
        <v>534</v>
      </c>
      <c r="H33" s="232">
        <v>45314</v>
      </c>
      <c r="J33" s="226"/>
      <c r="L33" s="226"/>
      <c r="M33" s="226"/>
      <c r="N33" s="226"/>
      <c r="O33" s="226"/>
      <c r="P33" s="226"/>
      <c r="Q33" s="226"/>
      <c r="R33" s="226"/>
      <c r="S33" s="226"/>
      <c r="T33" s="226"/>
    </row>
    <row r="34" spans="1:20" ht="15.75" customHeight="1">
      <c r="A34" s="80">
        <v>2</v>
      </c>
      <c r="B34" s="231" t="str">
        <f t="shared" si="4"/>
        <v>2-HRMO</v>
      </c>
      <c r="C34" s="231">
        <f t="shared" si="5"/>
        <v>31</v>
      </c>
      <c r="D34" s="137" t="s">
        <v>100</v>
      </c>
      <c r="E34" s="13" t="s">
        <v>255</v>
      </c>
      <c r="F34" s="137" t="s">
        <v>80</v>
      </c>
      <c r="H34" s="232"/>
      <c r="J34" s="226"/>
      <c r="L34" s="226"/>
      <c r="M34" s="226"/>
      <c r="N34" s="226"/>
      <c r="O34" s="226"/>
      <c r="P34" s="226"/>
      <c r="Q34" s="226"/>
      <c r="R34" s="226"/>
      <c r="S34" s="226"/>
      <c r="T34" s="226"/>
    </row>
    <row r="35" spans="1:20" ht="15.75" customHeight="1">
      <c r="A35" s="80">
        <v>3</v>
      </c>
      <c r="B35" s="231" t="str">
        <f t="shared" si="4"/>
        <v>3-HRMO</v>
      </c>
      <c r="C35" s="231">
        <f t="shared" si="5"/>
        <v>32</v>
      </c>
      <c r="D35" s="137" t="s">
        <v>96</v>
      </c>
      <c r="E35" s="13" t="s">
        <v>255</v>
      </c>
      <c r="F35" s="137" t="s">
        <v>257</v>
      </c>
      <c r="G35" s="137"/>
      <c r="H35" s="232"/>
      <c r="J35" s="226"/>
      <c r="L35" s="226"/>
      <c r="M35" s="226"/>
      <c r="N35" s="226"/>
      <c r="O35" s="226"/>
      <c r="P35" s="226"/>
      <c r="Q35" s="226"/>
      <c r="R35" s="226"/>
      <c r="S35" s="226"/>
      <c r="T35" s="226"/>
    </row>
    <row r="36" spans="1:20" ht="15.75" customHeight="1">
      <c r="A36" s="80">
        <v>4</v>
      </c>
      <c r="B36" s="231" t="str">
        <f t="shared" si="4"/>
        <v>4-HRMO</v>
      </c>
      <c r="C36" s="231"/>
      <c r="D36" s="137" t="s">
        <v>230</v>
      </c>
      <c r="E36" s="13" t="s">
        <v>255</v>
      </c>
      <c r="F36" s="137" t="s">
        <v>257</v>
      </c>
      <c r="G36" s="137"/>
      <c r="H36" s="232"/>
      <c r="J36" s="226"/>
      <c r="L36" s="226"/>
      <c r="M36" s="226"/>
      <c r="N36" s="226"/>
      <c r="O36" s="226"/>
      <c r="P36" s="226"/>
      <c r="Q36" s="226"/>
      <c r="R36" s="226"/>
      <c r="S36" s="226"/>
      <c r="T36" s="226"/>
    </row>
    <row r="37" spans="1:20" ht="15.75" customHeight="1">
      <c r="A37" s="80">
        <v>1</v>
      </c>
      <c r="B37" s="231" t="str">
        <f t="shared" si="4"/>
        <v>1-CASHIER</v>
      </c>
      <c r="C37" s="231">
        <f t="shared" ref="C37:C71" si="6">IF(D37="","",COUNTA($D$4:D37))</f>
        <v>34</v>
      </c>
      <c r="D37" s="137" t="s">
        <v>175</v>
      </c>
      <c r="E37" s="13" t="s">
        <v>180</v>
      </c>
      <c r="F37" s="137" t="s">
        <v>80</v>
      </c>
      <c r="G37" s="137"/>
      <c r="H37" s="232"/>
      <c r="J37" s="226"/>
      <c r="L37" s="226"/>
      <c r="M37" s="226"/>
      <c r="N37" s="226"/>
      <c r="O37" s="226"/>
      <c r="P37" s="226"/>
      <c r="Q37" s="226"/>
      <c r="R37" s="226"/>
      <c r="S37" s="226"/>
      <c r="T37" s="226"/>
    </row>
    <row r="38" spans="1:20" ht="15.75" customHeight="1">
      <c r="A38" s="80">
        <v>1</v>
      </c>
      <c r="B38" s="231" t="str">
        <f t="shared" si="4"/>
        <v>1-IAU</v>
      </c>
      <c r="C38" s="231">
        <f t="shared" si="6"/>
        <v>35</v>
      </c>
      <c r="D38" s="137" t="s">
        <v>163</v>
      </c>
      <c r="E38" s="13" t="s">
        <v>183</v>
      </c>
      <c r="F38" s="137" t="s">
        <v>80</v>
      </c>
      <c r="G38" s="137"/>
      <c r="H38" s="232"/>
      <c r="J38" s="226"/>
      <c r="L38" s="226"/>
      <c r="M38" s="226"/>
      <c r="N38" s="226"/>
      <c r="O38" s="226"/>
      <c r="P38" s="226"/>
      <c r="Q38" s="226"/>
      <c r="R38" s="226"/>
      <c r="S38" s="226"/>
      <c r="T38" s="226"/>
    </row>
    <row r="39" spans="1:20" ht="15.75" customHeight="1">
      <c r="A39" s="80">
        <v>2</v>
      </c>
      <c r="B39" s="231" t="str">
        <f t="shared" si="4"/>
        <v>2-IAU</v>
      </c>
      <c r="C39" s="231">
        <f t="shared" si="6"/>
        <v>36</v>
      </c>
      <c r="D39" s="137" t="s">
        <v>186</v>
      </c>
      <c r="E39" s="13" t="s">
        <v>183</v>
      </c>
      <c r="F39" s="137" t="s">
        <v>80</v>
      </c>
      <c r="G39" s="137" t="s">
        <v>535</v>
      </c>
      <c r="H39" s="232">
        <v>45314</v>
      </c>
      <c r="J39" s="226"/>
      <c r="L39" s="226"/>
      <c r="M39" s="226"/>
      <c r="N39" s="226"/>
      <c r="O39" s="226"/>
      <c r="P39" s="226"/>
      <c r="Q39" s="226"/>
      <c r="R39" s="226"/>
      <c r="S39" s="226"/>
      <c r="T39" s="226"/>
    </row>
    <row r="40" spans="1:20" ht="15.75" customHeight="1">
      <c r="A40" s="80">
        <v>1</v>
      </c>
      <c r="B40" s="231" t="str">
        <f t="shared" si="4"/>
        <v>1-RCRDS</v>
      </c>
      <c r="C40" s="231">
        <f t="shared" si="6"/>
        <v>37</v>
      </c>
      <c r="D40" s="137" t="s">
        <v>141</v>
      </c>
      <c r="E40" s="13" t="s">
        <v>189</v>
      </c>
      <c r="F40" s="137" t="s">
        <v>80</v>
      </c>
      <c r="G40" s="137" t="s">
        <v>536</v>
      </c>
      <c r="H40" s="232">
        <v>45314</v>
      </c>
      <c r="J40" s="226"/>
      <c r="L40" s="226"/>
      <c r="M40" s="226"/>
      <c r="N40" s="226"/>
      <c r="O40" s="226"/>
      <c r="P40" s="226"/>
      <c r="Q40" s="226"/>
      <c r="R40" s="226"/>
      <c r="S40" s="226"/>
      <c r="T40" s="226"/>
    </row>
    <row r="41" spans="1:20" ht="15.75" customHeight="1">
      <c r="A41" s="80">
        <v>2</v>
      </c>
      <c r="B41" s="231" t="str">
        <f t="shared" si="4"/>
        <v>2-RCRDS</v>
      </c>
      <c r="C41" s="231">
        <f t="shared" si="6"/>
        <v>38</v>
      </c>
      <c r="D41" s="137" t="s">
        <v>181</v>
      </c>
      <c r="E41" s="13" t="s">
        <v>189</v>
      </c>
      <c r="F41" s="137" t="s">
        <v>80</v>
      </c>
      <c r="G41" s="137"/>
      <c r="H41" s="232"/>
      <c r="J41" s="226"/>
      <c r="L41" s="226"/>
      <c r="M41" s="226"/>
      <c r="N41" s="226"/>
      <c r="O41" s="226"/>
      <c r="P41" s="226"/>
      <c r="Q41" s="226"/>
      <c r="R41" s="226"/>
      <c r="S41" s="226"/>
      <c r="T41" s="226"/>
    </row>
    <row r="42" spans="1:20" ht="15.75" customHeight="1">
      <c r="A42" s="80">
        <v>1</v>
      </c>
      <c r="B42" s="231" t="str">
        <f t="shared" si="4"/>
        <v>1-GSS</v>
      </c>
      <c r="C42" s="231">
        <f t="shared" si="6"/>
        <v>39</v>
      </c>
      <c r="D42" s="137" t="s">
        <v>166</v>
      </c>
      <c r="E42" s="13" t="s">
        <v>193</v>
      </c>
      <c r="F42" s="137" t="s">
        <v>194</v>
      </c>
      <c r="G42" s="137" t="s">
        <v>537</v>
      </c>
      <c r="H42" s="232">
        <v>45314</v>
      </c>
      <c r="J42" s="226"/>
      <c r="L42" s="226"/>
      <c r="M42" s="226"/>
      <c r="N42" s="226"/>
      <c r="O42" s="226"/>
      <c r="P42" s="226"/>
      <c r="Q42" s="226"/>
      <c r="R42" s="226"/>
      <c r="S42" s="226"/>
      <c r="T42" s="226"/>
    </row>
    <row r="43" spans="1:20" ht="15.75" customHeight="1">
      <c r="A43" s="80">
        <v>2</v>
      </c>
      <c r="B43" s="231" t="str">
        <f t="shared" si="4"/>
        <v>2-GSS</v>
      </c>
      <c r="C43" s="231">
        <f t="shared" si="6"/>
        <v>40</v>
      </c>
      <c r="D43" s="137" t="s">
        <v>149</v>
      </c>
      <c r="E43" s="13" t="s">
        <v>193</v>
      </c>
      <c r="F43" s="137" t="s">
        <v>80</v>
      </c>
      <c r="G43" s="137" t="s">
        <v>538</v>
      </c>
      <c r="H43" s="232">
        <v>45314</v>
      </c>
      <c r="J43" s="226"/>
      <c r="L43" s="226"/>
      <c r="M43" s="226"/>
      <c r="N43" s="226"/>
      <c r="O43" s="226"/>
      <c r="P43" s="226"/>
      <c r="Q43" s="226"/>
      <c r="R43" s="226"/>
      <c r="S43" s="226"/>
      <c r="T43" s="226"/>
    </row>
    <row r="44" spans="1:20" ht="15.75" customHeight="1">
      <c r="A44" s="80">
        <v>3</v>
      </c>
      <c r="B44" s="231" t="str">
        <f t="shared" si="4"/>
        <v>3-GSS</v>
      </c>
      <c r="C44" s="231">
        <f t="shared" si="6"/>
        <v>41</v>
      </c>
      <c r="D44" s="137" t="s">
        <v>199</v>
      </c>
      <c r="E44" s="13" t="s">
        <v>193</v>
      </c>
      <c r="F44" s="137" t="s">
        <v>194</v>
      </c>
      <c r="G44" s="137" t="s">
        <v>539</v>
      </c>
      <c r="H44" s="232">
        <v>45314</v>
      </c>
      <c r="J44" s="226"/>
      <c r="L44" s="226"/>
      <c r="M44" s="226"/>
      <c r="N44" s="226"/>
      <c r="O44" s="226"/>
      <c r="P44" s="226"/>
      <c r="Q44" s="226"/>
      <c r="R44" s="226"/>
      <c r="S44" s="226"/>
      <c r="T44" s="226"/>
    </row>
    <row r="45" spans="1:20" ht="15.75" customHeight="1">
      <c r="A45" s="80">
        <v>4</v>
      </c>
      <c r="B45" s="231" t="str">
        <f t="shared" si="4"/>
        <v>4-GSS</v>
      </c>
      <c r="C45" s="231">
        <f t="shared" si="6"/>
        <v>42</v>
      </c>
      <c r="D45" s="137" t="s">
        <v>201</v>
      </c>
      <c r="E45" s="13" t="s">
        <v>193</v>
      </c>
      <c r="F45" s="137" t="s">
        <v>194</v>
      </c>
      <c r="G45" s="137" t="s">
        <v>540</v>
      </c>
      <c r="H45" s="232">
        <v>45314</v>
      </c>
      <c r="J45" s="226"/>
      <c r="L45" s="226"/>
      <c r="M45" s="226"/>
      <c r="N45" s="226"/>
      <c r="O45" s="226"/>
      <c r="P45" s="226"/>
      <c r="Q45" s="226"/>
      <c r="R45" s="226"/>
      <c r="S45" s="226"/>
      <c r="T45" s="226"/>
    </row>
    <row r="46" spans="1:20" ht="15.75" customHeight="1">
      <c r="A46" s="80">
        <v>5</v>
      </c>
      <c r="B46" s="231" t="str">
        <f t="shared" si="4"/>
        <v>5-GSS</v>
      </c>
      <c r="C46" s="231">
        <f t="shared" si="6"/>
        <v>43</v>
      </c>
      <c r="D46" s="137" t="s">
        <v>191</v>
      </c>
      <c r="E46" s="13" t="s">
        <v>193</v>
      </c>
      <c r="F46" s="137" t="s">
        <v>194</v>
      </c>
      <c r="G46" s="137"/>
      <c r="H46" s="232"/>
      <c r="J46" s="226"/>
      <c r="L46" s="226"/>
      <c r="M46" s="226"/>
      <c r="N46" s="226"/>
      <c r="O46" s="226"/>
      <c r="P46" s="226"/>
      <c r="Q46" s="226"/>
      <c r="R46" s="226"/>
      <c r="S46" s="226"/>
      <c r="T46" s="226"/>
    </row>
    <row r="47" spans="1:20" ht="15.75" customHeight="1">
      <c r="A47" s="80">
        <v>6</v>
      </c>
      <c r="B47" s="231" t="str">
        <f t="shared" si="4"/>
        <v>6-GSS</v>
      </c>
      <c r="C47" s="231">
        <f t="shared" si="6"/>
        <v>44</v>
      </c>
      <c r="D47" s="137" t="s">
        <v>205</v>
      </c>
      <c r="E47" s="13" t="s">
        <v>193</v>
      </c>
      <c r="F47" s="137" t="s">
        <v>206</v>
      </c>
      <c r="G47" s="137"/>
      <c r="H47" s="232"/>
      <c r="J47" s="226"/>
      <c r="L47" s="226"/>
      <c r="M47" s="226"/>
      <c r="N47" s="226"/>
      <c r="O47" s="226"/>
      <c r="P47" s="226"/>
      <c r="Q47" s="226"/>
      <c r="R47" s="226"/>
      <c r="S47" s="226"/>
      <c r="T47" s="226"/>
    </row>
    <row r="48" spans="1:20" ht="15.75" customHeight="1">
      <c r="A48" s="80">
        <v>7</v>
      </c>
      <c r="B48" s="231" t="str">
        <f t="shared" si="4"/>
        <v>7-GSS</v>
      </c>
      <c r="C48" s="231">
        <f t="shared" si="6"/>
        <v>45</v>
      </c>
      <c r="D48" s="137" t="s">
        <v>209</v>
      </c>
      <c r="E48" s="13" t="s">
        <v>193</v>
      </c>
      <c r="F48" s="137" t="s">
        <v>206</v>
      </c>
      <c r="G48" s="137"/>
      <c r="H48" s="232"/>
      <c r="J48" s="226"/>
      <c r="L48" s="226"/>
      <c r="M48" s="226"/>
      <c r="N48" s="226"/>
      <c r="O48" s="226"/>
      <c r="P48" s="226"/>
      <c r="Q48" s="226"/>
      <c r="R48" s="226"/>
      <c r="S48" s="226"/>
      <c r="T48" s="226"/>
    </row>
    <row r="49" spans="1:20" ht="15.75" customHeight="1">
      <c r="A49" s="80">
        <v>8</v>
      </c>
      <c r="B49" s="231" t="str">
        <f t="shared" si="4"/>
        <v>8-GSS</v>
      </c>
      <c r="C49" s="231">
        <f t="shared" si="6"/>
        <v>46</v>
      </c>
      <c r="D49" s="137" t="s">
        <v>195</v>
      </c>
      <c r="E49" s="13" t="s">
        <v>193</v>
      </c>
      <c r="F49" s="137" t="s">
        <v>194</v>
      </c>
      <c r="G49" s="137"/>
      <c r="H49" s="232"/>
      <c r="J49" s="226"/>
      <c r="L49" s="226"/>
      <c r="M49" s="226"/>
      <c r="N49" s="226"/>
      <c r="O49" s="226"/>
      <c r="P49" s="226"/>
      <c r="Q49" s="226"/>
      <c r="R49" s="226"/>
      <c r="S49" s="226"/>
      <c r="T49" s="226"/>
    </row>
    <row r="50" spans="1:20" ht="15.75" customHeight="1">
      <c r="A50" s="80">
        <v>1</v>
      </c>
      <c r="B50" s="231" t="str">
        <f t="shared" si="4"/>
        <v>1-INFRA</v>
      </c>
      <c r="C50" s="231">
        <f t="shared" si="6"/>
        <v>47</v>
      </c>
      <c r="D50" s="137" t="s">
        <v>212</v>
      </c>
      <c r="E50" s="13" t="s">
        <v>213</v>
      </c>
      <c r="F50" s="137" t="s">
        <v>214</v>
      </c>
      <c r="G50" s="137" t="s">
        <v>541</v>
      </c>
      <c r="H50" s="232">
        <v>45314</v>
      </c>
      <c r="J50" s="226"/>
      <c r="L50" s="226"/>
      <c r="M50" s="226"/>
      <c r="N50" s="226"/>
      <c r="O50" s="226"/>
      <c r="P50" s="226"/>
      <c r="Q50" s="226"/>
      <c r="R50" s="226"/>
      <c r="S50" s="226"/>
      <c r="T50" s="226"/>
    </row>
    <row r="51" spans="1:20" ht="15.75" customHeight="1">
      <c r="A51" s="80">
        <v>2</v>
      </c>
      <c r="B51" s="231" t="str">
        <f t="shared" si="4"/>
        <v>2-INFRA</v>
      </c>
      <c r="C51" s="231">
        <f t="shared" si="6"/>
        <v>48</v>
      </c>
      <c r="D51" s="137" t="s">
        <v>215</v>
      </c>
      <c r="E51" s="13" t="s">
        <v>213</v>
      </c>
      <c r="F51" s="234" t="s">
        <v>216</v>
      </c>
      <c r="G51" s="137" t="s">
        <v>542</v>
      </c>
      <c r="H51" s="232">
        <v>45314</v>
      </c>
      <c r="J51" s="226"/>
      <c r="L51" s="226"/>
      <c r="M51" s="226"/>
      <c r="N51" s="226"/>
      <c r="O51" s="226"/>
      <c r="P51" s="226"/>
      <c r="Q51" s="226"/>
      <c r="R51" s="226"/>
      <c r="S51" s="226"/>
      <c r="T51" s="226"/>
    </row>
    <row r="52" spans="1:20" ht="15.75" customHeight="1">
      <c r="A52" s="80">
        <v>3</v>
      </c>
      <c r="B52" s="231" t="str">
        <f t="shared" si="4"/>
        <v>3-INFRA</v>
      </c>
      <c r="C52" s="231">
        <f t="shared" si="6"/>
        <v>49</v>
      </c>
      <c r="D52" s="137" t="s">
        <v>219</v>
      </c>
      <c r="E52" s="13" t="s">
        <v>213</v>
      </c>
      <c r="F52" s="137" t="s">
        <v>220</v>
      </c>
      <c r="G52" s="137"/>
      <c r="H52" s="232"/>
      <c r="J52" s="226"/>
      <c r="L52" s="226"/>
      <c r="M52" s="226"/>
      <c r="N52" s="226"/>
      <c r="O52" s="226"/>
      <c r="P52" s="226"/>
      <c r="Q52" s="226"/>
      <c r="R52" s="226"/>
      <c r="S52" s="226"/>
      <c r="T52" s="226"/>
    </row>
    <row r="53" spans="1:20" ht="15.75" customHeight="1">
      <c r="A53" s="80">
        <v>1</v>
      </c>
      <c r="B53" s="231" t="str">
        <f t="shared" si="4"/>
        <v>1-COA</v>
      </c>
      <c r="C53" s="231">
        <f t="shared" si="6"/>
        <v>50</v>
      </c>
      <c r="D53" s="137" t="s">
        <v>207</v>
      </c>
      <c r="E53" s="13" t="s">
        <v>223</v>
      </c>
      <c r="F53" s="137" t="s">
        <v>80</v>
      </c>
      <c r="G53" s="137" t="s">
        <v>543</v>
      </c>
      <c r="H53" s="232">
        <v>45314</v>
      </c>
      <c r="J53" s="226"/>
      <c r="L53" s="226"/>
      <c r="M53" s="226"/>
      <c r="N53" s="226"/>
      <c r="O53" s="226"/>
      <c r="P53" s="226"/>
      <c r="Q53" s="226"/>
      <c r="R53" s="226"/>
      <c r="S53" s="226"/>
      <c r="T53" s="226"/>
    </row>
    <row r="54" spans="1:20" ht="15.75" customHeight="1">
      <c r="A54" s="80">
        <v>2</v>
      </c>
      <c r="B54" s="231" t="str">
        <f t="shared" si="4"/>
        <v>2-COA</v>
      </c>
      <c r="C54" s="231">
        <f t="shared" si="6"/>
        <v>51</v>
      </c>
      <c r="D54" s="137" t="s">
        <v>197</v>
      </c>
      <c r="E54" s="13" t="s">
        <v>223</v>
      </c>
      <c r="F54" s="137" t="s">
        <v>80</v>
      </c>
      <c r="G54" s="137" t="s">
        <v>544</v>
      </c>
      <c r="H54" s="232">
        <v>45314</v>
      </c>
      <c r="J54" s="226"/>
      <c r="L54" s="226"/>
      <c r="M54" s="226"/>
      <c r="N54" s="226"/>
      <c r="O54" s="226"/>
      <c r="P54" s="226"/>
      <c r="Q54" s="226"/>
      <c r="R54" s="226"/>
      <c r="S54" s="226"/>
      <c r="T54" s="226"/>
    </row>
    <row r="55" spans="1:20" ht="15.75" customHeight="1">
      <c r="A55" s="80">
        <v>3</v>
      </c>
      <c r="B55" s="231" t="str">
        <f t="shared" si="4"/>
        <v>3-COA</v>
      </c>
      <c r="C55" s="231">
        <f t="shared" si="6"/>
        <v>52</v>
      </c>
      <c r="D55" s="137" t="s">
        <v>226</v>
      </c>
      <c r="E55" s="13" t="s">
        <v>223</v>
      </c>
      <c r="F55" s="137" t="s">
        <v>194</v>
      </c>
      <c r="G55" s="137" t="s">
        <v>545</v>
      </c>
      <c r="H55" s="232">
        <v>45314</v>
      </c>
      <c r="J55" s="226"/>
      <c r="L55" s="226"/>
      <c r="M55" s="226"/>
      <c r="N55" s="226"/>
      <c r="O55" s="226"/>
      <c r="P55" s="226"/>
      <c r="Q55" s="226"/>
      <c r="R55" s="226"/>
      <c r="S55" s="226"/>
      <c r="T55" s="226"/>
    </row>
    <row r="56" spans="1:20" ht="15.75" customHeight="1">
      <c r="A56" s="80">
        <v>4</v>
      </c>
      <c r="B56" s="231" t="str">
        <f t="shared" si="4"/>
        <v>4-COA</v>
      </c>
      <c r="C56" s="231">
        <f t="shared" si="6"/>
        <v>53</v>
      </c>
      <c r="D56" s="137" t="s">
        <v>155</v>
      </c>
      <c r="E56" s="13" t="s">
        <v>223</v>
      </c>
      <c r="F56" s="137" t="s">
        <v>194</v>
      </c>
      <c r="G56" s="137"/>
      <c r="H56" s="232"/>
      <c r="J56" s="226"/>
      <c r="L56" s="226"/>
      <c r="M56" s="226"/>
      <c r="N56" s="226"/>
      <c r="O56" s="226"/>
      <c r="P56" s="226"/>
      <c r="Q56" s="226"/>
      <c r="R56" s="226"/>
      <c r="S56" s="226"/>
      <c r="T56" s="226"/>
    </row>
    <row r="57" spans="1:20" ht="15.75" customHeight="1">
      <c r="A57" s="80">
        <v>1</v>
      </c>
      <c r="B57" s="231" t="str">
        <f t="shared" si="4"/>
        <v>1-SMS</v>
      </c>
      <c r="C57" s="231">
        <f t="shared" si="6"/>
        <v>54</v>
      </c>
      <c r="D57" s="137" t="s">
        <v>187</v>
      </c>
      <c r="E57" s="13" t="s">
        <v>229</v>
      </c>
      <c r="F57" s="137" t="s">
        <v>80</v>
      </c>
      <c r="G57" s="137" t="s">
        <v>546</v>
      </c>
      <c r="H57" s="232">
        <v>45314</v>
      </c>
      <c r="J57" s="226"/>
      <c r="L57" s="226"/>
      <c r="M57" s="226"/>
      <c r="N57" s="226"/>
      <c r="O57" s="226"/>
      <c r="P57" s="226"/>
      <c r="Q57" s="226"/>
      <c r="R57" s="226"/>
      <c r="S57" s="226"/>
      <c r="T57" s="226"/>
    </row>
    <row r="58" spans="1:20" ht="15.75" customHeight="1">
      <c r="A58" s="80">
        <v>2</v>
      </c>
      <c r="B58" s="231" t="str">
        <f t="shared" si="4"/>
        <v>2-SMS</v>
      </c>
      <c r="C58" s="231">
        <f t="shared" si="6"/>
        <v>55</v>
      </c>
      <c r="D58" s="137" t="s">
        <v>232</v>
      </c>
      <c r="E58" s="13" t="s">
        <v>229</v>
      </c>
      <c r="F58" s="137" t="s">
        <v>80</v>
      </c>
      <c r="G58" s="137" t="s">
        <v>547</v>
      </c>
      <c r="H58" s="232">
        <v>45314</v>
      </c>
      <c r="J58" s="226"/>
      <c r="L58" s="226"/>
      <c r="M58" s="226"/>
      <c r="N58" s="226"/>
      <c r="O58" s="226"/>
      <c r="P58" s="226"/>
      <c r="Q58" s="226"/>
      <c r="R58" s="226"/>
      <c r="S58" s="226"/>
      <c r="T58" s="226"/>
    </row>
    <row r="59" spans="1:20" ht="15.75" customHeight="1">
      <c r="A59" s="80">
        <v>1</v>
      </c>
      <c r="B59" s="231" t="str">
        <f t="shared" si="4"/>
        <v>1-BAC</v>
      </c>
      <c r="C59" s="231">
        <f t="shared" si="6"/>
        <v>56</v>
      </c>
      <c r="D59" s="137" t="s">
        <v>91</v>
      </c>
      <c r="E59" s="13" t="s">
        <v>234</v>
      </c>
      <c r="F59" s="234" t="s">
        <v>235</v>
      </c>
      <c r="G59" s="137" t="s">
        <v>548</v>
      </c>
      <c r="H59" s="232">
        <v>45314</v>
      </c>
      <c r="J59" s="226"/>
      <c r="L59" s="226"/>
      <c r="M59" s="226"/>
      <c r="N59" s="226"/>
      <c r="O59" s="226"/>
      <c r="P59" s="226"/>
      <c r="Q59" s="226"/>
      <c r="R59" s="226"/>
      <c r="S59" s="226"/>
      <c r="T59" s="226"/>
    </row>
    <row r="60" spans="1:20" ht="15.75" customHeight="1">
      <c r="A60" s="80">
        <v>2</v>
      </c>
      <c r="B60" s="231" t="str">
        <f t="shared" si="4"/>
        <v>2-BAC</v>
      </c>
      <c r="C60" s="231">
        <f t="shared" si="6"/>
        <v>57</v>
      </c>
      <c r="D60" s="137" t="s">
        <v>203</v>
      </c>
      <c r="E60" s="13" t="s">
        <v>234</v>
      </c>
      <c r="F60" s="137" t="s">
        <v>80</v>
      </c>
      <c r="G60" s="137"/>
      <c r="H60" s="232"/>
      <c r="J60" s="226"/>
      <c r="L60" s="226"/>
      <c r="M60" s="226"/>
      <c r="N60" s="226"/>
      <c r="O60" s="226"/>
      <c r="P60" s="226"/>
      <c r="Q60" s="226"/>
      <c r="R60" s="226"/>
      <c r="S60" s="226"/>
      <c r="T60" s="226"/>
    </row>
    <row r="61" spans="1:20" ht="15.75" customHeight="1">
      <c r="A61" s="80">
        <v>1</v>
      </c>
      <c r="B61" s="231" t="str">
        <f t="shared" si="4"/>
        <v>1-DO</v>
      </c>
      <c r="C61" s="231">
        <f t="shared" si="6"/>
        <v>58</v>
      </c>
      <c r="D61" s="137" t="s">
        <v>152</v>
      </c>
      <c r="E61" s="13" t="s">
        <v>238</v>
      </c>
      <c r="F61" s="137" t="s">
        <v>80</v>
      </c>
      <c r="G61" s="137" t="s">
        <v>549</v>
      </c>
      <c r="H61" s="232">
        <v>45314</v>
      </c>
      <c r="J61" s="226"/>
      <c r="L61" s="226"/>
      <c r="M61" s="226"/>
      <c r="N61" s="226"/>
      <c r="O61" s="226"/>
      <c r="P61" s="226"/>
      <c r="Q61" s="226"/>
      <c r="R61" s="226"/>
      <c r="S61" s="226"/>
      <c r="T61" s="226"/>
    </row>
    <row r="62" spans="1:20" ht="15.75" customHeight="1">
      <c r="A62" s="80">
        <v>1</v>
      </c>
      <c r="B62" s="231" t="str">
        <f t="shared" si="4"/>
        <v>1-PAD</v>
      </c>
      <c r="C62" s="231">
        <f t="shared" si="6"/>
        <v>59</v>
      </c>
      <c r="D62" s="137" t="s">
        <v>127</v>
      </c>
      <c r="E62" s="13" t="s">
        <v>240</v>
      </c>
      <c r="F62" s="137" t="s">
        <v>80</v>
      </c>
      <c r="G62" s="137" t="s">
        <v>550</v>
      </c>
      <c r="H62" s="232">
        <v>45314</v>
      </c>
      <c r="J62" s="226"/>
      <c r="L62" s="226"/>
      <c r="M62" s="226"/>
      <c r="N62" s="226"/>
      <c r="O62" s="226"/>
      <c r="P62" s="226"/>
      <c r="Q62" s="226"/>
      <c r="R62" s="226"/>
      <c r="S62" s="226"/>
      <c r="T62" s="226"/>
    </row>
    <row r="63" spans="1:20" ht="15.75" customHeight="1">
      <c r="A63" s="80">
        <v>2</v>
      </c>
      <c r="B63" s="231" t="str">
        <f t="shared" si="4"/>
        <v>2-PAD</v>
      </c>
      <c r="C63" s="231">
        <f t="shared" si="6"/>
        <v>60</v>
      </c>
      <c r="D63" s="137" t="s">
        <v>111</v>
      </c>
      <c r="E63" s="13" t="s">
        <v>240</v>
      </c>
      <c r="F63" s="137" t="s">
        <v>242</v>
      </c>
      <c r="G63" s="137" t="s">
        <v>551</v>
      </c>
      <c r="H63" s="232">
        <v>45314</v>
      </c>
      <c r="J63" s="226"/>
      <c r="L63" s="226"/>
      <c r="M63" s="226"/>
      <c r="N63" s="226"/>
      <c r="O63" s="226"/>
      <c r="P63" s="226"/>
      <c r="Q63" s="226"/>
      <c r="R63" s="226"/>
      <c r="S63" s="226"/>
      <c r="T63" s="226"/>
    </row>
    <row r="64" spans="1:20" ht="15.75" customHeight="1">
      <c r="A64" s="80">
        <v>3</v>
      </c>
      <c r="B64" s="231" t="str">
        <f t="shared" si="4"/>
        <v>3-PAD</v>
      </c>
      <c r="C64" s="231">
        <f t="shared" si="6"/>
        <v>61</v>
      </c>
      <c r="D64" s="137" t="s">
        <v>124</v>
      </c>
      <c r="E64" s="13" t="s">
        <v>240</v>
      </c>
      <c r="F64" s="137" t="s">
        <v>242</v>
      </c>
      <c r="G64" s="137" t="s">
        <v>552</v>
      </c>
      <c r="H64" s="232">
        <v>45314</v>
      </c>
      <c r="J64" s="226"/>
      <c r="L64" s="226"/>
      <c r="M64" s="226"/>
      <c r="N64" s="226"/>
      <c r="O64" s="226"/>
      <c r="P64" s="226"/>
      <c r="Q64" s="226"/>
      <c r="R64" s="226"/>
      <c r="S64" s="226"/>
      <c r="T64" s="226"/>
    </row>
    <row r="65" spans="1:20" ht="15.75" customHeight="1">
      <c r="A65" s="80">
        <v>4</v>
      </c>
      <c r="B65" s="231" t="str">
        <f t="shared" si="4"/>
        <v>4-PAD</v>
      </c>
      <c r="C65" s="231">
        <f t="shared" si="6"/>
        <v>62</v>
      </c>
      <c r="D65" s="137" t="s">
        <v>145</v>
      </c>
      <c r="E65" s="13" t="s">
        <v>240</v>
      </c>
      <c r="F65" s="137" t="s">
        <v>130</v>
      </c>
      <c r="G65" s="137" t="s">
        <v>553</v>
      </c>
      <c r="H65" s="232">
        <v>45314</v>
      </c>
      <c r="J65" s="226"/>
      <c r="L65" s="226"/>
      <c r="M65" s="226"/>
      <c r="N65" s="226"/>
      <c r="O65" s="226"/>
      <c r="P65" s="226"/>
      <c r="Q65" s="226"/>
      <c r="R65" s="226"/>
      <c r="S65" s="226"/>
      <c r="T65" s="226"/>
    </row>
    <row r="66" spans="1:20" ht="15.75" customHeight="1">
      <c r="A66" s="80">
        <v>5</v>
      </c>
      <c r="B66" s="231" t="str">
        <f t="shared" si="4"/>
        <v>5-PAD</v>
      </c>
      <c r="C66" s="231">
        <f t="shared" si="6"/>
        <v>63</v>
      </c>
      <c r="D66" s="137" t="s">
        <v>217</v>
      </c>
      <c r="E66" s="13" t="s">
        <v>240</v>
      </c>
      <c r="F66" s="137" t="s">
        <v>174</v>
      </c>
      <c r="H66" s="232"/>
      <c r="J66" s="226"/>
      <c r="L66" s="226"/>
      <c r="M66" s="226"/>
      <c r="N66" s="226"/>
      <c r="O66" s="226"/>
      <c r="P66" s="226"/>
      <c r="Q66" s="226"/>
      <c r="R66" s="226"/>
      <c r="S66" s="226"/>
      <c r="T66" s="226"/>
    </row>
    <row r="67" spans="1:20" ht="15.75" customHeight="1">
      <c r="A67" s="80">
        <v>6</v>
      </c>
      <c r="B67" s="231" t="str">
        <f t="shared" si="4"/>
        <v>6-PAD</v>
      </c>
      <c r="C67" s="231">
        <f t="shared" si="6"/>
        <v>64</v>
      </c>
      <c r="D67" s="137" t="s">
        <v>184</v>
      </c>
      <c r="E67" s="13" t="s">
        <v>240</v>
      </c>
      <c r="F67" s="137" t="s">
        <v>90</v>
      </c>
      <c r="H67" s="232"/>
      <c r="J67" s="226"/>
      <c r="L67" s="226"/>
      <c r="M67" s="226"/>
      <c r="N67" s="226"/>
      <c r="O67" s="226"/>
      <c r="P67" s="226"/>
      <c r="Q67" s="226"/>
      <c r="R67" s="226"/>
      <c r="S67" s="226"/>
      <c r="T67" s="226"/>
    </row>
    <row r="68" spans="1:20" ht="15.75" customHeight="1">
      <c r="A68" s="80">
        <v>7</v>
      </c>
      <c r="B68" s="231" t="str">
        <f t="shared" si="4"/>
        <v>7-PAD</v>
      </c>
      <c r="C68" s="231">
        <f t="shared" si="6"/>
        <v>65</v>
      </c>
      <c r="D68" s="137" t="s">
        <v>171</v>
      </c>
      <c r="E68" s="13" t="s">
        <v>240</v>
      </c>
      <c r="F68" s="137" t="s">
        <v>90</v>
      </c>
      <c r="H68" s="232"/>
      <c r="J68" s="226"/>
      <c r="L68" s="226"/>
      <c r="M68" s="226"/>
      <c r="N68" s="226"/>
      <c r="O68" s="226"/>
      <c r="P68" s="226"/>
      <c r="Q68" s="226"/>
      <c r="R68" s="226"/>
      <c r="S68" s="226"/>
      <c r="T68" s="226"/>
    </row>
    <row r="69" spans="1:20" ht="15.75" customHeight="1">
      <c r="A69" s="80">
        <v>8</v>
      </c>
      <c r="B69" s="231" t="str">
        <f t="shared" si="4"/>
        <v>8-PAD</v>
      </c>
      <c r="C69" s="231">
        <f t="shared" si="6"/>
        <v>66</v>
      </c>
      <c r="D69" s="137" t="s">
        <v>159</v>
      </c>
      <c r="E69" s="13" t="s">
        <v>240</v>
      </c>
      <c r="F69" s="137" t="s">
        <v>554</v>
      </c>
      <c r="H69" s="232"/>
      <c r="J69" s="226"/>
      <c r="L69" s="226"/>
      <c r="M69" s="226"/>
      <c r="N69" s="226"/>
      <c r="O69" s="226"/>
      <c r="P69" s="226"/>
      <c r="Q69" s="226"/>
      <c r="R69" s="226"/>
      <c r="S69" s="226"/>
      <c r="T69" s="226"/>
    </row>
    <row r="70" spans="1:20" ht="15.75" customHeight="1">
      <c r="A70" s="80">
        <v>9</v>
      </c>
      <c r="B70" s="231" t="str">
        <f t="shared" si="4"/>
        <v>9-PAD</v>
      </c>
      <c r="C70" s="231">
        <f t="shared" si="6"/>
        <v>67</v>
      </c>
      <c r="D70" s="137" t="s">
        <v>104</v>
      </c>
      <c r="E70" s="13" t="s">
        <v>240</v>
      </c>
      <c r="F70" s="137" t="s">
        <v>130</v>
      </c>
      <c r="H70" s="232"/>
      <c r="J70" s="226"/>
      <c r="L70" s="226"/>
      <c r="M70" s="226"/>
      <c r="N70" s="226"/>
      <c r="O70" s="226"/>
      <c r="P70" s="226"/>
      <c r="Q70" s="226"/>
      <c r="R70" s="226"/>
      <c r="S70" s="226"/>
      <c r="T70" s="226"/>
    </row>
    <row r="71" spans="1:20" ht="15.75" customHeight="1">
      <c r="A71" s="80">
        <v>10</v>
      </c>
      <c r="B71" s="231" t="str">
        <f t="shared" si="4"/>
        <v>10-PAD</v>
      </c>
      <c r="C71" s="231">
        <f t="shared" si="6"/>
        <v>68</v>
      </c>
      <c r="D71" s="137" t="s">
        <v>87</v>
      </c>
      <c r="E71" s="13" t="s">
        <v>240</v>
      </c>
      <c r="F71" s="137" t="s">
        <v>130</v>
      </c>
      <c r="H71" s="232"/>
      <c r="J71" s="226"/>
      <c r="L71" s="226"/>
      <c r="M71" s="226"/>
      <c r="N71" s="226"/>
      <c r="O71" s="226"/>
      <c r="P71" s="226"/>
      <c r="Q71" s="226"/>
      <c r="R71" s="226"/>
      <c r="S71" s="226"/>
      <c r="T71" s="226"/>
    </row>
    <row r="72" spans="1:20" ht="15.75" customHeight="1">
      <c r="A72" s="80"/>
      <c r="B72" s="231"/>
      <c r="C72" s="231"/>
      <c r="E72" s="13"/>
      <c r="J72" s="226"/>
      <c r="L72" s="226"/>
      <c r="M72" s="226"/>
      <c r="N72" s="226"/>
      <c r="O72" s="226"/>
      <c r="P72" s="226"/>
      <c r="Q72" s="226"/>
      <c r="R72" s="226"/>
      <c r="S72" s="226"/>
      <c r="T72" s="226"/>
    </row>
    <row r="73" spans="1:20" ht="15.75" customHeight="1">
      <c r="A73" s="80"/>
      <c r="B73" s="231"/>
      <c r="C73" s="231"/>
      <c r="E73" s="13"/>
      <c r="J73" s="226"/>
      <c r="L73" s="226"/>
      <c r="M73" s="226"/>
      <c r="N73" s="226"/>
      <c r="O73" s="226"/>
      <c r="P73" s="226"/>
      <c r="Q73" s="226"/>
      <c r="R73" s="226"/>
      <c r="S73" s="226"/>
      <c r="T73" s="226"/>
    </row>
    <row r="74" spans="1:20" ht="15.75" customHeight="1">
      <c r="A74" s="80"/>
      <c r="B74" s="231"/>
      <c r="C74" s="231"/>
      <c r="E74" s="13"/>
      <c r="J74" s="226"/>
      <c r="L74" s="226"/>
      <c r="M74" s="226"/>
      <c r="N74" s="226"/>
      <c r="O74" s="226"/>
      <c r="P74" s="226"/>
      <c r="Q74" s="226"/>
      <c r="R74" s="226"/>
      <c r="S74" s="226"/>
      <c r="T74" s="226"/>
    </row>
    <row r="75" spans="1:20" ht="15.75" customHeight="1">
      <c r="A75" s="80"/>
      <c r="B75" s="231"/>
      <c r="C75" s="231"/>
      <c r="E75" s="13"/>
      <c r="J75" s="226"/>
      <c r="L75" s="226"/>
      <c r="M75" s="226"/>
      <c r="N75" s="226"/>
      <c r="O75" s="226"/>
      <c r="P75" s="226"/>
      <c r="Q75" s="226"/>
      <c r="R75" s="226"/>
      <c r="S75" s="226"/>
      <c r="T75" s="226"/>
    </row>
    <row r="76" spans="1:20" ht="15.75" customHeight="1">
      <c r="A76" s="80"/>
      <c r="B76" s="231"/>
      <c r="C76" s="231"/>
      <c r="E76" s="13"/>
      <c r="J76" s="226"/>
      <c r="L76" s="226"/>
      <c r="M76" s="226"/>
      <c r="N76" s="226"/>
      <c r="O76" s="226"/>
      <c r="P76" s="226"/>
      <c r="Q76" s="226"/>
      <c r="R76" s="226"/>
      <c r="S76" s="226"/>
      <c r="T76" s="226"/>
    </row>
    <row r="77" spans="1:20" ht="15.75" customHeight="1">
      <c r="A77" s="80"/>
      <c r="B77" s="231"/>
      <c r="C77" s="231"/>
      <c r="E77" s="13"/>
      <c r="J77" s="226"/>
      <c r="L77" s="226"/>
      <c r="M77" s="226"/>
      <c r="N77" s="226"/>
      <c r="O77" s="226"/>
      <c r="P77" s="226"/>
      <c r="Q77" s="226"/>
      <c r="R77" s="226"/>
      <c r="S77" s="226"/>
      <c r="T77" s="226"/>
    </row>
    <row r="78" spans="1:20" ht="15.75" customHeight="1">
      <c r="A78" s="80"/>
      <c r="B78" s="231"/>
      <c r="C78" s="231"/>
      <c r="E78" s="13"/>
      <c r="J78" s="226"/>
      <c r="L78" s="226"/>
      <c r="M78" s="226"/>
      <c r="N78" s="226"/>
      <c r="O78" s="226"/>
      <c r="P78" s="226"/>
      <c r="Q78" s="226"/>
      <c r="R78" s="226"/>
      <c r="S78" s="226"/>
      <c r="T78" s="226"/>
    </row>
    <row r="79" spans="1:20" ht="15.75" customHeight="1">
      <c r="A79" s="80"/>
      <c r="B79" s="231"/>
      <c r="C79" s="231"/>
      <c r="E79" s="13"/>
      <c r="J79" s="226"/>
      <c r="L79" s="226"/>
      <c r="M79" s="226"/>
      <c r="N79" s="226"/>
      <c r="O79" s="226"/>
      <c r="P79" s="226"/>
      <c r="Q79" s="226"/>
      <c r="R79" s="226"/>
      <c r="S79" s="226"/>
      <c r="T79" s="226"/>
    </row>
    <row r="80" spans="1:20" ht="15.75" customHeight="1">
      <c r="A80" s="80"/>
      <c r="B80" s="231"/>
      <c r="C80" s="231"/>
      <c r="E80" s="13"/>
      <c r="J80" s="226"/>
      <c r="L80" s="226"/>
      <c r="M80" s="226"/>
      <c r="N80" s="226"/>
      <c r="O80" s="226"/>
      <c r="P80" s="226"/>
      <c r="Q80" s="226"/>
      <c r="R80" s="226"/>
      <c r="S80" s="226"/>
      <c r="T80" s="226"/>
    </row>
    <row r="81" spans="1:20" ht="15.75" customHeight="1">
      <c r="A81" s="80"/>
      <c r="B81" s="231"/>
      <c r="C81" s="231"/>
      <c r="E81" s="13"/>
      <c r="J81" s="226"/>
      <c r="L81" s="226"/>
      <c r="M81" s="226"/>
      <c r="N81" s="226"/>
      <c r="O81" s="226"/>
      <c r="P81" s="226"/>
      <c r="Q81" s="226"/>
      <c r="R81" s="226"/>
      <c r="S81" s="226"/>
      <c r="T81" s="226"/>
    </row>
    <row r="82" spans="1:20" ht="15.75" customHeight="1">
      <c r="A82" s="80"/>
      <c r="B82" s="231"/>
      <c r="C82" s="231"/>
      <c r="E82" s="13"/>
      <c r="J82" s="226"/>
      <c r="L82" s="226"/>
      <c r="M82" s="226"/>
      <c r="N82" s="226"/>
      <c r="O82" s="226"/>
      <c r="P82" s="226"/>
      <c r="Q82" s="226"/>
      <c r="R82" s="226"/>
      <c r="S82" s="226"/>
      <c r="T82" s="226"/>
    </row>
    <row r="83" spans="1:20" ht="15.75" customHeight="1">
      <c r="A83" s="80"/>
      <c r="B83" s="231"/>
      <c r="C83" s="231"/>
      <c r="E83" s="13"/>
      <c r="J83" s="226"/>
      <c r="L83" s="226"/>
      <c r="M83" s="226"/>
      <c r="N83" s="226"/>
      <c r="O83" s="226"/>
      <c r="P83" s="226"/>
      <c r="Q83" s="226"/>
      <c r="R83" s="226"/>
      <c r="S83" s="226"/>
      <c r="T83" s="226"/>
    </row>
    <row r="84" spans="1:20" ht="15.75" customHeight="1">
      <c r="A84" s="80"/>
      <c r="B84" s="231"/>
      <c r="C84" s="231"/>
      <c r="E84" s="13"/>
      <c r="J84" s="226"/>
      <c r="L84" s="226"/>
      <c r="M84" s="226"/>
      <c r="N84" s="226"/>
      <c r="O84" s="226"/>
      <c r="P84" s="226"/>
      <c r="Q84" s="226"/>
      <c r="R84" s="226"/>
      <c r="S84" s="226"/>
      <c r="T84" s="226"/>
    </row>
    <row r="85" spans="1:20" ht="15.75" customHeight="1">
      <c r="A85" s="80"/>
      <c r="B85" s="231"/>
      <c r="C85" s="231"/>
      <c r="E85" s="13"/>
      <c r="J85" s="226"/>
      <c r="L85" s="226"/>
      <c r="M85" s="226"/>
      <c r="N85" s="226"/>
      <c r="O85" s="226"/>
      <c r="P85" s="226"/>
      <c r="Q85" s="226"/>
      <c r="R85" s="226"/>
      <c r="S85" s="226"/>
      <c r="T85" s="226"/>
    </row>
    <row r="86" spans="1:20" ht="15.75" customHeight="1">
      <c r="A86" s="80"/>
      <c r="B86" s="231"/>
      <c r="C86" s="231"/>
      <c r="E86" s="13"/>
      <c r="J86" s="226"/>
      <c r="L86" s="226"/>
      <c r="M86" s="226"/>
      <c r="N86" s="226"/>
      <c r="O86" s="226"/>
      <c r="P86" s="226"/>
      <c r="Q86" s="226"/>
      <c r="R86" s="226"/>
      <c r="S86" s="226"/>
      <c r="T86" s="226"/>
    </row>
    <row r="87" spans="1:20" ht="15.75" customHeight="1">
      <c r="A87" s="80"/>
      <c r="B87" s="231"/>
      <c r="C87" s="231"/>
      <c r="E87" s="13"/>
      <c r="J87" s="226"/>
      <c r="L87" s="226"/>
      <c r="M87" s="226"/>
      <c r="N87" s="226"/>
      <c r="O87" s="226"/>
      <c r="P87" s="226"/>
      <c r="Q87" s="226"/>
      <c r="R87" s="226"/>
      <c r="S87" s="226"/>
      <c r="T87" s="226"/>
    </row>
    <row r="88" spans="1:20" ht="15.75" customHeight="1">
      <c r="A88" s="80"/>
      <c r="B88" s="231"/>
      <c r="C88" s="231"/>
      <c r="E88" s="13"/>
      <c r="J88" s="226"/>
      <c r="L88" s="226"/>
      <c r="M88" s="226"/>
      <c r="N88" s="226"/>
      <c r="O88" s="226"/>
      <c r="P88" s="226"/>
      <c r="Q88" s="226"/>
      <c r="R88" s="226"/>
      <c r="S88" s="226"/>
      <c r="T88" s="226"/>
    </row>
    <row r="89" spans="1:20" ht="15.75" customHeight="1">
      <c r="A89" s="80"/>
      <c r="B89" s="231"/>
      <c r="C89" s="231"/>
      <c r="E89" s="13"/>
      <c r="J89" s="226"/>
      <c r="L89" s="226"/>
      <c r="M89" s="226"/>
      <c r="N89" s="226"/>
      <c r="O89" s="226"/>
      <c r="P89" s="226"/>
      <c r="Q89" s="226"/>
      <c r="R89" s="226"/>
      <c r="S89" s="226"/>
      <c r="T89" s="226"/>
    </row>
    <row r="90" spans="1:20" ht="15.75" customHeight="1">
      <c r="A90" s="80"/>
      <c r="B90" s="231"/>
      <c r="C90" s="231"/>
      <c r="E90" s="13"/>
      <c r="J90" s="226"/>
      <c r="L90" s="226"/>
      <c r="M90" s="226"/>
      <c r="N90" s="226"/>
      <c r="O90" s="226"/>
      <c r="P90" s="226"/>
      <c r="Q90" s="226"/>
      <c r="R90" s="226"/>
      <c r="S90" s="226"/>
      <c r="T90" s="226"/>
    </row>
    <row r="91" spans="1:20" ht="15.75" customHeight="1">
      <c r="A91" s="80"/>
      <c r="B91" s="231"/>
      <c r="C91" s="231"/>
      <c r="E91" s="13"/>
      <c r="J91" s="226"/>
      <c r="L91" s="226"/>
      <c r="M91" s="226"/>
      <c r="N91" s="226"/>
      <c r="O91" s="226"/>
      <c r="P91" s="226"/>
      <c r="Q91" s="226"/>
      <c r="R91" s="226"/>
      <c r="S91" s="226"/>
      <c r="T91" s="226"/>
    </row>
    <row r="92" spans="1:20" ht="15.75" customHeight="1">
      <c r="A92" s="80"/>
      <c r="B92" s="231"/>
      <c r="C92" s="231"/>
      <c r="E92" s="13"/>
      <c r="J92" s="226"/>
      <c r="L92" s="226"/>
      <c r="M92" s="226"/>
      <c r="N92" s="226"/>
      <c r="O92" s="226"/>
      <c r="P92" s="226"/>
      <c r="Q92" s="226"/>
      <c r="R92" s="226"/>
      <c r="S92" s="226"/>
      <c r="T92" s="226"/>
    </row>
    <row r="93" spans="1:20" ht="15.75" customHeight="1">
      <c r="A93" s="80"/>
      <c r="B93" s="231"/>
      <c r="C93" s="231"/>
      <c r="E93" s="13"/>
      <c r="J93" s="226"/>
      <c r="L93" s="226"/>
      <c r="M93" s="226"/>
      <c r="N93" s="226"/>
      <c r="O93" s="226"/>
      <c r="P93" s="226"/>
      <c r="Q93" s="226"/>
      <c r="R93" s="226"/>
      <c r="S93" s="226"/>
      <c r="T93" s="226"/>
    </row>
    <row r="94" spans="1:20" ht="15.75" customHeight="1">
      <c r="A94" s="80"/>
      <c r="B94" s="231"/>
      <c r="C94" s="231"/>
      <c r="E94" s="13"/>
      <c r="J94" s="226"/>
      <c r="L94" s="226"/>
      <c r="M94" s="226"/>
      <c r="N94" s="226"/>
      <c r="O94" s="226"/>
      <c r="P94" s="226"/>
      <c r="Q94" s="226"/>
      <c r="R94" s="226"/>
      <c r="S94" s="226"/>
      <c r="T94" s="226"/>
    </row>
    <row r="95" spans="1:20" ht="15.75" customHeight="1">
      <c r="A95" s="80"/>
      <c r="B95" s="231"/>
      <c r="C95" s="231"/>
      <c r="E95" s="13"/>
      <c r="J95" s="226"/>
      <c r="L95" s="226"/>
      <c r="M95" s="226"/>
      <c r="N95" s="226"/>
      <c r="O95" s="226"/>
      <c r="P95" s="226"/>
      <c r="Q95" s="226"/>
      <c r="R95" s="226"/>
      <c r="S95" s="226"/>
      <c r="T95" s="226"/>
    </row>
    <row r="96" spans="1:20" ht="15.75" customHeight="1">
      <c r="A96" s="80"/>
      <c r="B96" s="231"/>
      <c r="C96" s="231"/>
      <c r="E96" s="13"/>
      <c r="J96" s="226"/>
      <c r="L96" s="226"/>
      <c r="M96" s="226"/>
      <c r="N96" s="226"/>
      <c r="O96" s="226"/>
      <c r="P96" s="226"/>
      <c r="Q96" s="226"/>
      <c r="R96" s="226"/>
      <c r="S96" s="226"/>
      <c r="T96" s="226"/>
    </row>
    <row r="97" spans="1:20" ht="15.75" customHeight="1">
      <c r="A97" s="80"/>
      <c r="B97" s="231"/>
      <c r="C97" s="231"/>
      <c r="E97" s="13"/>
      <c r="J97" s="226"/>
      <c r="L97" s="226"/>
      <c r="M97" s="226"/>
      <c r="N97" s="226"/>
      <c r="O97" s="226"/>
      <c r="P97" s="226"/>
      <c r="Q97" s="226"/>
      <c r="R97" s="226"/>
      <c r="S97" s="226"/>
      <c r="T97" s="226"/>
    </row>
    <row r="98" spans="1:20" ht="15.75" customHeight="1">
      <c r="A98" s="80"/>
      <c r="B98" s="231"/>
      <c r="C98" s="231"/>
      <c r="E98" s="13"/>
      <c r="J98" s="226"/>
      <c r="L98" s="226"/>
      <c r="M98" s="226"/>
      <c r="N98" s="226"/>
      <c r="O98" s="226"/>
      <c r="P98" s="226"/>
      <c r="Q98" s="226"/>
      <c r="R98" s="226"/>
      <c r="S98" s="226"/>
      <c r="T98" s="226"/>
    </row>
    <row r="99" spans="1:20" ht="15.75" customHeight="1">
      <c r="A99" s="80"/>
      <c r="B99" s="231"/>
      <c r="C99" s="231"/>
      <c r="E99" s="13"/>
      <c r="J99" s="226"/>
      <c r="L99" s="226"/>
      <c r="M99" s="226"/>
      <c r="N99" s="226"/>
      <c r="O99" s="226"/>
      <c r="P99" s="226"/>
      <c r="Q99" s="226"/>
      <c r="R99" s="226"/>
      <c r="S99" s="226"/>
      <c r="T99" s="226"/>
    </row>
    <row r="100" spans="1:20" ht="15.75" customHeight="1">
      <c r="A100" s="80"/>
      <c r="B100" s="231"/>
      <c r="C100" s="231"/>
      <c r="E100" s="13"/>
      <c r="J100" s="226"/>
      <c r="L100" s="226"/>
      <c r="M100" s="226"/>
      <c r="N100" s="226"/>
      <c r="O100" s="226"/>
      <c r="P100" s="226"/>
      <c r="Q100" s="226"/>
      <c r="R100" s="226"/>
      <c r="S100" s="226"/>
      <c r="T100" s="226"/>
    </row>
    <row r="101" spans="1:20" ht="15.75" customHeight="1">
      <c r="A101" s="80"/>
      <c r="B101" s="231"/>
      <c r="C101" s="231"/>
      <c r="E101" s="13"/>
      <c r="J101" s="226"/>
      <c r="L101" s="226"/>
      <c r="M101" s="226"/>
      <c r="N101" s="226"/>
      <c r="O101" s="226"/>
      <c r="P101" s="226"/>
      <c r="Q101" s="226"/>
      <c r="R101" s="226"/>
      <c r="S101" s="226"/>
      <c r="T101" s="226"/>
    </row>
    <row r="102" spans="1:20" ht="15.75" customHeight="1">
      <c r="A102" s="80"/>
      <c r="B102" s="231"/>
      <c r="C102" s="231"/>
      <c r="E102" s="13"/>
      <c r="J102" s="226"/>
      <c r="L102" s="226"/>
      <c r="M102" s="226"/>
      <c r="N102" s="226"/>
      <c r="O102" s="226"/>
      <c r="P102" s="226"/>
      <c r="Q102" s="226"/>
      <c r="R102" s="226"/>
      <c r="S102" s="226"/>
      <c r="T102" s="226"/>
    </row>
    <row r="103" spans="1:20" ht="15.75" customHeight="1">
      <c r="A103" s="80"/>
      <c r="B103" s="231"/>
      <c r="C103" s="231"/>
      <c r="E103" s="13"/>
      <c r="J103" s="226"/>
      <c r="L103" s="226"/>
      <c r="M103" s="226"/>
      <c r="N103" s="226"/>
      <c r="O103" s="226"/>
      <c r="P103" s="226"/>
      <c r="Q103" s="226"/>
      <c r="R103" s="226"/>
      <c r="S103" s="226"/>
      <c r="T103" s="226"/>
    </row>
    <row r="104" spans="1:20" ht="15.75" customHeight="1">
      <c r="A104" s="80"/>
      <c r="B104" s="231"/>
      <c r="C104" s="231"/>
      <c r="E104" s="13"/>
      <c r="J104" s="226"/>
      <c r="L104" s="226"/>
      <c r="M104" s="226"/>
      <c r="N104" s="226"/>
      <c r="O104" s="226"/>
      <c r="P104" s="226"/>
      <c r="Q104" s="226"/>
      <c r="R104" s="226"/>
      <c r="S104" s="226"/>
      <c r="T104" s="226"/>
    </row>
    <row r="105" spans="1:20" ht="15.75" customHeight="1">
      <c r="A105" s="80"/>
      <c r="B105" s="231"/>
      <c r="C105" s="231"/>
      <c r="E105" s="13"/>
      <c r="J105" s="226"/>
      <c r="L105" s="226"/>
      <c r="M105" s="226"/>
      <c r="N105" s="226"/>
      <c r="O105" s="226"/>
      <c r="P105" s="226"/>
      <c r="Q105" s="226"/>
      <c r="R105" s="226"/>
      <c r="S105" s="226"/>
      <c r="T105" s="226"/>
    </row>
    <row r="106" spans="1:20" ht="15.75" customHeight="1">
      <c r="A106" s="80"/>
      <c r="B106" s="231"/>
      <c r="C106" s="231"/>
      <c r="E106" s="13"/>
      <c r="J106" s="226"/>
      <c r="L106" s="226"/>
      <c r="M106" s="226"/>
      <c r="N106" s="226"/>
      <c r="O106" s="226"/>
      <c r="P106" s="226"/>
      <c r="Q106" s="226"/>
      <c r="R106" s="226"/>
      <c r="S106" s="226"/>
      <c r="T106" s="226"/>
    </row>
    <row r="107" spans="1:20" ht="15.75" customHeight="1">
      <c r="A107" s="80"/>
      <c r="B107" s="231"/>
      <c r="C107" s="231"/>
      <c r="E107" s="13"/>
      <c r="J107" s="226"/>
      <c r="L107" s="226"/>
      <c r="M107" s="226"/>
      <c r="N107" s="226"/>
      <c r="O107" s="226"/>
      <c r="P107" s="226"/>
      <c r="Q107" s="226"/>
      <c r="R107" s="226"/>
      <c r="S107" s="226"/>
      <c r="T107" s="226"/>
    </row>
    <row r="108" spans="1:20" ht="15.75" customHeight="1">
      <c r="A108" s="80"/>
      <c r="B108" s="231"/>
      <c r="C108" s="231"/>
      <c r="E108" s="13"/>
      <c r="J108" s="226"/>
      <c r="L108" s="226"/>
      <c r="M108" s="226"/>
      <c r="N108" s="226"/>
      <c r="O108" s="226"/>
      <c r="P108" s="226"/>
      <c r="Q108" s="226"/>
      <c r="R108" s="226"/>
      <c r="S108" s="226"/>
      <c r="T108" s="226"/>
    </row>
    <row r="109" spans="1:20" ht="15.75" customHeight="1">
      <c r="A109" s="80"/>
      <c r="B109" s="231"/>
      <c r="C109" s="231"/>
      <c r="E109" s="13"/>
      <c r="J109" s="226"/>
      <c r="L109" s="226"/>
      <c r="M109" s="226"/>
      <c r="N109" s="226"/>
      <c r="O109" s="226"/>
      <c r="P109" s="226"/>
      <c r="Q109" s="226"/>
      <c r="R109" s="226"/>
      <c r="S109" s="226"/>
      <c r="T109" s="226"/>
    </row>
    <row r="110" spans="1:20" ht="15.75" customHeight="1">
      <c r="A110" s="80"/>
      <c r="B110" s="231"/>
      <c r="C110" s="231"/>
      <c r="E110" s="13"/>
      <c r="J110" s="226"/>
      <c r="L110" s="226"/>
      <c r="M110" s="226"/>
      <c r="N110" s="226"/>
      <c r="O110" s="226"/>
      <c r="P110" s="226"/>
      <c r="Q110" s="226"/>
      <c r="R110" s="226"/>
      <c r="S110" s="226"/>
      <c r="T110" s="226"/>
    </row>
    <row r="111" spans="1:20" ht="15.75" customHeight="1">
      <c r="A111" s="80"/>
      <c r="B111" s="231"/>
      <c r="C111" s="231"/>
      <c r="E111" s="13"/>
      <c r="J111" s="226"/>
      <c r="L111" s="226"/>
      <c r="M111" s="226"/>
      <c r="N111" s="226"/>
      <c r="O111" s="226"/>
      <c r="P111" s="226"/>
      <c r="Q111" s="226"/>
      <c r="R111" s="226"/>
      <c r="S111" s="226"/>
      <c r="T111" s="226"/>
    </row>
    <row r="112" spans="1:20" ht="15.75" customHeight="1">
      <c r="A112" s="80"/>
      <c r="B112" s="231"/>
      <c r="C112" s="231"/>
      <c r="E112" s="13"/>
      <c r="J112" s="226"/>
      <c r="L112" s="226"/>
      <c r="M112" s="226"/>
      <c r="N112" s="226"/>
      <c r="O112" s="226"/>
      <c r="P112" s="226"/>
      <c r="Q112" s="226"/>
      <c r="R112" s="226"/>
      <c r="S112" s="226"/>
      <c r="T112" s="226"/>
    </row>
    <row r="113" spans="1:20" ht="15.75" customHeight="1">
      <c r="A113" s="80"/>
      <c r="B113" s="231"/>
      <c r="C113" s="231"/>
      <c r="E113" s="13"/>
      <c r="J113" s="226"/>
      <c r="L113" s="226"/>
      <c r="M113" s="226"/>
      <c r="N113" s="226"/>
      <c r="O113" s="226"/>
      <c r="P113" s="226"/>
      <c r="Q113" s="226"/>
      <c r="R113" s="226"/>
      <c r="S113" s="226"/>
      <c r="T113" s="226"/>
    </row>
    <row r="114" spans="1:20" ht="15.75" customHeight="1">
      <c r="A114" s="80"/>
      <c r="B114" s="231"/>
      <c r="C114" s="231"/>
      <c r="E114" s="13"/>
      <c r="J114" s="226"/>
      <c r="L114" s="226"/>
      <c r="M114" s="226"/>
      <c r="N114" s="226"/>
      <c r="O114" s="226"/>
      <c r="P114" s="226"/>
      <c r="Q114" s="226"/>
      <c r="R114" s="226"/>
      <c r="S114" s="226"/>
      <c r="T114" s="226"/>
    </row>
    <row r="115" spans="1:20" ht="15.75" customHeight="1">
      <c r="A115" s="80"/>
      <c r="B115" s="231"/>
      <c r="C115" s="231"/>
      <c r="E115" s="13"/>
      <c r="J115" s="226"/>
      <c r="L115" s="226"/>
      <c r="M115" s="226"/>
      <c r="N115" s="226"/>
      <c r="O115" s="226"/>
      <c r="P115" s="226"/>
      <c r="Q115" s="226"/>
      <c r="R115" s="226"/>
      <c r="S115" s="226"/>
      <c r="T115" s="226"/>
    </row>
    <row r="116" spans="1:20" ht="15.75" customHeight="1">
      <c r="A116" s="80"/>
      <c r="B116" s="231"/>
      <c r="C116" s="231"/>
      <c r="E116" s="13"/>
      <c r="J116" s="226"/>
      <c r="L116" s="226"/>
      <c r="M116" s="226"/>
      <c r="N116" s="226"/>
      <c r="O116" s="226"/>
      <c r="P116" s="226"/>
      <c r="Q116" s="226"/>
      <c r="R116" s="226"/>
      <c r="S116" s="226"/>
      <c r="T116" s="226"/>
    </row>
    <row r="117" spans="1:20" ht="15.75" customHeight="1">
      <c r="A117" s="80"/>
      <c r="B117" s="231"/>
      <c r="C117" s="231"/>
      <c r="E117" s="13"/>
      <c r="J117" s="226"/>
      <c r="L117" s="226"/>
      <c r="M117" s="226"/>
      <c r="N117" s="226"/>
      <c r="O117" s="226"/>
      <c r="P117" s="226"/>
      <c r="Q117" s="226"/>
      <c r="R117" s="226"/>
      <c r="S117" s="226"/>
      <c r="T117" s="226"/>
    </row>
    <row r="118" spans="1:20" ht="15.75" customHeight="1">
      <c r="A118" s="80"/>
      <c r="B118" s="231"/>
      <c r="C118" s="231"/>
      <c r="E118" s="13"/>
      <c r="J118" s="226"/>
      <c r="L118" s="226"/>
      <c r="M118" s="226"/>
      <c r="N118" s="226"/>
      <c r="O118" s="226"/>
      <c r="P118" s="226"/>
      <c r="Q118" s="226"/>
      <c r="R118" s="226"/>
      <c r="S118" s="226"/>
      <c r="T118" s="226"/>
    </row>
    <row r="119" spans="1:20" ht="15.75" customHeight="1">
      <c r="A119" s="80"/>
      <c r="B119" s="231"/>
      <c r="C119" s="231"/>
      <c r="E119" s="13"/>
      <c r="J119" s="226"/>
      <c r="L119" s="226"/>
      <c r="M119" s="226"/>
      <c r="N119" s="226"/>
      <c r="O119" s="226"/>
      <c r="P119" s="226"/>
      <c r="Q119" s="226"/>
      <c r="R119" s="226"/>
      <c r="S119" s="226"/>
      <c r="T119" s="226"/>
    </row>
    <row r="120" spans="1:20" ht="15.75" customHeight="1">
      <c r="A120" s="80"/>
      <c r="B120" s="231"/>
      <c r="C120" s="231"/>
      <c r="E120" s="13"/>
      <c r="J120" s="226"/>
      <c r="L120" s="226"/>
      <c r="M120" s="226"/>
      <c r="N120" s="226"/>
      <c r="O120" s="226"/>
      <c r="P120" s="226"/>
      <c r="Q120" s="226"/>
      <c r="R120" s="226"/>
      <c r="S120" s="226"/>
      <c r="T120" s="226"/>
    </row>
    <row r="121" spans="1:20" ht="15.75" customHeight="1">
      <c r="A121" s="80"/>
      <c r="B121" s="231"/>
      <c r="C121" s="231"/>
      <c r="E121" s="13"/>
      <c r="J121" s="226"/>
      <c r="L121" s="226"/>
      <c r="M121" s="226"/>
      <c r="N121" s="226"/>
      <c r="O121" s="226"/>
      <c r="P121" s="226"/>
      <c r="Q121" s="226"/>
      <c r="R121" s="226"/>
      <c r="S121" s="226"/>
      <c r="T121" s="226"/>
    </row>
    <row r="122" spans="1:20" ht="15.75" customHeight="1">
      <c r="A122" s="80"/>
      <c r="B122" s="231"/>
      <c r="C122" s="231"/>
      <c r="E122" s="13"/>
      <c r="J122" s="226"/>
      <c r="L122" s="226"/>
      <c r="M122" s="226"/>
      <c r="N122" s="226"/>
      <c r="O122" s="226"/>
      <c r="P122" s="226"/>
      <c r="Q122" s="226"/>
      <c r="R122" s="226"/>
      <c r="S122" s="226"/>
      <c r="T122" s="226"/>
    </row>
    <row r="123" spans="1:20" ht="15.75" customHeight="1">
      <c r="A123" s="80"/>
      <c r="B123" s="231"/>
      <c r="C123" s="231"/>
      <c r="E123" s="13"/>
      <c r="J123" s="226"/>
      <c r="L123" s="226"/>
      <c r="M123" s="226"/>
      <c r="N123" s="226"/>
      <c r="O123" s="226"/>
      <c r="P123" s="226"/>
      <c r="Q123" s="226"/>
      <c r="R123" s="226"/>
      <c r="S123" s="226"/>
      <c r="T123" s="226"/>
    </row>
    <row r="124" spans="1:20" ht="15.75" customHeight="1">
      <c r="A124" s="80"/>
      <c r="B124" s="231"/>
      <c r="C124" s="231"/>
      <c r="E124" s="13"/>
      <c r="J124" s="226"/>
      <c r="L124" s="226"/>
      <c r="M124" s="226"/>
      <c r="N124" s="226"/>
      <c r="O124" s="226"/>
      <c r="P124" s="226"/>
      <c r="Q124" s="226"/>
      <c r="R124" s="226"/>
      <c r="S124" s="226"/>
      <c r="T124" s="226"/>
    </row>
    <row r="125" spans="1:20" ht="15.75" customHeight="1">
      <c r="A125" s="80"/>
      <c r="B125" s="231"/>
      <c r="C125" s="231"/>
      <c r="E125" s="13"/>
      <c r="J125" s="226"/>
      <c r="L125" s="226"/>
      <c r="M125" s="226"/>
      <c r="N125" s="226"/>
      <c r="O125" s="226"/>
      <c r="P125" s="226"/>
      <c r="Q125" s="226"/>
      <c r="R125" s="226"/>
      <c r="S125" s="226"/>
      <c r="T125" s="226"/>
    </row>
    <row r="126" spans="1:20" ht="15.75" customHeight="1">
      <c r="A126" s="80"/>
      <c r="B126" s="231"/>
      <c r="C126" s="231"/>
      <c r="E126" s="13"/>
      <c r="J126" s="226"/>
      <c r="L126" s="226"/>
      <c r="M126" s="226"/>
      <c r="N126" s="226"/>
      <c r="O126" s="226"/>
      <c r="P126" s="226"/>
      <c r="Q126" s="226"/>
      <c r="R126" s="226"/>
      <c r="S126" s="226"/>
      <c r="T126" s="226"/>
    </row>
    <row r="127" spans="1:20" ht="15.75" customHeight="1">
      <c r="A127" s="80"/>
      <c r="B127" s="231"/>
      <c r="C127" s="231"/>
      <c r="E127" s="13"/>
      <c r="J127" s="226"/>
      <c r="L127" s="226"/>
      <c r="M127" s="226"/>
      <c r="N127" s="226"/>
      <c r="O127" s="226"/>
      <c r="P127" s="226"/>
      <c r="Q127" s="226"/>
      <c r="R127" s="226"/>
      <c r="S127" s="226"/>
      <c r="T127" s="226"/>
    </row>
    <row r="128" spans="1:20" ht="15.75" customHeight="1">
      <c r="A128" s="80"/>
      <c r="B128" s="231"/>
      <c r="C128" s="231"/>
      <c r="E128" s="13"/>
      <c r="J128" s="226"/>
      <c r="L128" s="226"/>
      <c r="M128" s="226"/>
      <c r="N128" s="226"/>
      <c r="O128" s="226"/>
      <c r="P128" s="226"/>
      <c r="Q128" s="226"/>
      <c r="R128" s="226"/>
      <c r="S128" s="226"/>
      <c r="T128" s="226"/>
    </row>
    <row r="129" spans="1:20" ht="15.75" customHeight="1">
      <c r="A129" s="80"/>
      <c r="B129" s="231"/>
      <c r="C129" s="231"/>
      <c r="E129" s="13"/>
      <c r="J129" s="226"/>
      <c r="L129" s="226"/>
      <c r="M129" s="226"/>
      <c r="N129" s="226"/>
      <c r="O129" s="226"/>
      <c r="P129" s="226"/>
      <c r="Q129" s="226"/>
      <c r="R129" s="226"/>
      <c r="S129" s="226"/>
      <c r="T129" s="226"/>
    </row>
    <row r="130" spans="1:20" ht="15.75" customHeight="1">
      <c r="A130" s="80"/>
      <c r="B130" s="231"/>
      <c r="C130" s="231"/>
      <c r="E130" s="13"/>
      <c r="J130" s="226"/>
      <c r="L130" s="226"/>
      <c r="M130" s="226"/>
      <c r="N130" s="226"/>
      <c r="O130" s="226"/>
      <c r="P130" s="226"/>
      <c r="Q130" s="226"/>
      <c r="R130" s="226"/>
      <c r="S130" s="226"/>
      <c r="T130" s="226"/>
    </row>
    <row r="131" spans="1:20" ht="15.75" customHeight="1">
      <c r="A131" s="80"/>
      <c r="B131" s="231"/>
      <c r="C131" s="231"/>
      <c r="E131" s="13"/>
      <c r="J131" s="226"/>
      <c r="L131" s="226"/>
      <c r="M131" s="226"/>
      <c r="N131" s="226"/>
      <c r="O131" s="226"/>
      <c r="P131" s="226"/>
      <c r="Q131" s="226"/>
      <c r="R131" s="226"/>
      <c r="S131" s="226"/>
      <c r="T131" s="226"/>
    </row>
    <row r="132" spans="1:20" ht="15.75" customHeight="1">
      <c r="A132" s="80"/>
      <c r="B132" s="231"/>
      <c r="C132" s="231"/>
      <c r="E132" s="13"/>
      <c r="J132" s="226"/>
      <c r="L132" s="226"/>
      <c r="M132" s="226"/>
      <c r="N132" s="226"/>
      <c r="O132" s="226"/>
      <c r="P132" s="226"/>
      <c r="Q132" s="226"/>
      <c r="R132" s="226"/>
      <c r="S132" s="226"/>
      <c r="T132" s="226"/>
    </row>
    <row r="133" spans="1:20" ht="15.75" customHeight="1">
      <c r="A133" s="80"/>
      <c r="B133" s="231"/>
      <c r="C133" s="231"/>
      <c r="E133" s="13"/>
      <c r="J133" s="226"/>
      <c r="L133" s="226"/>
      <c r="M133" s="226"/>
      <c r="N133" s="226"/>
      <c r="O133" s="226"/>
      <c r="P133" s="226"/>
      <c r="Q133" s="226"/>
      <c r="R133" s="226"/>
      <c r="S133" s="226"/>
      <c r="T133" s="226"/>
    </row>
    <row r="134" spans="1:20" ht="15.75" customHeight="1">
      <c r="A134" s="80"/>
      <c r="B134" s="231"/>
      <c r="C134" s="231"/>
      <c r="E134" s="13"/>
      <c r="J134" s="226"/>
      <c r="L134" s="226"/>
      <c r="M134" s="226"/>
      <c r="N134" s="226"/>
      <c r="O134" s="226"/>
      <c r="P134" s="226"/>
      <c r="Q134" s="226"/>
      <c r="R134" s="226"/>
      <c r="S134" s="226"/>
      <c r="T134" s="226"/>
    </row>
    <row r="135" spans="1:20" ht="15.75" customHeight="1">
      <c r="A135" s="80"/>
      <c r="B135" s="231"/>
      <c r="C135" s="231"/>
      <c r="E135" s="13"/>
      <c r="J135" s="226"/>
      <c r="L135" s="226"/>
      <c r="M135" s="226"/>
      <c r="N135" s="226"/>
      <c r="O135" s="226"/>
      <c r="P135" s="226"/>
      <c r="Q135" s="226"/>
      <c r="R135" s="226"/>
      <c r="S135" s="226"/>
      <c r="T135" s="226"/>
    </row>
    <row r="136" spans="1:20" ht="15.75" customHeight="1">
      <c r="A136" s="80"/>
      <c r="B136" s="231"/>
      <c r="C136" s="231"/>
      <c r="E136" s="13"/>
      <c r="J136" s="226"/>
      <c r="L136" s="226"/>
      <c r="M136" s="226"/>
      <c r="N136" s="226"/>
      <c r="O136" s="226"/>
      <c r="P136" s="226"/>
      <c r="Q136" s="226"/>
      <c r="R136" s="226"/>
      <c r="S136" s="226"/>
      <c r="T136" s="226"/>
    </row>
    <row r="137" spans="1:20" ht="15.75" customHeight="1">
      <c r="A137" s="80"/>
      <c r="B137" s="231"/>
      <c r="C137" s="231"/>
      <c r="E137" s="13"/>
      <c r="J137" s="226"/>
      <c r="L137" s="226"/>
      <c r="M137" s="226"/>
      <c r="N137" s="226"/>
      <c r="O137" s="226"/>
      <c r="P137" s="226"/>
      <c r="Q137" s="226"/>
      <c r="R137" s="226"/>
      <c r="S137" s="226"/>
      <c r="T137" s="226"/>
    </row>
    <row r="138" spans="1:20" ht="15.75" customHeight="1">
      <c r="A138" s="80"/>
      <c r="B138" s="231"/>
      <c r="C138" s="231"/>
      <c r="E138" s="13"/>
      <c r="J138" s="226"/>
      <c r="L138" s="226"/>
      <c r="M138" s="226"/>
      <c r="N138" s="226"/>
      <c r="O138" s="226"/>
      <c r="P138" s="226"/>
      <c r="Q138" s="226"/>
      <c r="R138" s="226"/>
      <c r="S138" s="226"/>
      <c r="T138" s="226"/>
    </row>
    <row r="139" spans="1:20" ht="15.75" customHeight="1">
      <c r="A139" s="80"/>
      <c r="B139" s="231"/>
      <c r="C139" s="231"/>
      <c r="E139" s="13"/>
      <c r="J139" s="226"/>
      <c r="L139" s="226"/>
      <c r="M139" s="226"/>
      <c r="N139" s="226"/>
      <c r="O139" s="226"/>
      <c r="P139" s="226"/>
      <c r="Q139" s="226"/>
      <c r="R139" s="226"/>
      <c r="S139" s="226"/>
      <c r="T139" s="226"/>
    </row>
    <row r="140" spans="1:20" ht="15.75" customHeight="1">
      <c r="A140" s="80"/>
      <c r="B140" s="231"/>
      <c r="C140" s="231"/>
      <c r="E140" s="13"/>
      <c r="J140" s="226"/>
      <c r="L140" s="226"/>
      <c r="M140" s="226"/>
      <c r="N140" s="226"/>
      <c r="O140" s="226"/>
      <c r="P140" s="226"/>
      <c r="Q140" s="226"/>
      <c r="R140" s="226"/>
      <c r="S140" s="226"/>
      <c r="T140" s="226"/>
    </row>
    <row r="141" spans="1:20" ht="15.75" customHeight="1">
      <c r="A141" s="80"/>
      <c r="B141" s="231"/>
      <c r="C141" s="231"/>
      <c r="E141" s="13"/>
      <c r="J141" s="226"/>
      <c r="L141" s="226"/>
      <c r="M141" s="226"/>
      <c r="N141" s="226"/>
      <c r="O141" s="226"/>
      <c r="P141" s="226"/>
      <c r="Q141" s="226"/>
      <c r="R141" s="226"/>
      <c r="S141" s="226"/>
      <c r="T141" s="226"/>
    </row>
    <row r="142" spans="1:20" ht="15.75" customHeight="1">
      <c r="A142" s="80"/>
      <c r="B142" s="231"/>
      <c r="C142" s="231"/>
      <c r="E142" s="13"/>
      <c r="J142" s="226"/>
      <c r="L142" s="226"/>
      <c r="M142" s="226"/>
      <c r="N142" s="226"/>
      <c r="O142" s="226"/>
      <c r="P142" s="226"/>
      <c r="Q142" s="226"/>
      <c r="R142" s="226"/>
      <c r="S142" s="226"/>
      <c r="T142" s="226"/>
    </row>
    <row r="143" spans="1:20" ht="15.75" customHeight="1">
      <c r="A143" s="80"/>
      <c r="B143" s="231"/>
      <c r="C143" s="231"/>
      <c r="E143" s="13"/>
      <c r="J143" s="226"/>
      <c r="L143" s="226"/>
      <c r="M143" s="226"/>
      <c r="N143" s="226"/>
      <c r="O143" s="226"/>
      <c r="P143" s="226"/>
      <c r="Q143" s="226"/>
      <c r="R143" s="226"/>
      <c r="S143" s="226"/>
      <c r="T143" s="226"/>
    </row>
    <row r="144" spans="1:20" ht="15.75" customHeight="1">
      <c r="A144" s="80"/>
      <c r="B144" s="231"/>
      <c r="C144" s="231"/>
      <c r="E144" s="13"/>
      <c r="J144" s="226"/>
      <c r="L144" s="226"/>
      <c r="M144" s="226"/>
      <c r="N144" s="226"/>
      <c r="O144" s="226"/>
      <c r="P144" s="226"/>
      <c r="Q144" s="226"/>
      <c r="R144" s="226"/>
      <c r="S144" s="226"/>
      <c r="T144" s="226"/>
    </row>
    <row r="145" spans="1:20" ht="15.75" customHeight="1">
      <c r="A145" s="80"/>
      <c r="B145" s="231"/>
      <c r="C145" s="231"/>
      <c r="E145" s="13"/>
      <c r="J145" s="226"/>
      <c r="L145" s="226"/>
      <c r="M145" s="226"/>
      <c r="N145" s="226"/>
      <c r="O145" s="226"/>
      <c r="P145" s="226"/>
      <c r="Q145" s="226"/>
      <c r="R145" s="226"/>
      <c r="S145" s="226"/>
      <c r="T145" s="226"/>
    </row>
    <row r="146" spans="1:20" ht="15.75" customHeight="1">
      <c r="A146" s="80"/>
      <c r="B146" s="231"/>
      <c r="C146" s="231"/>
      <c r="E146" s="13"/>
      <c r="J146" s="226"/>
      <c r="L146" s="226"/>
      <c r="M146" s="226"/>
      <c r="N146" s="226"/>
      <c r="O146" s="226"/>
      <c r="P146" s="226"/>
      <c r="Q146" s="226"/>
      <c r="R146" s="226"/>
      <c r="S146" s="226"/>
      <c r="T146" s="226"/>
    </row>
    <row r="147" spans="1:20" ht="15.75" customHeight="1">
      <c r="A147" s="80"/>
      <c r="B147" s="231"/>
      <c r="C147" s="231"/>
      <c r="E147" s="13"/>
      <c r="J147" s="226"/>
      <c r="L147" s="226"/>
      <c r="M147" s="226"/>
      <c r="N147" s="226"/>
      <c r="O147" s="226"/>
      <c r="P147" s="226"/>
      <c r="Q147" s="226"/>
      <c r="R147" s="226"/>
      <c r="S147" s="226"/>
      <c r="T147" s="226"/>
    </row>
    <row r="148" spans="1:20" ht="15.75" customHeight="1">
      <c r="A148" s="80"/>
      <c r="B148" s="231"/>
      <c r="C148" s="231"/>
      <c r="E148" s="13"/>
      <c r="J148" s="226"/>
      <c r="L148" s="226"/>
      <c r="M148" s="226"/>
      <c r="N148" s="226"/>
      <c r="O148" s="226"/>
      <c r="P148" s="226"/>
      <c r="Q148" s="226"/>
      <c r="R148" s="226"/>
      <c r="S148" s="226"/>
      <c r="T148" s="226"/>
    </row>
    <row r="149" spans="1:20" ht="15.75" customHeight="1">
      <c r="A149" s="80"/>
      <c r="B149" s="231"/>
      <c r="C149" s="231"/>
      <c r="E149" s="13"/>
      <c r="J149" s="226"/>
      <c r="L149" s="226"/>
      <c r="M149" s="226"/>
      <c r="N149" s="226"/>
      <c r="O149" s="226"/>
      <c r="P149" s="226"/>
      <c r="Q149" s="226"/>
      <c r="R149" s="226"/>
      <c r="S149" s="226"/>
      <c r="T149" s="226"/>
    </row>
    <row r="150" spans="1:20" ht="15.75" customHeight="1">
      <c r="A150" s="80"/>
      <c r="B150" s="231"/>
      <c r="C150" s="231"/>
      <c r="E150" s="13"/>
      <c r="J150" s="226"/>
      <c r="L150" s="226"/>
      <c r="M150" s="226"/>
      <c r="N150" s="226"/>
      <c r="O150" s="226"/>
      <c r="P150" s="226"/>
      <c r="Q150" s="226"/>
      <c r="R150" s="226"/>
      <c r="S150" s="226"/>
      <c r="T150" s="226"/>
    </row>
    <row r="151" spans="1:20" ht="15.75" customHeight="1">
      <c r="A151" s="80"/>
      <c r="B151" s="231"/>
      <c r="C151" s="231"/>
      <c r="E151" s="13"/>
      <c r="J151" s="226"/>
      <c r="L151" s="226"/>
      <c r="M151" s="226"/>
      <c r="N151" s="226"/>
      <c r="O151" s="226"/>
      <c r="P151" s="226"/>
      <c r="Q151" s="226"/>
      <c r="R151" s="226"/>
      <c r="S151" s="226"/>
      <c r="T151" s="226"/>
    </row>
    <row r="152" spans="1:20" ht="15.75" customHeight="1">
      <c r="A152" s="80"/>
      <c r="B152" s="231"/>
      <c r="C152" s="231"/>
      <c r="E152" s="13"/>
      <c r="J152" s="226"/>
      <c r="L152" s="226"/>
      <c r="M152" s="226"/>
      <c r="N152" s="226"/>
      <c r="O152" s="226"/>
      <c r="P152" s="226"/>
      <c r="Q152" s="226"/>
      <c r="R152" s="226"/>
      <c r="S152" s="226"/>
      <c r="T152" s="226"/>
    </row>
    <row r="153" spans="1:20" ht="15.75" customHeight="1">
      <c r="A153" s="80"/>
      <c r="B153" s="231"/>
      <c r="C153" s="231"/>
      <c r="E153" s="13"/>
      <c r="J153" s="226"/>
      <c r="L153" s="226"/>
      <c r="M153" s="226"/>
      <c r="N153" s="226"/>
      <c r="O153" s="226"/>
      <c r="P153" s="226"/>
      <c r="Q153" s="226"/>
      <c r="R153" s="226"/>
      <c r="S153" s="226"/>
      <c r="T153" s="226"/>
    </row>
    <row r="154" spans="1:20" ht="15.75" customHeight="1">
      <c r="A154" s="80"/>
      <c r="B154" s="231"/>
      <c r="C154" s="231"/>
      <c r="E154" s="13"/>
      <c r="J154" s="226"/>
      <c r="L154" s="226"/>
      <c r="M154" s="226"/>
      <c r="N154" s="226"/>
      <c r="O154" s="226"/>
      <c r="P154" s="226"/>
      <c r="Q154" s="226"/>
      <c r="R154" s="226"/>
      <c r="S154" s="226"/>
      <c r="T154" s="226"/>
    </row>
    <row r="155" spans="1:20" ht="15.75" customHeight="1">
      <c r="A155" s="80"/>
      <c r="B155" s="231"/>
      <c r="C155" s="231"/>
      <c r="E155" s="13"/>
      <c r="J155" s="226"/>
      <c r="L155" s="226"/>
      <c r="M155" s="226"/>
      <c r="N155" s="226"/>
      <c r="O155" s="226"/>
      <c r="P155" s="226"/>
      <c r="Q155" s="226"/>
      <c r="R155" s="226"/>
      <c r="S155" s="226"/>
      <c r="T155" s="226"/>
    </row>
    <row r="156" spans="1:20" ht="15.75" customHeight="1">
      <c r="A156" s="80"/>
      <c r="B156" s="231"/>
      <c r="C156" s="231"/>
      <c r="E156" s="13"/>
      <c r="J156" s="226"/>
      <c r="L156" s="226"/>
      <c r="M156" s="226"/>
      <c r="N156" s="226"/>
      <c r="O156" s="226"/>
      <c r="P156" s="226"/>
      <c r="Q156" s="226"/>
      <c r="R156" s="226"/>
      <c r="S156" s="226"/>
      <c r="T156" s="226"/>
    </row>
    <row r="157" spans="1:20" ht="15.75" customHeight="1">
      <c r="A157" s="80"/>
      <c r="B157" s="231"/>
      <c r="C157" s="231"/>
      <c r="E157" s="13"/>
      <c r="J157" s="226"/>
      <c r="L157" s="226"/>
      <c r="M157" s="226"/>
      <c r="N157" s="226"/>
      <c r="O157" s="226"/>
      <c r="P157" s="226"/>
      <c r="Q157" s="226"/>
      <c r="R157" s="226"/>
      <c r="S157" s="226"/>
      <c r="T157" s="226"/>
    </row>
    <row r="158" spans="1:20" ht="15.75" customHeight="1">
      <c r="A158" s="80"/>
      <c r="B158" s="231"/>
      <c r="C158" s="231"/>
      <c r="E158" s="13"/>
      <c r="J158" s="226"/>
      <c r="L158" s="226"/>
      <c r="M158" s="226"/>
      <c r="N158" s="226"/>
      <c r="O158" s="226"/>
      <c r="P158" s="226"/>
      <c r="Q158" s="226"/>
      <c r="R158" s="226"/>
      <c r="S158" s="226"/>
      <c r="T158" s="226"/>
    </row>
    <row r="159" spans="1:20" ht="15.75" customHeight="1">
      <c r="A159" s="80"/>
      <c r="B159" s="231"/>
      <c r="C159" s="231"/>
      <c r="E159" s="13"/>
      <c r="J159" s="226"/>
      <c r="L159" s="226"/>
      <c r="M159" s="226"/>
      <c r="N159" s="226"/>
      <c r="O159" s="226"/>
      <c r="P159" s="226"/>
      <c r="Q159" s="226"/>
      <c r="R159" s="226"/>
      <c r="S159" s="226"/>
      <c r="T159" s="226"/>
    </row>
    <row r="160" spans="1:20" ht="15.75" customHeight="1">
      <c r="A160" s="80"/>
      <c r="B160" s="231"/>
      <c r="C160" s="231"/>
      <c r="E160" s="13"/>
      <c r="J160" s="226"/>
      <c r="L160" s="226"/>
      <c r="M160" s="226"/>
      <c r="N160" s="226"/>
      <c r="O160" s="226"/>
      <c r="P160" s="226"/>
      <c r="Q160" s="226"/>
      <c r="R160" s="226"/>
      <c r="S160" s="226"/>
      <c r="T160" s="226"/>
    </row>
    <row r="161" spans="1:20" ht="15.75" customHeight="1">
      <c r="A161" s="80"/>
      <c r="B161" s="231"/>
      <c r="C161" s="231"/>
      <c r="E161" s="13"/>
      <c r="J161" s="226"/>
      <c r="L161" s="226"/>
      <c r="M161" s="226"/>
      <c r="N161" s="226"/>
      <c r="O161" s="226"/>
      <c r="P161" s="226"/>
      <c r="Q161" s="226"/>
      <c r="R161" s="226"/>
      <c r="S161" s="226"/>
      <c r="T161" s="226"/>
    </row>
    <row r="162" spans="1:20" ht="15.75" customHeight="1">
      <c r="A162" s="80"/>
      <c r="B162" s="231"/>
      <c r="C162" s="231"/>
      <c r="E162" s="13"/>
      <c r="J162" s="226"/>
      <c r="L162" s="226"/>
      <c r="M162" s="226"/>
      <c r="N162" s="226"/>
      <c r="O162" s="226"/>
      <c r="P162" s="226"/>
      <c r="Q162" s="226"/>
      <c r="R162" s="226"/>
      <c r="S162" s="226"/>
      <c r="T162" s="226"/>
    </row>
    <row r="163" spans="1:20" ht="15.75" customHeight="1">
      <c r="A163" s="80"/>
      <c r="B163" s="231"/>
      <c r="C163" s="231"/>
      <c r="E163" s="13"/>
      <c r="J163" s="226"/>
      <c r="L163" s="226"/>
      <c r="M163" s="226"/>
      <c r="N163" s="226"/>
      <c r="O163" s="226"/>
      <c r="P163" s="226"/>
      <c r="Q163" s="226"/>
      <c r="R163" s="226"/>
      <c r="S163" s="226"/>
      <c r="T163" s="226"/>
    </row>
    <row r="164" spans="1:20" ht="15.75" customHeight="1">
      <c r="A164" s="80"/>
      <c r="B164" s="231"/>
      <c r="C164" s="231"/>
      <c r="E164" s="13"/>
      <c r="J164" s="226"/>
      <c r="L164" s="226"/>
      <c r="M164" s="226"/>
      <c r="N164" s="226"/>
      <c r="O164" s="226"/>
      <c r="P164" s="226"/>
      <c r="Q164" s="226"/>
      <c r="R164" s="226"/>
      <c r="S164" s="226"/>
      <c r="T164" s="226"/>
    </row>
    <row r="165" spans="1:20" ht="15.75" customHeight="1">
      <c r="A165" s="80"/>
      <c r="B165" s="231"/>
      <c r="C165" s="231"/>
      <c r="E165" s="13"/>
      <c r="J165" s="226"/>
      <c r="L165" s="226"/>
      <c r="M165" s="226"/>
      <c r="N165" s="226"/>
      <c r="O165" s="226"/>
      <c r="P165" s="226"/>
      <c r="Q165" s="226"/>
      <c r="R165" s="226"/>
      <c r="S165" s="226"/>
      <c r="T165" s="226"/>
    </row>
    <row r="166" spans="1:20" ht="15.75" customHeight="1">
      <c r="A166" s="80"/>
      <c r="B166" s="231"/>
      <c r="C166" s="231"/>
      <c r="E166" s="13"/>
      <c r="J166" s="226"/>
      <c r="L166" s="226"/>
      <c r="M166" s="226"/>
      <c r="N166" s="226"/>
      <c r="O166" s="226"/>
      <c r="P166" s="226"/>
      <c r="Q166" s="226"/>
      <c r="R166" s="226"/>
      <c r="S166" s="226"/>
      <c r="T166" s="226"/>
    </row>
    <row r="167" spans="1:20" ht="15.75" customHeight="1">
      <c r="A167" s="80"/>
      <c r="B167" s="231"/>
      <c r="C167" s="231"/>
      <c r="E167" s="13"/>
      <c r="J167" s="226"/>
      <c r="L167" s="226"/>
      <c r="M167" s="226"/>
      <c r="N167" s="226"/>
      <c r="O167" s="226"/>
      <c r="P167" s="226"/>
      <c r="Q167" s="226"/>
      <c r="R167" s="226"/>
      <c r="S167" s="226"/>
      <c r="T167" s="226"/>
    </row>
    <row r="168" spans="1:20" ht="15.75" customHeight="1">
      <c r="A168" s="80"/>
      <c r="B168" s="231"/>
      <c r="C168" s="231"/>
      <c r="E168" s="13"/>
      <c r="J168" s="226"/>
      <c r="L168" s="226"/>
      <c r="M168" s="226"/>
      <c r="N168" s="226"/>
      <c r="O168" s="226"/>
      <c r="P168" s="226"/>
      <c r="Q168" s="226"/>
      <c r="R168" s="226"/>
      <c r="S168" s="226"/>
      <c r="T168" s="226"/>
    </row>
    <row r="169" spans="1:20" ht="15.75" customHeight="1">
      <c r="A169" s="80"/>
      <c r="B169" s="231"/>
      <c r="C169" s="231"/>
      <c r="E169" s="13"/>
      <c r="J169" s="226"/>
      <c r="L169" s="226"/>
      <c r="M169" s="226"/>
      <c r="N169" s="226"/>
      <c r="O169" s="226"/>
      <c r="P169" s="226"/>
      <c r="Q169" s="226"/>
      <c r="R169" s="226"/>
      <c r="S169" s="226"/>
      <c r="T169" s="226"/>
    </row>
    <row r="170" spans="1:20" ht="15.75" customHeight="1">
      <c r="A170" s="80"/>
      <c r="B170" s="231"/>
      <c r="C170" s="231"/>
      <c r="E170" s="13"/>
      <c r="J170" s="226"/>
      <c r="L170" s="226"/>
      <c r="M170" s="226"/>
      <c r="N170" s="226"/>
      <c r="O170" s="226"/>
      <c r="P170" s="226"/>
      <c r="Q170" s="226"/>
      <c r="R170" s="226"/>
      <c r="S170" s="226"/>
      <c r="T170" s="226"/>
    </row>
    <row r="171" spans="1:20" ht="15.75" customHeight="1">
      <c r="A171" s="80"/>
      <c r="B171" s="231"/>
      <c r="C171" s="231"/>
      <c r="E171" s="13"/>
      <c r="J171" s="226"/>
      <c r="L171" s="226"/>
      <c r="M171" s="226"/>
      <c r="N171" s="226"/>
      <c r="O171" s="226"/>
      <c r="P171" s="226"/>
      <c r="Q171" s="226"/>
      <c r="R171" s="226"/>
      <c r="S171" s="226"/>
      <c r="T171" s="226"/>
    </row>
    <row r="172" spans="1:20" ht="15.75" customHeight="1">
      <c r="A172" s="80"/>
      <c r="B172" s="231"/>
      <c r="C172" s="231"/>
      <c r="E172" s="13"/>
      <c r="J172" s="226"/>
      <c r="L172" s="226"/>
      <c r="M172" s="226"/>
      <c r="N172" s="226"/>
      <c r="O172" s="226"/>
      <c r="P172" s="226"/>
      <c r="Q172" s="226"/>
      <c r="R172" s="226"/>
      <c r="S172" s="226"/>
      <c r="T172" s="226"/>
    </row>
    <row r="173" spans="1:20" ht="15.75" customHeight="1">
      <c r="A173" s="80"/>
      <c r="B173" s="231"/>
      <c r="C173" s="231"/>
      <c r="E173" s="13"/>
      <c r="J173" s="226"/>
      <c r="L173" s="226"/>
      <c r="M173" s="226"/>
      <c r="N173" s="226"/>
      <c r="O173" s="226"/>
      <c r="P173" s="226"/>
      <c r="Q173" s="226"/>
      <c r="R173" s="226"/>
      <c r="S173" s="226"/>
      <c r="T173" s="226"/>
    </row>
    <row r="174" spans="1:20" ht="15.75" customHeight="1">
      <c r="A174" s="80"/>
      <c r="B174" s="231"/>
      <c r="C174" s="231"/>
      <c r="E174" s="13"/>
      <c r="J174" s="226"/>
      <c r="L174" s="226"/>
      <c r="M174" s="226"/>
      <c r="N174" s="226"/>
      <c r="O174" s="226"/>
      <c r="P174" s="226"/>
      <c r="Q174" s="226"/>
      <c r="R174" s="226"/>
      <c r="S174" s="226"/>
      <c r="T174" s="226"/>
    </row>
    <row r="175" spans="1:20" ht="15.75" customHeight="1">
      <c r="A175" s="80"/>
      <c r="B175" s="231"/>
      <c r="C175" s="231"/>
      <c r="E175" s="13"/>
      <c r="J175" s="226"/>
      <c r="L175" s="226"/>
      <c r="M175" s="226"/>
      <c r="N175" s="226"/>
      <c r="O175" s="226"/>
      <c r="P175" s="226"/>
      <c r="Q175" s="226"/>
      <c r="R175" s="226"/>
      <c r="S175" s="226"/>
      <c r="T175" s="226"/>
    </row>
    <row r="176" spans="1:20" ht="15.75" customHeight="1">
      <c r="A176" s="80"/>
      <c r="B176" s="231"/>
      <c r="C176" s="231"/>
      <c r="E176" s="13"/>
      <c r="J176" s="226"/>
      <c r="L176" s="226"/>
      <c r="M176" s="226"/>
      <c r="N176" s="226"/>
      <c r="O176" s="226"/>
      <c r="P176" s="226"/>
      <c r="Q176" s="226"/>
      <c r="R176" s="226"/>
      <c r="S176" s="226"/>
      <c r="T176" s="226"/>
    </row>
    <row r="177" spans="1:20" ht="15.75" customHeight="1">
      <c r="A177" s="80"/>
      <c r="B177" s="231"/>
      <c r="C177" s="231"/>
      <c r="E177" s="13"/>
      <c r="J177" s="226"/>
      <c r="L177" s="226"/>
      <c r="M177" s="226"/>
      <c r="N177" s="226"/>
      <c r="O177" s="226"/>
      <c r="P177" s="226"/>
      <c r="Q177" s="226"/>
      <c r="R177" s="226"/>
      <c r="S177" s="226"/>
      <c r="T177" s="226"/>
    </row>
    <row r="178" spans="1:20" ht="15.75" customHeight="1">
      <c r="A178" s="80"/>
      <c r="B178" s="231"/>
      <c r="C178" s="231"/>
      <c r="E178" s="13"/>
      <c r="J178" s="226"/>
      <c r="L178" s="226"/>
      <c r="M178" s="226"/>
      <c r="N178" s="226"/>
      <c r="O178" s="226"/>
      <c r="P178" s="226"/>
      <c r="Q178" s="226"/>
      <c r="R178" s="226"/>
      <c r="S178" s="226"/>
      <c r="T178" s="226"/>
    </row>
    <row r="179" spans="1:20" ht="15.75" customHeight="1">
      <c r="A179" s="80"/>
      <c r="B179" s="231"/>
      <c r="C179" s="231"/>
      <c r="E179" s="13"/>
      <c r="J179" s="226"/>
      <c r="L179" s="226"/>
      <c r="M179" s="226"/>
      <c r="N179" s="226"/>
      <c r="O179" s="226"/>
      <c r="P179" s="226"/>
      <c r="Q179" s="226"/>
      <c r="R179" s="226"/>
      <c r="S179" s="226"/>
      <c r="T179" s="226"/>
    </row>
    <row r="180" spans="1:20" ht="15.75" customHeight="1">
      <c r="A180" s="80"/>
      <c r="B180" s="231"/>
      <c r="C180" s="231"/>
      <c r="E180" s="13"/>
      <c r="J180" s="226"/>
      <c r="L180" s="226"/>
      <c r="M180" s="226"/>
      <c r="N180" s="226"/>
      <c r="O180" s="226"/>
      <c r="P180" s="226"/>
      <c r="Q180" s="226"/>
      <c r="R180" s="226"/>
      <c r="S180" s="226"/>
      <c r="T180" s="226"/>
    </row>
    <row r="181" spans="1:20" ht="15.75" customHeight="1">
      <c r="A181" s="80"/>
      <c r="B181" s="231"/>
      <c r="C181" s="231"/>
      <c r="E181" s="13"/>
      <c r="J181" s="226"/>
      <c r="L181" s="226"/>
      <c r="M181" s="226"/>
      <c r="N181" s="226"/>
      <c r="O181" s="226"/>
      <c r="P181" s="226"/>
      <c r="Q181" s="226"/>
      <c r="R181" s="226"/>
      <c r="S181" s="226"/>
      <c r="T181" s="226"/>
    </row>
    <row r="182" spans="1:20" ht="15.75" customHeight="1">
      <c r="A182" s="80"/>
      <c r="B182" s="231"/>
      <c r="C182" s="231"/>
      <c r="E182" s="13"/>
      <c r="J182" s="226"/>
      <c r="L182" s="226"/>
      <c r="M182" s="226"/>
      <c r="N182" s="226"/>
      <c r="O182" s="226"/>
      <c r="P182" s="226"/>
      <c r="Q182" s="226"/>
      <c r="R182" s="226"/>
      <c r="S182" s="226"/>
      <c r="T182" s="226"/>
    </row>
    <row r="183" spans="1:20" ht="15.75" customHeight="1">
      <c r="A183" s="80"/>
      <c r="B183" s="231"/>
      <c r="C183" s="231"/>
      <c r="E183" s="13"/>
      <c r="J183" s="226"/>
      <c r="L183" s="226"/>
      <c r="M183" s="226"/>
      <c r="N183" s="226"/>
      <c r="O183" s="226"/>
      <c r="P183" s="226"/>
      <c r="Q183" s="226"/>
      <c r="R183" s="226"/>
      <c r="S183" s="226"/>
      <c r="T183" s="226"/>
    </row>
    <row r="184" spans="1:20" ht="15.75" customHeight="1">
      <c r="A184" s="80"/>
      <c r="B184" s="231"/>
      <c r="C184" s="231"/>
      <c r="E184" s="13"/>
      <c r="J184" s="226"/>
      <c r="L184" s="226"/>
      <c r="M184" s="226"/>
      <c r="N184" s="226"/>
      <c r="O184" s="226"/>
      <c r="P184" s="226"/>
      <c r="Q184" s="226"/>
      <c r="R184" s="226"/>
      <c r="S184" s="226"/>
      <c r="T184" s="226"/>
    </row>
    <row r="185" spans="1:20" ht="15.75" customHeight="1">
      <c r="A185" s="80"/>
      <c r="B185" s="231"/>
      <c r="C185" s="231"/>
      <c r="E185" s="13"/>
      <c r="J185" s="226"/>
      <c r="L185" s="226"/>
      <c r="M185" s="226"/>
      <c r="N185" s="226"/>
      <c r="O185" s="226"/>
      <c r="P185" s="226"/>
      <c r="Q185" s="226"/>
      <c r="R185" s="226"/>
      <c r="S185" s="226"/>
      <c r="T185" s="226"/>
    </row>
    <row r="186" spans="1:20" ht="15.75" customHeight="1">
      <c r="A186" s="80"/>
      <c r="B186" s="231"/>
      <c r="C186" s="231"/>
      <c r="E186" s="13"/>
      <c r="J186" s="226"/>
      <c r="L186" s="226"/>
      <c r="M186" s="226"/>
      <c r="N186" s="226"/>
      <c r="O186" s="226"/>
      <c r="P186" s="226"/>
      <c r="Q186" s="226"/>
      <c r="R186" s="226"/>
      <c r="S186" s="226"/>
      <c r="T186" s="226"/>
    </row>
    <row r="187" spans="1:20" ht="15.75" customHeight="1">
      <c r="A187" s="80"/>
      <c r="B187" s="231"/>
      <c r="C187" s="231"/>
      <c r="E187" s="13"/>
      <c r="J187" s="226"/>
      <c r="L187" s="226"/>
      <c r="M187" s="226"/>
      <c r="N187" s="226"/>
      <c r="O187" s="226"/>
      <c r="P187" s="226"/>
      <c r="Q187" s="226"/>
      <c r="R187" s="226"/>
      <c r="S187" s="226"/>
      <c r="T187" s="226"/>
    </row>
    <row r="188" spans="1:20" ht="15.75" customHeight="1">
      <c r="A188" s="80"/>
      <c r="B188" s="231"/>
      <c r="C188" s="231"/>
      <c r="E188" s="13"/>
      <c r="J188" s="226"/>
      <c r="L188" s="226"/>
      <c r="M188" s="226"/>
      <c r="N188" s="226"/>
      <c r="O188" s="226"/>
      <c r="P188" s="226"/>
      <c r="Q188" s="226"/>
      <c r="R188" s="226"/>
      <c r="S188" s="226"/>
      <c r="T188" s="226"/>
    </row>
    <row r="189" spans="1:20" ht="15.75" customHeight="1">
      <c r="A189" s="80"/>
      <c r="B189" s="231"/>
      <c r="C189" s="231"/>
      <c r="E189" s="13"/>
      <c r="J189" s="226"/>
      <c r="L189" s="226"/>
      <c r="M189" s="226"/>
      <c r="N189" s="226"/>
      <c r="O189" s="226"/>
      <c r="P189" s="226"/>
      <c r="Q189" s="226"/>
      <c r="R189" s="226"/>
      <c r="S189" s="226"/>
      <c r="T189" s="226"/>
    </row>
    <row r="190" spans="1:20" ht="15.75" customHeight="1">
      <c r="A190" s="80"/>
      <c r="B190" s="231"/>
      <c r="C190" s="231"/>
      <c r="E190" s="13"/>
      <c r="J190" s="226"/>
      <c r="L190" s="226"/>
      <c r="M190" s="226"/>
      <c r="N190" s="226"/>
      <c r="O190" s="226"/>
      <c r="P190" s="226"/>
      <c r="Q190" s="226"/>
      <c r="R190" s="226"/>
      <c r="S190" s="226"/>
      <c r="T190" s="226"/>
    </row>
    <row r="191" spans="1:20" ht="15.75" customHeight="1">
      <c r="A191" s="80"/>
      <c r="B191" s="231"/>
      <c r="C191" s="231"/>
      <c r="E191" s="13"/>
      <c r="J191" s="226"/>
      <c r="L191" s="226"/>
      <c r="M191" s="226"/>
      <c r="N191" s="226"/>
      <c r="O191" s="226"/>
      <c r="P191" s="226"/>
      <c r="Q191" s="226"/>
      <c r="R191" s="226"/>
      <c r="S191" s="226"/>
      <c r="T191" s="226"/>
    </row>
    <row r="192" spans="1:20" ht="15.75" customHeight="1">
      <c r="A192" s="80"/>
      <c r="B192" s="231"/>
      <c r="C192" s="231"/>
      <c r="E192" s="13"/>
      <c r="J192" s="226"/>
      <c r="L192" s="226"/>
      <c r="M192" s="226"/>
      <c r="N192" s="226"/>
      <c r="O192" s="226"/>
      <c r="P192" s="226"/>
      <c r="Q192" s="226"/>
      <c r="R192" s="226"/>
      <c r="S192" s="226"/>
      <c r="T192" s="226"/>
    </row>
    <row r="193" spans="1:20" ht="15.75" customHeight="1">
      <c r="A193" s="80"/>
      <c r="B193" s="231"/>
      <c r="C193" s="231"/>
      <c r="E193" s="13"/>
      <c r="J193" s="226"/>
      <c r="L193" s="226"/>
      <c r="M193" s="226"/>
      <c r="N193" s="226"/>
      <c r="O193" s="226"/>
      <c r="P193" s="226"/>
      <c r="Q193" s="226"/>
      <c r="R193" s="226"/>
      <c r="S193" s="226"/>
      <c r="T193" s="226"/>
    </row>
    <row r="194" spans="1:20" ht="15.75" customHeight="1">
      <c r="A194" s="80"/>
      <c r="B194" s="231"/>
      <c r="C194" s="231"/>
      <c r="E194" s="13"/>
      <c r="J194" s="226"/>
      <c r="L194" s="226"/>
      <c r="M194" s="226"/>
      <c r="N194" s="226"/>
      <c r="O194" s="226"/>
      <c r="P194" s="226"/>
      <c r="Q194" s="226"/>
      <c r="R194" s="226"/>
      <c r="S194" s="226"/>
      <c r="T194" s="226"/>
    </row>
    <row r="195" spans="1:20" ht="15.75" customHeight="1">
      <c r="A195" s="80"/>
      <c r="B195" s="231"/>
      <c r="C195" s="231"/>
      <c r="E195" s="13"/>
      <c r="J195" s="226"/>
      <c r="L195" s="226"/>
      <c r="M195" s="226"/>
      <c r="N195" s="226"/>
      <c r="O195" s="226"/>
      <c r="P195" s="226"/>
      <c r="Q195" s="226"/>
      <c r="R195" s="226"/>
      <c r="S195" s="226"/>
      <c r="T195" s="226"/>
    </row>
    <row r="196" spans="1:20" ht="15.75" customHeight="1">
      <c r="A196" s="80"/>
      <c r="B196" s="231"/>
      <c r="C196" s="231"/>
      <c r="E196" s="13"/>
      <c r="J196" s="226"/>
      <c r="L196" s="226"/>
      <c r="M196" s="226"/>
      <c r="N196" s="226"/>
      <c r="O196" s="226"/>
      <c r="P196" s="226"/>
      <c r="Q196" s="226"/>
      <c r="R196" s="226"/>
      <c r="S196" s="226"/>
      <c r="T196" s="226"/>
    </row>
    <row r="197" spans="1:20" ht="15.75" customHeight="1">
      <c r="A197" s="80"/>
      <c r="B197" s="231"/>
      <c r="C197" s="231"/>
      <c r="E197" s="13"/>
      <c r="J197" s="226"/>
      <c r="L197" s="226"/>
      <c r="M197" s="226"/>
      <c r="N197" s="226"/>
      <c r="O197" s="226"/>
      <c r="P197" s="226"/>
      <c r="Q197" s="226"/>
      <c r="R197" s="226"/>
      <c r="S197" s="226"/>
      <c r="T197" s="226"/>
    </row>
    <row r="198" spans="1:20" ht="15.75" customHeight="1">
      <c r="A198" s="80"/>
      <c r="B198" s="231"/>
      <c r="C198" s="231"/>
      <c r="E198" s="13"/>
      <c r="J198" s="226"/>
      <c r="L198" s="226"/>
      <c r="M198" s="226"/>
      <c r="N198" s="226"/>
      <c r="O198" s="226"/>
      <c r="P198" s="226"/>
      <c r="Q198" s="226"/>
      <c r="R198" s="226"/>
      <c r="S198" s="226"/>
      <c r="T198" s="226"/>
    </row>
    <row r="199" spans="1:20" ht="15.75" customHeight="1">
      <c r="A199" s="80"/>
      <c r="B199" s="231"/>
      <c r="C199" s="231"/>
      <c r="E199" s="13"/>
      <c r="J199" s="226"/>
      <c r="L199" s="226"/>
      <c r="M199" s="226"/>
      <c r="N199" s="226"/>
      <c r="O199" s="226"/>
      <c r="P199" s="226"/>
      <c r="Q199" s="226"/>
      <c r="R199" s="226"/>
      <c r="S199" s="226"/>
      <c r="T199" s="226"/>
    </row>
    <row r="200" spans="1:20" ht="15.75" customHeight="1">
      <c r="A200" s="80"/>
      <c r="B200" s="231"/>
      <c r="C200" s="231"/>
      <c r="E200" s="13"/>
      <c r="J200" s="226"/>
      <c r="L200" s="226"/>
      <c r="M200" s="226"/>
      <c r="N200" s="226"/>
      <c r="O200" s="226"/>
      <c r="P200" s="226"/>
      <c r="Q200" s="226"/>
      <c r="R200" s="226"/>
      <c r="S200" s="226"/>
      <c r="T200" s="226"/>
    </row>
    <row r="201" spans="1:20" ht="15.75" customHeight="1">
      <c r="A201" s="80"/>
      <c r="B201" s="231"/>
      <c r="C201" s="231"/>
      <c r="E201" s="13"/>
      <c r="J201" s="226"/>
      <c r="L201" s="226"/>
      <c r="M201" s="226"/>
      <c r="N201" s="226"/>
      <c r="O201" s="226"/>
      <c r="P201" s="226"/>
      <c r="Q201" s="226"/>
      <c r="R201" s="226"/>
      <c r="S201" s="226"/>
      <c r="T201" s="226"/>
    </row>
    <row r="202" spans="1:20" ht="15.75" customHeight="1">
      <c r="A202" s="80"/>
      <c r="B202" s="231"/>
      <c r="C202" s="231"/>
      <c r="E202" s="13"/>
      <c r="J202" s="226"/>
      <c r="L202" s="226"/>
      <c r="M202" s="226"/>
      <c r="N202" s="226"/>
      <c r="O202" s="226"/>
      <c r="P202" s="226"/>
      <c r="Q202" s="226"/>
      <c r="R202" s="226"/>
      <c r="S202" s="226"/>
      <c r="T202" s="226"/>
    </row>
    <row r="203" spans="1:20" ht="15.75" customHeight="1">
      <c r="A203" s="80"/>
      <c r="B203" s="231"/>
      <c r="C203" s="231"/>
      <c r="E203" s="13"/>
      <c r="J203" s="226"/>
      <c r="L203" s="226"/>
      <c r="M203" s="226"/>
      <c r="N203" s="226"/>
      <c r="O203" s="226"/>
      <c r="P203" s="226"/>
      <c r="Q203" s="226"/>
      <c r="R203" s="226"/>
      <c r="S203" s="226"/>
      <c r="T203" s="226"/>
    </row>
    <row r="204" spans="1:20" ht="15.75" customHeight="1">
      <c r="A204" s="80"/>
      <c r="B204" s="231"/>
      <c r="C204" s="231"/>
      <c r="E204" s="13"/>
      <c r="J204" s="226"/>
      <c r="L204" s="226"/>
      <c r="M204" s="226"/>
      <c r="N204" s="226"/>
      <c r="O204" s="226"/>
      <c r="P204" s="226"/>
      <c r="Q204" s="226"/>
      <c r="R204" s="226"/>
      <c r="S204" s="226"/>
      <c r="T204" s="226"/>
    </row>
    <row r="205" spans="1:20" ht="15.75" customHeight="1">
      <c r="A205" s="80"/>
      <c r="B205" s="231"/>
      <c r="C205" s="231"/>
      <c r="E205" s="13"/>
      <c r="J205" s="226"/>
      <c r="L205" s="226"/>
      <c r="M205" s="226"/>
      <c r="N205" s="226"/>
      <c r="O205" s="226"/>
      <c r="P205" s="226"/>
      <c r="Q205" s="226"/>
      <c r="R205" s="226"/>
      <c r="S205" s="226"/>
      <c r="T205" s="226"/>
    </row>
    <row r="206" spans="1:20" ht="15.75" customHeight="1">
      <c r="A206" s="80"/>
      <c r="B206" s="231"/>
      <c r="C206" s="231"/>
      <c r="E206" s="13"/>
      <c r="J206" s="226"/>
      <c r="L206" s="226"/>
      <c r="M206" s="226"/>
      <c r="N206" s="226"/>
      <c r="O206" s="226"/>
      <c r="P206" s="226"/>
      <c r="Q206" s="226"/>
      <c r="R206" s="226"/>
      <c r="S206" s="226"/>
      <c r="T206" s="226"/>
    </row>
    <row r="207" spans="1:20" ht="15.75" customHeight="1">
      <c r="A207" s="80"/>
      <c r="B207" s="231"/>
      <c r="C207" s="231"/>
      <c r="E207" s="13"/>
      <c r="J207" s="226"/>
      <c r="L207" s="226"/>
      <c r="M207" s="226"/>
      <c r="N207" s="226"/>
      <c r="O207" s="226"/>
      <c r="P207" s="226"/>
      <c r="Q207" s="226"/>
      <c r="R207" s="226"/>
      <c r="S207" s="226"/>
      <c r="T207" s="226"/>
    </row>
    <row r="208" spans="1:20" ht="15.75" customHeight="1">
      <c r="A208" s="80"/>
      <c r="B208" s="231"/>
      <c r="C208" s="231"/>
      <c r="E208" s="13"/>
      <c r="J208" s="226"/>
      <c r="L208" s="226"/>
      <c r="M208" s="226"/>
      <c r="N208" s="226"/>
      <c r="O208" s="226"/>
      <c r="P208" s="226"/>
      <c r="Q208" s="226"/>
      <c r="R208" s="226"/>
      <c r="S208" s="226"/>
      <c r="T208" s="226"/>
    </row>
    <row r="209" spans="1:20" ht="15.75" customHeight="1">
      <c r="A209" s="80"/>
      <c r="B209" s="231"/>
      <c r="C209" s="231"/>
      <c r="E209" s="13"/>
      <c r="J209" s="226"/>
      <c r="L209" s="226"/>
      <c r="M209" s="226"/>
      <c r="N209" s="226"/>
      <c r="O209" s="226"/>
      <c r="P209" s="226"/>
      <c r="Q209" s="226"/>
      <c r="R209" s="226"/>
      <c r="S209" s="226"/>
      <c r="T209" s="226"/>
    </row>
    <row r="210" spans="1:20" ht="15.75" customHeight="1">
      <c r="A210" s="80"/>
      <c r="B210" s="231"/>
      <c r="C210" s="231"/>
      <c r="E210" s="13"/>
      <c r="J210" s="226"/>
      <c r="L210" s="226"/>
      <c r="M210" s="226"/>
      <c r="N210" s="226"/>
      <c r="O210" s="226"/>
      <c r="P210" s="226"/>
      <c r="Q210" s="226"/>
      <c r="R210" s="226"/>
      <c r="S210" s="226"/>
      <c r="T210" s="226"/>
    </row>
    <row r="211" spans="1:20" ht="15.75" customHeight="1">
      <c r="A211" s="80"/>
      <c r="B211" s="231"/>
      <c r="C211" s="231"/>
      <c r="E211" s="13"/>
      <c r="J211" s="226"/>
      <c r="L211" s="226"/>
      <c r="M211" s="226"/>
      <c r="N211" s="226"/>
      <c r="O211" s="226"/>
      <c r="P211" s="226"/>
      <c r="Q211" s="226"/>
      <c r="R211" s="226"/>
      <c r="S211" s="226"/>
      <c r="T211" s="226"/>
    </row>
    <row r="212" spans="1:20" ht="15.75" customHeight="1">
      <c r="A212" s="80"/>
      <c r="B212" s="231"/>
      <c r="C212" s="231"/>
      <c r="E212" s="13"/>
      <c r="J212" s="226"/>
      <c r="L212" s="226"/>
      <c r="M212" s="226"/>
      <c r="N212" s="226"/>
      <c r="O212" s="226"/>
      <c r="P212" s="226"/>
      <c r="Q212" s="226"/>
      <c r="R212" s="226"/>
      <c r="S212" s="226"/>
      <c r="T212" s="226"/>
    </row>
    <row r="213" spans="1:20" ht="15.75" customHeight="1">
      <c r="A213" s="80"/>
      <c r="B213" s="231"/>
      <c r="C213" s="231"/>
      <c r="E213" s="13"/>
      <c r="J213" s="226"/>
      <c r="L213" s="226"/>
      <c r="M213" s="226"/>
      <c r="N213" s="226"/>
      <c r="O213" s="226"/>
      <c r="P213" s="226"/>
      <c r="Q213" s="226"/>
      <c r="R213" s="226"/>
      <c r="S213" s="226"/>
      <c r="T213" s="226"/>
    </row>
    <row r="214" spans="1:20" ht="15.75" customHeight="1">
      <c r="A214" s="80"/>
      <c r="B214" s="231"/>
      <c r="C214" s="231"/>
      <c r="E214" s="13"/>
      <c r="J214" s="226"/>
      <c r="L214" s="226"/>
      <c r="M214" s="226"/>
      <c r="N214" s="226"/>
      <c r="O214" s="226"/>
      <c r="P214" s="226"/>
      <c r="Q214" s="226"/>
      <c r="R214" s="226"/>
      <c r="S214" s="226"/>
      <c r="T214" s="226"/>
    </row>
    <row r="215" spans="1:20" ht="15.75" customHeight="1">
      <c r="A215" s="80"/>
      <c r="B215" s="231"/>
      <c r="C215" s="231"/>
      <c r="E215" s="13"/>
      <c r="J215" s="226"/>
      <c r="L215" s="226"/>
      <c r="M215" s="226"/>
      <c r="N215" s="226"/>
      <c r="O215" s="226"/>
      <c r="P215" s="226"/>
      <c r="Q215" s="226"/>
      <c r="R215" s="226"/>
      <c r="S215" s="226"/>
      <c r="T215" s="226"/>
    </row>
    <row r="216" spans="1:20" ht="15.75" customHeight="1">
      <c r="A216" s="80"/>
      <c r="B216" s="231"/>
      <c r="C216" s="231"/>
      <c r="E216" s="13"/>
      <c r="J216" s="226"/>
      <c r="L216" s="226"/>
      <c r="M216" s="226"/>
      <c r="N216" s="226"/>
      <c r="O216" s="226"/>
      <c r="P216" s="226"/>
      <c r="Q216" s="226"/>
      <c r="R216" s="226"/>
      <c r="S216" s="226"/>
      <c r="T216" s="226"/>
    </row>
    <row r="217" spans="1:20" ht="15.75" customHeight="1">
      <c r="A217" s="80"/>
      <c r="B217" s="231"/>
      <c r="C217" s="231"/>
      <c r="E217" s="13"/>
      <c r="J217" s="226"/>
      <c r="L217" s="226"/>
      <c r="M217" s="226"/>
      <c r="N217" s="226"/>
      <c r="O217" s="226"/>
      <c r="P217" s="226"/>
      <c r="Q217" s="226"/>
      <c r="R217" s="226"/>
      <c r="S217" s="226"/>
      <c r="T217" s="226"/>
    </row>
    <row r="218" spans="1:20" ht="15.75" customHeight="1">
      <c r="A218" s="80"/>
      <c r="B218" s="231"/>
      <c r="C218" s="231"/>
      <c r="E218" s="13"/>
      <c r="J218" s="226"/>
      <c r="L218" s="226"/>
      <c r="M218" s="226"/>
      <c r="N218" s="226"/>
      <c r="O218" s="226"/>
      <c r="P218" s="226"/>
      <c r="Q218" s="226"/>
      <c r="R218" s="226"/>
      <c r="S218" s="226"/>
      <c r="T218" s="226"/>
    </row>
    <row r="219" spans="1:20" ht="15.75" customHeight="1">
      <c r="A219" s="80"/>
      <c r="B219" s="231"/>
      <c r="C219" s="231"/>
      <c r="E219" s="13"/>
      <c r="J219" s="226"/>
      <c r="L219" s="226"/>
      <c r="M219" s="226"/>
      <c r="N219" s="226"/>
      <c r="O219" s="226"/>
      <c r="P219" s="226"/>
      <c r="Q219" s="226"/>
      <c r="R219" s="226"/>
      <c r="S219" s="226"/>
      <c r="T219" s="226"/>
    </row>
    <row r="220" spans="1:20" ht="15.75" customHeight="1">
      <c r="A220" s="80"/>
      <c r="B220" s="231"/>
      <c r="C220" s="231"/>
      <c r="E220" s="13"/>
      <c r="J220" s="226"/>
      <c r="L220" s="226"/>
      <c r="M220" s="226"/>
      <c r="N220" s="226"/>
      <c r="O220" s="226"/>
      <c r="P220" s="226"/>
      <c r="Q220" s="226"/>
      <c r="R220" s="226"/>
      <c r="S220" s="226"/>
      <c r="T220" s="226"/>
    </row>
    <row r="221" spans="1:20" ht="15.75" customHeight="1">
      <c r="A221" s="80"/>
      <c r="B221" s="231"/>
      <c r="C221" s="231"/>
      <c r="E221" s="13"/>
      <c r="J221" s="226"/>
      <c r="L221" s="226"/>
      <c r="M221" s="226"/>
      <c r="N221" s="226"/>
      <c r="O221" s="226"/>
      <c r="P221" s="226"/>
      <c r="Q221" s="226"/>
      <c r="R221" s="226"/>
      <c r="S221" s="226"/>
      <c r="T221" s="226"/>
    </row>
    <row r="222" spans="1:20" ht="15.75" customHeight="1">
      <c r="A222" s="80"/>
      <c r="B222" s="231"/>
      <c r="C222" s="231"/>
      <c r="E222" s="13"/>
      <c r="J222" s="226"/>
      <c r="L222" s="226"/>
      <c r="M222" s="226"/>
      <c r="N222" s="226"/>
      <c r="O222" s="226"/>
      <c r="P222" s="226"/>
      <c r="Q222" s="226"/>
      <c r="R222" s="226"/>
      <c r="S222" s="226"/>
      <c r="T222" s="226"/>
    </row>
    <row r="223" spans="1:20" ht="15.75" customHeight="1">
      <c r="A223" s="80"/>
      <c r="B223" s="231"/>
      <c r="C223" s="231"/>
      <c r="E223" s="13"/>
      <c r="J223" s="226"/>
      <c r="L223" s="226"/>
      <c r="M223" s="226"/>
      <c r="N223" s="226"/>
      <c r="O223" s="226"/>
      <c r="P223" s="226"/>
      <c r="Q223" s="226"/>
      <c r="R223" s="226"/>
      <c r="S223" s="226"/>
      <c r="T223" s="226"/>
    </row>
    <row r="224" spans="1:20" ht="15.75" customHeight="1">
      <c r="A224" s="80"/>
      <c r="B224" s="231"/>
      <c r="C224" s="231"/>
      <c r="E224" s="13"/>
      <c r="J224" s="226"/>
      <c r="L224" s="226"/>
      <c r="M224" s="226"/>
      <c r="N224" s="226"/>
      <c r="O224" s="226"/>
      <c r="P224" s="226"/>
      <c r="Q224" s="226"/>
      <c r="R224" s="226"/>
      <c r="S224" s="226"/>
      <c r="T224" s="226"/>
    </row>
    <row r="225" spans="1:20" ht="15.75" customHeight="1">
      <c r="A225" s="80"/>
      <c r="B225" s="231"/>
      <c r="C225" s="231"/>
      <c r="E225" s="13"/>
      <c r="J225" s="226"/>
      <c r="L225" s="226"/>
      <c r="M225" s="226"/>
      <c r="N225" s="226"/>
      <c r="O225" s="226"/>
      <c r="P225" s="226"/>
      <c r="Q225" s="226"/>
      <c r="R225" s="226"/>
      <c r="S225" s="226"/>
      <c r="T225" s="226"/>
    </row>
    <row r="226" spans="1:20" ht="15.75" customHeight="1">
      <c r="A226" s="80"/>
      <c r="B226" s="231"/>
      <c r="C226" s="231"/>
      <c r="E226" s="13"/>
      <c r="J226" s="226"/>
      <c r="L226" s="226"/>
      <c r="M226" s="226"/>
      <c r="N226" s="226"/>
      <c r="O226" s="226"/>
      <c r="P226" s="226"/>
      <c r="Q226" s="226"/>
      <c r="R226" s="226"/>
      <c r="S226" s="226"/>
      <c r="T226" s="226"/>
    </row>
    <row r="227" spans="1:20" ht="15.75" customHeight="1">
      <c r="A227" s="80"/>
      <c r="B227" s="231"/>
      <c r="C227" s="231"/>
      <c r="E227" s="13"/>
      <c r="J227" s="226"/>
      <c r="L227" s="226"/>
      <c r="M227" s="226"/>
      <c r="N227" s="226"/>
      <c r="O227" s="226"/>
      <c r="P227" s="226"/>
      <c r="Q227" s="226"/>
      <c r="R227" s="226"/>
      <c r="S227" s="226"/>
      <c r="T227" s="226"/>
    </row>
    <row r="228" spans="1:20" ht="15.75" customHeight="1">
      <c r="A228" s="80"/>
      <c r="B228" s="231"/>
      <c r="C228" s="231"/>
      <c r="E228" s="13"/>
      <c r="J228" s="226"/>
      <c r="L228" s="226"/>
      <c r="M228" s="226"/>
      <c r="N228" s="226"/>
      <c r="O228" s="226"/>
      <c r="P228" s="226"/>
      <c r="Q228" s="226"/>
      <c r="R228" s="226"/>
      <c r="S228" s="226"/>
      <c r="T228" s="226"/>
    </row>
    <row r="229" spans="1:20" ht="15.75" customHeight="1">
      <c r="A229" s="80"/>
      <c r="B229" s="231"/>
      <c r="C229" s="231"/>
      <c r="E229" s="13"/>
      <c r="J229" s="226"/>
      <c r="L229" s="226"/>
      <c r="M229" s="226"/>
      <c r="N229" s="226"/>
      <c r="O229" s="226"/>
      <c r="P229" s="226"/>
      <c r="Q229" s="226"/>
      <c r="R229" s="226"/>
      <c r="S229" s="226"/>
      <c r="T229" s="226"/>
    </row>
    <row r="230" spans="1:20" ht="15.75" customHeight="1">
      <c r="A230" s="80"/>
      <c r="B230" s="231"/>
      <c r="C230" s="231"/>
      <c r="E230" s="13"/>
      <c r="J230" s="226"/>
      <c r="L230" s="226"/>
      <c r="M230" s="226"/>
      <c r="N230" s="226"/>
      <c r="O230" s="226"/>
      <c r="P230" s="226"/>
      <c r="Q230" s="226"/>
      <c r="R230" s="226"/>
      <c r="S230" s="226"/>
      <c r="T230" s="226"/>
    </row>
    <row r="231" spans="1:20" ht="15.75" customHeight="1">
      <c r="A231" s="80"/>
      <c r="B231" s="231"/>
      <c r="C231" s="231"/>
      <c r="E231" s="13"/>
      <c r="J231" s="226"/>
      <c r="L231" s="226"/>
      <c r="M231" s="226"/>
      <c r="N231" s="226"/>
      <c r="O231" s="226"/>
      <c r="P231" s="226"/>
      <c r="Q231" s="226"/>
      <c r="R231" s="226"/>
      <c r="S231" s="226"/>
      <c r="T231" s="226"/>
    </row>
    <row r="232" spans="1:20" ht="15.75" customHeight="1">
      <c r="A232" s="80"/>
      <c r="B232" s="231"/>
      <c r="C232" s="231"/>
      <c r="E232" s="13"/>
      <c r="J232" s="226"/>
      <c r="L232" s="226"/>
      <c r="M232" s="226"/>
      <c r="N232" s="226"/>
      <c r="O232" s="226"/>
      <c r="P232" s="226"/>
      <c r="Q232" s="226"/>
      <c r="R232" s="226"/>
      <c r="S232" s="226"/>
      <c r="T232" s="226"/>
    </row>
    <row r="233" spans="1:20" ht="15.75" customHeight="1">
      <c r="A233" s="80"/>
      <c r="B233" s="231"/>
      <c r="C233" s="231"/>
      <c r="E233" s="13"/>
      <c r="J233" s="226"/>
      <c r="L233" s="226"/>
      <c r="M233" s="226"/>
      <c r="N233" s="226"/>
      <c r="O233" s="226"/>
      <c r="P233" s="226"/>
      <c r="Q233" s="226"/>
      <c r="R233" s="226"/>
      <c r="S233" s="226"/>
      <c r="T233" s="226"/>
    </row>
    <row r="234" spans="1:20" ht="15.75" customHeight="1">
      <c r="A234" s="80"/>
      <c r="B234" s="231"/>
      <c r="C234" s="231"/>
      <c r="E234" s="13"/>
      <c r="J234" s="226"/>
      <c r="L234" s="226"/>
      <c r="M234" s="226"/>
      <c r="N234" s="226"/>
      <c r="O234" s="226"/>
      <c r="P234" s="226"/>
      <c r="Q234" s="226"/>
      <c r="R234" s="226"/>
      <c r="S234" s="226"/>
      <c r="T234" s="226"/>
    </row>
    <row r="235" spans="1:20" ht="15.75" customHeight="1">
      <c r="A235" s="80"/>
      <c r="B235" s="231"/>
      <c r="C235" s="231"/>
      <c r="E235" s="13"/>
      <c r="J235" s="226"/>
      <c r="L235" s="226"/>
      <c r="M235" s="226"/>
      <c r="N235" s="226"/>
      <c r="O235" s="226"/>
      <c r="P235" s="226"/>
      <c r="Q235" s="226"/>
      <c r="R235" s="226"/>
      <c r="S235" s="226"/>
      <c r="T235" s="226"/>
    </row>
    <row r="236" spans="1:20" ht="15.75" customHeight="1">
      <c r="A236" s="80"/>
      <c r="B236" s="231"/>
      <c r="C236" s="231"/>
      <c r="E236" s="13"/>
      <c r="J236" s="226"/>
      <c r="L236" s="226"/>
      <c r="M236" s="226"/>
      <c r="N236" s="226"/>
      <c r="O236" s="226"/>
      <c r="P236" s="226"/>
      <c r="Q236" s="226"/>
      <c r="R236" s="226"/>
      <c r="S236" s="226"/>
      <c r="T236" s="226"/>
    </row>
    <row r="237" spans="1:20" ht="15.75" customHeight="1">
      <c r="A237" s="80"/>
      <c r="B237" s="231"/>
      <c r="C237" s="231"/>
      <c r="E237" s="13"/>
      <c r="J237" s="226"/>
      <c r="L237" s="226"/>
      <c r="M237" s="226"/>
      <c r="N237" s="226"/>
      <c r="O237" s="226"/>
      <c r="P237" s="226"/>
      <c r="Q237" s="226"/>
      <c r="R237" s="226"/>
      <c r="S237" s="226"/>
      <c r="T237" s="226"/>
    </row>
    <row r="238" spans="1:20" ht="15.75" customHeight="1">
      <c r="A238" s="80"/>
      <c r="B238" s="231"/>
      <c r="C238" s="231"/>
      <c r="E238" s="13"/>
      <c r="J238" s="226"/>
      <c r="L238" s="226"/>
      <c r="M238" s="226"/>
      <c r="N238" s="226"/>
      <c r="O238" s="226"/>
      <c r="P238" s="226"/>
      <c r="Q238" s="226"/>
      <c r="R238" s="226"/>
      <c r="S238" s="226"/>
      <c r="T238" s="226"/>
    </row>
    <row r="239" spans="1:20" ht="15.75" customHeight="1">
      <c r="A239" s="80"/>
      <c r="B239" s="231"/>
      <c r="C239" s="231"/>
      <c r="E239" s="13"/>
      <c r="J239" s="226"/>
      <c r="L239" s="226"/>
      <c r="M239" s="226"/>
      <c r="N239" s="226"/>
      <c r="O239" s="226"/>
      <c r="P239" s="226"/>
      <c r="Q239" s="226"/>
      <c r="R239" s="226"/>
      <c r="S239" s="226"/>
      <c r="T239" s="226"/>
    </row>
    <row r="240" spans="1:20" ht="15.75" customHeight="1">
      <c r="A240" s="80"/>
      <c r="B240" s="231"/>
      <c r="C240" s="231"/>
      <c r="E240" s="13"/>
      <c r="J240" s="226"/>
      <c r="L240" s="226"/>
      <c r="M240" s="226"/>
      <c r="N240" s="226"/>
      <c r="O240" s="226"/>
      <c r="P240" s="226"/>
      <c r="Q240" s="226"/>
      <c r="R240" s="226"/>
      <c r="S240" s="226"/>
      <c r="T240" s="226"/>
    </row>
    <row r="241" spans="1:20" ht="15.75" customHeight="1">
      <c r="A241" s="80"/>
      <c r="B241" s="231"/>
      <c r="C241" s="231"/>
      <c r="E241" s="13"/>
      <c r="J241" s="226"/>
      <c r="L241" s="226"/>
      <c r="M241" s="226"/>
      <c r="N241" s="226"/>
      <c r="O241" s="226"/>
      <c r="P241" s="226"/>
      <c r="Q241" s="226"/>
      <c r="R241" s="226"/>
      <c r="S241" s="226"/>
      <c r="T241" s="226"/>
    </row>
    <row r="242" spans="1:20" ht="15.75" customHeight="1">
      <c r="A242" s="80"/>
      <c r="B242" s="231"/>
      <c r="C242" s="231"/>
      <c r="E242" s="13"/>
      <c r="J242" s="226"/>
      <c r="L242" s="226"/>
      <c r="M242" s="226"/>
      <c r="N242" s="226"/>
      <c r="O242" s="226"/>
      <c r="P242" s="226"/>
      <c r="Q242" s="226"/>
      <c r="R242" s="226"/>
      <c r="S242" s="226"/>
      <c r="T242" s="226"/>
    </row>
    <row r="243" spans="1:20" ht="15.75" customHeight="1">
      <c r="A243" s="80"/>
      <c r="B243" s="231"/>
      <c r="C243" s="231"/>
      <c r="E243" s="13"/>
      <c r="J243" s="226"/>
      <c r="L243" s="226"/>
      <c r="M243" s="226"/>
      <c r="N243" s="226"/>
      <c r="O243" s="226"/>
      <c r="P243" s="226"/>
      <c r="Q243" s="226"/>
      <c r="R243" s="226"/>
      <c r="S243" s="226"/>
      <c r="T243" s="226"/>
    </row>
    <row r="244" spans="1:20" ht="15.75" customHeight="1">
      <c r="A244" s="80"/>
      <c r="B244" s="231"/>
      <c r="C244" s="231"/>
      <c r="E244" s="13"/>
      <c r="J244" s="226"/>
      <c r="L244" s="226"/>
      <c r="M244" s="226"/>
      <c r="N244" s="226"/>
      <c r="O244" s="226"/>
      <c r="P244" s="226"/>
      <c r="Q244" s="226"/>
      <c r="R244" s="226"/>
      <c r="S244" s="226"/>
      <c r="T244" s="226"/>
    </row>
    <row r="245" spans="1:20" ht="15.75" customHeight="1">
      <c r="A245" s="80"/>
      <c r="B245" s="231"/>
      <c r="C245" s="231"/>
      <c r="E245" s="13"/>
      <c r="J245" s="226"/>
      <c r="L245" s="226"/>
      <c r="M245" s="226"/>
      <c r="N245" s="226"/>
      <c r="O245" s="226"/>
      <c r="P245" s="226"/>
      <c r="Q245" s="226"/>
      <c r="R245" s="226"/>
      <c r="S245" s="226"/>
      <c r="T245" s="226"/>
    </row>
    <row r="246" spans="1:20" ht="15.75" customHeight="1">
      <c r="A246" s="80"/>
      <c r="B246" s="231"/>
      <c r="C246" s="231"/>
      <c r="E246" s="13"/>
      <c r="J246" s="226"/>
      <c r="L246" s="226"/>
      <c r="M246" s="226"/>
      <c r="N246" s="226"/>
      <c r="O246" s="226"/>
      <c r="P246" s="226"/>
      <c r="Q246" s="226"/>
      <c r="R246" s="226"/>
      <c r="S246" s="226"/>
      <c r="T246" s="226"/>
    </row>
    <row r="247" spans="1:20" ht="15.75" customHeight="1">
      <c r="A247" s="80"/>
      <c r="B247" s="231"/>
      <c r="C247" s="231"/>
      <c r="E247" s="13"/>
      <c r="J247" s="226"/>
      <c r="L247" s="226"/>
      <c r="M247" s="226"/>
      <c r="N247" s="226"/>
      <c r="O247" s="226"/>
      <c r="P247" s="226"/>
      <c r="Q247" s="226"/>
      <c r="R247" s="226"/>
      <c r="S247" s="226"/>
      <c r="T247" s="226"/>
    </row>
    <row r="248" spans="1:20" ht="15.75" customHeight="1">
      <c r="A248" s="80"/>
      <c r="B248" s="231"/>
      <c r="C248" s="231"/>
      <c r="E248" s="13"/>
      <c r="J248" s="226"/>
      <c r="L248" s="226"/>
      <c r="M248" s="226"/>
      <c r="N248" s="226"/>
      <c r="O248" s="226"/>
      <c r="P248" s="226"/>
      <c r="Q248" s="226"/>
      <c r="R248" s="226"/>
      <c r="S248" s="226"/>
      <c r="T248" s="226"/>
    </row>
    <row r="249" spans="1:20" ht="15.75" customHeight="1">
      <c r="A249" s="80"/>
      <c r="B249" s="231"/>
      <c r="C249" s="231"/>
      <c r="E249" s="13"/>
      <c r="J249" s="226"/>
      <c r="L249" s="226"/>
      <c r="M249" s="226"/>
      <c r="N249" s="226"/>
      <c r="O249" s="226"/>
      <c r="P249" s="226"/>
      <c r="Q249" s="226"/>
      <c r="R249" s="226"/>
      <c r="S249" s="226"/>
      <c r="T249" s="226"/>
    </row>
    <row r="250" spans="1:20" ht="15.75" customHeight="1">
      <c r="A250" s="80"/>
      <c r="B250" s="231"/>
      <c r="C250" s="231"/>
      <c r="E250" s="13"/>
      <c r="J250" s="226"/>
      <c r="L250" s="226"/>
      <c r="M250" s="226"/>
      <c r="N250" s="226"/>
      <c r="O250" s="226"/>
      <c r="P250" s="226"/>
      <c r="Q250" s="226"/>
      <c r="R250" s="226"/>
      <c r="S250" s="226"/>
      <c r="T250" s="226"/>
    </row>
    <row r="251" spans="1:20" ht="15.75" customHeight="1">
      <c r="A251" s="80"/>
      <c r="B251" s="231"/>
      <c r="C251" s="231"/>
      <c r="E251" s="13"/>
      <c r="J251" s="226"/>
      <c r="L251" s="226"/>
      <c r="M251" s="226"/>
      <c r="N251" s="226"/>
      <c r="O251" s="226"/>
      <c r="P251" s="226"/>
      <c r="Q251" s="226"/>
      <c r="R251" s="226"/>
      <c r="S251" s="226"/>
      <c r="T251" s="226"/>
    </row>
    <row r="252" spans="1:20" ht="15.75" customHeight="1">
      <c r="A252" s="80"/>
      <c r="B252" s="231"/>
      <c r="C252" s="231"/>
      <c r="E252" s="13"/>
      <c r="J252" s="226"/>
      <c r="L252" s="226"/>
      <c r="M252" s="226"/>
      <c r="N252" s="226"/>
      <c r="O252" s="226"/>
      <c r="P252" s="226"/>
      <c r="Q252" s="226"/>
      <c r="R252" s="226"/>
      <c r="S252" s="226"/>
      <c r="T252" s="226"/>
    </row>
    <row r="253" spans="1:20" ht="15.75" customHeight="1">
      <c r="A253" s="80"/>
      <c r="B253" s="231"/>
      <c r="C253" s="231"/>
      <c r="E253" s="13"/>
      <c r="J253" s="226"/>
      <c r="L253" s="226"/>
      <c r="M253" s="226"/>
      <c r="N253" s="226"/>
      <c r="O253" s="226"/>
      <c r="P253" s="226"/>
      <c r="Q253" s="226"/>
      <c r="R253" s="226"/>
      <c r="S253" s="226"/>
      <c r="T253" s="226"/>
    </row>
    <row r="254" spans="1:20" ht="15.75" customHeight="1">
      <c r="A254" s="80"/>
      <c r="B254" s="231"/>
      <c r="C254" s="231"/>
      <c r="E254" s="13"/>
      <c r="J254" s="226"/>
      <c r="L254" s="226"/>
      <c r="M254" s="226"/>
      <c r="N254" s="226"/>
      <c r="O254" s="226"/>
      <c r="P254" s="226"/>
      <c r="Q254" s="226"/>
      <c r="R254" s="226"/>
      <c r="S254" s="226"/>
      <c r="T254" s="226"/>
    </row>
    <row r="255" spans="1:20" ht="15.75" customHeight="1">
      <c r="A255" s="80"/>
      <c r="B255" s="231"/>
      <c r="C255" s="231"/>
      <c r="E255" s="13"/>
      <c r="J255" s="226"/>
      <c r="L255" s="226"/>
      <c r="M255" s="226"/>
      <c r="N255" s="226"/>
      <c r="O255" s="226"/>
      <c r="P255" s="226"/>
      <c r="Q255" s="226"/>
      <c r="R255" s="226"/>
      <c r="S255" s="226"/>
      <c r="T255" s="226"/>
    </row>
    <row r="256" spans="1:20" ht="15.75" customHeight="1">
      <c r="A256" s="80"/>
      <c r="B256" s="231"/>
      <c r="C256" s="231"/>
      <c r="E256" s="13"/>
      <c r="J256" s="226"/>
      <c r="L256" s="226"/>
      <c r="M256" s="226"/>
      <c r="N256" s="226"/>
      <c r="O256" s="226"/>
      <c r="P256" s="226"/>
      <c r="Q256" s="226"/>
      <c r="R256" s="226"/>
      <c r="S256" s="226"/>
      <c r="T256" s="226"/>
    </row>
    <row r="257" spans="1:20" ht="15.75" customHeight="1">
      <c r="A257" s="80"/>
      <c r="B257" s="231"/>
      <c r="C257" s="231"/>
      <c r="E257" s="13"/>
      <c r="J257" s="226"/>
      <c r="L257" s="226"/>
      <c r="M257" s="226"/>
      <c r="N257" s="226"/>
      <c r="O257" s="226"/>
      <c r="P257" s="226"/>
      <c r="Q257" s="226"/>
      <c r="R257" s="226"/>
      <c r="S257" s="226"/>
      <c r="T257" s="226"/>
    </row>
    <row r="258" spans="1:20" ht="15.75" customHeight="1">
      <c r="A258" s="80"/>
      <c r="B258" s="231"/>
      <c r="C258" s="231"/>
      <c r="E258" s="13"/>
      <c r="J258" s="226"/>
      <c r="L258" s="226"/>
      <c r="M258" s="226"/>
      <c r="N258" s="226"/>
      <c r="O258" s="226"/>
      <c r="P258" s="226"/>
      <c r="Q258" s="226"/>
      <c r="R258" s="226"/>
      <c r="S258" s="226"/>
      <c r="T258" s="226"/>
    </row>
    <row r="259" spans="1:20" ht="15.75" customHeight="1">
      <c r="A259" s="80"/>
      <c r="B259" s="231"/>
      <c r="C259" s="231"/>
      <c r="E259" s="13"/>
      <c r="J259" s="226"/>
      <c r="L259" s="226"/>
      <c r="M259" s="226"/>
      <c r="N259" s="226"/>
      <c r="O259" s="226"/>
      <c r="P259" s="226"/>
      <c r="Q259" s="226"/>
      <c r="R259" s="226"/>
      <c r="S259" s="226"/>
      <c r="T259" s="226"/>
    </row>
    <row r="260" spans="1:20" ht="15.75" customHeight="1">
      <c r="A260" s="80"/>
      <c r="B260" s="231"/>
      <c r="C260" s="231"/>
      <c r="E260" s="13"/>
      <c r="J260" s="226"/>
      <c r="L260" s="226"/>
      <c r="M260" s="226"/>
      <c r="N260" s="226"/>
      <c r="O260" s="226"/>
      <c r="P260" s="226"/>
      <c r="Q260" s="226"/>
      <c r="R260" s="226"/>
      <c r="S260" s="226"/>
      <c r="T260" s="226"/>
    </row>
    <row r="261" spans="1:20" ht="15.75" customHeight="1">
      <c r="A261" s="80"/>
      <c r="B261" s="231"/>
      <c r="C261" s="231"/>
      <c r="E261" s="13"/>
      <c r="J261" s="226"/>
      <c r="L261" s="226"/>
      <c r="M261" s="226"/>
      <c r="N261" s="226"/>
      <c r="O261" s="226"/>
      <c r="P261" s="226"/>
      <c r="Q261" s="226"/>
      <c r="R261" s="226"/>
      <c r="S261" s="226"/>
      <c r="T261" s="226"/>
    </row>
    <row r="262" spans="1:20" ht="15.75" customHeight="1">
      <c r="A262" s="80"/>
      <c r="B262" s="231"/>
      <c r="C262" s="231"/>
      <c r="E262" s="13"/>
      <c r="J262" s="226"/>
      <c r="L262" s="226"/>
      <c r="M262" s="226"/>
      <c r="N262" s="226"/>
      <c r="O262" s="226"/>
      <c r="P262" s="226"/>
      <c r="Q262" s="226"/>
      <c r="R262" s="226"/>
      <c r="S262" s="226"/>
      <c r="T262" s="226"/>
    </row>
    <row r="263" spans="1:20" ht="15.75" customHeight="1">
      <c r="A263" s="80"/>
      <c r="B263" s="231"/>
      <c r="C263" s="231"/>
      <c r="E263" s="13"/>
      <c r="J263" s="226"/>
      <c r="L263" s="226"/>
      <c r="M263" s="226"/>
      <c r="N263" s="226"/>
      <c r="O263" s="226"/>
      <c r="P263" s="226"/>
      <c r="Q263" s="226"/>
      <c r="R263" s="226"/>
      <c r="S263" s="226"/>
      <c r="T263" s="226"/>
    </row>
    <row r="264" spans="1:20" ht="15.75" customHeight="1">
      <c r="A264" s="80"/>
      <c r="B264" s="231"/>
      <c r="C264" s="231"/>
      <c r="E264" s="13"/>
      <c r="J264" s="226"/>
      <c r="L264" s="226"/>
      <c r="M264" s="226"/>
      <c r="N264" s="226"/>
      <c r="O264" s="226"/>
      <c r="P264" s="226"/>
      <c r="Q264" s="226"/>
      <c r="R264" s="226"/>
      <c r="S264" s="226"/>
      <c r="T264" s="226"/>
    </row>
    <row r="265" spans="1:20" ht="15.75" customHeight="1">
      <c r="A265" s="80"/>
      <c r="B265" s="231"/>
      <c r="C265" s="231"/>
      <c r="E265" s="13"/>
      <c r="J265" s="226"/>
      <c r="L265" s="226"/>
      <c r="M265" s="226"/>
      <c r="N265" s="226"/>
      <c r="O265" s="226"/>
      <c r="P265" s="226"/>
      <c r="Q265" s="226"/>
      <c r="R265" s="226"/>
      <c r="S265" s="226"/>
      <c r="T265" s="226"/>
    </row>
    <row r="266" spans="1:20" ht="15.75" customHeight="1">
      <c r="A266" s="80"/>
      <c r="B266" s="231"/>
      <c r="C266" s="231"/>
      <c r="E266" s="13"/>
      <c r="J266" s="226"/>
      <c r="L266" s="226"/>
      <c r="M266" s="226"/>
      <c r="N266" s="226"/>
      <c r="O266" s="226"/>
      <c r="P266" s="226"/>
      <c r="Q266" s="226"/>
      <c r="R266" s="226"/>
      <c r="S266" s="226"/>
      <c r="T266" s="226"/>
    </row>
    <row r="267" spans="1:20" ht="15.75" customHeight="1">
      <c r="A267" s="80"/>
      <c r="B267" s="231"/>
      <c r="C267" s="231"/>
      <c r="E267" s="13"/>
      <c r="J267" s="226"/>
      <c r="L267" s="226"/>
      <c r="M267" s="226"/>
      <c r="N267" s="226"/>
      <c r="O267" s="226"/>
      <c r="P267" s="226"/>
      <c r="Q267" s="226"/>
      <c r="R267" s="226"/>
      <c r="S267" s="226"/>
      <c r="T267" s="226"/>
    </row>
    <row r="268" spans="1:20" ht="15.75" customHeight="1">
      <c r="A268" s="80"/>
      <c r="B268" s="231"/>
      <c r="C268" s="231"/>
      <c r="E268" s="13"/>
      <c r="J268" s="226"/>
      <c r="L268" s="226"/>
      <c r="M268" s="226"/>
      <c r="N268" s="226"/>
      <c r="O268" s="226"/>
      <c r="P268" s="226"/>
      <c r="Q268" s="226"/>
      <c r="R268" s="226"/>
      <c r="S268" s="226"/>
      <c r="T268" s="226"/>
    </row>
    <row r="269" spans="1:20" ht="15.75" customHeight="1">
      <c r="A269" s="80"/>
      <c r="B269" s="231"/>
      <c r="C269" s="231"/>
      <c r="E269" s="13"/>
      <c r="J269" s="226"/>
      <c r="L269" s="226"/>
      <c r="M269" s="226"/>
      <c r="N269" s="226"/>
      <c r="O269" s="226"/>
      <c r="P269" s="226"/>
      <c r="Q269" s="226"/>
      <c r="R269" s="226"/>
      <c r="S269" s="226"/>
      <c r="T269" s="226"/>
    </row>
    <row r="270" spans="1:20" ht="15.75" customHeight="1"/>
    <row r="271" spans="1:20" ht="15.75" customHeight="1"/>
    <row r="272" spans="1:2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K4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000"/>
  <sheetViews>
    <sheetView workbookViewId="0"/>
  </sheetViews>
  <sheetFormatPr defaultColWidth="14.42578125" defaultRowHeight="15" customHeight="1"/>
  <cols>
    <col min="1" max="9" width="8.7109375" customWidth="1"/>
    <col min="10" max="10" width="16.42578125" customWidth="1"/>
    <col min="11" max="11" width="23.28515625" customWidth="1"/>
    <col min="12" max="12" width="8.7109375" customWidth="1"/>
    <col min="13" max="13" width="24.85546875" customWidth="1"/>
    <col min="14" max="14" width="15.85546875" customWidth="1"/>
    <col min="15" max="15" width="28.7109375" customWidth="1"/>
    <col min="16" max="17" width="8.7109375" customWidth="1"/>
    <col min="18" max="18" width="34.5703125" customWidth="1"/>
    <col min="19" max="19" width="8.5703125" customWidth="1"/>
  </cols>
  <sheetData>
    <row r="1" spans="1:19">
      <c r="A1" s="13" t="s">
        <v>509</v>
      </c>
      <c r="J1" s="13" t="s">
        <v>555</v>
      </c>
      <c r="K1" s="227" t="s">
        <v>556</v>
      </c>
      <c r="M1" s="137" t="s">
        <v>557</v>
      </c>
      <c r="O1" s="137" t="s">
        <v>558</v>
      </c>
      <c r="R1" s="6" t="s">
        <v>6</v>
      </c>
      <c r="S1" s="6" t="s">
        <v>559</v>
      </c>
    </row>
    <row r="2" spans="1:19">
      <c r="A2" s="137" t="s">
        <v>238</v>
      </c>
      <c r="B2" s="137" t="s">
        <v>240</v>
      </c>
      <c r="C2" s="137" t="s">
        <v>560</v>
      </c>
      <c r="J2" s="80">
        <v>6</v>
      </c>
      <c r="K2" s="226">
        <v>17553</v>
      </c>
      <c r="R2" s="137" t="s">
        <v>78</v>
      </c>
      <c r="S2" s="137">
        <v>8</v>
      </c>
    </row>
    <row r="3" spans="1:19">
      <c r="A3" s="137" t="s">
        <v>139</v>
      </c>
      <c r="B3" s="137" t="s">
        <v>99</v>
      </c>
      <c r="C3" s="137" t="s">
        <v>561</v>
      </c>
      <c r="J3" s="80">
        <v>7</v>
      </c>
      <c r="K3" s="226">
        <v>18620</v>
      </c>
      <c r="M3" s="137" t="s">
        <v>562</v>
      </c>
      <c r="N3" s="137" t="s">
        <v>563</v>
      </c>
      <c r="O3" s="137" t="s">
        <v>564</v>
      </c>
      <c r="R3" s="137" t="s">
        <v>402</v>
      </c>
      <c r="S3" s="137">
        <v>11</v>
      </c>
    </row>
    <row r="4" spans="1:19">
      <c r="A4" s="137" t="s">
        <v>240</v>
      </c>
      <c r="B4" s="137" t="s">
        <v>79</v>
      </c>
      <c r="C4" s="137" t="s">
        <v>565</v>
      </c>
      <c r="J4" s="80">
        <v>8</v>
      </c>
      <c r="K4" s="226">
        <v>19744</v>
      </c>
      <c r="N4" s="137" t="s">
        <v>566</v>
      </c>
      <c r="R4" s="137" t="s">
        <v>405</v>
      </c>
      <c r="S4" s="137">
        <v>11</v>
      </c>
    </row>
    <row r="5" spans="1:19">
      <c r="A5" s="137" t="s">
        <v>99</v>
      </c>
      <c r="B5" s="137" t="s">
        <v>114</v>
      </c>
      <c r="C5" s="137" t="s">
        <v>567</v>
      </c>
      <c r="J5" s="80">
        <v>9</v>
      </c>
      <c r="K5" s="226">
        <v>21211</v>
      </c>
      <c r="M5" s="137" t="s">
        <v>568</v>
      </c>
      <c r="N5" s="137" t="s">
        <v>569</v>
      </c>
      <c r="O5" s="137" t="s">
        <v>425</v>
      </c>
      <c r="P5" s="137" t="s">
        <v>425</v>
      </c>
      <c r="R5" s="137" t="s">
        <v>407</v>
      </c>
      <c r="S5" s="137">
        <v>11</v>
      </c>
    </row>
    <row r="6" spans="1:19">
      <c r="A6" s="137" t="s">
        <v>114</v>
      </c>
      <c r="B6" s="137" t="s">
        <v>139</v>
      </c>
      <c r="C6" s="137" t="s">
        <v>570</v>
      </c>
      <c r="J6" s="80">
        <v>10</v>
      </c>
      <c r="K6" s="226">
        <v>23176</v>
      </c>
      <c r="M6" s="137" t="s">
        <v>568</v>
      </c>
      <c r="N6" s="137" t="s">
        <v>569</v>
      </c>
      <c r="O6" s="137" t="s">
        <v>425</v>
      </c>
      <c r="P6" s="137" t="s">
        <v>425</v>
      </c>
      <c r="R6" s="137" t="s">
        <v>98</v>
      </c>
      <c r="S6" s="137">
        <v>8</v>
      </c>
    </row>
    <row r="7" spans="1:19">
      <c r="A7" s="137" t="s">
        <v>79</v>
      </c>
      <c r="B7" s="137" t="s">
        <v>238</v>
      </c>
      <c r="C7" s="137" t="s">
        <v>571</v>
      </c>
      <c r="J7" s="80">
        <v>11</v>
      </c>
      <c r="K7" s="226">
        <v>27000</v>
      </c>
      <c r="M7" s="137" t="s">
        <v>568</v>
      </c>
      <c r="N7" s="137" t="s">
        <v>569</v>
      </c>
      <c r="O7" s="137" t="s">
        <v>425</v>
      </c>
      <c r="P7" s="137" t="s">
        <v>425</v>
      </c>
      <c r="R7" s="137" t="s">
        <v>410</v>
      </c>
      <c r="S7" s="137">
        <v>11</v>
      </c>
    </row>
    <row r="8" spans="1:19">
      <c r="J8" s="80">
        <v>12</v>
      </c>
      <c r="K8" s="226">
        <v>29165</v>
      </c>
      <c r="M8" s="137" t="s">
        <v>572</v>
      </c>
      <c r="N8" s="137" t="s">
        <v>573</v>
      </c>
      <c r="O8" s="137" t="s">
        <v>425</v>
      </c>
      <c r="P8" s="137" t="s">
        <v>425</v>
      </c>
      <c r="R8" s="137" t="s">
        <v>412</v>
      </c>
      <c r="S8" s="137">
        <v>8</v>
      </c>
    </row>
    <row r="9" spans="1:19">
      <c r="J9" s="80">
        <v>13</v>
      </c>
      <c r="K9" s="226">
        <v>31320</v>
      </c>
      <c r="M9" s="137" t="s">
        <v>574</v>
      </c>
      <c r="N9" s="137" t="s">
        <v>573</v>
      </c>
      <c r="O9" s="137" t="s">
        <v>425</v>
      </c>
      <c r="P9" s="137" t="s">
        <v>425</v>
      </c>
      <c r="R9" s="137" t="s">
        <v>415</v>
      </c>
      <c r="S9" s="137">
        <v>11</v>
      </c>
    </row>
    <row r="10" spans="1:19">
      <c r="J10" s="80">
        <v>14</v>
      </c>
      <c r="K10" s="226">
        <v>33843</v>
      </c>
      <c r="M10" s="137" t="s">
        <v>575</v>
      </c>
      <c r="N10" s="137" t="s">
        <v>576</v>
      </c>
      <c r="O10" s="137" t="s">
        <v>425</v>
      </c>
      <c r="P10" s="137" t="s">
        <v>425</v>
      </c>
      <c r="R10" s="137" t="s">
        <v>113</v>
      </c>
      <c r="S10" s="137">
        <v>11</v>
      </c>
    </row>
    <row r="11" spans="1:19">
      <c r="J11" s="80">
        <v>15</v>
      </c>
      <c r="K11" s="226">
        <v>36619</v>
      </c>
      <c r="M11" s="137" t="s">
        <v>577</v>
      </c>
      <c r="N11" s="137" t="s">
        <v>578</v>
      </c>
      <c r="O11" s="137" t="s">
        <v>399</v>
      </c>
      <c r="R11" s="137" t="s">
        <v>119</v>
      </c>
      <c r="S11" s="137">
        <v>7</v>
      </c>
    </row>
    <row r="12" spans="1:19">
      <c r="J12" s="235">
        <v>16</v>
      </c>
      <c r="K12" s="226">
        <v>39672</v>
      </c>
      <c r="M12" s="137" t="s">
        <v>579</v>
      </c>
      <c r="N12" s="137" t="s">
        <v>580</v>
      </c>
      <c r="O12" s="137" t="s">
        <v>399</v>
      </c>
      <c r="R12" s="137" t="s">
        <v>123</v>
      </c>
      <c r="S12" s="137">
        <v>8</v>
      </c>
    </row>
    <row r="13" spans="1:19">
      <c r="J13" s="235">
        <v>17</v>
      </c>
      <c r="K13" s="226">
        <v>43030</v>
      </c>
      <c r="M13" s="137" t="s">
        <v>581</v>
      </c>
      <c r="N13" s="137" t="s">
        <v>582</v>
      </c>
      <c r="O13" s="137" t="s">
        <v>425</v>
      </c>
      <c r="P13" s="137" t="s">
        <v>425</v>
      </c>
      <c r="R13" s="137" t="s">
        <v>421</v>
      </c>
      <c r="S13" s="137">
        <v>11</v>
      </c>
    </row>
    <row r="14" spans="1:19">
      <c r="J14" s="235">
        <v>0</v>
      </c>
      <c r="K14" s="226">
        <v>50617</v>
      </c>
      <c r="M14" s="137" t="s">
        <v>583</v>
      </c>
      <c r="N14" s="137" t="s">
        <v>584</v>
      </c>
      <c r="O14" s="137" t="s">
        <v>425</v>
      </c>
      <c r="P14" s="137" t="s">
        <v>425</v>
      </c>
      <c r="R14" s="137" t="s">
        <v>121</v>
      </c>
      <c r="S14" s="137">
        <v>11</v>
      </c>
    </row>
    <row r="15" spans="1:19">
      <c r="K15" s="226"/>
      <c r="M15" s="137" t="s">
        <v>585</v>
      </c>
      <c r="N15" s="137" t="s">
        <v>586</v>
      </c>
      <c r="O15" s="137" t="s">
        <v>425</v>
      </c>
      <c r="P15" s="137" t="s">
        <v>425</v>
      </c>
      <c r="R15" s="137" t="s">
        <v>587</v>
      </c>
      <c r="S15" s="137">
        <v>11</v>
      </c>
    </row>
    <row r="16" spans="1:19">
      <c r="K16" s="226"/>
      <c r="M16" s="137" t="s">
        <v>588</v>
      </c>
      <c r="N16" s="137" t="s">
        <v>589</v>
      </c>
      <c r="O16" s="137" t="s">
        <v>399</v>
      </c>
      <c r="R16" s="137" t="s">
        <v>590</v>
      </c>
      <c r="S16" s="137">
        <v>11</v>
      </c>
    </row>
    <row r="17" spans="11:19">
      <c r="K17" s="226"/>
      <c r="M17" s="137" t="s">
        <v>591</v>
      </c>
      <c r="N17" s="137" t="s">
        <v>592</v>
      </c>
      <c r="O17" s="137" t="s">
        <v>399</v>
      </c>
      <c r="R17" s="137" t="s">
        <v>131</v>
      </c>
      <c r="S17" s="137">
        <v>8</v>
      </c>
    </row>
    <row r="18" spans="11:19">
      <c r="K18" s="226"/>
      <c r="M18" s="137" t="s">
        <v>593</v>
      </c>
      <c r="N18" s="137" t="s">
        <v>594</v>
      </c>
      <c r="O18" s="137" t="s">
        <v>399</v>
      </c>
      <c r="R18" s="137" t="s">
        <v>143</v>
      </c>
      <c r="S18" s="137">
        <v>17</v>
      </c>
    </row>
    <row r="19" spans="11:19">
      <c r="K19" s="226"/>
      <c r="M19" s="137" t="s">
        <v>595</v>
      </c>
      <c r="N19" s="137" t="s">
        <v>596</v>
      </c>
      <c r="O19" s="137" t="s">
        <v>399</v>
      </c>
      <c r="R19" s="137" t="s">
        <v>429</v>
      </c>
      <c r="S19" s="137">
        <v>8</v>
      </c>
    </row>
    <row r="20" spans="11:19">
      <c r="K20" s="226"/>
      <c r="M20" s="137" t="s">
        <v>597</v>
      </c>
      <c r="N20" s="137" t="s">
        <v>598</v>
      </c>
      <c r="O20" s="137" t="s">
        <v>399</v>
      </c>
      <c r="R20" s="137" t="s">
        <v>147</v>
      </c>
      <c r="S20" s="137">
        <v>8</v>
      </c>
    </row>
    <row r="21" spans="11:19" ht="15.75" customHeight="1">
      <c r="K21" s="226"/>
      <c r="M21" s="137" t="s">
        <v>599</v>
      </c>
      <c r="N21" s="137" t="s">
        <v>600</v>
      </c>
      <c r="O21" s="137" t="s">
        <v>399</v>
      </c>
      <c r="R21" s="137" t="s">
        <v>163</v>
      </c>
      <c r="S21" s="137">
        <v>8</v>
      </c>
    </row>
    <row r="22" spans="11:19" ht="15.75" customHeight="1">
      <c r="K22" s="226"/>
      <c r="M22" s="137" t="s">
        <v>601</v>
      </c>
      <c r="N22" s="137" t="s">
        <v>602</v>
      </c>
      <c r="O22" s="137" t="s">
        <v>399</v>
      </c>
      <c r="R22" s="137" t="s">
        <v>433</v>
      </c>
      <c r="S22" s="137">
        <v>8</v>
      </c>
    </row>
    <row r="23" spans="11:19" ht="15.75" customHeight="1">
      <c r="K23" s="226"/>
      <c r="M23" s="137" t="s">
        <v>603</v>
      </c>
      <c r="N23" s="137" t="s">
        <v>604</v>
      </c>
      <c r="O23" s="137" t="s">
        <v>399</v>
      </c>
      <c r="R23" s="137" t="s">
        <v>435</v>
      </c>
      <c r="S23" s="137">
        <v>11</v>
      </c>
    </row>
    <row r="24" spans="11:19" ht="15.75" customHeight="1">
      <c r="K24" s="226"/>
      <c r="M24" s="137" t="s">
        <v>605</v>
      </c>
      <c r="N24" s="137" t="s">
        <v>606</v>
      </c>
      <c r="O24" s="137" t="s">
        <v>399</v>
      </c>
      <c r="R24" s="137" t="s">
        <v>438</v>
      </c>
      <c r="S24" s="137">
        <v>8</v>
      </c>
    </row>
    <row r="25" spans="11:19" ht="15.75" customHeight="1">
      <c r="K25" s="226"/>
      <c r="M25" s="137" t="s">
        <v>607</v>
      </c>
      <c r="N25" s="137" t="s">
        <v>608</v>
      </c>
      <c r="O25" s="137" t="s">
        <v>399</v>
      </c>
      <c r="R25" s="137" t="s">
        <v>181</v>
      </c>
      <c r="S25" s="137">
        <v>8</v>
      </c>
    </row>
    <row r="26" spans="11:19" ht="15.75" customHeight="1">
      <c r="K26" s="226"/>
      <c r="M26" s="137" t="s">
        <v>609</v>
      </c>
      <c r="N26" s="137" t="s">
        <v>610</v>
      </c>
      <c r="O26" s="137" t="s">
        <v>399</v>
      </c>
      <c r="R26" s="137" t="s">
        <v>157</v>
      </c>
      <c r="S26" s="137">
        <v>8</v>
      </c>
    </row>
    <row r="27" spans="11:19" ht="15.75" customHeight="1">
      <c r="K27" s="226"/>
      <c r="M27" s="137" t="s">
        <v>611</v>
      </c>
      <c r="N27" s="137" t="s">
        <v>612</v>
      </c>
      <c r="O27" s="137" t="s">
        <v>399</v>
      </c>
      <c r="R27" s="137" t="s">
        <v>444</v>
      </c>
      <c r="S27" s="137">
        <v>15</v>
      </c>
    </row>
    <row r="28" spans="11:19" ht="15.75" customHeight="1">
      <c r="K28" s="226"/>
      <c r="M28" s="137" t="s">
        <v>613</v>
      </c>
      <c r="N28" s="137" t="s">
        <v>614</v>
      </c>
      <c r="O28" s="137" t="s">
        <v>399</v>
      </c>
      <c r="R28" s="137" t="s">
        <v>447</v>
      </c>
      <c r="S28" s="137">
        <v>8</v>
      </c>
    </row>
    <row r="29" spans="11:19" ht="15.75" customHeight="1">
      <c r="K29" s="226"/>
      <c r="M29" s="137" t="s">
        <v>615</v>
      </c>
      <c r="N29" s="137" t="s">
        <v>616</v>
      </c>
      <c r="O29" s="137" t="s">
        <v>399</v>
      </c>
      <c r="R29" s="137" t="s">
        <v>186</v>
      </c>
      <c r="S29" s="137">
        <v>8</v>
      </c>
    </row>
    <row r="30" spans="11:19" ht="15.75" customHeight="1">
      <c r="K30" s="226"/>
      <c r="M30" s="137" t="s">
        <v>617</v>
      </c>
      <c r="N30" s="137" t="s">
        <v>618</v>
      </c>
      <c r="O30" s="137" t="s">
        <v>399</v>
      </c>
      <c r="R30" s="137" t="s">
        <v>451</v>
      </c>
      <c r="S30" s="137">
        <v>8</v>
      </c>
    </row>
    <row r="31" spans="11:19" ht="15.75" customHeight="1">
      <c r="K31" s="226"/>
      <c r="M31" s="137" t="s">
        <v>619</v>
      </c>
      <c r="N31" s="137" t="s">
        <v>620</v>
      </c>
      <c r="O31" s="137" t="s">
        <v>399</v>
      </c>
      <c r="R31" s="137" t="s">
        <v>141</v>
      </c>
      <c r="S31" s="137">
        <v>8</v>
      </c>
    </row>
    <row r="32" spans="11:19" ht="15.75" customHeight="1">
      <c r="K32" s="226"/>
      <c r="M32" s="137" t="s">
        <v>621</v>
      </c>
      <c r="N32" s="137" t="s">
        <v>622</v>
      </c>
      <c r="O32" s="137" t="s">
        <v>425</v>
      </c>
      <c r="R32" s="137" t="s">
        <v>166</v>
      </c>
      <c r="S32" s="137">
        <v>7</v>
      </c>
    </row>
    <row r="33" spans="11:19" ht="15.75" customHeight="1">
      <c r="K33" s="226"/>
      <c r="M33" s="137" t="s">
        <v>621</v>
      </c>
      <c r="N33" s="137" t="s">
        <v>622</v>
      </c>
      <c r="O33" s="137" t="s">
        <v>399</v>
      </c>
      <c r="R33" s="137" t="s">
        <v>455</v>
      </c>
      <c r="S33" s="137">
        <v>7</v>
      </c>
    </row>
    <row r="34" spans="11:19" ht="15.75" customHeight="1">
      <c r="K34" s="226"/>
      <c r="M34" s="137" t="s">
        <v>621</v>
      </c>
      <c r="N34" s="137" t="s">
        <v>622</v>
      </c>
      <c r="O34" s="137" t="s">
        <v>399</v>
      </c>
      <c r="R34" s="137" t="s">
        <v>149</v>
      </c>
      <c r="S34" s="137">
        <v>8</v>
      </c>
    </row>
    <row r="35" spans="11:19" ht="15.75" customHeight="1">
      <c r="K35" s="226"/>
      <c r="M35" s="137" t="s">
        <v>621</v>
      </c>
      <c r="N35" s="137" t="s">
        <v>622</v>
      </c>
      <c r="O35" s="137" t="s">
        <v>399</v>
      </c>
      <c r="R35" s="137" t="s">
        <v>199</v>
      </c>
      <c r="S35" s="137">
        <v>7</v>
      </c>
    </row>
    <row r="36" spans="11:19" ht="15.75" customHeight="1">
      <c r="K36" s="226"/>
      <c r="M36" s="137" t="s">
        <v>621</v>
      </c>
      <c r="N36" s="137" t="s">
        <v>622</v>
      </c>
      <c r="O36" s="137" t="s">
        <v>399</v>
      </c>
      <c r="R36" s="137" t="s">
        <v>201</v>
      </c>
      <c r="S36" s="137">
        <v>7</v>
      </c>
    </row>
    <row r="37" spans="11:19" ht="15.75" customHeight="1">
      <c r="K37" s="226"/>
      <c r="M37" s="137" t="s">
        <v>621</v>
      </c>
      <c r="N37" s="137" t="s">
        <v>622</v>
      </c>
      <c r="O37" s="137" t="s">
        <v>425</v>
      </c>
      <c r="R37" s="137" t="s">
        <v>212</v>
      </c>
      <c r="S37" s="137">
        <v>16</v>
      </c>
    </row>
    <row r="38" spans="11:19" ht="15.75" customHeight="1">
      <c r="K38" s="226"/>
      <c r="M38" s="137" t="s">
        <v>621</v>
      </c>
      <c r="N38" s="137" t="s">
        <v>622</v>
      </c>
      <c r="O38" s="137" t="s">
        <v>399</v>
      </c>
      <c r="R38" s="137" t="s">
        <v>215</v>
      </c>
      <c r="S38" s="137">
        <v>11</v>
      </c>
    </row>
    <row r="39" spans="11:19" ht="15.75" customHeight="1">
      <c r="K39" s="226"/>
      <c r="M39" s="137" t="s">
        <v>621</v>
      </c>
      <c r="N39" s="137" t="s">
        <v>622</v>
      </c>
      <c r="O39" s="137" t="s">
        <v>399</v>
      </c>
      <c r="R39" s="137"/>
      <c r="S39" s="137"/>
    </row>
    <row r="40" spans="11:19" ht="15.75" customHeight="1">
      <c r="K40" s="226"/>
      <c r="M40" s="137" t="s">
        <v>621</v>
      </c>
      <c r="N40" s="137" t="s">
        <v>622</v>
      </c>
      <c r="O40" s="137" t="s">
        <v>399</v>
      </c>
      <c r="R40" s="137" t="s">
        <v>207</v>
      </c>
      <c r="S40" s="137">
        <v>8</v>
      </c>
    </row>
    <row r="41" spans="11:19" ht="15.75" customHeight="1">
      <c r="K41" s="226"/>
      <c r="M41" s="137" t="s">
        <v>621</v>
      </c>
      <c r="N41" s="137" t="s">
        <v>622</v>
      </c>
      <c r="O41" s="137" t="s">
        <v>399</v>
      </c>
      <c r="R41" s="137" t="s">
        <v>468</v>
      </c>
      <c r="S41" s="137">
        <v>8</v>
      </c>
    </row>
    <row r="42" spans="11:19" ht="15.75" customHeight="1">
      <c r="K42" s="226"/>
      <c r="M42" s="137" t="s">
        <v>623</v>
      </c>
      <c r="N42" s="137" t="s">
        <v>624</v>
      </c>
      <c r="O42" s="137" t="s">
        <v>425</v>
      </c>
      <c r="R42" s="137" t="s">
        <v>625</v>
      </c>
      <c r="S42" s="137">
        <v>7</v>
      </c>
    </row>
    <row r="43" spans="11:19" ht="15.75" customHeight="1">
      <c r="K43" s="226"/>
      <c r="M43" s="137" t="s">
        <v>626</v>
      </c>
      <c r="N43" s="137" t="s">
        <v>627</v>
      </c>
      <c r="O43" s="137" t="s">
        <v>425</v>
      </c>
      <c r="R43" s="137" t="s">
        <v>187</v>
      </c>
      <c r="S43" s="137">
        <v>8</v>
      </c>
    </row>
    <row r="44" spans="11:19" ht="15.75" customHeight="1">
      <c r="K44" s="226"/>
      <c r="M44" s="137" t="s">
        <v>628</v>
      </c>
      <c r="N44" s="137" t="s">
        <v>629</v>
      </c>
      <c r="O44" s="137" t="s">
        <v>425</v>
      </c>
      <c r="R44" s="137" t="s">
        <v>473</v>
      </c>
      <c r="S44" s="137">
        <v>8</v>
      </c>
    </row>
    <row r="45" spans="11:19" ht="15.75" customHeight="1">
      <c r="K45" s="226"/>
      <c r="M45" s="137" t="s">
        <v>630</v>
      </c>
      <c r="N45" s="137" t="s">
        <v>631</v>
      </c>
      <c r="O45" s="137" t="s">
        <v>425</v>
      </c>
      <c r="R45" s="137" t="s">
        <v>91</v>
      </c>
      <c r="S45" s="137">
        <v>10</v>
      </c>
    </row>
    <row r="46" spans="11:19" ht="15.75" customHeight="1">
      <c r="K46" s="226"/>
      <c r="M46" s="137" t="s">
        <v>630</v>
      </c>
      <c r="N46" s="137" t="s">
        <v>631</v>
      </c>
      <c r="O46" s="137" t="s">
        <v>399</v>
      </c>
      <c r="R46" s="137" t="s">
        <v>152</v>
      </c>
      <c r="S46" s="137">
        <v>8</v>
      </c>
    </row>
    <row r="47" spans="11:19" ht="15.75" customHeight="1">
      <c r="K47" s="226"/>
      <c r="M47" s="137" t="s">
        <v>630</v>
      </c>
      <c r="N47" s="137" t="s">
        <v>631</v>
      </c>
      <c r="O47" s="137" t="s">
        <v>399</v>
      </c>
      <c r="R47" s="137" t="s">
        <v>127</v>
      </c>
      <c r="S47" s="137">
        <v>8</v>
      </c>
    </row>
    <row r="48" spans="11:19" ht="15.75" customHeight="1">
      <c r="K48" s="226"/>
      <c r="M48" s="137" t="s">
        <v>630</v>
      </c>
      <c r="N48" s="137" t="s">
        <v>631</v>
      </c>
      <c r="O48" s="137" t="s">
        <v>399</v>
      </c>
      <c r="R48" s="137" t="s">
        <v>478</v>
      </c>
      <c r="S48" s="137">
        <v>15</v>
      </c>
    </row>
    <row r="49" spans="11:19" ht="15.75" customHeight="1">
      <c r="K49" s="226"/>
      <c r="M49" s="137" t="s">
        <v>630</v>
      </c>
      <c r="N49" s="137" t="s">
        <v>631</v>
      </c>
      <c r="O49" s="137" t="s">
        <v>399</v>
      </c>
      <c r="R49" s="137" t="s">
        <v>485</v>
      </c>
      <c r="S49" s="137">
        <v>15</v>
      </c>
    </row>
    <row r="50" spans="11:19" ht="15.75" customHeight="1">
      <c r="K50" s="226"/>
      <c r="M50" s="137" t="s">
        <v>632</v>
      </c>
      <c r="N50" s="137" t="s">
        <v>631</v>
      </c>
      <c r="O50" s="137" t="s">
        <v>425</v>
      </c>
      <c r="R50" s="137" t="s">
        <v>487</v>
      </c>
      <c r="S50" s="137">
        <v>15</v>
      </c>
    </row>
    <row r="51" spans="11:19" ht="15.75" customHeight="1">
      <c r="K51" s="226"/>
      <c r="M51" s="137" t="s">
        <v>632</v>
      </c>
      <c r="N51" s="137" t="s">
        <v>631</v>
      </c>
      <c r="O51" s="137" t="s">
        <v>399</v>
      </c>
      <c r="R51" s="137" t="s">
        <v>111</v>
      </c>
      <c r="S51" s="137">
        <v>6</v>
      </c>
    </row>
    <row r="52" spans="11:19" ht="15.75" customHeight="1">
      <c r="K52" s="226"/>
      <c r="M52" s="137" t="s">
        <v>632</v>
      </c>
      <c r="N52" s="137" t="s">
        <v>631</v>
      </c>
      <c r="O52" s="137" t="s">
        <v>399</v>
      </c>
      <c r="R52" s="137" t="s">
        <v>124</v>
      </c>
      <c r="S52" s="137">
        <v>6</v>
      </c>
    </row>
    <row r="53" spans="11:19" ht="15.75" customHeight="1">
      <c r="K53" s="226"/>
      <c r="M53" s="137" t="s">
        <v>632</v>
      </c>
      <c r="N53" s="137" t="s">
        <v>631</v>
      </c>
      <c r="O53" s="137" t="s">
        <v>399</v>
      </c>
      <c r="R53" s="137" t="s">
        <v>492</v>
      </c>
      <c r="S53" s="137">
        <v>11</v>
      </c>
    </row>
    <row r="54" spans="11:19" ht="15.75" customHeight="1">
      <c r="K54" s="226"/>
      <c r="M54" s="137" t="s">
        <v>632</v>
      </c>
      <c r="N54" s="137" t="s">
        <v>631</v>
      </c>
      <c r="O54" s="137" t="s">
        <v>399</v>
      </c>
      <c r="R54" s="137" t="s">
        <v>494</v>
      </c>
      <c r="S54" s="137">
        <v>6</v>
      </c>
    </row>
    <row r="55" spans="11:19" ht="15.75" customHeight="1">
      <c r="K55" s="226"/>
      <c r="M55" s="137" t="s">
        <v>633</v>
      </c>
      <c r="N55" s="137" t="s">
        <v>634</v>
      </c>
      <c r="O55" s="137" t="s">
        <v>425</v>
      </c>
      <c r="R55" s="137"/>
      <c r="S55" s="137"/>
    </row>
    <row r="56" spans="11:19" ht="15.75" customHeight="1">
      <c r="K56" s="226"/>
      <c r="M56" s="137" t="s">
        <v>633</v>
      </c>
      <c r="N56" s="137" t="s">
        <v>634</v>
      </c>
      <c r="O56" s="137" t="s">
        <v>399</v>
      </c>
      <c r="R56" s="137"/>
      <c r="S56" s="137"/>
    </row>
    <row r="57" spans="11:19" ht="15.75" customHeight="1">
      <c r="K57" s="226"/>
      <c r="M57" s="137" t="s">
        <v>633</v>
      </c>
      <c r="N57" s="137" t="s">
        <v>634</v>
      </c>
      <c r="O57" s="137" t="s">
        <v>399</v>
      </c>
      <c r="R57" s="137" t="s">
        <v>145</v>
      </c>
      <c r="S57" s="137">
        <v>11</v>
      </c>
    </row>
    <row r="58" spans="11:19" ht="15.75" customHeight="1">
      <c r="K58" s="226"/>
      <c r="M58" s="137" t="s">
        <v>633</v>
      </c>
      <c r="N58" s="137" t="s">
        <v>634</v>
      </c>
      <c r="O58" s="137" t="s">
        <v>399</v>
      </c>
      <c r="R58" s="137"/>
      <c r="S58" s="137"/>
    </row>
    <row r="59" spans="11:19" ht="15.75" customHeight="1">
      <c r="K59" s="226"/>
      <c r="M59" s="137" t="s">
        <v>633</v>
      </c>
      <c r="N59" s="137" t="s">
        <v>634</v>
      </c>
      <c r="O59" s="137" t="s">
        <v>399</v>
      </c>
      <c r="R59" s="137" t="s">
        <v>635</v>
      </c>
      <c r="S59" s="137">
        <v>9</v>
      </c>
    </row>
    <row r="60" spans="11:19" ht="15.75" customHeight="1">
      <c r="K60" s="226"/>
      <c r="M60" s="137" t="s">
        <v>636</v>
      </c>
      <c r="N60" s="137" t="s">
        <v>637</v>
      </c>
      <c r="O60" s="137" t="s">
        <v>425</v>
      </c>
    </row>
    <row r="61" spans="11:19" ht="15.75" customHeight="1">
      <c r="K61" s="226"/>
      <c r="M61" s="137" t="s">
        <v>636</v>
      </c>
      <c r="N61" s="137" t="s">
        <v>637</v>
      </c>
      <c r="O61" s="137" t="s">
        <v>399</v>
      </c>
      <c r="R61" s="137" t="s">
        <v>638</v>
      </c>
      <c r="S61" s="137">
        <v>14</v>
      </c>
    </row>
    <row r="62" spans="11:19" ht="15.75" customHeight="1">
      <c r="K62" s="226"/>
      <c r="M62" s="137" t="s">
        <v>636</v>
      </c>
      <c r="N62" s="137" t="s">
        <v>637</v>
      </c>
      <c r="O62" s="137" t="s">
        <v>399</v>
      </c>
      <c r="R62" s="137" t="s">
        <v>161</v>
      </c>
      <c r="S62" s="137">
        <v>8</v>
      </c>
    </row>
    <row r="63" spans="11:19" ht="15.75" customHeight="1">
      <c r="K63" s="226"/>
      <c r="M63" s="137" t="s">
        <v>636</v>
      </c>
      <c r="N63" s="137" t="s">
        <v>637</v>
      </c>
      <c r="O63" s="137" t="s">
        <v>399</v>
      </c>
      <c r="R63" s="137" t="s">
        <v>639</v>
      </c>
      <c r="S63" s="137">
        <v>11</v>
      </c>
    </row>
    <row r="64" spans="11:19" ht="15.75" customHeight="1">
      <c r="K64" s="226"/>
      <c r="M64" s="137" t="s">
        <v>636</v>
      </c>
      <c r="N64" s="137" t="s">
        <v>637</v>
      </c>
      <c r="O64" s="137" t="s">
        <v>399</v>
      </c>
      <c r="R64" s="137" t="s">
        <v>533</v>
      </c>
      <c r="S64" s="137">
        <v>15</v>
      </c>
    </row>
    <row r="65" spans="11:19" ht="15.75" customHeight="1">
      <c r="K65" s="226"/>
      <c r="M65" s="137" t="s">
        <v>640</v>
      </c>
      <c r="N65" s="137" t="s">
        <v>578</v>
      </c>
      <c r="O65" s="137" t="s">
        <v>480</v>
      </c>
      <c r="R65" s="137" t="s">
        <v>641</v>
      </c>
      <c r="S65" s="137">
        <v>8</v>
      </c>
    </row>
    <row r="66" spans="11:19" ht="15.75" customHeight="1">
      <c r="K66" s="226"/>
      <c r="M66" s="137" t="s">
        <v>642</v>
      </c>
      <c r="N66" s="137" t="s">
        <v>578</v>
      </c>
      <c r="O66" s="137" t="s">
        <v>399</v>
      </c>
      <c r="R66" s="137" t="s">
        <v>643</v>
      </c>
      <c r="S66" s="137">
        <v>8</v>
      </c>
    </row>
    <row r="67" spans="11:19" ht="15.75" customHeight="1">
      <c r="K67" s="226"/>
      <c r="M67" s="137" t="s">
        <v>644</v>
      </c>
      <c r="N67" s="137" t="s">
        <v>578</v>
      </c>
      <c r="O67" s="137" t="s">
        <v>399</v>
      </c>
      <c r="R67" s="137" t="s">
        <v>102</v>
      </c>
      <c r="S67" s="137">
        <v>15</v>
      </c>
    </row>
    <row r="68" spans="11:19" ht="15.75" customHeight="1">
      <c r="K68" s="226"/>
      <c r="M68" s="137" t="s">
        <v>645</v>
      </c>
      <c r="N68" s="137" t="s">
        <v>578</v>
      </c>
      <c r="O68" s="137" t="s">
        <v>399</v>
      </c>
      <c r="R68" s="137" t="s">
        <v>646</v>
      </c>
      <c r="S68" s="137">
        <v>15</v>
      </c>
    </row>
    <row r="69" spans="11:19" ht="15.75" customHeight="1">
      <c r="K69" s="226"/>
      <c r="M69" s="137" t="s">
        <v>647</v>
      </c>
      <c r="N69" s="137" t="s">
        <v>578</v>
      </c>
      <c r="O69" s="137" t="s">
        <v>399</v>
      </c>
      <c r="R69" s="137" t="s">
        <v>85</v>
      </c>
      <c r="S69" s="137">
        <v>11</v>
      </c>
    </row>
    <row r="70" spans="11:19" ht="15.75" customHeight="1">
      <c r="K70" s="226"/>
      <c r="M70" s="137" t="s">
        <v>648</v>
      </c>
      <c r="N70" s="137" t="s">
        <v>578</v>
      </c>
      <c r="O70" s="137" t="s">
        <v>399</v>
      </c>
      <c r="R70" s="137" t="s">
        <v>217</v>
      </c>
      <c r="S70" s="137">
        <v>11</v>
      </c>
    </row>
    <row r="71" spans="11:19" ht="15.75" customHeight="1">
      <c r="K71" s="226"/>
      <c r="M71" s="137" t="s">
        <v>649</v>
      </c>
      <c r="N71" s="137" t="s">
        <v>650</v>
      </c>
      <c r="O71" s="137" t="s">
        <v>399</v>
      </c>
      <c r="R71" s="137" t="s">
        <v>165</v>
      </c>
      <c r="S71" s="137">
        <v>8</v>
      </c>
    </row>
    <row r="72" spans="11:19" ht="15.75" customHeight="1">
      <c r="K72" s="226"/>
      <c r="M72" s="137" t="s">
        <v>651</v>
      </c>
      <c r="N72" s="137" t="s">
        <v>652</v>
      </c>
      <c r="O72" s="137" t="s">
        <v>399</v>
      </c>
      <c r="R72" s="137" t="s">
        <v>653</v>
      </c>
      <c r="S72" s="137">
        <v>15</v>
      </c>
    </row>
    <row r="73" spans="11:19" ht="15.75" customHeight="1">
      <c r="K73" s="226"/>
      <c r="M73" s="137" t="s">
        <v>654</v>
      </c>
      <c r="N73" s="137" t="s">
        <v>655</v>
      </c>
      <c r="O73" s="137" t="s">
        <v>399</v>
      </c>
      <c r="R73" s="137" t="s">
        <v>184</v>
      </c>
      <c r="S73" s="137">
        <v>15</v>
      </c>
    </row>
    <row r="74" spans="11:19" ht="15.75" customHeight="1">
      <c r="K74" s="226"/>
      <c r="M74" s="137" t="s">
        <v>656</v>
      </c>
      <c r="N74" s="137" t="s">
        <v>657</v>
      </c>
      <c r="O74" s="137" t="s">
        <v>488</v>
      </c>
      <c r="R74" s="137" t="s">
        <v>171</v>
      </c>
      <c r="S74" s="137">
        <v>15</v>
      </c>
    </row>
    <row r="75" spans="11:19" ht="15.75" customHeight="1">
      <c r="K75" s="226"/>
      <c r="M75" s="137" t="s">
        <v>658</v>
      </c>
      <c r="N75" s="137" t="s">
        <v>659</v>
      </c>
      <c r="O75" s="137" t="s">
        <v>399</v>
      </c>
      <c r="R75" s="137" t="s">
        <v>168</v>
      </c>
      <c r="S75" s="137">
        <v>8</v>
      </c>
    </row>
    <row r="76" spans="11:19" ht="15.75" customHeight="1">
      <c r="K76" s="226"/>
      <c r="M76" s="137" t="s">
        <v>660</v>
      </c>
      <c r="N76" s="137" t="s">
        <v>661</v>
      </c>
      <c r="O76" s="137" t="s">
        <v>399</v>
      </c>
      <c r="R76" s="137" t="s">
        <v>191</v>
      </c>
      <c r="S76" s="137">
        <v>7</v>
      </c>
    </row>
    <row r="77" spans="11:19" ht="15.75" customHeight="1">
      <c r="K77" s="226"/>
      <c r="M77" s="137" t="s">
        <v>662</v>
      </c>
      <c r="N77" s="137" t="s">
        <v>663</v>
      </c>
      <c r="O77" s="137" t="s">
        <v>399</v>
      </c>
      <c r="R77" s="137" t="s">
        <v>219</v>
      </c>
      <c r="S77" s="137">
        <v>14</v>
      </c>
    </row>
    <row r="78" spans="11:19" ht="15.75" customHeight="1">
      <c r="K78" s="226"/>
      <c r="M78" s="137" t="s">
        <v>664</v>
      </c>
      <c r="N78" s="137" t="s">
        <v>665</v>
      </c>
      <c r="O78" s="137" t="s">
        <v>399</v>
      </c>
      <c r="R78" s="137" t="s">
        <v>170</v>
      </c>
      <c r="S78" s="137">
        <v>8</v>
      </c>
    </row>
    <row r="79" spans="11:19" ht="15.75" customHeight="1">
      <c r="K79" s="226"/>
      <c r="M79" s="137" t="s">
        <v>666</v>
      </c>
      <c r="N79" s="137" t="s">
        <v>667</v>
      </c>
      <c r="O79" s="137" t="s">
        <v>399</v>
      </c>
      <c r="R79" s="137" t="s">
        <v>668</v>
      </c>
      <c r="S79" s="137">
        <v>6</v>
      </c>
    </row>
    <row r="80" spans="11:19" ht="15.75" customHeight="1">
      <c r="K80" s="226"/>
      <c r="M80" s="137" t="s">
        <v>669</v>
      </c>
      <c r="N80" s="137" t="s">
        <v>670</v>
      </c>
      <c r="O80" s="137" t="s">
        <v>413</v>
      </c>
      <c r="R80" s="137" t="s">
        <v>159</v>
      </c>
      <c r="S80" s="137">
        <v>6</v>
      </c>
    </row>
    <row r="81" spans="11:19" ht="15.75" customHeight="1">
      <c r="K81" s="226"/>
      <c r="M81" s="137" t="s">
        <v>671</v>
      </c>
      <c r="N81" s="137" t="s">
        <v>672</v>
      </c>
      <c r="O81" s="137" t="s">
        <v>413</v>
      </c>
      <c r="R81" s="137" t="s">
        <v>175</v>
      </c>
      <c r="S81" s="137">
        <v>8</v>
      </c>
    </row>
    <row r="82" spans="11:19" ht="15.75" customHeight="1">
      <c r="K82" s="226"/>
      <c r="M82" s="137" t="s">
        <v>673</v>
      </c>
      <c r="N82" s="137" t="s">
        <v>674</v>
      </c>
      <c r="O82" s="137" t="s">
        <v>413</v>
      </c>
      <c r="R82" s="137" t="s">
        <v>100</v>
      </c>
      <c r="S82" s="137">
        <v>8</v>
      </c>
    </row>
    <row r="83" spans="11:19" ht="15.75" customHeight="1">
      <c r="K83" s="226"/>
      <c r="M83" s="137" t="s">
        <v>675</v>
      </c>
      <c r="N83" s="137" t="s">
        <v>676</v>
      </c>
      <c r="O83" s="137" t="s">
        <v>413</v>
      </c>
      <c r="R83" s="137" t="s">
        <v>516</v>
      </c>
      <c r="S83" s="137">
        <v>15</v>
      </c>
    </row>
    <row r="84" spans="11:19" ht="15.75" customHeight="1">
      <c r="K84" s="226"/>
      <c r="M84" s="137" t="s">
        <v>677</v>
      </c>
      <c r="N84" s="137" t="s">
        <v>678</v>
      </c>
      <c r="O84" s="137" t="s">
        <v>413</v>
      </c>
      <c r="R84" s="137" t="s">
        <v>203</v>
      </c>
      <c r="S84" s="137">
        <v>8</v>
      </c>
    </row>
    <row r="85" spans="11:19" ht="15.75" customHeight="1">
      <c r="K85" s="226"/>
      <c r="M85" s="137" t="s">
        <v>679</v>
      </c>
      <c r="N85" s="137" t="s">
        <v>680</v>
      </c>
      <c r="O85" s="137" t="s">
        <v>413</v>
      </c>
      <c r="R85" s="137" t="s">
        <v>197</v>
      </c>
      <c r="S85" s="137">
        <v>8</v>
      </c>
    </row>
    <row r="86" spans="11:19" ht="15.75" customHeight="1">
      <c r="K86" s="226"/>
      <c r="M86" s="137" t="s">
        <v>681</v>
      </c>
      <c r="N86" s="137" t="s">
        <v>682</v>
      </c>
      <c r="O86" s="137" t="s">
        <v>413</v>
      </c>
      <c r="R86" s="137" t="s">
        <v>173</v>
      </c>
      <c r="S86" s="137">
        <v>8</v>
      </c>
    </row>
    <row r="87" spans="11:19" ht="15.75" customHeight="1">
      <c r="K87" s="226"/>
      <c r="M87" s="137" t="s">
        <v>683</v>
      </c>
      <c r="N87" s="137" t="s">
        <v>684</v>
      </c>
      <c r="O87" s="137" t="s">
        <v>399</v>
      </c>
      <c r="R87" s="137" t="s">
        <v>137</v>
      </c>
      <c r="S87" s="137">
        <v>8</v>
      </c>
    </row>
    <row r="88" spans="11:19" ht="15.75" customHeight="1">
      <c r="K88" s="226"/>
      <c r="M88" s="137" t="s">
        <v>685</v>
      </c>
      <c r="N88" s="137" t="s">
        <v>686</v>
      </c>
      <c r="O88" s="137" t="s">
        <v>399</v>
      </c>
      <c r="R88" s="137" t="s">
        <v>226</v>
      </c>
      <c r="S88" s="137">
        <v>7</v>
      </c>
    </row>
    <row r="89" spans="11:19" ht="15.75" customHeight="1">
      <c r="K89" s="226"/>
      <c r="M89" s="137" t="s">
        <v>687</v>
      </c>
      <c r="N89" s="137" t="s">
        <v>688</v>
      </c>
      <c r="O89" s="137" t="s">
        <v>399</v>
      </c>
      <c r="R89" s="137" t="s">
        <v>205</v>
      </c>
      <c r="S89" s="137">
        <v>7</v>
      </c>
    </row>
    <row r="90" spans="11:19" ht="15.75" customHeight="1">
      <c r="K90" s="226"/>
      <c r="M90" s="137" t="s">
        <v>689</v>
      </c>
      <c r="N90" s="137" t="s">
        <v>690</v>
      </c>
      <c r="O90" s="137" t="s">
        <v>399</v>
      </c>
      <c r="R90" s="137" t="s">
        <v>209</v>
      </c>
      <c r="S90" s="137">
        <v>7</v>
      </c>
    </row>
    <row r="91" spans="11:19" ht="15.75" customHeight="1">
      <c r="K91" s="226"/>
      <c r="M91" s="137" t="s">
        <v>691</v>
      </c>
      <c r="N91" s="137" t="s">
        <v>692</v>
      </c>
      <c r="O91" s="137" t="s">
        <v>399</v>
      </c>
      <c r="R91" s="137" t="s">
        <v>232</v>
      </c>
      <c r="S91" s="137">
        <v>8</v>
      </c>
    </row>
    <row r="92" spans="11:19" ht="15.75" customHeight="1">
      <c r="K92" s="226"/>
      <c r="M92" s="137" t="s">
        <v>693</v>
      </c>
      <c r="N92" s="137" t="s">
        <v>694</v>
      </c>
      <c r="O92" s="137" t="s">
        <v>399</v>
      </c>
      <c r="R92" s="233" t="s">
        <v>151</v>
      </c>
      <c r="S92" s="233">
        <v>6</v>
      </c>
    </row>
    <row r="93" spans="11:19" ht="15.75" customHeight="1">
      <c r="K93" s="226"/>
      <c r="M93" s="137" t="s">
        <v>695</v>
      </c>
      <c r="N93" s="137" t="s">
        <v>696</v>
      </c>
      <c r="O93" s="137" t="s">
        <v>399</v>
      </c>
      <c r="R93" s="233" t="s">
        <v>89</v>
      </c>
      <c r="S93" s="233">
        <v>11</v>
      </c>
    </row>
    <row r="94" spans="11:19" ht="15.75" customHeight="1">
      <c r="K94" s="226"/>
      <c r="M94" s="137" t="s">
        <v>697</v>
      </c>
      <c r="N94" s="137" t="s">
        <v>698</v>
      </c>
      <c r="O94" s="137" t="s">
        <v>399</v>
      </c>
      <c r="R94" s="233" t="s">
        <v>178</v>
      </c>
      <c r="S94" s="233">
        <v>8</v>
      </c>
    </row>
    <row r="95" spans="11:19" ht="15.75" customHeight="1">
      <c r="K95" s="226"/>
      <c r="M95" s="137" t="s">
        <v>699</v>
      </c>
      <c r="N95" s="137" t="s">
        <v>700</v>
      </c>
      <c r="O95" s="137" t="s">
        <v>399</v>
      </c>
      <c r="R95" s="137" t="s">
        <v>104</v>
      </c>
      <c r="S95" s="233">
        <v>11</v>
      </c>
    </row>
    <row r="96" spans="11:19" ht="15.75" customHeight="1">
      <c r="K96" s="226"/>
      <c r="M96" s="137" t="s">
        <v>701</v>
      </c>
      <c r="N96" s="137" t="s">
        <v>702</v>
      </c>
      <c r="O96" s="137" t="s">
        <v>399</v>
      </c>
      <c r="R96" s="137" t="s">
        <v>87</v>
      </c>
      <c r="S96" s="233">
        <v>11</v>
      </c>
    </row>
    <row r="97" spans="11:19" ht="15.75" customHeight="1">
      <c r="K97" s="226"/>
      <c r="M97" s="137" t="s">
        <v>703</v>
      </c>
      <c r="N97" s="137" t="s">
        <v>704</v>
      </c>
      <c r="O97" s="137" t="s">
        <v>483</v>
      </c>
      <c r="R97" s="233" t="s">
        <v>155</v>
      </c>
      <c r="S97" s="233">
        <v>7</v>
      </c>
    </row>
    <row r="98" spans="11:19" ht="15.75" customHeight="1">
      <c r="K98" s="226"/>
      <c r="M98" s="137" t="s">
        <v>705</v>
      </c>
      <c r="N98" s="137" t="s">
        <v>706</v>
      </c>
      <c r="O98" s="137" t="s">
        <v>483</v>
      </c>
      <c r="R98" s="233" t="s">
        <v>106</v>
      </c>
      <c r="S98" s="233">
        <v>11</v>
      </c>
    </row>
    <row r="99" spans="11:19" ht="15.75" customHeight="1">
      <c r="K99" s="226"/>
      <c r="M99" s="137" t="s">
        <v>707</v>
      </c>
      <c r="N99" s="137" t="s">
        <v>708</v>
      </c>
      <c r="O99" s="137" t="s">
        <v>480</v>
      </c>
      <c r="R99" s="137" t="s">
        <v>109</v>
      </c>
      <c r="S99" s="233">
        <v>11</v>
      </c>
    </row>
    <row r="100" spans="11:19" ht="15.75" customHeight="1">
      <c r="K100" s="226"/>
      <c r="M100" s="137" t="s">
        <v>709</v>
      </c>
      <c r="N100" s="137" t="s">
        <v>710</v>
      </c>
      <c r="O100" s="137" t="s">
        <v>483</v>
      </c>
      <c r="R100" s="137" t="s">
        <v>96</v>
      </c>
      <c r="S100" s="233">
        <v>15</v>
      </c>
    </row>
    <row r="101" spans="11:19" ht="15.75" customHeight="1">
      <c r="K101" s="226"/>
      <c r="M101" s="137" t="s">
        <v>711</v>
      </c>
      <c r="N101" s="137" t="s">
        <v>657</v>
      </c>
      <c r="O101" s="137" t="s">
        <v>488</v>
      </c>
      <c r="R101" s="137" t="s">
        <v>129</v>
      </c>
      <c r="S101" s="233">
        <v>11</v>
      </c>
    </row>
    <row r="102" spans="11:19" ht="15.75" customHeight="1">
      <c r="K102" s="226"/>
      <c r="M102" s="137" t="s">
        <v>712</v>
      </c>
      <c r="N102" s="137" t="s">
        <v>713</v>
      </c>
      <c r="O102" s="137" t="s">
        <v>413</v>
      </c>
      <c r="R102" s="233" t="s">
        <v>133</v>
      </c>
      <c r="S102" s="233">
        <v>11</v>
      </c>
    </row>
    <row r="103" spans="11:19" ht="15.75" customHeight="1">
      <c r="K103" s="226"/>
      <c r="M103" s="137" t="s">
        <v>714</v>
      </c>
      <c r="N103" s="137" t="s">
        <v>715</v>
      </c>
      <c r="O103" s="137" t="s">
        <v>413</v>
      </c>
      <c r="R103" s="233" t="s">
        <v>93</v>
      </c>
      <c r="S103" s="233">
        <v>11</v>
      </c>
    </row>
    <row r="104" spans="11:19" ht="15.75" customHeight="1">
      <c r="K104" s="226"/>
      <c r="M104" s="137" t="s">
        <v>716</v>
      </c>
      <c r="N104" s="137" t="s">
        <v>717</v>
      </c>
      <c r="O104" s="137" t="s">
        <v>399</v>
      </c>
      <c r="R104" s="233" t="s">
        <v>195</v>
      </c>
      <c r="S104" s="137">
        <v>7</v>
      </c>
    </row>
    <row r="105" spans="11:19" ht="15.75" customHeight="1">
      <c r="K105" s="226"/>
      <c r="M105" s="137" t="s">
        <v>718</v>
      </c>
      <c r="N105" s="137" t="s">
        <v>719</v>
      </c>
      <c r="O105" s="137" t="s">
        <v>399</v>
      </c>
      <c r="R105" s="233" t="s">
        <v>117</v>
      </c>
      <c r="S105" s="233">
        <v>11</v>
      </c>
    </row>
    <row r="106" spans="11:19" ht="15.75" customHeight="1">
      <c r="K106" s="226"/>
      <c r="M106" s="137" t="s">
        <v>720</v>
      </c>
      <c r="N106" s="137" t="s">
        <v>721</v>
      </c>
      <c r="O106" s="137" t="s">
        <v>413</v>
      </c>
      <c r="R106" s="233" t="s">
        <v>230</v>
      </c>
      <c r="S106" s="233">
        <v>15</v>
      </c>
    </row>
    <row r="107" spans="11:19" ht="15.75" customHeight="1">
      <c r="K107" s="226"/>
      <c r="M107" s="137" t="s">
        <v>722</v>
      </c>
      <c r="N107" s="137" t="s">
        <v>723</v>
      </c>
      <c r="O107" s="137" t="s">
        <v>399</v>
      </c>
    </row>
    <row r="108" spans="11:19" ht="15.75" customHeight="1">
      <c r="K108" s="226"/>
      <c r="M108" s="137" t="s">
        <v>724</v>
      </c>
      <c r="N108" s="137" t="s">
        <v>725</v>
      </c>
      <c r="O108" s="137" t="s">
        <v>399</v>
      </c>
    </row>
    <row r="109" spans="11:19" ht="15.75" customHeight="1">
      <c r="K109" s="226"/>
      <c r="M109" s="137" t="s">
        <v>726</v>
      </c>
      <c r="N109" s="137" t="s">
        <v>727</v>
      </c>
      <c r="O109" s="137" t="s">
        <v>399</v>
      </c>
    </row>
    <row r="110" spans="11:19" ht="15.75" customHeight="1">
      <c r="K110" s="226"/>
      <c r="M110" s="137" t="s">
        <v>728</v>
      </c>
      <c r="N110" s="137" t="s">
        <v>729</v>
      </c>
      <c r="O110" s="137" t="s">
        <v>425</v>
      </c>
    </row>
    <row r="111" spans="11:19" ht="15.75" customHeight="1">
      <c r="K111" s="226"/>
      <c r="M111" s="137" t="s">
        <v>730</v>
      </c>
      <c r="N111" s="137" t="s">
        <v>576</v>
      </c>
      <c r="O111" s="137" t="s">
        <v>425</v>
      </c>
    </row>
    <row r="112" spans="11:19" ht="15.75" customHeight="1">
      <c r="K112" s="226"/>
      <c r="M112" s="137" t="s">
        <v>731</v>
      </c>
      <c r="N112" s="137" t="s">
        <v>368</v>
      </c>
      <c r="O112" s="137" t="s">
        <v>425</v>
      </c>
    </row>
    <row r="113" spans="11:15" ht="15.75" customHeight="1">
      <c r="K113" s="226"/>
      <c r="M113" s="137" t="s">
        <v>732</v>
      </c>
      <c r="N113" s="137" t="s">
        <v>733</v>
      </c>
      <c r="O113" s="137" t="s">
        <v>399</v>
      </c>
    </row>
    <row r="114" spans="11:15" ht="15.75" customHeight="1">
      <c r="K114" s="226"/>
      <c r="M114" s="137" t="s">
        <v>734</v>
      </c>
      <c r="N114" s="137" t="s">
        <v>735</v>
      </c>
      <c r="O114" s="137" t="s">
        <v>399</v>
      </c>
    </row>
    <row r="115" spans="11:15" ht="15.75" customHeight="1">
      <c r="K115" s="226"/>
      <c r="M115" s="137" t="s">
        <v>736</v>
      </c>
      <c r="N115" s="137" t="s">
        <v>737</v>
      </c>
      <c r="O115" s="137" t="s">
        <v>425</v>
      </c>
    </row>
    <row r="116" spans="11:15" ht="15.75" customHeight="1">
      <c r="K116" s="226"/>
      <c r="M116" s="137" t="s">
        <v>738</v>
      </c>
      <c r="N116" s="137" t="s">
        <v>739</v>
      </c>
      <c r="O116" s="137" t="s">
        <v>399</v>
      </c>
    </row>
    <row r="117" spans="11:15" ht="15.75" customHeight="1">
      <c r="K117" s="226"/>
      <c r="M117" s="137" t="s">
        <v>740</v>
      </c>
      <c r="N117" s="137" t="s">
        <v>741</v>
      </c>
      <c r="O117" s="137" t="s">
        <v>399</v>
      </c>
    </row>
    <row r="118" spans="11:15" ht="15.75" customHeight="1">
      <c r="K118" s="226"/>
      <c r="M118" s="137" t="s">
        <v>742</v>
      </c>
      <c r="N118" s="137" t="s">
        <v>733</v>
      </c>
      <c r="O118" s="137" t="s">
        <v>399</v>
      </c>
    </row>
    <row r="119" spans="11:15" ht="15.75" customHeight="1">
      <c r="K119" s="226"/>
      <c r="M119" s="137" t="s">
        <v>743</v>
      </c>
      <c r="N119" s="137" t="s">
        <v>576</v>
      </c>
      <c r="O119" s="137" t="s">
        <v>425</v>
      </c>
    </row>
    <row r="120" spans="11:15" ht="15.75" customHeight="1">
      <c r="K120" s="226"/>
      <c r="M120" s="137" t="s">
        <v>744</v>
      </c>
      <c r="N120" s="137" t="s">
        <v>745</v>
      </c>
      <c r="O120" s="137" t="s">
        <v>399</v>
      </c>
    </row>
    <row r="121" spans="11:15" ht="15.75" customHeight="1">
      <c r="K121" s="226"/>
      <c r="M121" s="137" t="s">
        <v>746</v>
      </c>
      <c r="N121" s="137" t="s">
        <v>739</v>
      </c>
      <c r="O121" s="137" t="s">
        <v>425</v>
      </c>
    </row>
    <row r="122" spans="11:15" ht="15.75" customHeight="1">
      <c r="K122" s="226"/>
      <c r="M122" s="137" t="s">
        <v>747</v>
      </c>
      <c r="N122" s="137" t="s">
        <v>748</v>
      </c>
      <c r="O122" s="137" t="s">
        <v>425</v>
      </c>
    </row>
    <row r="123" spans="11:15" ht="15.75" customHeight="1">
      <c r="K123" s="226"/>
      <c r="M123" s="137" t="s">
        <v>747</v>
      </c>
      <c r="N123" s="137" t="s">
        <v>748</v>
      </c>
      <c r="O123" s="137" t="s">
        <v>425</v>
      </c>
    </row>
    <row r="124" spans="11:15" ht="15.75" customHeight="1">
      <c r="K124" s="226"/>
      <c r="M124" s="137" t="s">
        <v>749</v>
      </c>
      <c r="N124" s="137" t="s">
        <v>690</v>
      </c>
      <c r="O124" s="137" t="s">
        <v>399</v>
      </c>
    </row>
    <row r="125" spans="11:15" ht="15.75" customHeight="1">
      <c r="K125" s="226"/>
      <c r="M125" s="137" t="s">
        <v>750</v>
      </c>
      <c r="N125" s="137" t="s">
        <v>751</v>
      </c>
      <c r="O125" s="137" t="s">
        <v>399</v>
      </c>
    </row>
    <row r="126" spans="11:15" ht="15.75" customHeight="1">
      <c r="K126" s="226"/>
      <c r="M126" s="137" t="s">
        <v>752</v>
      </c>
      <c r="N126" s="137" t="s">
        <v>753</v>
      </c>
      <c r="O126" s="137" t="s">
        <v>399</v>
      </c>
    </row>
    <row r="127" spans="11:15" ht="15.75" customHeight="1">
      <c r="K127" s="226"/>
      <c r="M127" s="137" t="s">
        <v>754</v>
      </c>
      <c r="N127" s="137" t="s">
        <v>755</v>
      </c>
      <c r="O127" s="137" t="s">
        <v>399</v>
      </c>
    </row>
    <row r="128" spans="11:15" ht="15.75" customHeight="1">
      <c r="K128" s="226"/>
      <c r="M128" s="137" t="s">
        <v>756</v>
      </c>
      <c r="N128" s="137" t="s">
        <v>757</v>
      </c>
      <c r="O128" s="137" t="s">
        <v>399</v>
      </c>
    </row>
    <row r="129" spans="11:15" ht="15.75" customHeight="1">
      <c r="K129" s="226"/>
      <c r="M129" s="137" t="s">
        <v>758</v>
      </c>
      <c r="N129" s="137" t="s">
        <v>759</v>
      </c>
      <c r="O129" s="137" t="s">
        <v>399</v>
      </c>
    </row>
    <row r="130" spans="11:15" ht="15.75" customHeight="1">
      <c r="K130" s="226"/>
      <c r="M130" s="137" t="s">
        <v>760</v>
      </c>
      <c r="N130" s="137" t="s">
        <v>761</v>
      </c>
      <c r="O130" s="137" t="s">
        <v>399</v>
      </c>
    </row>
    <row r="131" spans="11:15" ht="15.75" customHeight="1">
      <c r="K131" s="226"/>
      <c r="M131" s="137" t="s">
        <v>762</v>
      </c>
      <c r="N131" s="137" t="s">
        <v>763</v>
      </c>
      <c r="O131" s="137" t="s">
        <v>399</v>
      </c>
    </row>
    <row r="132" spans="11:15" ht="15.75" customHeight="1">
      <c r="K132" s="226"/>
      <c r="M132" s="137" t="s">
        <v>764</v>
      </c>
      <c r="N132" s="137" t="s">
        <v>765</v>
      </c>
      <c r="O132" s="137" t="s">
        <v>399</v>
      </c>
    </row>
    <row r="133" spans="11:15" ht="15.75" customHeight="1">
      <c r="K133" s="226"/>
      <c r="M133" s="137" t="s">
        <v>766</v>
      </c>
      <c r="N133" s="137" t="s">
        <v>692</v>
      </c>
      <c r="O133" s="137" t="s">
        <v>399</v>
      </c>
    </row>
    <row r="134" spans="11:15" ht="15.75" customHeight="1">
      <c r="K134" s="226"/>
      <c r="M134" s="137" t="s">
        <v>767</v>
      </c>
      <c r="N134" s="137" t="s">
        <v>768</v>
      </c>
      <c r="O134" s="137" t="s">
        <v>399</v>
      </c>
    </row>
    <row r="135" spans="11:15" ht="15.75" customHeight="1">
      <c r="K135" s="226"/>
      <c r="M135" s="137" t="s">
        <v>769</v>
      </c>
      <c r="N135" s="137" t="s">
        <v>770</v>
      </c>
      <c r="O135" s="137" t="s">
        <v>399</v>
      </c>
    </row>
    <row r="136" spans="11:15" ht="15.75" customHeight="1">
      <c r="K136" s="226"/>
      <c r="M136" s="137" t="s">
        <v>771</v>
      </c>
      <c r="N136" s="137" t="s">
        <v>772</v>
      </c>
      <c r="O136" s="137" t="s">
        <v>399</v>
      </c>
    </row>
    <row r="137" spans="11:15" ht="15.75" customHeight="1">
      <c r="K137" s="226"/>
      <c r="M137" s="137" t="s">
        <v>773</v>
      </c>
      <c r="N137" s="137" t="s">
        <v>774</v>
      </c>
      <c r="O137" s="137" t="s">
        <v>399</v>
      </c>
    </row>
    <row r="138" spans="11:15" ht="15.75" customHeight="1">
      <c r="K138" s="226"/>
      <c r="M138" s="137" t="s">
        <v>775</v>
      </c>
      <c r="N138" s="137" t="s">
        <v>776</v>
      </c>
      <c r="O138" s="137" t="s">
        <v>399</v>
      </c>
    </row>
    <row r="139" spans="11:15" ht="15.75" customHeight="1">
      <c r="K139" s="226"/>
      <c r="M139" s="137" t="s">
        <v>777</v>
      </c>
      <c r="N139" s="137" t="s">
        <v>778</v>
      </c>
      <c r="O139" s="137" t="s">
        <v>399</v>
      </c>
    </row>
    <row r="140" spans="11:15" ht="15.75" customHeight="1">
      <c r="K140" s="226"/>
      <c r="M140" s="137" t="s">
        <v>779</v>
      </c>
      <c r="N140" s="137" t="s">
        <v>780</v>
      </c>
      <c r="O140" s="137" t="s">
        <v>399</v>
      </c>
    </row>
    <row r="141" spans="11:15" ht="15.75" customHeight="1">
      <c r="K141" s="226"/>
      <c r="M141" s="137" t="s">
        <v>781</v>
      </c>
      <c r="N141" s="137" t="s">
        <v>782</v>
      </c>
      <c r="O141" s="137" t="s">
        <v>399</v>
      </c>
    </row>
    <row r="142" spans="11:15" ht="15.75" customHeight="1">
      <c r="K142" s="226"/>
      <c r="M142" s="137" t="s">
        <v>783</v>
      </c>
      <c r="N142" s="137" t="s">
        <v>784</v>
      </c>
      <c r="O142" s="137" t="s">
        <v>399</v>
      </c>
    </row>
    <row r="143" spans="11:15" ht="15.75" customHeight="1">
      <c r="K143" s="226"/>
      <c r="M143" s="137" t="s">
        <v>785</v>
      </c>
      <c r="N143" s="137" t="s">
        <v>786</v>
      </c>
      <c r="O143" s="137" t="s">
        <v>399</v>
      </c>
    </row>
    <row r="144" spans="11:15" ht="15.75" customHeight="1">
      <c r="K144" s="226"/>
      <c r="M144" s="137" t="s">
        <v>787</v>
      </c>
      <c r="N144" s="137" t="s">
        <v>576</v>
      </c>
      <c r="O144" s="137" t="s">
        <v>425</v>
      </c>
    </row>
    <row r="145" spans="11:15" ht="15.75" customHeight="1">
      <c r="K145" s="226"/>
      <c r="M145" s="137" t="s">
        <v>788</v>
      </c>
      <c r="N145" s="137" t="s">
        <v>735</v>
      </c>
      <c r="O145" s="137" t="s">
        <v>399</v>
      </c>
    </row>
    <row r="146" spans="11:15" ht="15.75" customHeight="1">
      <c r="K146" s="226"/>
      <c r="M146" s="137" t="s">
        <v>789</v>
      </c>
      <c r="N146" s="137" t="s">
        <v>790</v>
      </c>
      <c r="O146" s="137" t="s">
        <v>399</v>
      </c>
    </row>
    <row r="147" spans="11:15" ht="15.75" customHeight="1">
      <c r="K147" s="226"/>
      <c r="M147" s="137" t="s">
        <v>791</v>
      </c>
      <c r="N147" s="137" t="s">
        <v>792</v>
      </c>
      <c r="O147" s="137" t="s">
        <v>399</v>
      </c>
    </row>
    <row r="148" spans="11:15" ht="15.75" customHeight="1">
      <c r="K148" s="226"/>
      <c r="M148" s="137" t="s">
        <v>793</v>
      </c>
      <c r="N148" s="137" t="s">
        <v>794</v>
      </c>
      <c r="O148" s="137" t="s">
        <v>425</v>
      </c>
    </row>
    <row r="149" spans="11:15" ht="15.75" customHeight="1">
      <c r="K149" s="226"/>
      <c r="M149" s="137" t="s">
        <v>795</v>
      </c>
      <c r="N149" s="137" t="s">
        <v>796</v>
      </c>
      <c r="O149" s="137" t="s">
        <v>399</v>
      </c>
    </row>
    <row r="150" spans="11:15" ht="15.75" customHeight="1">
      <c r="K150" s="226"/>
    </row>
    <row r="151" spans="11:15" ht="15.75" customHeight="1">
      <c r="K151" s="226"/>
    </row>
    <row r="152" spans="11:15" ht="15.75" customHeight="1">
      <c r="K152" s="226"/>
    </row>
    <row r="153" spans="11:15" ht="15.75" customHeight="1">
      <c r="K153" s="226"/>
    </row>
    <row r="154" spans="11:15" ht="15.75" customHeight="1">
      <c r="K154" s="226"/>
    </row>
    <row r="155" spans="11:15" ht="15.75" customHeight="1">
      <c r="K155" s="226"/>
    </row>
    <row r="156" spans="11:15" ht="15.75" customHeight="1">
      <c r="K156" s="226"/>
    </row>
    <row r="157" spans="11:15" ht="15.75" customHeight="1">
      <c r="K157" s="226"/>
    </row>
    <row r="158" spans="11:15" ht="15.75" customHeight="1">
      <c r="K158" s="226"/>
    </row>
    <row r="159" spans="11:15" ht="15.75" customHeight="1">
      <c r="K159" s="226"/>
    </row>
    <row r="160" spans="11:15" ht="15.75" customHeight="1">
      <c r="K160" s="226"/>
    </row>
    <row r="161" spans="11:11" ht="15.75" customHeight="1">
      <c r="K161" s="226"/>
    </row>
    <row r="162" spans="11:11" ht="15.75" customHeight="1">
      <c r="K162" s="226"/>
    </row>
    <row r="163" spans="11:11" ht="15.75" customHeight="1">
      <c r="K163" s="226"/>
    </row>
    <row r="164" spans="11:11" ht="15.75" customHeight="1">
      <c r="K164" s="226"/>
    </row>
    <row r="165" spans="11:11" ht="15.75" customHeight="1">
      <c r="K165" s="226"/>
    </row>
    <row r="166" spans="11:11" ht="15.75" customHeight="1">
      <c r="K166" s="226"/>
    </row>
    <row r="167" spans="11:11" ht="15.75" customHeight="1">
      <c r="K167" s="226"/>
    </row>
    <row r="168" spans="11:11" ht="15.75" customHeight="1">
      <c r="K168" s="226"/>
    </row>
    <row r="169" spans="11:11" ht="15.75" customHeight="1">
      <c r="K169" s="226"/>
    </row>
    <row r="170" spans="11:11" ht="15.75" customHeight="1">
      <c r="K170" s="226"/>
    </row>
    <row r="171" spans="11:11" ht="15.75" customHeight="1">
      <c r="K171" s="226"/>
    </row>
    <row r="172" spans="11:11" ht="15.75" customHeight="1">
      <c r="K172" s="226"/>
    </row>
    <row r="173" spans="11:11" ht="15.75" customHeight="1">
      <c r="K173" s="226"/>
    </row>
    <row r="174" spans="11:11" ht="15.75" customHeight="1">
      <c r="K174" s="226"/>
    </row>
    <row r="175" spans="11:11" ht="15.75" customHeight="1">
      <c r="K175" s="226"/>
    </row>
    <row r="176" spans="11:11" ht="15.75" customHeight="1">
      <c r="K176" s="226"/>
    </row>
    <row r="177" spans="11:11" ht="15.75" customHeight="1">
      <c r="K177" s="226"/>
    </row>
    <row r="178" spans="11:11" ht="15.75" customHeight="1">
      <c r="K178" s="226"/>
    </row>
    <row r="179" spans="11:11" ht="15.75" customHeight="1">
      <c r="K179" s="226"/>
    </row>
    <row r="180" spans="11:11" ht="15.75" customHeight="1">
      <c r="K180" s="226"/>
    </row>
    <row r="181" spans="11:11" ht="15.75" customHeight="1">
      <c r="K181" s="226"/>
    </row>
    <row r="182" spans="11:11" ht="15.75" customHeight="1">
      <c r="K182" s="226"/>
    </row>
    <row r="183" spans="11:11" ht="15.75" customHeight="1">
      <c r="K183" s="226"/>
    </row>
    <row r="184" spans="11:11" ht="15.75" customHeight="1">
      <c r="K184" s="226"/>
    </row>
    <row r="185" spans="11:11" ht="15.75" customHeight="1">
      <c r="K185" s="226"/>
    </row>
    <row r="186" spans="11:11" ht="15.75" customHeight="1">
      <c r="K186" s="226"/>
    </row>
    <row r="187" spans="11:11" ht="15.75" customHeight="1">
      <c r="K187" s="226"/>
    </row>
    <row r="188" spans="11:11" ht="15.75" customHeight="1">
      <c r="K188" s="226"/>
    </row>
    <row r="189" spans="11:11" ht="15.75" customHeight="1">
      <c r="K189" s="226"/>
    </row>
    <row r="190" spans="11:11" ht="15.75" customHeight="1">
      <c r="K190" s="226"/>
    </row>
    <row r="191" spans="11:11" ht="15.75" customHeight="1">
      <c r="K191" s="226"/>
    </row>
    <row r="192" spans="11:11" ht="15.75" customHeight="1">
      <c r="K192" s="226"/>
    </row>
    <row r="193" spans="11:11" ht="15.75" customHeight="1">
      <c r="K193" s="226"/>
    </row>
    <row r="194" spans="11:11" ht="15.75" customHeight="1">
      <c r="K194" s="226"/>
    </row>
    <row r="195" spans="11:11" ht="15.75" customHeight="1">
      <c r="K195" s="226"/>
    </row>
    <row r="196" spans="11:11" ht="15.75" customHeight="1">
      <c r="K196" s="226"/>
    </row>
    <row r="197" spans="11:11" ht="15.75" customHeight="1">
      <c r="K197" s="226"/>
    </row>
    <row r="198" spans="11:11" ht="15.75" customHeight="1">
      <c r="K198" s="226"/>
    </row>
    <row r="199" spans="11:11" ht="15.75" customHeight="1">
      <c r="K199" s="226"/>
    </row>
    <row r="200" spans="11:11" ht="15.75" customHeight="1">
      <c r="K200" s="226"/>
    </row>
    <row r="201" spans="11:11" ht="15.75" customHeight="1">
      <c r="K201" s="226"/>
    </row>
    <row r="202" spans="11:11" ht="15.75" customHeight="1">
      <c r="K202" s="226"/>
    </row>
    <row r="203" spans="11:11" ht="15.75" customHeight="1">
      <c r="K203" s="226"/>
    </row>
    <row r="204" spans="11:11" ht="15.75" customHeight="1">
      <c r="K204" s="226"/>
    </row>
    <row r="205" spans="11:11" ht="15.75" customHeight="1">
      <c r="K205" s="226"/>
    </row>
    <row r="206" spans="11:11" ht="15.75" customHeight="1">
      <c r="K206" s="226"/>
    </row>
    <row r="207" spans="11:11" ht="15.75" customHeight="1">
      <c r="K207" s="226"/>
    </row>
    <row r="208" spans="11:11" ht="15.75" customHeight="1">
      <c r="K208" s="226"/>
    </row>
    <row r="209" spans="11:11" ht="15.75" customHeight="1">
      <c r="K209" s="226"/>
    </row>
    <row r="210" spans="11:11" ht="15.75" customHeight="1">
      <c r="K210" s="226"/>
    </row>
    <row r="211" spans="11:11" ht="15.75" customHeight="1">
      <c r="K211" s="226"/>
    </row>
    <row r="212" spans="11:11" ht="15.75" customHeight="1">
      <c r="K212" s="226"/>
    </row>
    <row r="213" spans="11:11" ht="15.75" customHeight="1">
      <c r="K213" s="226"/>
    </row>
    <row r="214" spans="11:11" ht="15.75" customHeight="1">
      <c r="K214" s="226"/>
    </row>
    <row r="215" spans="11:11" ht="15.75" customHeight="1">
      <c r="K215" s="226"/>
    </row>
    <row r="216" spans="11:11" ht="15.75" customHeight="1">
      <c r="K216" s="226"/>
    </row>
    <row r="217" spans="11:11" ht="15.75" customHeight="1">
      <c r="K217" s="226"/>
    </row>
    <row r="218" spans="11:11" ht="15.75" customHeight="1">
      <c r="K218" s="226"/>
    </row>
    <row r="219" spans="11:11" ht="15.75" customHeight="1">
      <c r="K219" s="226"/>
    </row>
    <row r="220" spans="11:11" ht="15.75" customHeight="1">
      <c r="K220" s="226"/>
    </row>
    <row r="221" spans="11:11" ht="15.75" customHeight="1">
      <c r="K221" s="226"/>
    </row>
    <row r="222" spans="11:11" ht="15.75" customHeight="1">
      <c r="K222" s="226"/>
    </row>
    <row r="223" spans="11:11" ht="15.75" customHeight="1">
      <c r="K223" s="226"/>
    </row>
    <row r="224" spans="11:11" ht="15.75" customHeight="1">
      <c r="K224" s="226"/>
    </row>
    <row r="225" spans="11:11" ht="15.75" customHeight="1">
      <c r="K225" s="226"/>
    </row>
    <row r="226" spans="11:11" ht="15.75" customHeight="1">
      <c r="K226" s="226"/>
    </row>
    <row r="227" spans="11:11" ht="15.75" customHeight="1">
      <c r="K227" s="226"/>
    </row>
    <row r="228" spans="11:11" ht="15.75" customHeight="1">
      <c r="K228" s="226"/>
    </row>
    <row r="229" spans="11:11" ht="15.75" customHeight="1">
      <c r="K229" s="226"/>
    </row>
    <row r="230" spans="11:11" ht="15.75" customHeight="1">
      <c r="K230" s="226"/>
    </row>
    <row r="231" spans="11:11" ht="15.75" customHeight="1">
      <c r="K231" s="226"/>
    </row>
    <row r="232" spans="11:11" ht="15.75" customHeight="1">
      <c r="K232" s="226"/>
    </row>
    <row r="233" spans="11:11" ht="15.75" customHeight="1">
      <c r="K233" s="226"/>
    </row>
    <row r="234" spans="11:11" ht="15.75" customHeight="1">
      <c r="K234" s="226"/>
    </row>
    <row r="235" spans="11:11" ht="15.75" customHeight="1">
      <c r="K235" s="226"/>
    </row>
    <row r="236" spans="11:11" ht="15.75" customHeight="1">
      <c r="K236" s="226"/>
    </row>
    <row r="237" spans="11:11" ht="15.75" customHeight="1">
      <c r="K237" s="226"/>
    </row>
    <row r="238" spans="11:11" ht="15.75" customHeight="1">
      <c r="K238" s="226"/>
    </row>
    <row r="239" spans="11:11" ht="15.75" customHeight="1">
      <c r="K239" s="226"/>
    </row>
    <row r="240" spans="11:11" ht="15.75" customHeight="1">
      <c r="K240" s="226"/>
    </row>
    <row r="241" spans="11:11" ht="15.75" customHeight="1">
      <c r="K241" s="226"/>
    </row>
    <row r="242" spans="11:11" ht="15.75" customHeight="1">
      <c r="K242" s="226"/>
    </row>
    <row r="243" spans="11:11" ht="15.75" customHeight="1">
      <c r="K243" s="226"/>
    </row>
    <row r="244" spans="11:11" ht="15.75" customHeight="1">
      <c r="K244" s="226"/>
    </row>
    <row r="245" spans="11:11" ht="15.75" customHeight="1">
      <c r="K245" s="226"/>
    </row>
    <row r="246" spans="11:11" ht="15.75" customHeight="1">
      <c r="K246" s="226"/>
    </row>
    <row r="247" spans="11:11" ht="15.75" customHeight="1">
      <c r="K247" s="226"/>
    </row>
    <row r="248" spans="11:11" ht="15.75" customHeight="1">
      <c r="K248" s="226"/>
    </row>
    <row r="249" spans="11:11" ht="15.75" customHeight="1">
      <c r="K249" s="226"/>
    </row>
    <row r="250" spans="11:11" ht="15.75" customHeight="1">
      <c r="K250" s="226"/>
    </row>
    <row r="251" spans="11:11" ht="15.75" customHeight="1">
      <c r="K251" s="226"/>
    </row>
    <row r="252" spans="11:11" ht="15.75" customHeight="1">
      <c r="K252" s="226"/>
    </row>
    <row r="253" spans="11:11" ht="15.75" customHeight="1">
      <c r="K253" s="226"/>
    </row>
    <row r="254" spans="11:11" ht="15.75" customHeight="1">
      <c r="K254" s="226"/>
    </row>
    <row r="255" spans="11:11" ht="15.75" customHeight="1">
      <c r="K255" s="226"/>
    </row>
    <row r="256" spans="11:11" ht="15.75" customHeight="1">
      <c r="K256" s="226"/>
    </row>
    <row r="257" spans="11:11" ht="15.75" customHeight="1">
      <c r="K257" s="226"/>
    </row>
    <row r="258" spans="11:11" ht="15.75" customHeight="1">
      <c r="K258" s="226"/>
    </row>
    <row r="259" spans="11:11" ht="15.75" customHeight="1">
      <c r="K259" s="226"/>
    </row>
    <row r="260" spans="11:11" ht="15.75" customHeight="1">
      <c r="K260" s="226"/>
    </row>
    <row r="261" spans="11:11" ht="15.75" customHeight="1">
      <c r="K261" s="226"/>
    </row>
    <row r="262" spans="11:11" ht="15.75" customHeight="1">
      <c r="K262" s="226"/>
    </row>
    <row r="263" spans="11:11" ht="15.75" customHeight="1">
      <c r="K263" s="226"/>
    </row>
    <row r="264" spans="11:11" ht="15.75" customHeight="1">
      <c r="K264" s="226"/>
    </row>
    <row r="265" spans="11:11" ht="15.75" customHeight="1">
      <c r="K265" s="226"/>
    </row>
    <row r="266" spans="11:11" ht="15.75" customHeight="1">
      <c r="K266" s="226"/>
    </row>
    <row r="267" spans="11:11" ht="15.75" customHeight="1">
      <c r="K267" s="226"/>
    </row>
    <row r="268" spans="11:11" ht="15.75" customHeight="1">
      <c r="K268" s="226"/>
    </row>
    <row r="269" spans="11:11" ht="15.75" customHeight="1">
      <c r="K269" s="226"/>
    </row>
    <row r="270" spans="11:11" ht="15.75" customHeight="1">
      <c r="K270" s="226"/>
    </row>
    <row r="271" spans="11:11" ht="15.75" customHeight="1">
      <c r="K271" s="226"/>
    </row>
    <row r="272" spans="11:11" ht="15.75" customHeight="1">
      <c r="K272" s="226"/>
    </row>
    <row r="273" spans="11:11" ht="15.75" customHeight="1">
      <c r="K273" s="226"/>
    </row>
    <row r="274" spans="11:11" ht="15.75" customHeight="1">
      <c r="K274" s="226"/>
    </row>
    <row r="275" spans="11:11" ht="15.75" customHeight="1">
      <c r="K275" s="226"/>
    </row>
    <row r="276" spans="11:11" ht="15.75" customHeight="1">
      <c r="K276" s="226"/>
    </row>
    <row r="277" spans="11:11" ht="15.75" customHeight="1">
      <c r="K277" s="226"/>
    </row>
    <row r="278" spans="11:11" ht="15.75" customHeight="1">
      <c r="K278" s="226"/>
    </row>
    <row r="279" spans="11:11" ht="15.75" customHeight="1">
      <c r="K279" s="226"/>
    </row>
    <row r="280" spans="11:11" ht="15.75" customHeight="1">
      <c r="K280" s="226"/>
    </row>
    <row r="281" spans="11:11" ht="15.75" customHeight="1">
      <c r="K281" s="226"/>
    </row>
    <row r="282" spans="11:11" ht="15.75" customHeight="1">
      <c r="K282" s="226"/>
    </row>
    <row r="283" spans="11:11" ht="15.75" customHeight="1">
      <c r="K283" s="226"/>
    </row>
    <row r="284" spans="11:11" ht="15.75" customHeight="1">
      <c r="K284" s="226"/>
    </row>
    <row r="285" spans="11:11" ht="15.75" customHeight="1">
      <c r="K285" s="226"/>
    </row>
    <row r="286" spans="11:11" ht="15.75" customHeight="1">
      <c r="K286" s="226"/>
    </row>
    <row r="287" spans="11:11" ht="15.75" customHeight="1">
      <c r="K287" s="226"/>
    </row>
    <row r="288" spans="11:11" ht="15.75" customHeight="1">
      <c r="K288" s="226"/>
    </row>
    <row r="289" spans="11:11" ht="15.75" customHeight="1">
      <c r="K289" s="226"/>
    </row>
    <row r="290" spans="11:11" ht="15.75" customHeight="1">
      <c r="K290" s="226"/>
    </row>
    <row r="291" spans="11:11" ht="15.75" customHeight="1">
      <c r="K291" s="226"/>
    </row>
    <row r="292" spans="11:11" ht="15.75" customHeight="1">
      <c r="K292" s="226"/>
    </row>
    <row r="293" spans="11:11" ht="15.75" customHeight="1">
      <c r="K293" s="226"/>
    </row>
    <row r="294" spans="11:11" ht="15.75" customHeight="1">
      <c r="K294" s="226"/>
    </row>
    <row r="295" spans="11:11" ht="15.75" customHeight="1">
      <c r="K295" s="226"/>
    </row>
    <row r="296" spans="11:11" ht="15.75" customHeight="1">
      <c r="K296" s="226"/>
    </row>
    <row r="297" spans="11:11" ht="15.75" customHeight="1">
      <c r="K297" s="226"/>
    </row>
    <row r="298" spans="11:11" ht="15.75" customHeight="1">
      <c r="K298" s="226"/>
    </row>
    <row r="299" spans="11:11" ht="15.75" customHeight="1">
      <c r="K299" s="226"/>
    </row>
    <row r="300" spans="11:11" ht="15.75" customHeight="1">
      <c r="K300" s="226"/>
    </row>
    <row r="301" spans="11:11" ht="15.75" customHeight="1">
      <c r="K301" s="226"/>
    </row>
    <row r="302" spans="11:11" ht="15.75" customHeight="1">
      <c r="K302" s="226"/>
    </row>
    <row r="303" spans="11:11" ht="15.75" customHeight="1">
      <c r="K303" s="226"/>
    </row>
    <row r="304" spans="11:11" ht="15.75" customHeight="1">
      <c r="K304" s="226"/>
    </row>
    <row r="305" spans="11:11" ht="15.75" customHeight="1">
      <c r="K305" s="226"/>
    </row>
    <row r="306" spans="11:11" ht="15.75" customHeight="1">
      <c r="K306" s="226"/>
    </row>
    <row r="307" spans="11:11" ht="15.75" customHeight="1">
      <c r="K307" s="226"/>
    </row>
    <row r="308" spans="11:11" ht="15.75" customHeight="1">
      <c r="K308" s="226"/>
    </row>
    <row r="309" spans="11:11" ht="15.75" customHeight="1">
      <c r="K309" s="226"/>
    </row>
    <row r="310" spans="11:11" ht="15.75" customHeight="1">
      <c r="K310" s="226"/>
    </row>
    <row r="311" spans="11:11" ht="15.75" customHeight="1">
      <c r="K311" s="226"/>
    </row>
    <row r="312" spans="11:11" ht="15.75" customHeight="1">
      <c r="K312" s="226"/>
    </row>
    <row r="313" spans="11:11" ht="15.75" customHeight="1">
      <c r="K313" s="226"/>
    </row>
    <row r="314" spans="11:11" ht="15.75" customHeight="1">
      <c r="K314" s="226"/>
    </row>
    <row r="315" spans="11:11" ht="15.75" customHeight="1">
      <c r="K315" s="226"/>
    </row>
    <row r="316" spans="11:11" ht="15.75" customHeight="1">
      <c r="K316" s="226"/>
    </row>
    <row r="317" spans="11:11" ht="15.75" customHeight="1">
      <c r="K317" s="226"/>
    </row>
    <row r="318" spans="11:11" ht="15.75" customHeight="1">
      <c r="K318" s="226"/>
    </row>
    <row r="319" spans="11:11" ht="15.75" customHeight="1">
      <c r="K319" s="226"/>
    </row>
    <row r="320" spans="11:11" ht="15.75" customHeight="1">
      <c r="K320" s="226"/>
    </row>
    <row r="321" spans="11:11" ht="15.75" customHeight="1">
      <c r="K321" s="226"/>
    </row>
    <row r="322" spans="11:11" ht="15.75" customHeight="1">
      <c r="K322" s="226"/>
    </row>
    <row r="323" spans="11:11" ht="15.75" customHeight="1">
      <c r="K323" s="226"/>
    </row>
    <row r="324" spans="11:11" ht="15.75" customHeight="1">
      <c r="K324" s="226"/>
    </row>
    <row r="325" spans="11:11" ht="15.75" customHeight="1">
      <c r="K325" s="226"/>
    </row>
    <row r="326" spans="11:11" ht="15.75" customHeight="1">
      <c r="K326" s="226"/>
    </row>
    <row r="327" spans="11:11" ht="15.75" customHeight="1">
      <c r="K327" s="226"/>
    </row>
    <row r="328" spans="11:11" ht="15.75" customHeight="1">
      <c r="K328" s="226"/>
    </row>
    <row r="329" spans="11:11" ht="15.75" customHeight="1">
      <c r="K329" s="226"/>
    </row>
    <row r="330" spans="11:11" ht="15.75" customHeight="1">
      <c r="K330" s="226"/>
    </row>
    <row r="331" spans="11:11" ht="15.75" customHeight="1">
      <c r="K331" s="226"/>
    </row>
    <row r="332" spans="11:11" ht="15.75" customHeight="1">
      <c r="K332" s="226"/>
    </row>
    <row r="333" spans="11:11" ht="15.75" customHeight="1">
      <c r="K333" s="226"/>
    </row>
    <row r="334" spans="11:11" ht="15.75" customHeight="1">
      <c r="K334" s="226"/>
    </row>
    <row r="335" spans="11:11" ht="15.75" customHeight="1">
      <c r="K335" s="226"/>
    </row>
    <row r="336" spans="11:11" ht="15.75" customHeight="1">
      <c r="K336" s="226"/>
    </row>
    <row r="337" spans="11:11" ht="15.75" customHeight="1">
      <c r="K337" s="226"/>
    </row>
    <row r="338" spans="11:11" ht="15.75" customHeight="1">
      <c r="K338" s="226"/>
    </row>
    <row r="339" spans="11:11" ht="15.75" customHeight="1">
      <c r="K339" s="226"/>
    </row>
    <row r="340" spans="11:11" ht="15.75" customHeight="1">
      <c r="K340" s="226"/>
    </row>
    <row r="341" spans="11:11" ht="15.75" customHeight="1">
      <c r="K341" s="226"/>
    </row>
    <row r="342" spans="11:11" ht="15.75" customHeight="1">
      <c r="K342" s="226"/>
    </row>
    <row r="343" spans="11:11" ht="15.75" customHeight="1">
      <c r="K343" s="226"/>
    </row>
    <row r="344" spans="11:11" ht="15.75" customHeight="1">
      <c r="K344" s="226"/>
    </row>
    <row r="345" spans="11:11" ht="15.75" customHeight="1">
      <c r="K345" s="226"/>
    </row>
    <row r="346" spans="11:11" ht="15.75" customHeight="1">
      <c r="K346" s="226"/>
    </row>
    <row r="347" spans="11:11" ht="15.75" customHeight="1">
      <c r="K347" s="226"/>
    </row>
    <row r="348" spans="11:11" ht="15.75" customHeight="1">
      <c r="K348" s="226"/>
    </row>
    <row r="349" spans="11:11" ht="15.75" customHeight="1">
      <c r="K349" s="226"/>
    </row>
    <row r="350" spans="11:11" ht="15.75" customHeight="1"/>
    <row r="351" spans="11:11" ht="15.75" customHeight="1"/>
    <row r="352" spans="11:11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1000"/>
  <sheetViews>
    <sheetView showGridLines="0" workbookViewId="0"/>
  </sheetViews>
  <sheetFormatPr defaultColWidth="14.42578125" defaultRowHeight="15" customHeight="1"/>
  <cols>
    <col min="1" max="6" width="14.42578125" customWidth="1"/>
  </cols>
  <sheetData>
    <row r="1" spans="1:2">
      <c r="A1" s="287" t="s">
        <v>799</v>
      </c>
      <c r="B1" s="288" t="s">
        <v>797</v>
      </c>
    </row>
    <row r="2" spans="1:2">
      <c r="A2" s="289" t="s">
        <v>158</v>
      </c>
      <c r="B2" s="290">
        <v>8</v>
      </c>
    </row>
    <row r="3" spans="1:2">
      <c r="A3" s="291" t="s">
        <v>139</v>
      </c>
      <c r="B3" s="292">
        <v>2</v>
      </c>
    </row>
    <row r="4" spans="1:2">
      <c r="A4" s="291" t="s">
        <v>234</v>
      </c>
      <c r="B4" s="292">
        <v>2</v>
      </c>
    </row>
    <row r="5" spans="1:2">
      <c r="A5" s="291" t="s">
        <v>148</v>
      </c>
      <c r="B5" s="292">
        <v>3</v>
      </c>
    </row>
    <row r="6" spans="1:2">
      <c r="A6" s="291" t="s">
        <v>180</v>
      </c>
      <c r="B6" s="292">
        <v>1</v>
      </c>
    </row>
    <row r="7" spans="1:2">
      <c r="A7" s="291" t="s">
        <v>79</v>
      </c>
      <c r="B7" s="292">
        <v>4</v>
      </c>
    </row>
    <row r="8" spans="1:2">
      <c r="A8" s="291" t="s">
        <v>223</v>
      </c>
      <c r="B8" s="292">
        <v>4</v>
      </c>
    </row>
    <row r="9" spans="1:2">
      <c r="A9" s="291" t="s">
        <v>238</v>
      </c>
      <c r="B9" s="292">
        <v>1</v>
      </c>
    </row>
    <row r="10" spans="1:2">
      <c r="A10" s="291" t="s">
        <v>193</v>
      </c>
      <c r="B10" s="292">
        <v>8</v>
      </c>
    </row>
    <row r="11" spans="1:2">
      <c r="A11" s="291" t="s">
        <v>255</v>
      </c>
      <c r="B11" s="292">
        <v>4</v>
      </c>
    </row>
    <row r="12" spans="1:2">
      <c r="A12" s="291" t="s">
        <v>183</v>
      </c>
      <c r="B12" s="292">
        <v>2</v>
      </c>
    </row>
    <row r="13" spans="1:2">
      <c r="A13" s="291" t="s">
        <v>213</v>
      </c>
      <c r="B13" s="292">
        <v>3</v>
      </c>
    </row>
    <row r="14" spans="1:2">
      <c r="A14" s="291" t="s">
        <v>114</v>
      </c>
      <c r="B14" s="292">
        <v>7</v>
      </c>
    </row>
    <row r="15" spans="1:2">
      <c r="A15" s="291" t="s">
        <v>509</v>
      </c>
      <c r="B15" s="292">
        <v>1</v>
      </c>
    </row>
    <row r="16" spans="1:2">
      <c r="A16" s="291" t="s">
        <v>240</v>
      </c>
      <c r="B16" s="292">
        <v>10</v>
      </c>
    </row>
    <row r="17" spans="1:2">
      <c r="A17" s="291" t="s">
        <v>99</v>
      </c>
      <c r="B17" s="292">
        <v>5</v>
      </c>
    </row>
    <row r="18" spans="1:2">
      <c r="A18" s="291" t="s">
        <v>189</v>
      </c>
      <c r="B18" s="292">
        <v>2</v>
      </c>
    </row>
    <row r="19" spans="1:2">
      <c r="A19" s="291" t="s">
        <v>229</v>
      </c>
      <c r="B19" s="292">
        <v>2</v>
      </c>
    </row>
    <row r="20" spans="1:2">
      <c r="A20" s="291" t="s">
        <v>800</v>
      </c>
      <c r="B20" s="292"/>
    </row>
    <row r="21" spans="1:2" ht="15.75" customHeight="1">
      <c r="A21" s="293" t="s">
        <v>798</v>
      </c>
      <c r="B21" s="294">
        <v>69</v>
      </c>
    </row>
    <row r="22" spans="1:2" ht="15.75" customHeight="1">
      <c r="A22" s="236"/>
      <c r="B22" s="237"/>
    </row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DATA</vt:lpstr>
      <vt:lpstr>GENERAL PAYROLL</vt:lpstr>
      <vt:lpstr>TXTLIST</vt:lpstr>
      <vt:lpstr>MONTHLY SALARY</vt:lpstr>
      <vt:lpstr>PREMIUM</vt:lpstr>
      <vt:lpstr>CODE</vt:lpstr>
      <vt:lpstr>CODE 2</vt:lpstr>
      <vt:lpstr>Pivot 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User-PC</dc:creator>
  <cp:lastModifiedBy>Jonalyn Tolero</cp:lastModifiedBy>
  <dcterms:created xsi:type="dcterms:W3CDTF">2026-03-05T08:02:49Z</dcterms:created>
  <dcterms:modified xsi:type="dcterms:W3CDTF">2026-03-05T08:02:49Z</dcterms:modified>
</cp:coreProperties>
</file>