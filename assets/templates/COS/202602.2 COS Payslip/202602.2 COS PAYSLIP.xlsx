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APACER BACKUP\ATI 11-16-2022\PAYROLL MICH\COS\COS 2026\COS Payslip 2026\202602 COS PAYSLIP\"/>
    </mc:Choice>
  </mc:AlternateContent>
  <xr:revisionPtr revIDLastSave="0" documentId="13_ncr:1_{E35813C7-26CE-48AB-9BE5-CB5D053AC861}" xr6:coauthVersionLast="47" xr6:coauthVersionMax="47" xr10:uidLastSave="{00000000-0000-0000-0000-000000000000}"/>
  <bookViews>
    <workbookView xWindow="0" yWindow="120" windowWidth="15375" windowHeight="15360" tabRatio="601" firstSheet="2" activeTab="19" xr2:uid="{0A6F7B3C-4FD0-4383-89DB-8125DF41DE7C}"/>
  </bookViews>
  <sheets>
    <sheet name="MASTER DATA" sheetId="17" state="hidden" r:id="rId1"/>
    <sheet name="MASTER DATA (2)" sheetId="18" state="hidden" r:id="rId2"/>
    <sheet name="CDMD" sheetId="1" r:id="rId3"/>
    <sheet name="PPD" sheetId="2" r:id="rId4"/>
    <sheet name="ISD" sheetId="3" r:id="rId5"/>
    <sheet name="ADO" sheetId="4" r:id="rId6"/>
    <sheet name="BGT" sheetId="5" r:id="rId7"/>
    <sheet name="ACCTG" sheetId="6" r:id="rId8"/>
    <sheet name="Cashier" sheetId="21" r:id="rId9"/>
    <sheet name="HR" sheetId="7" r:id="rId10"/>
    <sheet name="IAU" sheetId="8" r:id="rId11"/>
    <sheet name="RCRD" sheetId="9" r:id="rId12"/>
    <sheet name="GSS" sheetId="10" r:id="rId13"/>
    <sheet name="INFRA" sheetId="11" r:id="rId14"/>
    <sheet name="COA" sheetId="12" r:id="rId15"/>
    <sheet name="SMS" sheetId="13" r:id="rId16"/>
    <sheet name="BAC" sheetId="14" r:id="rId17"/>
    <sheet name="DO" sheetId="15" r:id="rId18"/>
    <sheet name="PAD" sheetId="19" r:id="rId19"/>
    <sheet name="GH" sheetId="16" r:id="rId20"/>
  </sheets>
  <externalReferences>
    <externalReference r:id="rId21"/>
    <externalReference r:id="rId22"/>
    <externalReference r:id="rId23"/>
  </externalReferences>
  <definedNames>
    <definedName name="_xlnm.Print_Area" localSheetId="7">ACCTG!$A$1:$R$108</definedName>
    <definedName name="_xlnm.Print_Area" localSheetId="5">ADO!$A$1:$L$36</definedName>
    <definedName name="_xlnm.Print_Area" localSheetId="16">BAC!$A$1:$L$36</definedName>
    <definedName name="_xlnm.Print_Area" localSheetId="6">BGT!$A$1:$R$36</definedName>
    <definedName name="_xlnm.Print_Area" localSheetId="8">Cashier!$A$1:$F$36</definedName>
    <definedName name="_xlnm.Print_Area" localSheetId="2">CDMD!$A$1:$R$72</definedName>
    <definedName name="_xlnm.Print_Area" localSheetId="14">COA!$A$1:$R$72</definedName>
    <definedName name="_xlnm.Print_Area" localSheetId="17">DO!$A$1:$F$36</definedName>
    <definedName name="_xlnm.Print_Area" localSheetId="19">GH!$A$1:$R$144</definedName>
    <definedName name="_xlnm.Print_Area" localSheetId="12">GSS!$A$1:$R$108</definedName>
    <definedName name="_xlnm.Print_Area" localSheetId="9">HR!$A$1:$R$36</definedName>
    <definedName name="_xlnm.Print_Area" localSheetId="10">IAU!$A$1:$L$36</definedName>
    <definedName name="_xlnm.Print_Area" localSheetId="13">INFRA!$A$1:$R$37</definedName>
    <definedName name="_xlnm.Print_Area" localSheetId="4">ISD!$A$1:$R$108</definedName>
    <definedName name="_xlnm.Print_Area" localSheetId="18">PAD!$A$1:$R$144</definedName>
    <definedName name="_xlnm.Print_Area" localSheetId="3">PPD!$A$1:$R$72</definedName>
    <definedName name="_xlnm.Print_Area" localSheetId="11">RCRD!$A$1:$L$36</definedName>
    <definedName name="_xlnm.Print_Area" localSheetId="15">SMS!$A$1:$L$36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7" l="1"/>
  <c r="K68" i="6" l="1"/>
  <c r="K67" i="6"/>
  <c r="K66" i="6"/>
  <c r="K65" i="6"/>
  <c r="K64" i="6"/>
  <c r="K63" i="6"/>
  <c r="K58" i="6"/>
  <c r="K57" i="6"/>
  <c r="K56" i="6"/>
  <c r="K59" i="6" s="1"/>
  <c r="K50" i="6"/>
  <c r="K61" i="6" s="1"/>
  <c r="J49" i="6"/>
  <c r="J48" i="6"/>
  <c r="J47" i="6"/>
  <c r="K32" i="6"/>
  <c r="K30" i="6"/>
  <c r="K29" i="6"/>
  <c r="K28" i="6"/>
  <c r="K22" i="6"/>
  <c r="K21" i="6"/>
  <c r="K21" i="11"/>
  <c r="K20" i="6"/>
  <c r="K27" i="6"/>
  <c r="E21" i="6"/>
  <c r="K14" i="6"/>
  <c r="K69" i="6" l="1"/>
  <c r="AX27" i="18" l="1"/>
  <c r="AW27" i="18"/>
  <c r="AV27" i="18"/>
  <c r="AU27" i="18"/>
  <c r="AS27" i="18"/>
  <c r="AP27" i="18"/>
  <c r="S24" i="18"/>
  <c r="N24" i="18"/>
  <c r="M24" i="18"/>
  <c r="O24" i="18" s="1"/>
  <c r="W24" i="18" s="1"/>
  <c r="M23" i="18"/>
  <c r="N23" i="18" s="1"/>
  <c r="M22" i="18"/>
  <c r="O22" i="18" s="1"/>
  <c r="M21" i="18"/>
  <c r="O21" i="18" s="1"/>
  <c r="M20" i="18"/>
  <c r="O20" i="18" s="1"/>
  <c r="AC20" i="18" s="1"/>
  <c r="M19" i="18"/>
  <c r="M18" i="18"/>
  <c r="N18" i="18" s="1"/>
  <c r="M17" i="18"/>
  <c r="N17" i="18" s="1"/>
  <c r="M16" i="18"/>
  <c r="N16" i="18" s="1"/>
  <c r="AT15" i="18"/>
  <c r="M15" i="18"/>
  <c r="N15" i="18" s="1"/>
  <c r="M14" i="18"/>
  <c r="O14" i="18" s="1"/>
  <c r="AC14" i="18" s="1"/>
  <c r="O13" i="18"/>
  <c r="M13" i="18"/>
  <c r="N13" i="18" s="1"/>
  <c r="N12" i="18"/>
  <c r="M12" i="18"/>
  <c r="O12" i="18" s="1"/>
  <c r="S12" i="18" s="1"/>
  <c r="M11" i="18"/>
  <c r="N11" i="18" s="1"/>
  <c r="M10" i="18"/>
  <c r="N10" i="18" s="1"/>
  <c r="AI6" i="18"/>
  <c r="AC6" i="18"/>
  <c r="W6" i="18"/>
  <c r="AZ77" i="17"/>
  <c r="AX77" i="17"/>
  <c r="AW77" i="17"/>
  <c r="AV77" i="17"/>
  <c r="AU77" i="17"/>
  <c r="AS77" i="17"/>
  <c r="AP77" i="17"/>
  <c r="AN76" i="17"/>
  <c r="AM76" i="17"/>
  <c r="AL76" i="17"/>
  <c r="AK76" i="17"/>
  <c r="AJ76" i="17"/>
  <c r="AI76" i="17"/>
  <c r="Y76" i="17"/>
  <c r="X76" i="17"/>
  <c r="W76" i="17"/>
  <c r="R75" i="17"/>
  <c r="H75" i="17"/>
  <c r="M75" i="17" s="1"/>
  <c r="N75" i="17" s="1"/>
  <c r="A75" i="17"/>
  <c r="R74" i="17"/>
  <c r="H74" i="17"/>
  <c r="M74" i="17" s="1"/>
  <c r="A74" i="17"/>
  <c r="R73" i="17"/>
  <c r="H73" i="17"/>
  <c r="M73" i="17" s="1"/>
  <c r="N73" i="17" s="1"/>
  <c r="A73" i="17"/>
  <c r="H72" i="17"/>
  <c r="M72" i="17" s="1"/>
  <c r="A72" i="17"/>
  <c r="H71" i="17"/>
  <c r="M71" i="17" s="1"/>
  <c r="A71" i="17"/>
  <c r="R70" i="17"/>
  <c r="H70" i="17"/>
  <c r="M70" i="17" s="1"/>
  <c r="N70" i="17" s="1"/>
  <c r="A70" i="17"/>
  <c r="R69" i="17"/>
  <c r="H69" i="17"/>
  <c r="M69" i="17" s="1"/>
  <c r="A69" i="17"/>
  <c r="R68" i="17"/>
  <c r="H68" i="17"/>
  <c r="M68" i="17" s="1"/>
  <c r="N68" i="17" s="1"/>
  <c r="A68" i="17"/>
  <c r="R67" i="17"/>
  <c r="H67" i="17"/>
  <c r="M67" i="17" s="1"/>
  <c r="A67" i="17"/>
  <c r="R66" i="17"/>
  <c r="H66" i="17"/>
  <c r="M66" i="17" s="1"/>
  <c r="N66" i="17" s="1"/>
  <c r="A66" i="17"/>
  <c r="R65" i="17"/>
  <c r="H65" i="17"/>
  <c r="M65" i="17" s="1"/>
  <c r="A65" i="17"/>
  <c r="R64" i="17"/>
  <c r="H64" i="17"/>
  <c r="M64" i="17" s="1"/>
  <c r="N64" i="17" s="1"/>
  <c r="A64" i="17"/>
  <c r="R63" i="17"/>
  <c r="H63" i="17"/>
  <c r="M63" i="17" s="1"/>
  <c r="A63" i="17"/>
  <c r="H62" i="17"/>
  <c r="M62" i="17" s="1"/>
  <c r="O62" i="17" s="1"/>
  <c r="A62" i="17"/>
  <c r="R61" i="17"/>
  <c r="M61" i="17"/>
  <c r="N61" i="17" s="1"/>
  <c r="A61" i="17"/>
  <c r="R60" i="17"/>
  <c r="M60" i="17"/>
  <c r="O60" i="17" s="1"/>
  <c r="A60" i="17"/>
  <c r="R59" i="17"/>
  <c r="H59" i="17"/>
  <c r="M59" i="17" s="1"/>
  <c r="O59" i="17" s="1"/>
  <c r="A59" i="17"/>
  <c r="R58" i="17"/>
  <c r="H58" i="17"/>
  <c r="M58" i="17" s="1"/>
  <c r="A58" i="17"/>
  <c r="R57" i="17"/>
  <c r="H57" i="17"/>
  <c r="M57" i="17" s="1"/>
  <c r="A57" i="17"/>
  <c r="R56" i="17"/>
  <c r="H56" i="17"/>
  <c r="M56" i="17" s="1"/>
  <c r="A56" i="17"/>
  <c r="R55" i="17"/>
  <c r="H55" i="17"/>
  <c r="M55" i="17" s="1"/>
  <c r="A55" i="17"/>
  <c r="R54" i="17"/>
  <c r="H54" i="17"/>
  <c r="M54" i="17" s="1"/>
  <c r="O54" i="17" s="1"/>
  <c r="A54" i="17"/>
  <c r="R53" i="17"/>
  <c r="H53" i="17"/>
  <c r="M53" i="17" s="1"/>
  <c r="O53" i="17" s="1"/>
  <c r="A53" i="17"/>
  <c r="R52" i="17"/>
  <c r="H52" i="17"/>
  <c r="M52" i="17" s="1"/>
  <c r="O52" i="17" s="1"/>
  <c r="A52" i="17"/>
  <c r="R51" i="17"/>
  <c r="H51" i="17"/>
  <c r="M51" i="17" s="1"/>
  <c r="A51" i="17"/>
  <c r="R50" i="17"/>
  <c r="H50" i="17"/>
  <c r="M50" i="17" s="1"/>
  <c r="O50" i="17" s="1"/>
  <c r="W50" i="17" s="1"/>
  <c r="A50" i="17"/>
  <c r="R49" i="17"/>
  <c r="H49" i="17"/>
  <c r="M49" i="17" s="1"/>
  <c r="A49" i="17"/>
  <c r="R48" i="17"/>
  <c r="H48" i="17"/>
  <c r="M48" i="17" s="1"/>
  <c r="A48" i="17"/>
  <c r="R47" i="17"/>
  <c r="H47" i="17"/>
  <c r="M47" i="17" s="1"/>
  <c r="A47" i="17"/>
  <c r="R46" i="17"/>
  <c r="H46" i="17"/>
  <c r="M46" i="17" s="1"/>
  <c r="O46" i="17" s="1"/>
  <c r="AI46" i="17" s="1"/>
  <c r="A46" i="17"/>
  <c r="R45" i="17"/>
  <c r="H45" i="17"/>
  <c r="M45" i="17" s="1"/>
  <c r="N45" i="17" s="1"/>
  <c r="A45" i="17"/>
  <c r="R44" i="17"/>
  <c r="H44" i="17"/>
  <c r="M44" i="17" s="1"/>
  <c r="N44" i="17" s="1"/>
  <c r="A44" i="17"/>
  <c r="R43" i="17"/>
  <c r="H43" i="17"/>
  <c r="M43" i="17" s="1"/>
  <c r="A43" i="17"/>
  <c r="R42" i="17"/>
  <c r="H42" i="17"/>
  <c r="M42" i="17" s="1"/>
  <c r="O42" i="17" s="1"/>
  <c r="P42" i="17" s="1"/>
  <c r="A42" i="17"/>
  <c r="R41" i="17"/>
  <c r="H41" i="17"/>
  <c r="M41" i="17" s="1"/>
  <c r="A41" i="17"/>
  <c r="H40" i="17"/>
  <c r="M40" i="17" s="1"/>
  <c r="N40" i="17" s="1"/>
  <c r="A40" i="17"/>
  <c r="R39" i="17"/>
  <c r="N39" i="17"/>
  <c r="H39" i="17"/>
  <c r="M39" i="17" s="1"/>
  <c r="O39" i="17" s="1"/>
  <c r="A39" i="17"/>
  <c r="M38" i="17"/>
  <c r="H38" i="17"/>
  <c r="A38" i="17"/>
  <c r="H37" i="17"/>
  <c r="M37" i="17" s="1"/>
  <c r="A37" i="17"/>
  <c r="H36" i="17"/>
  <c r="M36" i="17" s="1"/>
  <c r="N36" i="17" s="1"/>
  <c r="A36" i="17"/>
  <c r="H35" i="17"/>
  <c r="M35" i="17" s="1"/>
  <c r="N35" i="17" s="1"/>
  <c r="A35" i="17"/>
  <c r="H34" i="17"/>
  <c r="M34" i="17" s="1"/>
  <c r="A34" i="17"/>
  <c r="H33" i="17"/>
  <c r="M33" i="17" s="1"/>
  <c r="A33" i="17"/>
  <c r="H32" i="17"/>
  <c r="M32" i="17" s="1"/>
  <c r="O32" i="17" s="1"/>
  <c r="P32" i="17" s="1"/>
  <c r="A32" i="17"/>
  <c r="H31" i="17"/>
  <c r="M31" i="17" s="1"/>
  <c r="O31" i="17" s="1"/>
  <c r="A31" i="17"/>
  <c r="R30" i="17"/>
  <c r="H30" i="17"/>
  <c r="M30" i="17" s="1"/>
  <c r="A30" i="17"/>
  <c r="R29" i="17"/>
  <c r="M29" i="17"/>
  <c r="N29" i="17" s="1"/>
  <c r="A29" i="17"/>
  <c r="R28" i="17"/>
  <c r="H28" i="17"/>
  <c r="M28" i="17" s="1"/>
  <c r="A28" i="17"/>
  <c r="R27" i="17"/>
  <c r="H27" i="17"/>
  <c r="M27" i="17" s="1"/>
  <c r="A27" i="17"/>
  <c r="R26" i="17"/>
  <c r="H26" i="17"/>
  <c r="M26" i="17" s="1"/>
  <c r="O26" i="17" s="1"/>
  <c r="A26" i="17"/>
  <c r="R25" i="17"/>
  <c r="H25" i="17"/>
  <c r="M25" i="17" s="1"/>
  <c r="A25" i="17"/>
  <c r="R24" i="17"/>
  <c r="M24" i="17"/>
  <c r="A24" i="17"/>
  <c r="R23" i="17"/>
  <c r="P23" i="17"/>
  <c r="M23" i="17"/>
  <c r="O23" i="17" s="1"/>
  <c r="AI23" i="17" s="1"/>
  <c r="A23" i="17"/>
  <c r="R22" i="17"/>
  <c r="H22" i="17"/>
  <c r="M22" i="17" s="1"/>
  <c r="N22" i="17" s="1"/>
  <c r="A22" i="17"/>
  <c r="R21" i="17"/>
  <c r="H21" i="17"/>
  <c r="M21" i="17" s="1"/>
  <c r="N21" i="17" s="1"/>
  <c r="A21" i="17"/>
  <c r="R20" i="17"/>
  <c r="H20" i="17"/>
  <c r="M20" i="17" s="1"/>
  <c r="A20" i="17"/>
  <c r="R19" i="17"/>
  <c r="H19" i="17"/>
  <c r="M19" i="17" s="1"/>
  <c r="A19" i="17"/>
  <c r="R18" i="17"/>
  <c r="H18" i="17"/>
  <c r="M18" i="17" s="1"/>
  <c r="N18" i="17" s="1"/>
  <c r="A18" i="17"/>
  <c r="R17" i="17"/>
  <c r="H17" i="17"/>
  <c r="M17" i="17" s="1"/>
  <c r="N17" i="17" s="1"/>
  <c r="A17" i="17"/>
  <c r="R16" i="17"/>
  <c r="H16" i="17"/>
  <c r="M16" i="17" s="1"/>
  <c r="A16" i="17"/>
  <c r="R15" i="17"/>
  <c r="H15" i="17"/>
  <c r="M15" i="17" s="1"/>
  <c r="A15" i="17"/>
  <c r="R14" i="17"/>
  <c r="H14" i="17"/>
  <c r="M14" i="17" s="1"/>
  <c r="A14" i="17"/>
  <c r="H13" i="17"/>
  <c r="M13" i="17" s="1"/>
  <c r="O13" i="17" s="1"/>
  <c r="A13" i="17"/>
  <c r="M12" i="17"/>
  <c r="N12" i="17" s="1"/>
  <c r="A12" i="17"/>
  <c r="H11" i="17"/>
  <c r="M11" i="17" s="1"/>
  <c r="O11" i="17" s="1"/>
  <c r="A11" i="17"/>
  <c r="R10" i="17"/>
  <c r="H10" i="17"/>
  <c r="M10" i="17" s="1"/>
  <c r="A10" i="17"/>
  <c r="AC6" i="17"/>
  <c r="W6" i="17"/>
  <c r="O15" i="18" l="1"/>
  <c r="P15" i="18" s="1"/>
  <c r="O18" i="18"/>
  <c r="AC18" i="18" s="1"/>
  <c r="N62" i="17"/>
  <c r="O44" i="17"/>
  <c r="AI44" i="17" s="1"/>
  <c r="O12" i="17"/>
  <c r="AC12" i="17" s="1"/>
  <c r="N23" i="17"/>
  <c r="O34" i="17"/>
  <c r="N34" i="17"/>
  <c r="N16" i="17"/>
  <c r="O16" i="17"/>
  <c r="AC16" i="17" s="1"/>
  <c r="N51" i="17"/>
  <c r="O51" i="17"/>
  <c r="P51" i="17" s="1"/>
  <c r="AJ51" i="17" s="1"/>
  <c r="O61" i="17"/>
  <c r="AC61" i="17" s="1"/>
  <c r="O22" i="17"/>
  <c r="AC22" i="17" s="1"/>
  <c r="P44" i="17"/>
  <c r="N48" i="17"/>
  <c r="O48" i="17"/>
  <c r="AC48" i="17" s="1"/>
  <c r="O55" i="17"/>
  <c r="P55" i="17" s="1"/>
  <c r="N55" i="17"/>
  <c r="N13" i="17"/>
  <c r="O35" i="17"/>
  <c r="AI35" i="17" s="1"/>
  <c r="N50" i="17"/>
  <c r="O66" i="17"/>
  <c r="AC66" i="17" s="1"/>
  <c r="N42" i="17"/>
  <c r="S23" i="17"/>
  <c r="W23" i="17"/>
  <c r="N31" i="17"/>
  <c r="AC23" i="17"/>
  <c r="AD15" i="18"/>
  <c r="X15" i="18"/>
  <c r="AJ15" i="18"/>
  <c r="Q15" i="18"/>
  <c r="AI21" i="18"/>
  <c r="AC21" i="18"/>
  <c r="W21" i="18"/>
  <c r="AL21" i="18" s="1"/>
  <c r="S21" i="18"/>
  <c r="P21" i="18"/>
  <c r="S15" i="18"/>
  <c r="W15" i="18"/>
  <c r="AL15" i="18" s="1"/>
  <c r="AI13" i="18"/>
  <c r="W13" i="18"/>
  <c r="S13" i="18"/>
  <c r="P13" i="18"/>
  <c r="AC13" i="18"/>
  <c r="O19" i="18"/>
  <c r="N19" i="18"/>
  <c r="N21" i="18"/>
  <c r="O10" i="18"/>
  <c r="O16" i="18"/>
  <c r="AI18" i="18"/>
  <c r="AC15" i="18"/>
  <c r="AI15" i="18"/>
  <c r="W14" i="18"/>
  <c r="S14" i="18"/>
  <c r="P14" i="18"/>
  <c r="P12" i="18"/>
  <c r="Q12" i="18" s="1"/>
  <c r="P20" i="18"/>
  <c r="AI20" i="18"/>
  <c r="S20" i="18"/>
  <c r="AC24" i="18"/>
  <c r="AL24" i="18" s="1"/>
  <c r="AI24" i="18"/>
  <c r="AI14" i="18"/>
  <c r="S18" i="18"/>
  <c r="W20" i="18"/>
  <c r="AL20" i="18" s="1"/>
  <c r="AC22" i="18"/>
  <c r="S22" i="18"/>
  <c r="P22" i="18"/>
  <c r="W22" i="18"/>
  <c r="AL22" i="18" s="1"/>
  <c r="P24" i="18"/>
  <c r="N14" i="18"/>
  <c r="O23" i="18"/>
  <c r="O17" i="18"/>
  <c r="N20" i="18"/>
  <c r="N22" i="18"/>
  <c r="O11" i="18"/>
  <c r="AJ32" i="17"/>
  <c r="AD32" i="17"/>
  <c r="X32" i="17"/>
  <c r="Q32" i="17"/>
  <c r="AI11" i="17"/>
  <c r="AC11" i="17"/>
  <c r="W11" i="17"/>
  <c r="S11" i="17"/>
  <c r="P11" i="17"/>
  <c r="W16" i="17"/>
  <c r="P16" i="17"/>
  <c r="S16" i="17"/>
  <c r="AI52" i="17"/>
  <c r="AC52" i="17"/>
  <c r="W52" i="17"/>
  <c r="S52" i="17"/>
  <c r="O57" i="17"/>
  <c r="N57" i="17"/>
  <c r="AI60" i="17"/>
  <c r="AC60" i="17"/>
  <c r="S60" i="17"/>
  <c r="P60" i="17"/>
  <c r="O36" i="17"/>
  <c r="N43" i="17"/>
  <c r="O43" i="17"/>
  <c r="P50" i="17"/>
  <c r="AI50" i="17"/>
  <c r="AC50" i="17"/>
  <c r="S50" i="17"/>
  <c r="N52" i="17"/>
  <c r="O63" i="17"/>
  <c r="N63" i="17"/>
  <c r="O20" i="17"/>
  <c r="N20" i="17"/>
  <c r="W22" i="17"/>
  <c r="S22" i="17"/>
  <c r="P22" i="17"/>
  <c r="AI22" i="17"/>
  <c r="N41" i="17"/>
  <c r="O41" i="17"/>
  <c r="P52" i="17"/>
  <c r="W60" i="17"/>
  <c r="AL60" i="17" s="1"/>
  <c r="AI26" i="17"/>
  <c r="W26" i="17"/>
  <c r="S26" i="17"/>
  <c r="N26" i="17"/>
  <c r="AI53" i="17"/>
  <c r="W53" i="17"/>
  <c r="S53" i="17"/>
  <c r="AC53" i="17"/>
  <c r="N32" i="17"/>
  <c r="O58" i="17"/>
  <c r="N58" i="17"/>
  <c r="O37" i="17"/>
  <c r="N37" i="17"/>
  <c r="S46" i="17"/>
  <c r="N53" i="17"/>
  <c r="W12" i="17"/>
  <c r="P12" i="17"/>
  <c r="S12" i="17"/>
  <c r="AI12" i="17"/>
  <c r="O18" i="17"/>
  <c r="N24" i="17"/>
  <c r="O24" i="17"/>
  <c r="P26" i="17"/>
  <c r="P53" i="17"/>
  <c r="O21" i="17"/>
  <c r="AC26" i="17"/>
  <c r="W42" i="17"/>
  <c r="S42" i="17"/>
  <c r="S44" i="17"/>
  <c r="AC44" i="17"/>
  <c r="W44" i="17"/>
  <c r="AL44" i="17" s="1"/>
  <c r="O74" i="17"/>
  <c r="N74" i="17"/>
  <c r="N15" i="17"/>
  <c r="O15" i="17"/>
  <c r="N33" i="17"/>
  <c r="O33" i="17"/>
  <c r="AJ44" i="17"/>
  <c r="AD44" i="17"/>
  <c r="X44" i="17"/>
  <c r="Q44" i="17"/>
  <c r="N49" i="17"/>
  <c r="O49" i="17"/>
  <c r="AC51" i="17"/>
  <c r="N56" i="17"/>
  <c r="O56" i="17"/>
  <c r="AJ23" i="17"/>
  <c r="AD23" i="17"/>
  <c r="X23" i="17"/>
  <c r="AM23" i="17" s="1"/>
  <c r="P31" i="17"/>
  <c r="AC31" i="17"/>
  <c r="AI31" i="17"/>
  <c r="P35" i="17"/>
  <c r="X42" i="17"/>
  <c r="Q42" i="17"/>
  <c r="AJ42" i="17"/>
  <c r="S59" i="17"/>
  <c r="AI59" i="17"/>
  <c r="AC59" i="17"/>
  <c r="W59" i="17"/>
  <c r="P59" i="17"/>
  <c r="O28" i="17"/>
  <c r="N28" i="17"/>
  <c r="W13" i="17"/>
  <c r="AC13" i="17"/>
  <c r="P54" i="17"/>
  <c r="AI54" i="17"/>
  <c r="W54" i="17"/>
  <c r="AC54" i="17"/>
  <c r="S54" i="17"/>
  <c r="O14" i="17"/>
  <c r="N14" i="17"/>
  <c r="O30" i="17"/>
  <c r="N30" i="17"/>
  <c r="O10" i="17"/>
  <c r="N10" i="17"/>
  <c r="AC46" i="17"/>
  <c r="W46" i="17"/>
  <c r="P46" i="17"/>
  <c r="N19" i="17"/>
  <c r="O19" i="17"/>
  <c r="N11" i="17"/>
  <c r="Q23" i="17"/>
  <c r="O29" i="17"/>
  <c r="N47" i="17"/>
  <c r="O47" i="17"/>
  <c r="P13" i="17"/>
  <c r="N25" i="17"/>
  <c r="O25" i="17"/>
  <c r="S31" i="17"/>
  <c r="O40" i="17"/>
  <c r="AC42" i="17"/>
  <c r="N54" i="17"/>
  <c r="O71" i="17"/>
  <c r="N71" i="17"/>
  <c r="W39" i="17"/>
  <c r="P39" i="17"/>
  <c r="AI39" i="17"/>
  <c r="AC39" i="17"/>
  <c r="S39" i="17"/>
  <c r="S13" i="17"/>
  <c r="O27" i="17"/>
  <c r="N27" i="17"/>
  <c r="W31" i="17"/>
  <c r="N38" i="17"/>
  <c r="O38" i="17"/>
  <c r="AD42" i="17"/>
  <c r="AI32" i="17"/>
  <c r="AC32" i="17"/>
  <c r="W32" i="17"/>
  <c r="S32" i="17"/>
  <c r="AI13" i="17"/>
  <c r="AI42" i="17"/>
  <c r="O45" i="17"/>
  <c r="AC34" i="17"/>
  <c r="O70" i="17"/>
  <c r="O75" i="17"/>
  <c r="AO76" i="17"/>
  <c r="W62" i="17"/>
  <c r="S62" i="17"/>
  <c r="AC62" i="17"/>
  <c r="N46" i="17"/>
  <c r="N59" i="17"/>
  <c r="N60" i="17"/>
  <c r="P62" i="17"/>
  <c r="O68" i="17"/>
  <c r="O69" i="17"/>
  <c r="N69" i="17"/>
  <c r="O67" i="17"/>
  <c r="N67" i="17"/>
  <c r="O17" i="17"/>
  <c r="AI62" i="17"/>
  <c r="O73" i="17"/>
  <c r="AI55" i="17"/>
  <c r="P34" i="17"/>
  <c r="O65" i="17"/>
  <c r="N65" i="17"/>
  <c r="O72" i="17"/>
  <c r="N72" i="17"/>
  <c r="S34" i="17"/>
  <c r="O64" i="17"/>
  <c r="K104" i="6"/>
  <c r="K103" i="6"/>
  <c r="K102" i="6"/>
  <c r="K101" i="6"/>
  <c r="K100" i="6"/>
  <c r="K99" i="6"/>
  <c r="K94" i="6"/>
  <c r="J85" i="6"/>
  <c r="J84" i="6"/>
  <c r="J83" i="6"/>
  <c r="AL13" i="18" l="1"/>
  <c r="P18" i="18"/>
  <c r="AL14" i="18"/>
  <c r="W18" i="18"/>
  <c r="AL18" i="18" s="1"/>
  <c r="W51" i="17"/>
  <c r="AL50" i="17"/>
  <c r="AI51" i="17"/>
  <c r="AI16" i="17"/>
  <c r="AL16" i="17" s="1"/>
  <c r="AL12" i="17"/>
  <c r="W55" i="17"/>
  <c r="P61" i="17"/>
  <c r="Q51" i="17"/>
  <c r="S51" i="17"/>
  <c r="AL23" i="17"/>
  <c r="AD51" i="17"/>
  <c r="X51" i="17"/>
  <c r="AM51" i="17" s="1"/>
  <c r="AI48" i="17"/>
  <c r="S48" i="17"/>
  <c r="AL32" i="17"/>
  <c r="AL46" i="17"/>
  <c r="W35" i="17"/>
  <c r="P48" i="17"/>
  <c r="P66" i="17"/>
  <c r="X66" i="17" s="1"/>
  <c r="W48" i="17"/>
  <c r="AL48" i="17" s="1"/>
  <c r="S66" i="17"/>
  <c r="AI66" i="17"/>
  <c r="AL66" i="17" s="1"/>
  <c r="S61" i="17"/>
  <c r="W61" i="17"/>
  <c r="S35" i="17"/>
  <c r="W66" i="17"/>
  <c r="S55" i="17"/>
  <c r="AC55" i="17"/>
  <c r="AL55" i="17" s="1"/>
  <c r="AI61" i="17"/>
  <c r="AC35" i="17"/>
  <c r="AL35" i="17" s="1"/>
  <c r="W34" i="17"/>
  <c r="AI34" i="17"/>
  <c r="AL52" i="17"/>
  <c r="AJ24" i="18"/>
  <c r="AD24" i="18"/>
  <c r="Q24" i="18"/>
  <c r="X24" i="18"/>
  <c r="AI16" i="18"/>
  <c r="S16" i="18"/>
  <c r="P16" i="18"/>
  <c r="AC16" i="18"/>
  <c r="W16" i="18"/>
  <c r="AD18" i="18"/>
  <c r="X18" i="18"/>
  <c r="AM18" i="18" s="1"/>
  <c r="AJ18" i="18"/>
  <c r="Q18" i="18"/>
  <c r="AJ21" i="18"/>
  <c r="AD21" i="18"/>
  <c r="X21" i="18"/>
  <c r="Q21" i="18"/>
  <c r="AE15" i="18"/>
  <c r="Y15" i="18"/>
  <c r="AK15" i="18"/>
  <c r="S11" i="18"/>
  <c r="P11" i="18"/>
  <c r="AI11" i="18"/>
  <c r="AC11" i="18"/>
  <c r="AL11" i="18" s="1"/>
  <c r="AM15" i="18"/>
  <c r="W23" i="18"/>
  <c r="S23" i="18"/>
  <c r="P23" i="18"/>
  <c r="AI23" i="18"/>
  <c r="AC23" i="18"/>
  <c r="Q14" i="18"/>
  <c r="AJ14" i="18"/>
  <c r="AD14" i="18"/>
  <c r="X14" i="18"/>
  <c r="AM14" i="18" s="1"/>
  <c r="X22" i="18"/>
  <c r="Q22" i="18"/>
  <c r="AD22" i="18"/>
  <c r="S10" i="18"/>
  <c r="AI10" i="18"/>
  <c r="P10" i="18"/>
  <c r="AC10" i="18"/>
  <c r="S19" i="18"/>
  <c r="AC19" i="18"/>
  <c r="W19" i="18"/>
  <c r="P19" i="18"/>
  <c r="AI19" i="18"/>
  <c r="W17" i="18"/>
  <c r="S17" i="18"/>
  <c r="P17" i="18"/>
  <c r="AI17" i="18"/>
  <c r="AC17" i="18"/>
  <c r="Q20" i="18"/>
  <c r="AJ20" i="18"/>
  <c r="X20" i="18"/>
  <c r="AD20" i="18"/>
  <c r="X13" i="18"/>
  <c r="AD13" i="18"/>
  <c r="Q13" i="18"/>
  <c r="AJ13" i="18"/>
  <c r="AD55" i="17"/>
  <c r="Q55" i="17"/>
  <c r="AJ55" i="17"/>
  <c r="X55" i="17"/>
  <c r="AL39" i="17"/>
  <c r="W19" i="17"/>
  <c r="AC19" i="17"/>
  <c r="P19" i="17"/>
  <c r="AI19" i="17"/>
  <c r="S19" i="17"/>
  <c r="AM44" i="17"/>
  <c r="AD53" i="17"/>
  <c r="Q53" i="17"/>
  <c r="X53" i="17"/>
  <c r="AJ53" i="17"/>
  <c r="AI41" i="17"/>
  <c r="AC41" i="17"/>
  <c r="S41" i="17"/>
  <c r="P41" i="17"/>
  <c r="W41" i="17"/>
  <c r="W17" i="17"/>
  <c r="S17" i="17"/>
  <c r="AI17" i="17"/>
  <c r="AC17" i="17"/>
  <c r="P17" i="17"/>
  <c r="AL13" i="17"/>
  <c r="AD26" i="17"/>
  <c r="AJ26" i="17"/>
  <c r="X26" i="17"/>
  <c r="Q26" i="17"/>
  <c r="S28" i="17"/>
  <c r="P28" i="17"/>
  <c r="AI28" i="17"/>
  <c r="AC28" i="17"/>
  <c r="W28" i="17"/>
  <c r="W33" i="17"/>
  <c r="AI33" i="17"/>
  <c r="AC33" i="17"/>
  <c r="S33" i="17"/>
  <c r="P33" i="17"/>
  <c r="AI24" i="17"/>
  <c r="AC24" i="17"/>
  <c r="S24" i="17"/>
  <c r="P24" i="17"/>
  <c r="W24" i="17"/>
  <c r="Q22" i="17"/>
  <c r="AJ22" i="17"/>
  <c r="AD22" i="17"/>
  <c r="X22" i="17"/>
  <c r="AJ50" i="17"/>
  <c r="X50" i="17"/>
  <c r="AD50" i="17"/>
  <c r="Q50" i="17"/>
  <c r="AC73" i="17"/>
  <c r="P73" i="17"/>
  <c r="AI73" i="17"/>
  <c r="S73" i="17"/>
  <c r="W73" i="17"/>
  <c r="AI67" i="17"/>
  <c r="W67" i="17"/>
  <c r="AC67" i="17"/>
  <c r="S67" i="17"/>
  <c r="P67" i="17"/>
  <c r="AL62" i="17"/>
  <c r="AD59" i="17"/>
  <c r="Q59" i="17"/>
  <c r="AJ59" i="17"/>
  <c r="X59" i="17"/>
  <c r="P58" i="17"/>
  <c r="AI58" i="17"/>
  <c r="W58" i="17"/>
  <c r="AC58" i="17"/>
  <c r="S58" i="17"/>
  <c r="AI43" i="17"/>
  <c r="W43" i="17"/>
  <c r="P43" i="17"/>
  <c r="AC43" i="17"/>
  <c r="S43" i="17"/>
  <c r="AI69" i="17"/>
  <c r="W69" i="17"/>
  <c r="AC69" i="17"/>
  <c r="S69" i="17"/>
  <c r="P69" i="17"/>
  <c r="AI40" i="17"/>
  <c r="P40" i="17"/>
  <c r="AC40" i="17"/>
  <c r="W40" i="17"/>
  <c r="S40" i="17"/>
  <c r="AL59" i="17"/>
  <c r="P15" i="17"/>
  <c r="AI15" i="17"/>
  <c r="AC15" i="17"/>
  <c r="W15" i="17"/>
  <c r="S15" i="17"/>
  <c r="AL22" i="17"/>
  <c r="AJ11" i="17"/>
  <c r="AD11" i="17"/>
  <c r="X11" i="17"/>
  <c r="Q11" i="17"/>
  <c r="AC75" i="17"/>
  <c r="P75" i="17"/>
  <c r="AI75" i="17"/>
  <c r="S75" i="17"/>
  <c r="W75" i="17"/>
  <c r="P38" i="17"/>
  <c r="W38" i="17"/>
  <c r="S38" i="17"/>
  <c r="AI38" i="17"/>
  <c r="AC38" i="17"/>
  <c r="P10" i="17"/>
  <c r="AI10" i="17"/>
  <c r="AC10" i="17"/>
  <c r="W10" i="17"/>
  <c r="S10" i="17"/>
  <c r="AI36" i="17"/>
  <c r="P36" i="17"/>
  <c r="W36" i="17"/>
  <c r="S36" i="17"/>
  <c r="AC36" i="17"/>
  <c r="AJ35" i="17"/>
  <c r="AD35" i="17"/>
  <c r="X35" i="17"/>
  <c r="AM35" i="17" s="1"/>
  <c r="Q35" i="17"/>
  <c r="AJ46" i="17"/>
  <c r="AD46" i="17"/>
  <c r="X46" i="17"/>
  <c r="AM46" i="17" s="1"/>
  <c r="Q46" i="17"/>
  <c r="W64" i="17"/>
  <c r="S64" i="17"/>
  <c r="AC64" i="17"/>
  <c r="P64" i="17"/>
  <c r="AI64" i="17"/>
  <c r="W70" i="17"/>
  <c r="S70" i="17"/>
  <c r="AC70" i="17"/>
  <c r="AI70" i="17"/>
  <c r="P70" i="17"/>
  <c r="P56" i="17"/>
  <c r="AI56" i="17"/>
  <c r="W56" i="17"/>
  <c r="S56" i="17"/>
  <c r="AC56" i="17"/>
  <c r="AJ48" i="17"/>
  <c r="Q48" i="17"/>
  <c r="AD48" i="17"/>
  <c r="X48" i="17"/>
  <c r="P20" i="17"/>
  <c r="AC20" i="17"/>
  <c r="AI20" i="17"/>
  <c r="W20" i="17"/>
  <c r="S20" i="17"/>
  <c r="Q60" i="17"/>
  <c r="AJ60" i="17"/>
  <c r="X60" i="17"/>
  <c r="AD60" i="17"/>
  <c r="AL11" i="17"/>
  <c r="AJ39" i="17"/>
  <c r="AD39" i="17"/>
  <c r="X39" i="17"/>
  <c r="Q39" i="17"/>
  <c r="Q31" i="17"/>
  <c r="AJ31" i="17"/>
  <c r="AD31" i="17"/>
  <c r="X31" i="17"/>
  <c r="W68" i="17"/>
  <c r="S68" i="17"/>
  <c r="AC68" i="17"/>
  <c r="AI68" i="17"/>
  <c r="P68" i="17"/>
  <c r="AL31" i="17"/>
  <c r="P25" i="17"/>
  <c r="S25" i="17"/>
  <c r="AI25" i="17"/>
  <c r="W25" i="17"/>
  <c r="AC25" i="17"/>
  <c r="W30" i="17"/>
  <c r="AL30" i="17" s="1"/>
  <c r="AC30" i="17"/>
  <c r="S30" i="17"/>
  <c r="P30" i="17"/>
  <c r="AI30" i="17"/>
  <c r="W74" i="17"/>
  <c r="P74" i="17"/>
  <c r="AC74" i="17"/>
  <c r="S74" i="17"/>
  <c r="AI74" i="17"/>
  <c r="AL53" i="17"/>
  <c r="AI21" i="17"/>
  <c r="AC21" i="17"/>
  <c r="W21" i="17"/>
  <c r="P21" i="17"/>
  <c r="S21" i="17"/>
  <c r="AJ61" i="17"/>
  <c r="X61" i="17"/>
  <c r="AD61" i="17"/>
  <c r="Q61" i="17"/>
  <c r="AK44" i="17"/>
  <c r="Y44" i="17"/>
  <c r="AE44" i="17"/>
  <c r="W72" i="17"/>
  <c r="S72" i="17"/>
  <c r="P72" i="17"/>
  <c r="AI72" i="17"/>
  <c r="AC72" i="17"/>
  <c r="Q62" i="17"/>
  <c r="AD62" i="17"/>
  <c r="X62" i="17"/>
  <c r="AJ62" i="17"/>
  <c r="P27" i="17"/>
  <c r="W27" i="17"/>
  <c r="S27" i="17"/>
  <c r="AI27" i="17"/>
  <c r="AC27" i="17"/>
  <c r="AJ13" i="17"/>
  <c r="AD13" i="17"/>
  <c r="X13" i="17"/>
  <c r="Q13" i="17"/>
  <c r="W14" i="17"/>
  <c r="AC14" i="17"/>
  <c r="P14" i="17"/>
  <c r="AI14" i="17"/>
  <c r="S14" i="17"/>
  <c r="Y42" i="17"/>
  <c r="AK42" i="17"/>
  <c r="AE42" i="17"/>
  <c r="AC18" i="17"/>
  <c r="S18" i="17"/>
  <c r="W18" i="17"/>
  <c r="P18" i="17"/>
  <c r="AI18" i="17"/>
  <c r="Y32" i="17"/>
  <c r="AK32" i="17"/>
  <c r="AE32" i="17"/>
  <c r="AI63" i="17"/>
  <c r="W63" i="17"/>
  <c r="S63" i="17"/>
  <c r="AC63" i="17"/>
  <c r="P63" i="17"/>
  <c r="AI47" i="17"/>
  <c r="W47" i="17"/>
  <c r="S47" i="17"/>
  <c r="AC47" i="17"/>
  <c r="P47" i="17"/>
  <c r="AM42" i="17"/>
  <c r="AL51" i="17"/>
  <c r="AM32" i="17"/>
  <c r="Q54" i="17"/>
  <c r="AJ54" i="17"/>
  <c r="X54" i="17"/>
  <c r="AD54" i="17"/>
  <c r="AC71" i="17"/>
  <c r="W71" i="17"/>
  <c r="AI71" i="17"/>
  <c r="P71" i="17"/>
  <c r="S71" i="17"/>
  <c r="S37" i="17"/>
  <c r="W37" i="17"/>
  <c r="AC37" i="17"/>
  <c r="P37" i="17"/>
  <c r="AI37" i="17"/>
  <c r="AI65" i="17"/>
  <c r="W65" i="17"/>
  <c r="P65" i="17"/>
  <c r="AC65" i="17"/>
  <c r="S65" i="17"/>
  <c r="AL26" i="17"/>
  <c r="S57" i="17"/>
  <c r="AC57" i="17"/>
  <c r="AI57" i="17"/>
  <c r="W57" i="17"/>
  <c r="P57" i="17"/>
  <c r="AK23" i="17"/>
  <c r="AE23" i="17"/>
  <c r="Y23" i="17"/>
  <c r="Q52" i="17"/>
  <c r="AJ52" i="17"/>
  <c r="X52" i="17"/>
  <c r="AD52" i="17"/>
  <c r="AD16" i="17"/>
  <c r="AJ16" i="17"/>
  <c r="X16" i="17"/>
  <c r="Q16" i="17"/>
  <c r="AI45" i="17"/>
  <c r="W45" i="17"/>
  <c r="AC45" i="17"/>
  <c r="S45" i="17"/>
  <c r="P45" i="17"/>
  <c r="AD34" i="17"/>
  <c r="Q34" i="17"/>
  <c r="AJ34" i="17"/>
  <c r="X34" i="17"/>
  <c r="AK51" i="17"/>
  <c r="AE51" i="17"/>
  <c r="Y51" i="17"/>
  <c r="AI29" i="17"/>
  <c r="W29" i="17"/>
  <c r="S29" i="17"/>
  <c r="P29" i="17"/>
  <c r="AC29" i="17"/>
  <c r="AL54" i="17"/>
  <c r="AI49" i="17"/>
  <c r="W49" i="17"/>
  <c r="S49" i="17"/>
  <c r="P49" i="17"/>
  <c r="AC49" i="17"/>
  <c r="AL42" i="17"/>
  <c r="X12" i="17"/>
  <c r="Q12" i="17"/>
  <c r="AJ12" i="17"/>
  <c r="AD12" i="17"/>
  <c r="K31" i="6"/>
  <c r="J13" i="6"/>
  <c r="J11" i="6"/>
  <c r="J9" i="6"/>
  <c r="AL10" i="18" l="1"/>
  <c r="AM24" i="18"/>
  <c r="AL20" i="17"/>
  <c r="AL75" i="17"/>
  <c r="AJ66" i="17"/>
  <c r="AL40" i="17"/>
  <c r="AN23" i="17"/>
  <c r="AO23" i="17" s="1"/>
  <c r="AR23" i="17" s="1"/>
  <c r="AY23" i="17" s="1"/>
  <c r="AL71" i="17"/>
  <c r="AL15" i="17"/>
  <c r="AM26" i="17"/>
  <c r="AM54" i="17"/>
  <c r="AL61" i="17"/>
  <c r="AM16" i="17"/>
  <c r="AL63" i="17"/>
  <c r="AL73" i="17"/>
  <c r="AM60" i="17"/>
  <c r="AL18" i="17"/>
  <c r="Q66" i="17"/>
  <c r="AK66" i="17" s="1"/>
  <c r="AD66" i="17"/>
  <c r="AM66" i="17" s="1"/>
  <c r="AM31" i="17"/>
  <c r="AL36" i="17"/>
  <c r="AL34" i="17"/>
  <c r="AL68" i="17"/>
  <c r="AM62" i="17"/>
  <c r="AM48" i="17"/>
  <c r="AM59" i="17"/>
  <c r="AL41" i="17"/>
  <c r="AM55" i="17"/>
  <c r="AM52" i="17"/>
  <c r="AM61" i="17"/>
  <c r="AL28" i="17"/>
  <c r="Y22" i="18"/>
  <c r="AE22" i="18"/>
  <c r="X11" i="18"/>
  <c r="Q11" i="18"/>
  <c r="AJ11" i="18"/>
  <c r="AD11" i="18"/>
  <c r="AL16" i="18"/>
  <c r="AL27" i="18" s="1"/>
  <c r="AD16" i="18"/>
  <c r="X16" i="18"/>
  <c r="Q16" i="18"/>
  <c r="AJ16" i="18"/>
  <c r="AL17" i="18"/>
  <c r="AD19" i="18"/>
  <c r="Q19" i="18"/>
  <c r="X19" i="18"/>
  <c r="AJ19" i="18"/>
  <c r="AN15" i="18"/>
  <c r="AO15" i="18" s="1"/>
  <c r="AM21" i="18"/>
  <c r="AM22" i="18"/>
  <c r="X23" i="18"/>
  <c r="Q23" i="18"/>
  <c r="AJ23" i="18"/>
  <c r="AD23" i="18"/>
  <c r="AE24" i="18"/>
  <c r="AK24" i="18"/>
  <c r="Y24" i="18"/>
  <c r="AJ17" i="18"/>
  <c r="Q17" i="18"/>
  <c r="AD17" i="18"/>
  <c r="X17" i="18"/>
  <c r="AM17" i="18" s="1"/>
  <c r="AK14" i="18"/>
  <c r="AE14" i="18"/>
  <c r="Y14" i="18"/>
  <c r="AN14" i="18" s="1"/>
  <c r="AO14" i="18" s="1"/>
  <c r="AR14" i="18" s="1"/>
  <c r="AK21" i="18"/>
  <c r="Y21" i="18"/>
  <c r="AE21" i="18"/>
  <c r="AM13" i="18"/>
  <c r="AL19" i="18"/>
  <c r="AJ10" i="18"/>
  <c r="X10" i="18"/>
  <c r="Q10" i="18"/>
  <c r="AD10" i="18"/>
  <c r="S27" i="18"/>
  <c r="AK20" i="18"/>
  <c r="AE20" i="18"/>
  <c r="Y20" i="18"/>
  <c r="AN20" i="18" s="1"/>
  <c r="AL23" i="18"/>
  <c r="Y18" i="18"/>
  <c r="AK18" i="18"/>
  <c r="AE18" i="18"/>
  <c r="AE13" i="18"/>
  <c r="Y13" i="18"/>
  <c r="AN13" i="18" s="1"/>
  <c r="AK13" i="18"/>
  <c r="AM20" i="18"/>
  <c r="AJ18" i="17"/>
  <c r="AD18" i="17"/>
  <c r="X18" i="17"/>
  <c r="Q18" i="17"/>
  <c r="AM12" i="17"/>
  <c r="AM34" i="17"/>
  <c r="AK52" i="17"/>
  <c r="Y52" i="17"/>
  <c r="AE52" i="17"/>
  <c r="AL47" i="17"/>
  <c r="AL25" i="17"/>
  <c r="AM39" i="17"/>
  <c r="AK48" i="17"/>
  <c r="Y48" i="17"/>
  <c r="AE48" i="17"/>
  <c r="AJ36" i="17"/>
  <c r="AD36" i="17"/>
  <c r="X36" i="17"/>
  <c r="Q36" i="17"/>
  <c r="AL58" i="17"/>
  <c r="AM53" i="17"/>
  <c r="AE53" i="17"/>
  <c r="AK53" i="17"/>
  <c r="Y53" i="17"/>
  <c r="X49" i="17"/>
  <c r="Q49" i="17"/>
  <c r="AJ49" i="17"/>
  <c r="AD49" i="17"/>
  <c r="AJ65" i="17"/>
  <c r="X65" i="17"/>
  <c r="Q65" i="17"/>
  <c r="AD65" i="17"/>
  <c r="AJ27" i="17"/>
  <c r="X27" i="17"/>
  <c r="Q27" i="17"/>
  <c r="AD27" i="17"/>
  <c r="AE11" i="17"/>
  <c r="AK11" i="17"/>
  <c r="Y11" i="17"/>
  <c r="AJ69" i="17"/>
  <c r="X69" i="17"/>
  <c r="Q69" i="17"/>
  <c r="AD69" i="17"/>
  <c r="X17" i="17"/>
  <c r="Q17" i="17"/>
  <c r="AJ17" i="17"/>
  <c r="AD17" i="17"/>
  <c r="X45" i="17"/>
  <c r="AJ45" i="17"/>
  <c r="Q45" i="17"/>
  <c r="AD45" i="17"/>
  <c r="AL65" i="17"/>
  <c r="AL56" i="17"/>
  <c r="AK46" i="17"/>
  <c r="Y46" i="17"/>
  <c r="AE46" i="17"/>
  <c r="AL10" i="17"/>
  <c r="AM11" i="17"/>
  <c r="AK50" i="17"/>
  <c r="Y50" i="17"/>
  <c r="AE50" i="17"/>
  <c r="Q58" i="17"/>
  <c r="AJ58" i="17"/>
  <c r="AD58" i="17"/>
  <c r="X58" i="17"/>
  <c r="AE54" i="17"/>
  <c r="AK54" i="17"/>
  <c r="Y54" i="17"/>
  <c r="Q25" i="17"/>
  <c r="AD25" i="17"/>
  <c r="AJ25" i="17"/>
  <c r="X25" i="17"/>
  <c r="AD57" i="17"/>
  <c r="Q57" i="17"/>
  <c r="AJ57" i="17"/>
  <c r="X57" i="17"/>
  <c r="AJ63" i="17"/>
  <c r="X63" i="17"/>
  <c r="AD63" i="17"/>
  <c r="Q63" i="17"/>
  <c r="AN42" i="17"/>
  <c r="AO42" i="17" s="1"/>
  <c r="AR42" i="17" s="1"/>
  <c r="AY42" i="17" s="1"/>
  <c r="AJ68" i="17"/>
  <c r="AD68" i="17"/>
  <c r="Q68" i="17"/>
  <c r="X68" i="17"/>
  <c r="AE59" i="17"/>
  <c r="AK59" i="17"/>
  <c r="Y59" i="17"/>
  <c r="AL33" i="17"/>
  <c r="AE39" i="17"/>
  <c r="AK39" i="17"/>
  <c r="Y39" i="17"/>
  <c r="Q40" i="17"/>
  <c r="AJ40" i="17"/>
  <c r="AD40" i="17"/>
  <c r="X40" i="17"/>
  <c r="AL57" i="17"/>
  <c r="Q56" i="17"/>
  <c r="AJ56" i="17"/>
  <c r="AD56" i="17"/>
  <c r="X56" i="17"/>
  <c r="AI77" i="17"/>
  <c r="AL69" i="17"/>
  <c r="AM50" i="17"/>
  <c r="AD19" i="17"/>
  <c r="X19" i="17"/>
  <c r="Q19" i="17"/>
  <c r="AJ19" i="17"/>
  <c r="AL45" i="17"/>
  <c r="AD37" i="17"/>
  <c r="X37" i="17"/>
  <c r="AJ37" i="17"/>
  <c r="Q37" i="17"/>
  <c r="AK62" i="17"/>
  <c r="Y62" i="17"/>
  <c r="AE62" i="17"/>
  <c r="AE61" i="17"/>
  <c r="AK61" i="17"/>
  <c r="Y61" i="17"/>
  <c r="X74" i="17"/>
  <c r="AD74" i="17"/>
  <c r="AJ74" i="17"/>
  <c r="Q74" i="17"/>
  <c r="AK60" i="17"/>
  <c r="AE60" i="17"/>
  <c r="Y60" i="17"/>
  <c r="Q10" i="17"/>
  <c r="AJ10" i="17"/>
  <c r="AD10" i="17"/>
  <c r="X10" i="17"/>
  <c r="AM10" i="17" s="1"/>
  <c r="AL17" i="17"/>
  <c r="AK31" i="17"/>
  <c r="AE31" i="17"/>
  <c r="Y31" i="17"/>
  <c r="AD75" i="17"/>
  <c r="Q75" i="17"/>
  <c r="AJ75" i="17"/>
  <c r="X75" i="17"/>
  <c r="AM75" i="17" s="1"/>
  <c r="AD14" i="17"/>
  <c r="X14" i="17"/>
  <c r="AM14" i="17" s="1"/>
  <c r="Q14" i="17"/>
  <c r="AJ14" i="17"/>
  <c r="AL74" i="17"/>
  <c r="Q70" i="17"/>
  <c r="AD70" i="17"/>
  <c r="X70" i="17"/>
  <c r="AJ70" i="17"/>
  <c r="Y35" i="17"/>
  <c r="AE35" i="17"/>
  <c r="AK35" i="17"/>
  <c r="AJ67" i="17"/>
  <c r="X67" i="17"/>
  <c r="AD67" i="17"/>
  <c r="Q67" i="17"/>
  <c r="AM22" i="17"/>
  <c r="AL19" i="17"/>
  <c r="AK12" i="17"/>
  <c r="Y12" i="17"/>
  <c r="AE12" i="17"/>
  <c r="AN44" i="17"/>
  <c r="AO44" i="17" s="1"/>
  <c r="AR44" i="17" s="1"/>
  <c r="AY44" i="17" s="1"/>
  <c r="AJ64" i="17"/>
  <c r="X64" i="17"/>
  <c r="AD64" i="17"/>
  <c r="Q64" i="17"/>
  <c r="AD33" i="17"/>
  <c r="Q33" i="17"/>
  <c r="AJ33" i="17"/>
  <c r="X33" i="17"/>
  <c r="Y16" i="17"/>
  <c r="AK16" i="17"/>
  <c r="AE16" i="17"/>
  <c r="AD28" i="17"/>
  <c r="AJ28" i="17"/>
  <c r="X28" i="17"/>
  <c r="Q28" i="17"/>
  <c r="AL27" i="17"/>
  <c r="AL64" i="17"/>
  <c r="S77" i="17"/>
  <c r="AL49" i="17"/>
  <c r="AL37" i="17"/>
  <c r="AL14" i="17"/>
  <c r="X72" i="17"/>
  <c r="AD72" i="17"/>
  <c r="Q72" i="17"/>
  <c r="AJ72" i="17"/>
  <c r="X43" i="17"/>
  <c r="Q43" i="17"/>
  <c r="AJ43" i="17"/>
  <c r="AD43" i="17"/>
  <c r="X41" i="17"/>
  <c r="AJ41" i="17"/>
  <c r="AD41" i="17"/>
  <c r="Q41" i="17"/>
  <c r="AL29" i="17"/>
  <c r="AK13" i="17"/>
  <c r="AE13" i="17"/>
  <c r="Y13" i="17"/>
  <c r="X30" i="17"/>
  <c r="AM30" i="17" s="1"/>
  <c r="AJ30" i="17"/>
  <c r="Q30" i="17"/>
  <c r="AD30" i="17"/>
  <c r="AL43" i="17"/>
  <c r="AL67" i="17"/>
  <c r="Y22" i="17"/>
  <c r="AK22" i="17"/>
  <c r="AE22" i="17"/>
  <c r="Q29" i="17"/>
  <c r="AD29" i="17"/>
  <c r="AJ29" i="17"/>
  <c r="X29" i="17"/>
  <c r="AJ71" i="17"/>
  <c r="X71" i="17"/>
  <c r="AD71" i="17"/>
  <c r="Q71" i="17"/>
  <c r="AN32" i="17"/>
  <c r="AO32" i="17" s="1"/>
  <c r="AR32" i="17" s="1"/>
  <c r="AY32" i="17" s="1"/>
  <c r="AM13" i="17"/>
  <c r="AL72" i="17"/>
  <c r="AJ21" i="17"/>
  <c r="AD21" i="17"/>
  <c r="X21" i="17"/>
  <c r="AM21" i="17" s="1"/>
  <c r="Q21" i="17"/>
  <c r="Q20" i="17"/>
  <c r="AJ20" i="17"/>
  <c r="AD20" i="17"/>
  <c r="X20" i="17"/>
  <c r="AL70" i="17"/>
  <c r="AL38" i="17"/>
  <c r="Q15" i="17"/>
  <c r="AJ15" i="17"/>
  <c r="AD15" i="17"/>
  <c r="X15" i="17"/>
  <c r="AL24" i="17"/>
  <c r="AE55" i="17"/>
  <c r="AK55" i="17"/>
  <c r="Y55" i="17"/>
  <c r="AN55" i="17" s="1"/>
  <c r="AD73" i="17"/>
  <c r="Q73" i="17"/>
  <c r="X73" i="17"/>
  <c r="AJ73" i="17"/>
  <c r="AK34" i="17"/>
  <c r="Y34" i="17"/>
  <c r="AE34" i="17"/>
  <c r="AN51" i="17"/>
  <c r="AO51" i="17" s="1"/>
  <c r="AR51" i="17" s="1"/>
  <c r="X47" i="17"/>
  <c r="AD47" i="17"/>
  <c r="AJ47" i="17"/>
  <c r="Q47" i="17"/>
  <c r="AL21" i="17"/>
  <c r="X38" i="17"/>
  <c r="Q38" i="17"/>
  <c r="AJ38" i="17"/>
  <c r="AD38" i="17"/>
  <c r="AD24" i="17"/>
  <c r="X24" i="17"/>
  <c r="Q24" i="17"/>
  <c r="AJ24" i="17"/>
  <c r="AK26" i="17"/>
  <c r="AE26" i="17"/>
  <c r="Y26" i="17"/>
  <c r="AN59" i="17" l="1"/>
  <c r="AO59" i="17" s="1"/>
  <c r="AR59" i="17" s="1"/>
  <c r="AY59" i="17" s="1"/>
  <c r="AN31" i="17"/>
  <c r="AO31" i="17" s="1"/>
  <c r="AR31" i="17" s="1"/>
  <c r="AY31" i="17" s="1"/>
  <c r="AN11" i="17"/>
  <c r="AO11" i="17"/>
  <c r="AR11" i="17" s="1"/>
  <c r="AY11" i="17" s="1"/>
  <c r="AM56" i="17"/>
  <c r="AM68" i="17"/>
  <c r="AM20" i="17"/>
  <c r="AN60" i="17"/>
  <c r="AO53" i="17"/>
  <c r="AR53" i="17" s="1"/>
  <c r="AT53" i="17" s="1"/>
  <c r="AY53" i="17" s="1"/>
  <c r="AM49" i="17"/>
  <c r="AN61" i="17"/>
  <c r="AO61" i="17" s="1"/>
  <c r="AR61" i="17" s="1"/>
  <c r="AY61" i="17" s="1"/>
  <c r="AN53" i="17"/>
  <c r="AN52" i="17"/>
  <c r="AO52" i="17" s="1"/>
  <c r="AR52" i="17" s="1"/>
  <c r="AY52" i="17" s="1"/>
  <c r="AM28" i="17"/>
  <c r="AM36" i="17"/>
  <c r="AN34" i="17"/>
  <c r="AO34" i="17" s="1"/>
  <c r="AR34" i="17" s="1"/>
  <c r="AY34" i="17" s="1"/>
  <c r="AM43" i="17"/>
  <c r="AE66" i="17"/>
  <c r="AN66" i="17" s="1"/>
  <c r="AO66" i="17" s="1"/>
  <c r="AR66" i="17" s="1"/>
  <c r="AY66" i="17" s="1"/>
  <c r="AM64" i="17"/>
  <c r="AO60" i="17"/>
  <c r="AR60" i="17" s="1"/>
  <c r="AY60" i="17" s="1"/>
  <c r="Y66" i="17"/>
  <c r="AN39" i="17"/>
  <c r="AO39" i="17" s="1"/>
  <c r="AR39" i="17" s="1"/>
  <c r="AY39" i="17" s="1"/>
  <c r="AN50" i="17"/>
  <c r="AO50" i="17" s="1"/>
  <c r="AR50" i="17" s="1"/>
  <c r="AY50" i="17" s="1"/>
  <c r="AO55" i="17"/>
  <c r="AR55" i="17" s="1"/>
  <c r="AY55" i="17" s="1"/>
  <c r="AM63" i="17"/>
  <c r="AM15" i="17"/>
  <c r="AM67" i="17"/>
  <c r="AT14" i="18"/>
  <c r="AY14" i="18" s="1"/>
  <c r="AM11" i="18"/>
  <c r="AE16" i="18"/>
  <c r="Y16" i="18"/>
  <c r="AK16" i="18"/>
  <c r="AM16" i="18"/>
  <c r="AK23" i="18"/>
  <c r="AE23" i="18"/>
  <c r="Y23" i="18"/>
  <c r="AN23" i="18" s="1"/>
  <c r="AO23" i="18" s="1"/>
  <c r="AR23" i="18" s="1"/>
  <c r="AY23" i="18" s="1"/>
  <c r="AN21" i="18"/>
  <c r="AO21" i="18"/>
  <c r="AR21" i="18" s="1"/>
  <c r="AY21" i="18" s="1"/>
  <c r="AO13" i="18"/>
  <c r="AR13" i="18" s="1"/>
  <c r="AM23" i="18"/>
  <c r="AN18" i="18"/>
  <c r="AO18" i="18" s="1"/>
  <c r="AR18" i="18" s="1"/>
  <c r="Y11" i="18"/>
  <c r="AK11" i="18"/>
  <c r="AE11" i="18"/>
  <c r="AM19" i="18"/>
  <c r="AN22" i="18"/>
  <c r="AO22" i="18" s="1"/>
  <c r="AR22" i="18" s="1"/>
  <c r="AY22" i="18" s="1"/>
  <c r="AK17" i="18"/>
  <c r="AE17" i="18"/>
  <c r="Y17" i="18"/>
  <c r="AN17" i="18" s="1"/>
  <c r="AO17" i="18" s="1"/>
  <c r="AR17" i="18" s="1"/>
  <c r="Y19" i="18"/>
  <c r="AK19" i="18"/>
  <c r="AE19" i="18"/>
  <c r="AO20" i="18"/>
  <c r="AR20" i="18" s="1"/>
  <c r="AE10" i="18"/>
  <c r="Y10" i="18"/>
  <c r="AK10" i="18"/>
  <c r="AN24" i="18"/>
  <c r="AO24" i="18" s="1"/>
  <c r="AR24" i="18" s="1"/>
  <c r="AY24" i="18" s="1"/>
  <c r="AM10" i="18"/>
  <c r="AT51" i="17"/>
  <c r="AN26" i="17"/>
  <c r="AO26" i="17" s="1"/>
  <c r="AR26" i="17" s="1"/>
  <c r="AY26" i="17" s="1"/>
  <c r="AN35" i="17"/>
  <c r="AO35" i="17" s="1"/>
  <c r="AR35" i="17" s="1"/>
  <c r="AY35" i="17" s="1"/>
  <c r="AM25" i="17"/>
  <c r="AO25" i="17" s="1"/>
  <c r="AR25" i="17" s="1"/>
  <c r="AY25" i="17" s="1"/>
  <c r="AM27" i="17"/>
  <c r="AN12" i="17"/>
  <c r="AO12" i="17" s="1"/>
  <c r="AR12" i="17" s="1"/>
  <c r="AY12" i="17" s="1"/>
  <c r="Y74" i="17"/>
  <c r="AE74" i="17"/>
  <c r="AK74" i="17"/>
  <c r="AK68" i="17"/>
  <c r="Y68" i="17"/>
  <c r="AE68" i="17"/>
  <c r="Y27" i="17"/>
  <c r="AK27" i="17"/>
  <c r="AE27" i="17"/>
  <c r="AK15" i="17"/>
  <c r="AE15" i="17"/>
  <c r="Y15" i="17"/>
  <c r="AM71" i="17"/>
  <c r="AE24" i="17"/>
  <c r="Y24" i="17"/>
  <c r="AK24" i="17"/>
  <c r="AK70" i="17"/>
  <c r="Y70" i="17"/>
  <c r="AE70" i="17"/>
  <c r="AM40" i="17"/>
  <c r="AN54" i="17"/>
  <c r="AO54" i="17" s="1"/>
  <c r="AR54" i="17" s="1"/>
  <c r="AY54" i="17" s="1"/>
  <c r="AK17" i="17"/>
  <c r="Y17" i="17"/>
  <c r="AE17" i="17"/>
  <c r="AM65" i="17"/>
  <c r="AN22" i="17"/>
  <c r="AO22" i="17" s="1"/>
  <c r="AR22" i="17" s="1"/>
  <c r="AY22" i="17" s="1"/>
  <c r="AM70" i="17"/>
  <c r="AM74" i="17"/>
  <c r="AL77" i="17"/>
  <c r="AM17" i="17"/>
  <c r="AK36" i="17"/>
  <c r="AE36" i="17"/>
  <c r="Y36" i="17"/>
  <c r="AN36" i="17" s="1"/>
  <c r="AO36" i="17" s="1"/>
  <c r="AR36" i="17" s="1"/>
  <c r="AY36" i="17" s="1"/>
  <c r="AE47" i="17"/>
  <c r="Y47" i="17"/>
  <c r="AK47" i="17"/>
  <c r="Y72" i="17"/>
  <c r="AE72" i="17"/>
  <c r="AK72" i="17"/>
  <c r="Y19" i="17"/>
  <c r="AE19" i="17"/>
  <c r="AK19" i="17"/>
  <c r="Y18" i="17"/>
  <c r="AK18" i="17"/>
  <c r="AE18" i="17"/>
  <c r="AM47" i="17"/>
  <c r="AK75" i="17"/>
  <c r="Y75" i="17"/>
  <c r="AE75" i="17"/>
  <c r="AM24" i="17"/>
  <c r="AM29" i="17"/>
  <c r="AE30" i="17"/>
  <c r="Y30" i="17"/>
  <c r="AK30" i="17"/>
  <c r="Y41" i="17"/>
  <c r="AE41" i="17"/>
  <c r="AK41" i="17"/>
  <c r="AN16" i="17"/>
  <c r="AO16" i="17" s="1"/>
  <c r="AR16" i="17" s="1"/>
  <c r="AY16" i="17" s="1"/>
  <c r="AK67" i="17"/>
  <c r="Y67" i="17"/>
  <c r="AE67" i="17"/>
  <c r="AM19" i="17"/>
  <c r="Y40" i="17"/>
  <c r="AK40" i="17"/>
  <c r="AE40" i="17"/>
  <c r="AK63" i="17"/>
  <c r="Y63" i="17"/>
  <c r="AE63" i="17"/>
  <c r="AM58" i="17"/>
  <c r="AN46" i="17"/>
  <c r="AO46" i="17" s="1"/>
  <c r="AR46" i="17" s="1"/>
  <c r="AY46" i="17" s="1"/>
  <c r="AK69" i="17"/>
  <c r="Y69" i="17"/>
  <c r="AE69" i="17"/>
  <c r="AM18" i="17"/>
  <c r="AK65" i="17"/>
  <c r="Y65" i="17"/>
  <c r="AE65" i="17"/>
  <c r="AM73" i="17"/>
  <c r="Y20" i="17"/>
  <c r="AK20" i="17"/>
  <c r="AE20" i="17"/>
  <c r="AM33" i="17"/>
  <c r="AM69" i="17"/>
  <c r="AK49" i="17"/>
  <c r="AE49" i="17"/>
  <c r="Y49" i="17"/>
  <c r="AK10" i="17"/>
  <c r="AE10" i="17"/>
  <c r="Y10" i="17"/>
  <c r="AM72" i="17"/>
  <c r="Y14" i="17"/>
  <c r="AE14" i="17"/>
  <c r="AK14" i="17"/>
  <c r="AK28" i="17"/>
  <c r="Y28" i="17"/>
  <c r="AE28" i="17"/>
  <c r="AK38" i="17"/>
  <c r="Y38" i="17"/>
  <c r="AE38" i="17"/>
  <c r="AK43" i="17"/>
  <c r="AE43" i="17"/>
  <c r="Y43" i="17"/>
  <c r="AM37" i="17"/>
  <c r="AK71" i="17"/>
  <c r="Y71" i="17"/>
  <c r="AE71" i="17"/>
  <c r="AK25" i="17"/>
  <c r="AE25" i="17"/>
  <c r="Y25" i="17"/>
  <c r="AN25" i="17" s="1"/>
  <c r="AK73" i="17"/>
  <c r="Y73" i="17"/>
  <c r="AE73" i="17"/>
  <c r="AM57" i="17"/>
  <c r="AM45" i="17"/>
  <c r="AK29" i="17"/>
  <c r="AE29" i="17"/>
  <c r="Y29" i="17"/>
  <c r="AM41" i="17"/>
  <c r="AN62" i="17"/>
  <c r="AO62" i="17" s="1"/>
  <c r="AR62" i="17" s="1"/>
  <c r="AY62" i="17" s="1"/>
  <c r="AM38" i="17"/>
  <c r="AN13" i="17"/>
  <c r="AO13" i="17" s="1"/>
  <c r="AR13" i="17" s="1"/>
  <c r="AY13" i="17" s="1"/>
  <c r="AK64" i="17"/>
  <c r="Y64" i="17"/>
  <c r="AE64" i="17"/>
  <c r="AE56" i="17"/>
  <c r="AK56" i="17"/>
  <c r="Y56" i="17"/>
  <c r="AN56" i="17" s="1"/>
  <c r="AE21" i="17"/>
  <c r="AK21" i="17"/>
  <c r="Y21" i="17"/>
  <c r="Y33" i="17"/>
  <c r="AE33" i="17"/>
  <c r="AK33" i="17"/>
  <c r="AE58" i="17"/>
  <c r="AK58" i="17"/>
  <c r="Y58" i="17"/>
  <c r="AN58" i="17" s="1"/>
  <c r="AO58" i="17" s="1"/>
  <c r="AR58" i="17" s="1"/>
  <c r="AY58" i="17" s="1"/>
  <c r="AN48" i="17"/>
  <c r="AO48" i="17" s="1"/>
  <c r="AR48" i="17" s="1"/>
  <c r="AY48" i="17" s="1"/>
  <c r="AJ77" i="17"/>
  <c r="AK37" i="17"/>
  <c r="AE37" i="17"/>
  <c r="Y37" i="17"/>
  <c r="AN37" i="17" s="1"/>
  <c r="AE57" i="17"/>
  <c r="AK57" i="17"/>
  <c r="Y57" i="17"/>
  <c r="AE45" i="17"/>
  <c r="AK45" i="17"/>
  <c r="Y45" i="17"/>
  <c r="K86" i="6"/>
  <c r="AN15" i="17" l="1"/>
  <c r="AN10" i="17"/>
  <c r="AO56" i="17"/>
  <c r="AR56" i="17" s="1"/>
  <c r="AY56" i="17" s="1"/>
  <c r="AN63" i="17"/>
  <c r="AO63" i="17" s="1"/>
  <c r="AR63" i="17" s="1"/>
  <c r="AY63" i="17" s="1"/>
  <c r="AN68" i="17"/>
  <c r="AO68" i="17" s="1"/>
  <c r="AR68" i="17" s="1"/>
  <c r="AY68" i="17" s="1"/>
  <c r="AN28" i="17"/>
  <c r="AO28" i="17" s="1"/>
  <c r="AR28" i="17" s="1"/>
  <c r="AY28" i="17" s="1"/>
  <c r="AN64" i="17"/>
  <c r="AO64" i="17" s="1"/>
  <c r="AR64" i="17" s="1"/>
  <c r="AY64" i="17" s="1"/>
  <c r="AO15" i="17"/>
  <c r="AR15" i="17" s="1"/>
  <c r="AY15" i="17" s="1"/>
  <c r="AO37" i="17"/>
  <c r="AR37" i="17" s="1"/>
  <c r="AY37" i="17" s="1"/>
  <c r="AN29" i="17"/>
  <c r="AO29" i="17" s="1"/>
  <c r="AR29" i="17" s="1"/>
  <c r="AY29" i="17" s="1"/>
  <c r="AN43" i="17"/>
  <c r="AO43" i="17" s="1"/>
  <c r="AR43" i="17" s="1"/>
  <c r="AY43" i="17" s="1"/>
  <c r="AT77" i="17"/>
  <c r="AN69" i="17"/>
  <c r="AO69" i="17" s="1"/>
  <c r="AR69" i="17" s="1"/>
  <c r="AY69" i="17" s="1"/>
  <c r="AN49" i="17"/>
  <c r="AO49" i="17" s="1"/>
  <c r="AR49" i="17" s="1"/>
  <c r="AY49" i="17" s="1"/>
  <c r="AN21" i="17"/>
  <c r="AO21" i="17" s="1"/>
  <c r="AR21" i="17" s="1"/>
  <c r="AY21" i="17" s="1"/>
  <c r="AN57" i="17"/>
  <c r="AO57" i="17" s="1"/>
  <c r="AR57" i="17" s="1"/>
  <c r="AY57" i="17" s="1"/>
  <c r="AT17" i="18"/>
  <c r="AY17" i="18" s="1"/>
  <c r="AT20" i="18"/>
  <c r="AY20" i="18" s="1"/>
  <c r="AT13" i="18"/>
  <c r="AY13" i="18" s="1"/>
  <c r="AN19" i="18"/>
  <c r="AO19" i="18" s="1"/>
  <c r="AR19" i="18" s="1"/>
  <c r="AN16" i="18"/>
  <c r="AO16" i="18" s="1"/>
  <c r="AR16" i="18" s="1"/>
  <c r="AM27" i="18"/>
  <c r="AN11" i="18"/>
  <c r="AO11" i="18" s="1"/>
  <c r="AR11" i="18" s="1"/>
  <c r="AT18" i="18"/>
  <c r="AY18" i="18" s="1"/>
  <c r="AN10" i="18"/>
  <c r="AN27" i="18" s="1"/>
  <c r="AN33" i="17"/>
  <c r="AO33" i="17" s="1"/>
  <c r="AR33" i="17" s="1"/>
  <c r="AY33" i="17" s="1"/>
  <c r="AN72" i="17"/>
  <c r="AO72" i="17" s="1"/>
  <c r="AR72" i="17" s="1"/>
  <c r="AY72" i="17" s="1"/>
  <c r="AN40" i="17"/>
  <c r="AO40" i="17" s="1"/>
  <c r="AR40" i="17" s="1"/>
  <c r="AY40" i="17" s="1"/>
  <c r="AN20" i="17"/>
  <c r="AO20" i="17" s="1"/>
  <c r="AR20" i="17" s="1"/>
  <c r="AY20" i="17" s="1"/>
  <c r="AN17" i="17"/>
  <c r="AO17" i="17" s="1"/>
  <c r="AR17" i="17" s="1"/>
  <c r="AY17" i="17" s="1"/>
  <c r="AN47" i="17"/>
  <c r="AO47" i="17" s="1"/>
  <c r="AR47" i="17" s="1"/>
  <c r="AY47" i="17" s="1"/>
  <c r="AN14" i="17"/>
  <c r="AO14" i="17" s="1"/>
  <c r="AR14" i="17" s="1"/>
  <c r="AY14" i="17" s="1"/>
  <c r="AN67" i="17"/>
  <c r="AO67" i="17" s="1"/>
  <c r="AR67" i="17" s="1"/>
  <c r="AY67" i="17" s="1"/>
  <c r="AN27" i="17"/>
  <c r="AO27" i="17" s="1"/>
  <c r="AR27" i="17" s="1"/>
  <c r="AY27" i="17" s="1"/>
  <c r="AN18" i="17"/>
  <c r="AO18" i="17" s="1"/>
  <c r="AR18" i="17" s="1"/>
  <c r="AY18" i="17" s="1"/>
  <c r="AO10" i="17"/>
  <c r="AN70" i="17"/>
  <c r="AO70" i="17" s="1"/>
  <c r="AR70" i="17" s="1"/>
  <c r="AY70" i="17" s="1"/>
  <c r="AN65" i="17"/>
  <c r="AO65" i="17" s="1"/>
  <c r="AR65" i="17" s="1"/>
  <c r="AY65" i="17" s="1"/>
  <c r="AN71" i="17"/>
  <c r="AO71" i="17" s="1"/>
  <c r="AR71" i="17" s="1"/>
  <c r="AY71" i="17" s="1"/>
  <c r="AN75" i="17"/>
  <c r="AO75" i="17" s="1"/>
  <c r="AR75" i="17" s="1"/>
  <c r="AY75" i="17" s="1"/>
  <c r="AM77" i="17"/>
  <c r="AK77" i="17"/>
  <c r="AN38" i="17"/>
  <c r="AO38" i="17" s="1"/>
  <c r="AR38" i="17" s="1"/>
  <c r="AY38" i="17" s="1"/>
  <c r="AN41" i="17"/>
  <c r="AO41" i="17" s="1"/>
  <c r="AR41" i="17" s="1"/>
  <c r="AY41" i="17" s="1"/>
  <c r="AN19" i="17"/>
  <c r="AO19" i="17" s="1"/>
  <c r="AR19" i="17" s="1"/>
  <c r="AY19" i="17" s="1"/>
  <c r="AY51" i="17"/>
  <c r="AN45" i="17"/>
  <c r="AO45" i="17" s="1"/>
  <c r="AR45" i="17" s="1"/>
  <c r="AY45" i="17" s="1"/>
  <c r="AN73" i="17"/>
  <c r="AO73" i="17" s="1"/>
  <c r="AR73" i="17" s="1"/>
  <c r="AY73" i="17" s="1"/>
  <c r="AN30" i="17"/>
  <c r="AO30" i="17" s="1"/>
  <c r="AR30" i="17" s="1"/>
  <c r="AY30" i="17" s="1"/>
  <c r="AN24" i="17"/>
  <c r="AO24" i="17" s="1"/>
  <c r="AR24" i="17" s="1"/>
  <c r="AY24" i="17" s="1"/>
  <c r="AN74" i="17"/>
  <c r="AO74" i="17" s="1"/>
  <c r="AR74" i="17" s="1"/>
  <c r="AY74" i="17" s="1"/>
  <c r="K92" i="6"/>
  <c r="AT19" i="18" l="1"/>
  <c r="AY19" i="18" s="1"/>
  <c r="AT16" i="18"/>
  <c r="AY16" i="18" s="1"/>
  <c r="AT11" i="18"/>
  <c r="AY11" i="18" s="1"/>
  <c r="AO10" i="18"/>
  <c r="AO77" i="17"/>
  <c r="AR10" i="17"/>
  <c r="AN77" i="17"/>
  <c r="AO27" i="18" l="1"/>
  <c r="AR10" i="18"/>
  <c r="AR77" i="17"/>
  <c r="AY10" i="17"/>
  <c r="AY77" i="17" s="1"/>
  <c r="K23" i="6"/>
  <c r="K25" i="6" s="1"/>
  <c r="K33" i="6" s="1"/>
  <c r="AR27" i="18" l="1"/>
  <c r="AT10" i="18"/>
  <c r="AT27" i="18" s="1"/>
  <c r="K93" i="6"/>
  <c r="K95" i="6" s="1"/>
  <c r="K97" i="6" s="1"/>
  <c r="K105" i="6" s="1"/>
  <c r="AY10" i="18" l="1"/>
  <c r="AY27" i="18" s="1"/>
  <c r="E104" i="6"/>
  <c r="E103" i="6"/>
  <c r="E102" i="6"/>
  <c r="E101" i="6"/>
  <c r="E100" i="6"/>
  <c r="E99" i="6"/>
  <c r="E94" i="6"/>
  <c r="D85" i="6"/>
  <c r="D84" i="6"/>
  <c r="D83" i="6"/>
  <c r="Q138" i="16"/>
  <c r="Q139" i="16"/>
  <c r="Q140" i="16"/>
  <c r="Q136" i="16"/>
  <c r="Q135" i="16"/>
  <c r="Q130" i="16"/>
  <c r="P121" i="16"/>
  <c r="P120" i="16"/>
  <c r="P119" i="16"/>
  <c r="K135" i="16"/>
  <c r="K130" i="16"/>
  <c r="J121" i="16"/>
  <c r="J120" i="16"/>
  <c r="J119" i="16"/>
  <c r="K122" i="16" l="1"/>
  <c r="Q137" i="16"/>
  <c r="K140" i="16"/>
  <c r="K137" i="16"/>
  <c r="K139" i="16"/>
  <c r="K138" i="16"/>
  <c r="Q122" i="16"/>
  <c r="E14" i="15" l="1"/>
  <c r="Q68" i="3"/>
  <c r="Q67" i="3"/>
  <c r="Q66" i="3"/>
  <c r="Q65" i="3"/>
  <c r="Q64" i="3"/>
  <c r="Q63" i="3"/>
  <c r="Q58" i="3"/>
  <c r="Q50" i="3"/>
  <c r="P49" i="3"/>
  <c r="P48" i="3"/>
  <c r="P47" i="3"/>
  <c r="E92" i="6" l="1"/>
  <c r="Q128" i="16"/>
  <c r="Q56" i="3"/>
  <c r="E29" i="11"/>
  <c r="K128" i="16" l="1"/>
  <c r="E101" i="10"/>
  <c r="D83" i="10"/>
  <c r="E86" i="10"/>
  <c r="D13" i="11"/>
  <c r="E22" i="11"/>
  <c r="E30" i="11"/>
  <c r="E94" i="10"/>
  <c r="D84" i="10"/>
  <c r="E99" i="10"/>
  <c r="E100" i="10"/>
  <c r="D12" i="11"/>
  <c r="D11" i="11"/>
  <c r="E104" i="10"/>
  <c r="E32" i="11"/>
  <c r="E31" i="11"/>
  <c r="E27" i="11"/>
  <c r="D85" i="10"/>
  <c r="E14" i="11"/>
  <c r="E102" i="10"/>
  <c r="E103" i="10"/>
  <c r="Q129" i="16" l="1"/>
  <c r="Q131" i="16" s="1"/>
  <c r="Q133" i="16" s="1"/>
  <c r="Q141" i="16" s="1"/>
  <c r="K129" i="16"/>
  <c r="K131" i="16" s="1"/>
  <c r="K133" i="16" s="1"/>
  <c r="Q57" i="3"/>
  <c r="Q59" i="3" s="1"/>
  <c r="Q61" i="3" s="1"/>
  <c r="Q69" i="3" s="1"/>
  <c r="Q32" i="5"/>
  <c r="Q31" i="5"/>
  <c r="Q30" i="5"/>
  <c r="Q29" i="5"/>
  <c r="Q28" i="5"/>
  <c r="Q27" i="5"/>
  <c r="Q22" i="5"/>
  <c r="P13" i="5"/>
  <c r="P12" i="5"/>
  <c r="P11" i="5"/>
  <c r="E95" i="6" l="1"/>
  <c r="E97" i="6" s="1"/>
  <c r="E105" i="6" s="1"/>
  <c r="K136" i="16"/>
  <c r="K141" i="16" s="1"/>
  <c r="E92" i="10"/>
  <c r="E20" i="11" l="1"/>
  <c r="Q14" i="5"/>
  <c r="E28" i="11" l="1"/>
  <c r="E93" i="10"/>
  <c r="E95" i="10" s="1"/>
  <c r="E97" i="10" s="1"/>
  <c r="E105" i="10" s="1"/>
  <c r="Q20" i="5"/>
  <c r="D45" i="3"/>
  <c r="E21" i="11" l="1"/>
  <c r="E23" i="11" s="1"/>
  <c r="E25" i="11" s="1"/>
  <c r="E33" i="11" s="1"/>
  <c r="Q21" i="5" l="1"/>
  <c r="Q23" i="5" s="1"/>
  <c r="Q25" i="5" s="1"/>
  <c r="Q33" i="5" s="1"/>
  <c r="D49" i="2" l="1"/>
  <c r="D48" i="2"/>
  <c r="D47" i="2"/>
  <c r="P13" i="2"/>
  <c r="P12" i="2"/>
  <c r="P11" i="2"/>
  <c r="Q32" i="7" l="1"/>
  <c r="Q31" i="7"/>
  <c r="Q30" i="7"/>
  <c r="Q29" i="7"/>
  <c r="Q28" i="7"/>
  <c r="Q27" i="7"/>
  <c r="Q22" i="7"/>
  <c r="P13" i="7"/>
  <c r="P12" i="7"/>
  <c r="P11" i="7"/>
  <c r="K32" i="8" l="1"/>
  <c r="K31" i="8"/>
  <c r="K30" i="8"/>
  <c r="K29" i="8"/>
  <c r="K28" i="8"/>
  <c r="K27" i="8"/>
  <c r="K22" i="8"/>
  <c r="J13" i="8"/>
  <c r="J12" i="8"/>
  <c r="J11" i="8"/>
  <c r="J45" i="3" l="1"/>
  <c r="P45" i="3" s="1"/>
  <c r="Q14" i="7" l="1"/>
  <c r="K14" i="8"/>
  <c r="Q20" i="7" l="1"/>
  <c r="K20" i="8"/>
  <c r="Q21" i="7" l="1"/>
  <c r="Q23" i="7" s="1"/>
  <c r="Q25" i="7" s="1"/>
  <c r="Q33" i="7" s="1"/>
  <c r="K21" i="8"/>
  <c r="K23" i="8" s="1"/>
  <c r="K25" i="8" s="1"/>
  <c r="K33" i="8" s="1"/>
  <c r="K14" i="14" l="1"/>
  <c r="E14" i="14"/>
  <c r="D45" i="12" l="1"/>
  <c r="E68" i="12"/>
  <c r="E67" i="12"/>
  <c r="E66" i="12"/>
  <c r="E65" i="12"/>
  <c r="E64" i="12"/>
  <c r="E63" i="12"/>
  <c r="E58" i="12"/>
  <c r="E57" i="12"/>
  <c r="E56" i="12"/>
  <c r="E50" i="12"/>
  <c r="D49" i="12"/>
  <c r="D48" i="12"/>
  <c r="D47" i="12"/>
  <c r="E59" i="12" l="1"/>
  <c r="E61" i="12" s="1"/>
  <c r="E69" i="12" s="1"/>
  <c r="K32" i="10"/>
  <c r="K31" i="10"/>
  <c r="K30" i="10"/>
  <c r="K29" i="10"/>
  <c r="K28" i="10"/>
  <c r="K27" i="10"/>
  <c r="K22" i="10"/>
  <c r="K21" i="10"/>
  <c r="K20" i="10"/>
  <c r="K14" i="10"/>
  <c r="J13" i="10"/>
  <c r="J12" i="10"/>
  <c r="J11" i="10"/>
  <c r="K23" i="10" l="1"/>
  <c r="K25" i="10" s="1"/>
  <c r="K33" i="10" s="1"/>
  <c r="E50" i="2"/>
  <c r="J9" i="14" l="1"/>
  <c r="E68" i="10" l="1"/>
  <c r="E67" i="10"/>
  <c r="E66" i="10"/>
  <c r="E65" i="10"/>
  <c r="E64" i="10"/>
  <c r="E63" i="10"/>
  <c r="E58" i="10"/>
  <c r="E57" i="10"/>
  <c r="E56" i="10"/>
  <c r="E50" i="10"/>
  <c r="D49" i="10"/>
  <c r="D48" i="10"/>
  <c r="D47" i="10"/>
  <c r="Q56" i="6" l="1"/>
  <c r="E59" i="10"/>
  <c r="E61" i="10" s="1"/>
  <c r="E69" i="10" s="1"/>
  <c r="Q68" i="6"/>
  <c r="Q67" i="6"/>
  <c r="Q66" i="6"/>
  <c r="Q65" i="6"/>
  <c r="Q64" i="6"/>
  <c r="Q63" i="6"/>
  <c r="Q58" i="6"/>
  <c r="P49" i="6"/>
  <c r="P48" i="6"/>
  <c r="P47" i="6"/>
  <c r="D45" i="10" l="1"/>
  <c r="Q59" i="6" l="1"/>
  <c r="Q61" i="6" s="1"/>
  <c r="Q69" i="6" s="1"/>
  <c r="Q14" i="3" l="1"/>
  <c r="K68" i="3"/>
  <c r="K67" i="3"/>
  <c r="K66" i="3"/>
  <c r="K65" i="3"/>
  <c r="K64" i="3"/>
  <c r="K63" i="3"/>
  <c r="K58" i="3"/>
  <c r="K57" i="3"/>
  <c r="K56" i="3"/>
  <c r="K50" i="3"/>
  <c r="J49" i="3"/>
  <c r="J48" i="3"/>
  <c r="J47" i="3"/>
  <c r="E68" i="3"/>
  <c r="E67" i="3"/>
  <c r="E66" i="3"/>
  <c r="E65" i="3"/>
  <c r="E64" i="3"/>
  <c r="E63" i="3"/>
  <c r="E58" i="3"/>
  <c r="E50" i="3"/>
  <c r="D49" i="3"/>
  <c r="D48" i="3"/>
  <c r="D47" i="3"/>
  <c r="Q32" i="3"/>
  <c r="Q31" i="3"/>
  <c r="Q30" i="3"/>
  <c r="Q29" i="3"/>
  <c r="Q28" i="3"/>
  <c r="Q27" i="3"/>
  <c r="Q22" i="3"/>
  <c r="P13" i="3"/>
  <c r="P12" i="3"/>
  <c r="P11" i="3"/>
  <c r="K32" i="3"/>
  <c r="K31" i="3"/>
  <c r="K30" i="3"/>
  <c r="K29" i="3"/>
  <c r="K28" i="3"/>
  <c r="K27" i="3"/>
  <c r="K22" i="3"/>
  <c r="K14" i="3"/>
  <c r="J13" i="3"/>
  <c r="J12" i="3"/>
  <c r="J11" i="3"/>
  <c r="E32" i="3"/>
  <c r="E31" i="3"/>
  <c r="E30" i="3"/>
  <c r="E29" i="3"/>
  <c r="E28" i="3"/>
  <c r="E27" i="3"/>
  <c r="E22" i="3"/>
  <c r="E14" i="3"/>
  <c r="D13" i="3"/>
  <c r="D12" i="3"/>
  <c r="D11" i="3"/>
  <c r="K59" i="3" l="1"/>
  <c r="K61" i="3" s="1"/>
  <c r="K69" i="3" s="1"/>
  <c r="Q20" i="3" l="1"/>
  <c r="E56" i="3"/>
  <c r="K20" i="3" l="1"/>
  <c r="E20" i="3"/>
  <c r="E21" i="19" l="1"/>
  <c r="E57" i="3"/>
  <c r="E59" i="3" s="1"/>
  <c r="E61" i="3" s="1"/>
  <c r="E69" i="3" s="1"/>
  <c r="K57" i="19"/>
  <c r="Q21" i="3"/>
  <c r="Q23" i="3" s="1"/>
  <c r="Q25" i="3" s="1"/>
  <c r="Q33" i="3" s="1"/>
  <c r="K21" i="3" l="1"/>
  <c r="K23" i="3" s="1"/>
  <c r="K25" i="3" s="1"/>
  <c r="K33" i="3" s="1"/>
  <c r="E21" i="3"/>
  <c r="E23" i="3" s="1"/>
  <c r="E25" i="3" s="1"/>
  <c r="E33" i="3" s="1"/>
  <c r="J9" i="2" l="1"/>
  <c r="Q104" i="19" l="1"/>
  <c r="E139" i="19"/>
  <c r="E136" i="19"/>
  <c r="Q101" i="19"/>
  <c r="Q102" i="19" l="1"/>
  <c r="D120" i="19"/>
  <c r="E135" i="19"/>
  <c r="D119" i="19"/>
  <c r="E130" i="19"/>
  <c r="P83" i="19"/>
  <c r="E137" i="19"/>
  <c r="P85" i="19"/>
  <c r="E138" i="19"/>
  <c r="D121" i="19"/>
  <c r="Q103" i="19"/>
  <c r="P84" i="19"/>
  <c r="E140" i="19"/>
  <c r="Q94" i="19"/>
  <c r="Q99" i="19"/>
  <c r="Q100" i="19"/>
  <c r="Q92" i="19" l="1"/>
  <c r="E14" i="6"/>
  <c r="E128" i="19" l="1"/>
  <c r="Q14" i="1" l="1"/>
  <c r="Q32" i="1"/>
  <c r="Q31" i="1"/>
  <c r="Q30" i="1"/>
  <c r="Q29" i="1"/>
  <c r="Q28" i="1"/>
  <c r="Q27" i="1"/>
  <c r="Q22" i="1"/>
  <c r="P13" i="1"/>
  <c r="P12" i="1"/>
  <c r="P11" i="1"/>
  <c r="E129" i="19" l="1"/>
  <c r="E131" i="19" s="1"/>
  <c r="E133" i="19" s="1"/>
  <c r="E141" i="19" s="1"/>
  <c r="Q93" i="19"/>
  <c r="Q95" i="19" s="1"/>
  <c r="Q97" i="19" s="1"/>
  <c r="Q105" i="19" s="1"/>
  <c r="P9" i="6" l="1"/>
  <c r="D45" i="6"/>
  <c r="Q20" i="1"/>
  <c r="D81" i="6" l="1"/>
  <c r="J81" i="6" s="1"/>
  <c r="J45" i="6"/>
  <c r="P45" i="6"/>
  <c r="K30" i="19"/>
  <c r="K31" i="19"/>
  <c r="K32" i="19"/>
  <c r="K22" i="19"/>
  <c r="K27" i="19"/>
  <c r="K29" i="19"/>
  <c r="K28" i="19"/>
  <c r="J13" i="19"/>
  <c r="J12" i="19"/>
  <c r="J11" i="19"/>
  <c r="Q21" i="1" l="1"/>
  <c r="Q23" i="1" s="1"/>
  <c r="Q25" i="1" s="1"/>
  <c r="Q33" i="1" s="1"/>
  <c r="K20" i="19" l="1"/>
  <c r="K21" i="19" l="1"/>
  <c r="K23" i="19" s="1"/>
  <c r="K25" i="19" s="1"/>
  <c r="K33" i="19" s="1"/>
  <c r="Q32" i="19" l="1"/>
  <c r="Q31" i="19"/>
  <c r="Q30" i="19"/>
  <c r="Q29" i="19"/>
  <c r="Q28" i="19"/>
  <c r="Q27" i="19"/>
  <c r="Q22" i="19"/>
  <c r="P13" i="19"/>
  <c r="P12" i="19"/>
  <c r="P11" i="19"/>
  <c r="K32" i="13"/>
  <c r="K31" i="13"/>
  <c r="K30" i="13"/>
  <c r="K29" i="13"/>
  <c r="K28" i="13"/>
  <c r="K27" i="13"/>
  <c r="K22" i="13"/>
  <c r="J13" i="13"/>
  <c r="J12" i="13"/>
  <c r="J11" i="13"/>
  <c r="K104" i="10"/>
  <c r="K103" i="10"/>
  <c r="K102" i="10"/>
  <c r="K101" i="10"/>
  <c r="K100" i="10"/>
  <c r="K99" i="10"/>
  <c r="K94" i="10"/>
  <c r="J85" i="10"/>
  <c r="J84" i="10"/>
  <c r="J83" i="10"/>
  <c r="K68" i="10"/>
  <c r="K67" i="10"/>
  <c r="K66" i="10"/>
  <c r="K65" i="10"/>
  <c r="K64" i="10"/>
  <c r="K63" i="10"/>
  <c r="K58" i="10"/>
  <c r="J49" i="10"/>
  <c r="J48" i="10"/>
  <c r="J47" i="10"/>
  <c r="Q32" i="6"/>
  <c r="Q31" i="6"/>
  <c r="Q30" i="6"/>
  <c r="Q29" i="6"/>
  <c r="Q28" i="6"/>
  <c r="Q27" i="6"/>
  <c r="Q22" i="6"/>
  <c r="P13" i="6"/>
  <c r="P12" i="6"/>
  <c r="P11" i="6"/>
  <c r="J9" i="13" l="1"/>
  <c r="K86" i="10" l="1"/>
  <c r="K14" i="13"/>
  <c r="Q14" i="2"/>
  <c r="K50" i="10"/>
  <c r="Q14" i="6"/>
  <c r="J13" i="14" l="1"/>
  <c r="J12" i="14"/>
  <c r="J11" i="14"/>
  <c r="D13" i="14"/>
  <c r="D12" i="14"/>
  <c r="D11" i="14"/>
  <c r="K28" i="11"/>
  <c r="K27" i="11"/>
  <c r="K22" i="11"/>
  <c r="K20" i="11"/>
  <c r="J9" i="11"/>
  <c r="J13" i="11"/>
  <c r="J11" i="11"/>
  <c r="D13" i="21"/>
  <c r="D12" i="21"/>
  <c r="D11" i="21"/>
  <c r="K92" i="10" l="1"/>
  <c r="Q20" i="19"/>
  <c r="K56" i="10"/>
  <c r="Q20" i="6"/>
  <c r="K20" i="13"/>
  <c r="K23" i="11"/>
  <c r="K57" i="10" l="1"/>
  <c r="K59" i="10" s="1"/>
  <c r="K61" i="10" s="1"/>
  <c r="K69" i="10" s="1"/>
  <c r="Q21" i="6"/>
  <c r="K22" i="14"/>
  <c r="K31" i="11"/>
  <c r="E22" i="14"/>
  <c r="E32" i="21"/>
  <c r="E30" i="21"/>
  <c r="E28" i="21"/>
  <c r="E30" i="14"/>
  <c r="E32" i="14"/>
  <c r="E29" i="21"/>
  <c r="E31" i="14"/>
  <c r="K32" i="11"/>
  <c r="E28" i="14"/>
  <c r="E29" i="14"/>
  <c r="K30" i="11"/>
  <c r="E31" i="21"/>
  <c r="K29" i="11"/>
  <c r="K28" i="14"/>
  <c r="E27" i="14"/>
  <c r="K32" i="14"/>
  <c r="K31" i="14"/>
  <c r="E27" i="21"/>
  <c r="K29" i="14"/>
  <c r="K27" i="14"/>
  <c r="K30" i="14"/>
  <c r="E22" i="21"/>
  <c r="E20" i="14"/>
  <c r="K14" i="11"/>
  <c r="K25" i="11" s="1"/>
  <c r="D45" i="16"/>
  <c r="Q23" i="6" l="1"/>
  <c r="Q25" i="6" s="1"/>
  <c r="Q33" i="6" s="1"/>
  <c r="K93" i="10"/>
  <c r="K21" i="13"/>
  <c r="K23" i="13" s="1"/>
  <c r="K25" i="13" s="1"/>
  <c r="K33" i="13" s="1"/>
  <c r="Q21" i="19"/>
  <c r="Q23" i="19" s="1"/>
  <c r="K33" i="11"/>
  <c r="K20" i="14"/>
  <c r="K95" i="10" l="1"/>
  <c r="K97" i="10" s="1"/>
  <c r="K105" i="10" s="1"/>
  <c r="Q25" i="19"/>
  <c r="Q33" i="19" s="1"/>
  <c r="E20" i="21"/>
  <c r="K21" i="14" l="1"/>
  <c r="K23" i="14" s="1"/>
  <c r="K25" i="14" s="1"/>
  <c r="K33" i="14" s="1"/>
  <c r="E21" i="21" l="1"/>
  <c r="E21" i="14"/>
  <c r="E23" i="21" l="1"/>
  <c r="E25" i="21" s="1"/>
  <c r="E33" i="21" s="1"/>
  <c r="E23" i="14"/>
  <c r="E25" i="14" s="1"/>
  <c r="E33" i="14" s="1"/>
  <c r="K32" i="7" l="1"/>
  <c r="K31" i="7"/>
  <c r="K30" i="7"/>
  <c r="K29" i="7"/>
  <c r="K28" i="7"/>
  <c r="K27" i="7"/>
  <c r="K22" i="7"/>
  <c r="J13" i="7"/>
  <c r="J12" i="7"/>
  <c r="J11" i="7"/>
  <c r="D81" i="10" l="1"/>
  <c r="K14" i="7" l="1"/>
  <c r="K20" i="7" l="1"/>
  <c r="K21" i="7" l="1"/>
  <c r="K23" i="7" s="1"/>
  <c r="K25" i="7" s="1"/>
  <c r="K33" i="7" s="1"/>
  <c r="D45" i="2" l="1"/>
  <c r="J9" i="9" l="1"/>
  <c r="E65" i="2" l="1"/>
  <c r="E68" i="2"/>
  <c r="E66" i="2"/>
  <c r="E58" i="2"/>
  <c r="E67" i="2"/>
  <c r="E64" i="2"/>
  <c r="P11" i="11"/>
  <c r="Q22" i="11"/>
  <c r="Q32" i="11"/>
  <c r="Q29" i="11"/>
  <c r="Q31" i="11"/>
  <c r="P12" i="11"/>
  <c r="Q30" i="11"/>
  <c r="P13" i="11"/>
  <c r="Q14" i="11"/>
  <c r="Q20" i="11" l="1"/>
  <c r="E56" i="2"/>
  <c r="E57" i="2" l="1"/>
  <c r="E59" i="2" s="1"/>
  <c r="E61" i="2" s="1"/>
  <c r="Q21" i="11"/>
  <c r="Q23" i="11" s="1"/>
  <c r="Q25" i="11" s="1"/>
  <c r="E63" i="2" l="1"/>
  <c r="E69" i="2" s="1"/>
  <c r="Q28" i="11"/>
  <c r="Q27" i="11" l="1"/>
  <c r="Q33" i="11" s="1"/>
  <c r="E56" i="6" l="1"/>
  <c r="J9" i="10" l="1"/>
  <c r="Q68" i="10" l="1"/>
  <c r="Q67" i="10"/>
  <c r="Q66" i="10"/>
  <c r="Q65" i="10"/>
  <c r="Q58" i="10"/>
  <c r="P49" i="10"/>
  <c r="P48" i="10"/>
  <c r="P47" i="10"/>
  <c r="K32" i="9"/>
  <c r="K31" i="9"/>
  <c r="K30" i="9"/>
  <c r="K29" i="9"/>
  <c r="K28" i="9"/>
  <c r="K27" i="9"/>
  <c r="K22" i="9"/>
  <c r="J13" i="9"/>
  <c r="J12" i="9"/>
  <c r="J11" i="9"/>
  <c r="K14" i="9" l="1"/>
  <c r="Q50" i="10"/>
  <c r="K20" i="9" l="1"/>
  <c r="Q56" i="10"/>
  <c r="Q57" i="10" l="1"/>
  <c r="Q59" i="10" s="1"/>
  <c r="Q61" i="10" s="1"/>
  <c r="Q63" i="10" l="1"/>
  <c r="Q64" i="10"/>
  <c r="K21" i="9"/>
  <c r="K23" i="9" s="1"/>
  <c r="K25" i="9" s="1"/>
  <c r="K33" i="9" s="1"/>
  <c r="Q69" i="10" l="1"/>
  <c r="E32" i="10"/>
  <c r="E31" i="10"/>
  <c r="E30" i="10"/>
  <c r="E29" i="10"/>
  <c r="E28" i="10"/>
  <c r="E27" i="10"/>
  <c r="E22" i="10"/>
  <c r="D13" i="10"/>
  <c r="D12" i="10"/>
  <c r="D11" i="10"/>
  <c r="K32" i="21" l="1"/>
  <c r="K31" i="21"/>
  <c r="K30" i="21"/>
  <c r="K29" i="21"/>
  <c r="K28" i="21"/>
  <c r="K27" i="21"/>
  <c r="K22" i="21"/>
  <c r="K21" i="21"/>
  <c r="K20" i="21"/>
  <c r="K14" i="21"/>
  <c r="J13" i="21"/>
  <c r="J12" i="21"/>
  <c r="J11" i="21"/>
  <c r="J9" i="21"/>
  <c r="K23" i="21" l="1"/>
  <c r="K25" i="21" s="1"/>
  <c r="K33" i="21" s="1"/>
  <c r="E14" i="10" l="1"/>
  <c r="E20" i="10" l="1"/>
  <c r="J38" i="21"/>
  <c r="E21" i="10" l="1"/>
  <c r="E23" i="10" s="1"/>
  <c r="E25" i="10" s="1"/>
  <c r="E33" i="10" s="1"/>
  <c r="Q32" i="12" l="1"/>
  <c r="Q31" i="12"/>
  <c r="Q30" i="12"/>
  <c r="Q29" i="12"/>
  <c r="Q28" i="12"/>
  <c r="Q27" i="12"/>
  <c r="Q22" i="12"/>
  <c r="P13" i="12"/>
  <c r="P12" i="12"/>
  <c r="P11" i="12"/>
  <c r="Q14" i="12" l="1"/>
  <c r="Q20" i="12" l="1"/>
  <c r="E68" i="1" l="1"/>
  <c r="E64" i="1"/>
  <c r="E58" i="1"/>
  <c r="D49" i="1"/>
  <c r="D48" i="1"/>
  <c r="D47" i="1"/>
  <c r="Q21" i="12" l="1"/>
  <c r="Q23" i="12" s="1"/>
  <c r="Q25" i="12" s="1"/>
  <c r="Q33" i="12" s="1"/>
  <c r="Q27" i="2" l="1"/>
  <c r="K27" i="2"/>
  <c r="E56" i="1" l="1"/>
  <c r="E57" i="1" l="1"/>
  <c r="E59" i="1" s="1"/>
  <c r="E61" i="1" s="1"/>
  <c r="E63" i="1" l="1"/>
  <c r="E69" i="1" s="1"/>
  <c r="E63" i="6" l="1"/>
  <c r="E32" i="7" l="1"/>
  <c r="E31" i="7"/>
  <c r="E30" i="7"/>
  <c r="E29" i="7"/>
  <c r="E28" i="7"/>
  <c r="E27" i="7"/>
  <c r="E22" i="7"/>
  <c r="E21" i="7"/>
  <c r="E20" i="7"/>
  <c r="E14" i="7"/>
  <c r="D11" i="7"/>
  <c r="D13" i="7"/>
  <c r="D12" i="7"/>
  <c r="D45" i="1"/>
  <c r="Q28" i="2"/>
  <c r="J12" i="2"/>
  <c r="E23" i="7" l="1"/>
  <c r="J11" i="2"/>
  <c r="Q32" i="2"/>
  <c r="Q31" i="2"/>
  <c r="Q29" i="2"/>
  <c r="Q22" i="2"/>
  <c r="J13" i="2"/>
  <c r="Q30" i="2"/>
  <c r="E33" i="7" l="1"/>
  <c r="Q20" i="2" l="1"/>
  <c r="J11" i="4"/>
  <c r="E140" i="16" l="1"/>
  <c r="E139" i="16"/>
  <c r="E138" i="16"/>
  <c r="E137" i="16"/>
  <c r="E135" i="16"/>
  <c r="E130" i="16"/>
  <c r="E128" i="16"/>
  <c r="Q104" i="16"/>
  <c r="Q103" i="16"/>
  <c r="Q102" i="16"/>
  <c r="Q101" i="16"/>
  <c r="Q94" i="16"/>
  <c r="Q92" i="16"/>
  <c r="K104" i="16"/>
  <c r="K103" i="16"/>
  <c r="K102" i="16"/>
  <c r="K101" i="16"/>
  <c r="K94" i="16"/>
  <c r="K92" i="16"/>
  <c r="E104" i="16"/>
  <c r="E103" i="16"/>
  <c r="E102" i="16"/>
  <c r="E101" i="16"/>
  <c r="E94" i="16"/>
  <c r="E92" i="16"/>
  <c r="Q68" i="16"/>
  <c r="Q67" i="16"/>
  <c r="Q66" i="16"/>
  <c r="Q65" i="16"/>
  <c r="Q58" i="16"/>
  <c r="Q56" i="16"/>
  <c r="K68" i="16"/>
  <c r="K67" i="16"/>
  <c r="K66" i="16"/>
  <c r="K65" i="16"/>
  <c r="K58" i="16"/>
  <c r="K56" i="16"/>
  <c r="E68" i="16"/>
  <c r="E67" i="16"/>
  <c r="E66" i="16"/>
  <c r="E65" i="16"/>
  <c r="E58" i="16"/>
  <c r="E56" i="16"/>
  <c r="Q32" i="16"/>
  <c r="Q31" i="16"/>
  <c r="Q30" i="16"/>
  <c r="Q29" i="16"/>
  <c r="Q22" i="16"/>
  <c r="Q20" i="16"/>
  <c r="K32" i="16"/>
  <c r="E32" i="16"/>
  <c r="E28" i="15" l="1"/>
  <c r="E27" i="15"/>
  <c r="K64" i="16"/>
  <c r="K63" i="16"/>
  <c r="K57" i="16"/>
  <c r="K59" i="16" s="1"/>
  <c r="Q21" i="16"/>
  <c r="Q23" i="16" s="1"/>
  <c r="K104" i="19"/>
  <c r="K103" i="19"/>
  <c r="K102" i="19"/>
  <c r="K101" i="19"/>
  <c r="K100" i="19"/>
  <c r="K94" i="19"/>
  <c r="E104" i="19"/>
  <c r="E103" i="19"/>
  <c r="E102" i="19"/>
  <c r="E101" i="19"/>
  <c r="E100" i="19"/>
  <c r="E94" i="19"/>
  <c r="Q68" i="19"/>
  <c r="Q67" i="19"/>
  <c r="Q66" i="19"/>
  <c r="Q65" i="19"/>
  <c r="Q64" i="19"/>
  <c r="Q58" i="19"/>
  <c r="K68" i="19"/>
  <c r="K67" i="19"/>
  <c r="K66" i="19"/>
  <c r="K65" i="19"/>
  <c r="K64" i="19"/>
  <c r="K63" i="19"/>
  <c r="K58" i="19"/>
  <c r="E68" i="19"/>
  <c r="E67" i="19"/>
  <c r="E66" i="19"/>
  <c r="E65" i="19"/>
  <c r="E58" i="19"/>
  <c r="E32" i="19"/>
  <c r="E31" i="19"/>
  <c r="E30" i="19"/>
  <c r="E29" i="19"/>
  <c r="E28" i="19"/>
  <c r="E27" i="19"/>
  <c r="E22" i="19"/>
  <c r="E32" i="15"/>
  <c r="E31" i="15"/>
  <c r="E30" i="15"/>
  <c r="E29" i="15"/>
  <c r="E22" i="15"/>
  <c r="E32" i="13"/>
  <c r="E31" i="13"/>
  <c r="E30" i="13"/>
  <c r="E29" i="13"/>
  <c r="E28" i="13"/>
  <c r="E22" i="13"/>
  <c r="K32" i="12"/>
  <c r="K31" i="12"/>
  <c r="K30" i="12"/>
  <c r="K29" i="12"/>
  <c r="K28" i="12"/>
  <c r="K27" i="12"/>
  <c r="K22" i="12"/>
  <c r="E31" i="12"/>
  <c r="E32" i="12"/>
  <c r="E30" i="12"/>
  <c r="E29" i="12"/>
  <c r="E22" i="12"/>
  <c r="Q32" i="10"/>
  <c r="Q31" i="10"/>
  <c r="Q30" i="10"/>
  <c r="Q29" i="10"/>
  <c r="Q28" i="10"/>
  <c r="Q27" i="10"/>
  <c r="Q22" i="10"/>
  <c r="E32" i="9"/>
  <c r="E31" i="9"/>
  <c r="E30" i="9"/>
  <c r="E29" i="9"/>
  <c r="E28" i="9"/>
  <c r="E27" i="9"/>
  <c r="E22" i="9"/>
  <c r="E32" i="8"/>
  <c r="E31" i="8"/>
  <c r="E30" i="8"/>
  <c r="E29" i="8"/>
  <c r="E28" i="8"/>
  <c r="E27" i="8"/>
  <c r="E22" i="8"/>
  <c r="E68" i="6"/>
  <c r="E64" i="6"/>
  <c r="E58" i="6"/>
  <c r="E32" i="6"/>
  <c r="E31" i="6"/>
  <c r="E30" i="6"/>
  <c r="E29" i="6"/>
  <c r="E28" i="6"/>
  <c r="E27" i="6"/>
  <c r="E22" i="6"/>
  <c r="K32" i="5"/>
  <c r="K31" i="5"/>
  <c r="K30" i="5"/>
  <c r="K29" i="5"/>
  <c r="K28" i="5"/>
  <c r="K22" i="5"/>
  <c r="E32" i="5"/>
  <c r="E31" i="5"/>
  <c r="E30" i="5"/>
  <c r="E29" i="5"/>
  <c r="E28" i="5"/>
  <c r="E27" i="5"/>
  <c r="E22" i="5"/>
  <c r="K32" i="4"/>
  <c r="K31" i="4"/>
  <c r="K30" i="4"/>
  <c r="K29" i="4"/>
  <c r="K28" i="4"/>
  <c r="K22" i="4"/>
  <c r="K23" i="4" s="1"/>
  <c r="E32" i="4"/>
  <c r="E31" i="4"/>
  <c r="E30" i="4"/>
  <c r="E29" i="4"/>
  <c r="E28" i="4"/>
  <c r="E22" i="4"/>
  <c r="Q21" i="2" l="1"/>
  <c r="Q23" i="2" s="1"/>
  <c r="Q25" i="2" s="1"/>
  <c r="Q33" i="2" s="1"/>
  <c r="E27" i="13"/>
  <c r="Q63" i="19"/>
  <c r="K27" i="5"/>
  <c r="E28" i="12"/>
  <c r="E27" i="12"/>
  <c r="E57" i="16"/>
  <c r="E59" i="16" s="1"/>
  <c r="Q27" i="16"/>
  <c r="Q28" i="16"/>
  <c r="Q93" i="16"/>
  <c r="Q95" i="16" s="1"/>
  <c r="Q57" i="16"/>
  <c r="Q59" i="16" s="1"/>
  <c r="K93" i="16"/>
  <c r="K95" i="16" s="1"/>
  <c r="E129" i="16"/>
  <c r="E131" i="16" s="1"/>
  <c r="K27" i="4" l="1"/>
  <c r="E64" i="19"/>
  <c r="E63" i="16"/>
  <c r="E64" i="16"/>
  <c r="E136" i="16"/>
  <c r="K100" i="16"/>
  <c r="K99" i="16"/>
  <c r="Q64" i="16"/>
  <c r="Q63" i="16"/>
  <c r="E93" i="16"/>
  <c r="E95" i="16" s="1"/>
  <c r="Q99" i="16"/>
  <c r="Q100" i="16"/>
  <c r="E104" i="3"/>
  <c r="E103" i="3"/>
  <c r="E102" i="3"/>
  <c r="E101" i="3"/>
  <c r="E100" i="3"/>
  <c r="E94" i="3"/>
  <c r="K32" i="2"/>
  <c r="K31" i="2"/>
  <c r="K30" i="2"/>
  <c r="K29" i="2"/>
  <c r="K28" i="2"/>
  <c r="K20" i="2"/>
  <c r="K23" i="2" s="1"/>
  <c r="E32" i="2"/>
  <c r="E31" i="2"/>
  <c r="E30" i="2"/>
  <c r="E29" i="2"/>
  <c r="E28" i="2"/>
  <c r="E27" i="2"/>
  <c r="E22" i="2"/>
  <c r="D45" i="19"/>
  <c r="D81" i="19" l="1"/>
  <c r="D117" i="19" s="1"/>
  <c r="E100" i="16"/>
  <c r="E99" i="16"/>
  <c r="E20" i="15" l="1"/>
  <c r="K20" i="12"/>
  <c r="D81" i="3"/>
  <c r="E20" i="19" l="1"/>
  <c r="K56" i="19"/>
  <c r="E20" i="6"/>
  <c r="Q56" i="19"/>
  <c r="E20" i="4"/>
  <c r="K92" i="19"/>
  <c r="E56" i="19"/>
  <c r="E92" i="19"/>
  <c r="E20" i="9"/>
  <c r="Q20" i="10" l="1"/>
  <c r="E20" i="2"/>
  <c r="E20" i="12"/>
  <c r="E20" i="13"/>
  <c r="E20" i="8"/>
  <c r="E92" i="3"/>
  <c r="E21" i="4" l="1"/>
  <c r="Q57" i="19"/>
  <c r="Q59" i="19" s="1"/>
  <c r="E20" i="5"/>
  <c r="K20" i="4"/>
  <c r="K59" i="19"/>
  <c r="E23" i="6"/>
  <c r="E27" i="4"/>
  <c r="E57" i="6" l="1"/>
  <c r="E59" i="6" s="1"/>
  <c r="Q21" i="10"/>
  <c r="Q23" i="10" s="1"/>
  <c r="K93" i="19"/>
  <c r="K95" i="19" s="1"/>
  <c r="E57" i="19"/>
  <c r="E59" i="19" s="1"/>
  <c r="E21" i="8"/>
  <c r="E23" i="19"/>
  <c r="E21" i="5"/>
  <c r="K21" i="4"/>
  <c r="K21" i="12"/>
  <c r="K23" i="12" s="1"/>
  <c r="E21" i="12"/>
  <c r="E21" i="15"/>
  <c r="E93" i="3"/>
  <c r="E95" i="3" s="1"/>
  <c r="E21" i="2"/>
  <c r="E23" i="2" s="1"/>
  <c r="E99" i="19" l="1"/>
  <c r="K21" i="5"/>
  <c r="K23" i="5" s="1"/>
  <c r="E63" i="19"/>
  <c r="E21" i="9"/>
  <c r="E21" i="13"/>
  <c r="K99" i="19"/>
  <c r="E93" i="19"/>
  <c r="E95" i="19" s="1"/>
  <c r="E99" i="3"/>
  <c r="D85" i="3" l="1"/>
  <c r="D84" i="3"/>
  <c r="D83" i="3"/>
  <c r="D81" i="16"/>
  <c r="E86" i="3" l="1"/>
  <c r="E97" i="3" s="1"/>
  <c r="E105" i="3" s="1"/>
  <c r="D117" i="16" l="1"/>
  <c r="D121" i="16" l="1"/>
  <c r="D120" i="16"/>
  <c r="D119" i="16"/>
  <c r="E122" i="16" l="1"/>
  <c r="E133" i="16" s="1"/>
  <c r="E141" i="16" s="1"/>
  <c r="E14" i="8" l="1"/>
  <c r="E23" i="5" l="1"/>
  <c r="J81" i="19" l="1"/>
  <c r="P81" i="19" l="1"/>
  <c r="J81" i="16"/>
  <c r="J117" i="16" s="1"/>
  <c r="J85" i="19"/>
  <c r="J84" i="19"/>
  <c r="J83" i="19"/>
  <c r="D85" i="19"/>
  <c r="D84" i="19"/>
  <c r="D83" i="19"/>
  <c r="P49" i="19"/>
  <c r="J49" i="19"/>
  <c r="D49" i="19"/>
  <c r="P48" i="19"/>
  <c r="J48" i="19"/>
  <c r="D48" i="19"/>
  <c r="P47" i="19"/>
  <c r="J47" i="19"/>
  <c r="D47" i="19"/>
  <c r="P45" i="19"/>
  <c r="J45" i="19"/>
  <c r="E25" i="19"/>
  <c r="E33" i="19" s="1"/>
  <c r="D13" i="19"/>
  <c r="D12" i="19"/>
  <c r="D11" i="19"/>
  <c r="P9" i="19"/>
  <c r="J9" i="19"/>
  <c r="K97" i="19" l="1"/>
  <c r="K105" i="19" s="1"/>
  <c r="E97" i="19"/>
  <c r="E105" i="19" s="1"/>
  <c r="Q61" i="19"/>
  <c r="Q69" i="19" s="1"/>
  <c r="K61" i="19"/>
  <c r="K69" i="19" s="1"/>
  <c r="E61" i="19"/>
  <c r="E69" i="19" s="1"/>
  <c r="P81" i="16"/>
  <c r="P117" i="16" s="1"/>
  <c r="L146" i="19" l="1"/>
  <c r="Q86" i="16" l="1"/>
  <c r="Q97" i="16" s="1"/>
  <c r="P85" i="16"/>
  <c r="P84" i="16"/>
  <c r="P83" i="16"/>
  <c r="K86" i="16"/>
  <c r="K97" i="16" s="1"/>
  <c r="K105" i="16" s="1"/>
  <c r="J85" i="16"/>
  <c r="J84" i="16"/>
  <c r="J83" i="16"/>
  <c r="Q105" i="16" l="1"/>
  <c r="D85" i="16"/>
  <c r="D84" i="16"/>
  <c r="D83" i="16"/>
  <c r="P49" i="16"/>
  <c r="P48" i="16"/>
  <c r="P47" i="16"/>
  <c r="J49" i="16"/>
  <c r="J48" i="16"/>
  <c r="J47" i="16"/>
  <c r="D49" i="16"/>
  <c r="D48" i="16"/>
  <c r="D47" i="16"/>
  <c r="P13" i="16"/>
  <c r="P12" i="16"/>
  <c r="P11" i="16"/>
  <c r="Q14" i="16" l="1"/>
  <c r="Q25" i="16" s="1"/>
  <c r="Q33" i="16" s="1"/>
  <c r="E86" i="16"/>
  <c r="E97" i="16" s="1"/>
  <c r="E105" i="16" s="1"/>
  <c r="K50" i="16"/>
  <c r="K61" i="16" s="1"/>
  <c r="K69" i="16" s="1"/>
  <c r="Q50" i="16" l="1"/>
  <c r="Q61" i="16" s="1"/>
  <c r="Q69" i="16" s="1"/>
  <c r="E50" i="16"/>
  <c r="E61" i="16" s="1"/>
  <c r="E69" i="16" s="1"/>
  <c r="P9" i="2" l="1"/>
  <c r="D11" i="15" l="1"/>
  <c r="D11" i="12"/>
  <c r="D12" i="9"/>
  <c r="D11" i="8"/>
  <c r="D12" i="4"/>
  <c r="P13" i="10"/>
  <c r="D11" i="9"/>
  <c r="D11" i="4"/>
  <c r="P12" i="10"/>
  <c r="D49" i="6"/>
  <c r="J13" i="5"/>
  <c r="J13" i="12"/>
  <c r="P11" i="10"/>
  <c r="D48" i="6"/>
  <c r="D13" i="6"/>
  <c r="J12" i="5"/>
  <c r="J12" i="12"/>
  <c r="D47" i="6"/>
  <c r="D12" i="6"/>
  <c r="J12" i="6" s="1"/>
  <c r="J11" i="5"/>
  <c r="J13" i="4"/>
  <c r="D13" i="13"/>
  <c r="J11" i="12"/>
  <c r="D11" i="6"/>
  <c r="D13" i="5"/>
  <c r="J12" i="4"/>
  <c r="D11" i="2"/>
  <c r="D13" i="15"/>
  <c r="D12" i="13"/>
  <c r="D13" i="12"/>
  <c r="D13" i="8"/>
  <c r="D12" i="5"/>
  <c r="D12" i="15"/>
  <c r="D11" i="13"/>
  <c r="D12" i="12"/>
  <c r="J12" i="11"/>
  <c r="D13" i="9"/>
  <c r="D12" i="8"/>
  <c r="D11" i="5"/>
  <c r="D13" i="4"/>
  <c r="D12" i="2"/>
  <c r="D13" i="2"/>
  <c r="E61" i="6"/>
  <c r="E69" i="6" s="1"/>
  <c r="K25" i="5"/>
  <c r="K33" i="5" s="1"/>
  <c r="E14" i="13"/>
  <c r="E14" i="2"/>
  <c r="E25" i="2" s="1"/>
  <c r="E14" i="4"/>
  <c r="K25" i="2"/>
  <c r="K33" i="2" s="1"/>
  <c r="Q14" i="10"/>
  <c r="Q25" i="10" s="1"/>
  <c r="Q33" i="10" s="1"/>
  <c r="E14" i="12"/>
  <c r="E14" i="5"/>
  <c r="K14" i="12"/>
  <c r="K25" i="12" s="1"/>
  <c r="K33" i="12" s="1"/>
  <c r="K14" i="4"/>
  <c r="K25" i="4" s="1"/>
  <c r="K33" i="4" s="1"/>
  <c r="E25" i="6"/>
  <c r="E14" i="9"/>
  <c r="E23" i="4" l="1"/>
  <c r="E25" i="4" s="1"/>
  <c r="E23" i="13"/>
  <c r="E25" i="13" s="1"/>
  <c r="E23" i="12" l="1"/>
  <c r="E25" i="12" s="1"/>
  <c r="E23" i="9"/>
  <c r="E25" i="9" s="1"/>
  <c r="E23" i="15" l="1"/>
  <c r="E25" i="15" s="1"/>
  <c r="E33" i="9"/>
  <c r="E25" i="5"/>
  <c r="E33" i="6"/>
  <c r="E23" i="8"/>
  <c r="E25" i="8" s="1"/>
  <c r="E33" i="12"/>
  <c r="E33" i="4"/>
  <c r="J38" i="14" l="1"/>
  <c r="E33" i="13"/>
  <c r="J38" i="13" s="1"/>
  <c r="E33" i="8"/>
  <c r="J38" i="8" s="1"/>
  <c r="E33" i="2"/>
  <c r="J38" i="12"/>
  <c r="E33" i="5"/>
  <c r="E33" i="15"/>
  <c r="P74" i="10" l="1"/>
  <c r="J110" i="3"/>
  <c r="J38" i="7"/>
  <c r="J39" i="11"/>
  <c r="J9" i="7" l="1"/>
  <c r="P9" i="7" s="1"/>
  <c r="P45" i="16" l="1"/>
  <c r="J45" i="16"/>
  <c r="I11" i="16"/>
  <c r="J12" i="16" s="1"/>
  <c r="C11" i="16"/>
  <c r="E14" i="16" s="1"/>
  <c r="P9" i="16"/>
  <c r="J9" i="16"/>
  <c r="E27" i="16" l="1"/>
  <c r="E31" i="16"/>
  <c r="E30" i="16"/>
  <c r="E29" i="16"/>
  <c r="E28" i="16"/>
  <c r="E22" i="16"/>
  <c r="E20" i="16"/>
  <c r="E21" i="16"/>
  <c r="K21" i="16"/>
  <c r="K27" i="16"/>
  <c r="K20" i="16"/>
  <c r="K28" i="16"/>
  <c r="K31" i="16"/>
  <c r="K30" i="16"/>
  <c r="K29" i="16"/>
  <c r="K22" i="16"/>
  <c r="D12" i="16"/>
  <c r="D11" i="16"/>
  <c r="D13" i="16"/>
  <c r="J11" i="16"/>
  <c r="K14" i="16"/>
  <c r="J13" i="16"/>
  <c r="K23" i="16" l="1"/>
  <c r="K25" i="16" s="1"/>
  <c r="K33" i="16" s="1"/>
  <c r="E23" i="16"/>
  <c r="E25" i="16" s="1"/>
  <c r="E33" i="16" s="1"/>
  <c r="P9" i="12" l="1"/>
  <c r="J9" i="12"/>
  <c r="P9" i="11"/>
  <c r="J45" i="10" l="1"/>
  <c r="P9" i="10"/>
  <c r="J9" i="8"/>
  <c r="P45" i="10" l="1"/>
  <c r="J81" i="10"/>
  <c r="J38" i="9" l="1"/>
  <c r="J9" i="5"/>
  <c r="P9" i="5" s="1"/>
  <c r="J9" i="4"/>
  <c r="P9" i="3"/>
  <c r="J9" i="3"/>
  <c r="C11" i="1"/>
  <c r="J9" i="1"/>
  <c r="P9" i="1" s="1"/>
  <c r="E30" i="1" l="1"/>
  <c r="E22" i="1"/>
  <c r="E28" i="1"/>
  <c r="E31" i="1"/>
  <c r="E27" i="1"/>
  <c r="E29" i="1"/>
  <c r="E32" i="1"/>
  <c r="E20" i="1"/>
  <c r="E21" i="1"/>
  <c r="K32" i="1"/>
  <c r="K22" i="1"/>
  <c r="K30" i="1"/>
  <c r="K29" i="1"/>
  <c r="K31" i="1"/>
  <c r="K28" i="1"/>
  <c r="K20" i="1"/>
  <c r="K21" i="1"/>
  <c r="K27" i="1"/>
  <c r="D11" i="1"/>
  <c r="D12" i="1"/>
  <c r="D13" i="1"/>
  <c r="E14" i="1"/>
  <c r="J13" i="1"/>
  <c r="J12" i="1"/>
  <c r="K14" i="1"/>
  <c r="J11" i="1"/>
  <c r="K23" i="1" l="1"/>
  <c r="K25" i="1" s="1"/>
  <c r="K33" i="1" s="1"/>
  <c r="E23" i="1"/>
  <c r="E25" i="1" s="1"/>
  <c r="E33" i="1" s="1"/>
  <c r="J37" i="1" l="1"/>
  <c r="J37" i="5"/>
  <c r="J38" i="4" l="1"/>
  <c r="P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2" authorId="0" shapeId="0" xr:uid="{9214AB13-27F1-4C73-8DD1-E86949E15052}">
      <text>
        <r>
          <rPr>
            <sz val="11"/>
            <color theme="1"/>
            <rFont val="Calibri"/>
            <scheme val="minor"/>
          </rPr>
          <t>SALARY INCREASE SG 11 TO 15 
THEY ALREADY HAVE DMO  II POSITON</t>
        </r>
      </text>
    </comment>
    <comment ref="AP23" authorId="0" shapeId="0" xr:uid="{1700D1D9-1D25-4057-B229-37764A37BCF5}">
      <text>
        <r>
          <rPr>
            <sz val="11"/>
            <color theme="1"/>
            <rFont val="Calibri"/>
            <scheme val="minor"/>
          </rPr>
          <t>Dec 1-15, (Stop deductions Nov 16-30) 337.50</t>
        </r>
      </text>
    </comment>
    <comment ref="E28" authorId="0" shapeId="0" xr:uid="{65A1F53D-DCBC-4DF2-8355-A32C064057C5}">
      <text>
        <r>
          <rPr>
            <sz val="11"/>
            <color theme="1"/>
            <rFont val="Calibri"/>
            <scheme val="minor"/>
          </rPr>
          <t>SALARY INCREASE FR 6 TO 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2" authorId="0" shapeId="0" xr:uid="{9D25BBD1-610E-47CD-9140-2808E84FDDF2}">
      <text>
        <r>
          <rPr>
            <sz val="11"/>
            <color theme="1"/>
            <rFont val="Calibri"/>
            <scheme val="minor"/>
          </rPr>
          <t>4</t>
        </r>
      </text>
    </comment>
    <comment ref="U12" authorId="0" shapeId="0" xr:uid="{D9ED7312-D895-413B-B509-303D9AB8A281}">
      <text>
        <r>
          <rPr>
            <sz val="11"/>
            <color theme="1"/>
            <rFont val="Calibri"/>
            <scheme val="minor"/>
          </rPr>
          <t xml:space="preserve">4
</t>
        </r>
      </text>
    </comment>
    <comment ref="AP20" authorId="0" shapeId="0" xr:uid="{DB5A35F6-511D-4849-BF8B-A996E3CE139F}">
      <text>
        <r>
          <rPr>
            <sz val="11"/>
            <color theme="1"/>
            <rFont val="Calibri"/>
            <scheme val="minor"/>
          </rPr>
          <t>Dec 1-15, 2025  (Stop deductions Nov 16-30) 337.50</t>
        </r>
      </text>
    </comment>
  </commentList>
</comments>
</file>

<file path=xl/sharedStrings.xml><?xml version="1.0" encoding="utf-8"?>
<sst xmlns="http://schemas.openxmlformats.org/spreadsheetml/2006/main" count="2580" uniqueCount="321">
  <si>
    <t xml:space="preserve">     Department of Agriculture</t>
  </si>
  <si>
    <t xml:space="preserve">     Agricultural Training Institute</t>
  </si>
  <si>
    <t xml:space="preserve">       ATI  Bldg., Diliman, Q.C.</t>
  </si>
  <si>
    <t>PAY SLIP</t>
  </si>
  <si>
    <t>Half Monthly Salary</t>
  </si>
  <si>
    <t>Deductions :</t>
  </si>
  <si>
    <t>Amount</t>
  </si>
  <si>
    <t>Absent</t>
  </si>
  <si>
    <t>Late/Undertime</t>
  </si>
  <si>
    <t>Adjustment/s</t>
  </si>
  <si>
    <t xml:space="preserve">Total Deductions   </t>
  </si>
  <si>
    <t>-</t>
  </si>
  <si>
    <t>Gross Amount</t>
  </si>
  <si>
    <t xml:space="preserve">Less: </t>
  </si>
  <si>
    <t>Expanded Wtax (2%)</t>
  </si>
  <si>
    <t>Accommodation</t>
  </si>
  <si>
    <t>Total Net Received</t>
  </si>
  <si>
    <t>Administrative Asst. II</t>
  </si>
  <si>
    <t>PPD</t>
  </si>
  <si>
    <t>Water</t>
  </si>
  <si>
    <t>Electricity</t>
  </si>
  <si>
    <t>GAGUCAS, MICHAEL B.</t>
  </si>
  <si>
    <t>ARENAS, DIANA ROSE A.</t>
  </si>
  <si>
    <t>Security</t>
  </si>
  <si>
    <t>JOB ORDER GENERAL PAYROLL</t>
  </si>
  <si>
    <t>For The Period of</t>
  </si>
  <si>
    <t>No.</t>
  </si>
  <si>
    <t>ORS Number</t>
  </si>
  <si>
    <t>ORS Date</t>
  </si>
  <si>
    <t>Name</t>
  </si>
  <si>
    <t>Office</t>
  </si>
  <si>
    <t>Position</t>
  </si>
  <si>
    <t>Salary Grade</t>
  </si>
  <si>
    <t>FUND SOURCE</t>
  </si>
  <si>
    <t xml:space="preserve">1st QTR.
Work Schedule  - </t>
  </si>
  <si>
    <t>Monthly Rate</t>
  </si>
  <si>
    <t>Quincena</t>
  </si>
  <si>
    <t>Daily Rate</t>
  </si>
  <si>
    <t>Per Hour</t>
  </si>
  <si>
    <t>Per Minute</t>
  </si>
  <si>
    <t>Working Days</t>
  </si>
  <si>
    <t>Basic Salary</t>
  </si>
  <si>
    <t>TOTAL</t>
  </si>
  <si>
    <t>Total</t>
  </si>
  <si>
    <t>Other Deduction</t>
  </si>
  <si>
    <t>Withholding Tax</t>
  </si>
  <si>
    <t>Deductions</t>
  </si>
  <si>
    <t>Net Pay</t>
  </si>
  <si>
    <t>Remarks</t>
  </si>
  <si>
    <t>Late / Under Time</t>
  </si>
  <si>
    <t>IN PESO</t>
  </si>
  <si>
    <t>EXPANDED</t>
  </si>
  <si>
    <t>PERCENTAGE</t>
  </si>
  <si>
    <t>Accommodation (Staff house)</t>
  </si>
  <si>
    <t>Water (Staff house)</t>
  </si>
  <si>
    <t>Electricity 
(Staff house)</t>
  </si>
  <si>
    <t>Time In</t>
  </si>
  <si>
    <t>Time Out</t>
  </si>
  <si>
    <t>Hour</t>
  </si>
  <si>
    <t>Minute</t>
  </si>
  <si>
    <t>1</t>
  </si>
  <si>
    <t>4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</si>
  <si>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</si>
  <si>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</si>
  <si>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</si>
  <si>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</si>
  <si>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</si>
  <si>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</si>
  <si>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</si>
  <si>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</si>
  <si>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</si>
  <si>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</si>
  <si>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</si>
  <si>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</si>
  <si>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</si>
  <si>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</si>
  <si>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</si>
  <si>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</si>
  <si>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</si>
  <si>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</si>
  <si>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</si>
  <si>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</si>
  <si>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</si>
  <si>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</si>
  <si>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</si>
  <si>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</si>
  <si>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</si>
  <si>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</si>
  <si>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</si>
  <si>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</si>
  <si>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</si>
  <si>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</si>
  <si>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</si>
  <si>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</si>
  <si>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</si>
  <si>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</si>
  <si>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AUSTRIA, CHRISTIAN JOCEF B.</t>
  </si>
  <si>
    <t>CDMD</t>
  </si>
  <si>
    <t>ok</t>
  </si>
  <si>
    <t>Payroll</t>
  </si>
  <si>
    <t>ESMER, GLECY R.</t>
  </si>
  <si>
    <t>ISD</t>
  </si>
  <si>
    <t>LAMPAS, CHRISTIAN JOSEPH P</t>
  </si>
  <si>
    <t>Computer Maintenance Technologist I</t>
  </si>
  <si>
    <t>MANDANI, AVE M.</t>
  </si>
  <si>
    <t>Bookbinder III</t>
  </si>
  <si>
    <t>PERNIA, JONAS S.</t>
  </si>
  <si>
    <t>BALANGATAN, JUN CHRISTOPHER C.</t>
  </si>
  <si>
    <t>Media Production Specialist I</t>
  </si>
  <si>
    <t>ADO</t>
  </si>
  <si>
    <t>DE GUZMAN, SWEET JESSABEL M.</t>
  </si>
  <si>
    <t>BGT.</t>
  </si>
  <si>
    <t>SALVA, IRENE U</t>
  </si>
  <si>
    <t>CRUZ, CLAIRE JOYCE B.</t>
  </si>
  <si>
    <t>ACCTG.</t>
  </si>
  <si>
    <t>FERNANDEZ, YARI E.</t>
  </si>
  <si>
    <t>SALVANIA, JEFFREY</t>
  </si>
  <si>
    <t>IAU</t>
  </si>
  <si>
    <t xml:space="preserve">CAPONGCOL, MARY JANE </t>
  </si>
  <si>
    <t>RCRDS</t>
  </si>
  <si>
    <t>CUARTERON, JOSEN L.</t>
  </si>
  <si>
    <t>GSS</t>
  </si>
  <si>
    <t>Administrative Asst. I</t>
  </si>
  <si>
    <t>CATUBAY, ELVIS JOHN L.</t>
  </si>
  <si>
    <t>MARCELO, FERDINAND S.</t>
  </si>
  <si>
    <t xml:space="preserve">TAPIADOR, JACKSON T. </t>
  </si>
  <si>
    <t>PERALTA, JONEL</t>
  </si>
  <si>
    <t>INFRA</t>
  </si>
  <si>
    <t>Civil Engineer II</t>
  </si>
  <si>
    <t>RIVAS, JOSEPH S.</t>
  </si>
  <si>
    <t>LORENA, SUSAN G</t>
  </si>
  <si>
    <t>COA</t>
  </si>
  <si>
    <t>SMS</t>
  </si>
  <si>
    <t>AKUT, FILSAN G.</t>
  </si>
  <si>
    <t>BAC</t>
  </si>
  <si>
    <t>CELOCIA, ROSELY-ANN G.</t>
  </si>
  <si>
    <t>DO</t>
  </si>
  <si>
    <t>BRUZON, ANGENNITTE F.</t>
  </si>
  <si>
    <t>PAD</t>
  </si>
  <si>
    <t>JARABESE, LUIS E.</t>
  </si>
  <si>
    <t>Administrative Aide VI (Gardener)</t>
  </si>
  <si>
    <t>Development Management Officer II</t>
  </si>
  <si>
    <t>BADILLO, ALBINO M.</t>
  </si>
  <si>
    <t>BELO, JOSHUA G.</t>
  </si>
  <si>
    <t>Agriculturist I</t>
  </si>
  <si>
    <t>ALBOROTO, JANET P.</t>
  </si>
  <si>
    <t>GH</t>
  </si>
  <si>
    <t>REVOLVING FUND</t>
  </si>
  <si>
    <t>BERNABE, JOHN MICHAEL A.</t>
  </si>
  <si>
    <t>CANNU JR, ALFREDO O.</t>
  </si>
  <si>
    <t>CELOCIA, MERLITA O.</t>
  </si>
  <si>
    <t>CUBIL, JOCELYN R.</t>
  </si>
  <si>
    <t xml:space="preserve">GULTIANO, HELEN D. </t>
  </si>
  <si>
    <t>TORIO, CECIL P.</t>
  </si>
  <si>
    <t>CATIMBANG, SHANDEE FAY O.</t>
  </si>
  <si>
    <t xml:space="preserve">  </t>
  </si>
  <si>
    <t>GASATAN, ENRICO JAN S.</t>
  </si>
  <si>
    <t xml:space="preserve"> </t>
  </si>
  <si>
    <t>Executive Assistant II</t>
  </si>
  <si>
    <t>Percentage Tax (3%)</t>
  </si>
  <si>
    <t xml:space="preserve">Percentage Tax (3%) </t>
  </si>
  <si>
    <t>#REF!</t>
  </si>
  <si>
    <t xml:space="preserve">     ATI  Bldg., Diliman, Q.C.</t>
  </si>
  <si>
    <t>MARTIN, SHAIRA LEA E.</t>
  </si>
  <si>
    <t xml:space="preserve">4th QTR.
Work Schedule  - </t>
  </si>
  <si>
    <t>Repairs</t>
  </si>
  <si>
    <t>ESTAPON, LESLIE DC.</t>
  </si>
  <si>
    <t xml:space="preserve">    </t>
  </si>
  <si>
    <t>Administrative Asst. III</t>
  </si>
  <si>
    <t xml:space="preserve"> Administrative Asst. IV (Dormitory Assistant)</t>
  </si>
  <si>
    <t>Administrative Asst. III (Housekeeping Attendant)</t>
  </si>
  <si>
    <t>GALABAY, CHRISTIANEL B.</t>
  </si>
  <si>
    <t>Planning Officer II</t>
  </si>
  <si>
    <t>W/ ANNEX B2</t>
  </si>
  <si>
    <t>OK</t>
  </si>
  <si>
    <t>Training Specialist II</t>
  </si>
  <si>
    <t>PASTOR, JANELLE E.</t>
  </si>
  <si>
    <t>Technical Support Staff IV</t>
  </si>
  <si>
    <t>MARTIN, ORLAN LEONARD E.</t>
  </si>
  <si>
    <t>MANGILOG, ERICCA MAE V.</t>
  </si>
  <si>
    <t>FRANCISCO, ULYSSES H.</t>
  </si>
  <si>
    <t>DITCHE, ALLIAH LYN P.</t>
  </si>
  <si>
    <t>NO TAX EXEMPTION</t>
  </si>
  <si>
    <t>END OF CONTRACT</t>
  </si>
  <si>
    <t>CAGUMBAY, LIYANNE M.</t>
  </si>
  <si>
    <t>CASHIER</t>
  </si>
  <si>
    <t>MAGDARAOG, CHRISTINE NAZEL C.</t>
  </si>
  <si>
    <t>GAMBOA, ELGIE F.</t>
  </si>
  <si>
    <t>Voucher</t>
  </si>
  <si>
    <t>LOZANO, ADRIAN D.</t>
  </si>
  <si>
    <t xml:space="preserve">PATAN, LIOMYR A. </t>
  </si>
  <si>
    <t>CORDOVA, JOEL M.</t>
  </si>
  <si>
    <t>Electrical Engineer I</t>
  </si>
  <si>
    <t>EMBALZADO, SHERYL P.</t>
  </si>
  <si>
    <t>ANDAYA, APRIL JANE G.</t>
  </si>
  <si>
    <t>CFIDP</t>
  </si>
  <si>
    <t>LIPAN, AGNES J.</t>
  </si>
  <si>
    <t>OLIVO, JENNA P.</t>
  </si>
  <si>
    <t>CALDITO, CHARISSE D.</t>
  </si>
  <si>
    <t>GUZMAN, JESSA MAE G.</t>
  </si>
  <si>
    <t>HRMO</t>
  </si>
  <si>
    <t>SERDONCILLO, RANIL G.</t>
  </si>
  <si>
    <t>TORIO, MARLON P.</t>
  </si>
  <si>
    <t>Revolving Fund</t>
  </si>
  <si>
    <t>Administrative Asst. I (Bus Driver)</t>
  </si>
  <si>
    <t>NAMOCA, SANTIAGO J.</t>
  </si>
  <si>
    <t>Electrician General Forman</t>
  </si>
  <si>
    <t>WALICAN, CARLA S.</t>
  </si>
  <si>
    <t>Administrative Asst. IV</t>
  </si>
  <si>
    <t>CFIDP Voucher</t>
  </si>
  <si>
    <t>SASIS, BRINGKLY B.</t>
  </si>
  <si>
    <t xml:space="preserve">Percentage Tax (10%) </t>
  </si>
  <si>
    <t xml:space="preserve">RODRIGUEZ, MA. RUFFA A. </t>
  </si>
  <si>
    <t>Development Management Officer I</t>
  </si>
  <si>
    <t>YUGA, MYKA ALEXZA B.</t>
  </si>
  <si>
    <t>CAIZ, LEONILA D.</t>
  </si>
  <si>
    <t>ARANAZ, CZAREE JOSIAH A.</t>
  </si>
  <si>
    <t>AGUSTIN, PAULYN B.</t>
  </si>
  <si>
    <t>NILO, FAITH PERL A.</t>
  </si>
  <si>
    <t>Planning Officer I</t>
  </si>
  <si>
    <t>COMPLETO, CRIZANTO E.</t>
  </si>
  <si>
    <t>LIM, KLEIN ANSON G.</t>
  </si>
  <si>
    <t>AMBROSIO, JOHN HAROLD F.</t>
  </si>
  <si>
    <t>VERINO, ALLYSON RYAN T.</t>
  </si>
  <si>
    <t>Planning Development Officer I</t>
  </si>
  <si>
    <t>Clothing 
and Others</t>
  </si>
  <si>
    <t xml:space="preserve">Financial Analyst </t>
  </si>
  <si>
    <t>ACENO, ALYANNA MARIE</t>
  </si>
  <si>
    <t>Dormitory Manager I</t>
  </si>
  <si>
    <t>Administrative Asst. II (Reliever)</t>
  </si>
  <si>
    <t>AGUAS, DERICKE DUANE C.</t>
  </si>
  <si>
    <t>Information Officer I</t>
  </si>
  <si>
    <t>BERNABE CHERRY MAY E.</t>
  </si>
  <si>
    <t>OQUINDO, SHEILA JANE G.</t>
  </si>
  <si>
    <t>Encoder</t>
  </si>
  <si>
    <t>(Advance)</t>
  </si>
  <si>
    <t xml:space="preserve">GUTIERREZ, DACHIEL P.  </t>
  </si>
  <si>
    <t>BALA, ANGEL D.</t>
  </si>
  <si>
    <t>NIÑO, COLENE MAE B.</t>
  </si>
  <si>
    <t>02-01-15-2026</t>
  </si>
  <si>
    <t>2026-01-0009</t>
  </si>
  <si>
    <t>2026-01-0010</t>
  </si>
  <si>
    <t>2026-01-0002</t>
  </si>
  <si>
    <t>2026-01-0001</t>
  </si>
  <si>
    <t>2026-01-0006</t>
  </si>
  <si>
    <t>2026-01-0007</t>
  </si>
  <si>
    <t>2026-01-0008</t>
  </si>
  <si>
    <t>2026-01-0004</t>
  </si>
  <si>
    <t>2026-01-0011</t>
  </si>
  <si>
    <t>2026-01-0003</t>
  </si>
  <si>
    <t>2026-01-0005</t>
  </si>
  <si>
    <t>2026-01-0012</t>
  </si>
  <si>
    <t>2026-01-0013</t>
  </si>
  <si>
    <t>2026-01-0016</t>
  </si>
  <si>
    <t>O. ESETS</t>
  </si>
  <si>
    <t>2026-01-0014</t>
  </si>
  <si>
    <t>2026-01-0015</t>
  </si>
  <si>
    <t>2026-01-0017</t>
  </si>
  <si>
    <t>2026-01-0018</t>
  </si>
  <si>
    <t>2026-01-0019</t>
  </si>
  <si>
    <t>2026-01-0025</t>
  </si>
  <si>
    <t>FPMA/RICE</t>
  </si>
  <si>
    <t>2026-01-0022</t>
  </si>
  <si>
    <t>2026-01-0021</t>
  </si>
  <si>
    <t>2026-01-0023</t>
  </si>
  <si>
    <t>2026-01-0024</t>
  </si>
  <si>
    <t>2026-01-0020</t>
  </si>
  <si>
    <t>2026-01-0026</t>
  </si>
  <si>
    <t>2026-01-0047</t>
  </si>
  <si>
    <t>GASS</t>
  </si>
  <si>
    <t>2026-01-48</t>
  </si>
  <si>
    <t>2026-01-0037</t>
  </si>
  <si>
    <t>2026-01-0038</t>
  </si>
  <si>
    <t>2026-01-0039</t>
  </si>
  <si>
    <t xml:space="preserve"> REVOLVING FUND</t>
  </si>
  <si>
    <t>2026-01-0040</t>
  </si>
  <si>
    <t>2026-01-0041</t>
  </si>
  <si>
    <t>2026-01-0049</t>
  </si>
  <si>
    <t>2026-01-0050</t>
  </si>
  <si>
    <t>2026-01-0059</t>
  </si>
  <si>
    <t>2026-01-0058</t>
  </si>
  <si>
    <t>2026-01-0062</t>
  </si>
  <si>
    <t>2026-01-0060</t>
  </si>
  <si>
    <t>2026-01-0063</t>
  </si>
  <si>
    <t>2026-01-0066</t>
  </si>
  <si>
    <t>2026-01-0064</t>
  </si>
  <si>
    <t>2026-01-0065</t>
  </si>
  <si>
    <t>2026-01-0067</t>
  </si>
  <si>
    <t>2026-01-0068</t>
  </si>
  <si>
    <t>2026-01-0069</t>
  </si>
  <si>
    <t>2026-01-0061</t>
  </si>
  <si>
    <t>2026-01-0042</t>
  </si>
  <si>
    <t>2026-01-0043</t>
  </si>
  <si>
    <t>2026-01-0045</t>
  </si>
  <si>
    <t>2026-01-0044</t>
  </si>
  <si>
    <t>2026-01-0051</t>
  </si>
  <si>
    <t>2026-01-0052</t>
  </si>
  <si>
    <t>2026-01-0056</t>
  </si>
  <si>
    <t>2026-01-0057</t>
  </si>
  <si>
    <t>2026-01-0046</t>
  </si>
  <si>
    <t>2026-01-0031</t>
  </si>
  <si>
    <t>2026-01-0033</t>
  </si>
  <si>
    <t>FPMA/NOAP</t>
  </si>
  <si>
    <t>2026-01-0034</t>
  </si>
  <si>
    <t>2026-01-0035</t>
  </si>
  <si>
    <t>2026-01-0029</t>
  </si>
  <si>
    <t>2026-01-0027</t>
  </si>
  <si>
    <t>2026-01-0028</t>
  </si>
  <si>
    <t>2026-01-0032</t>
  </si>
  <si>
    <t>FPMA/CORN</t>
  </si>
  <si>
    <t>2026-01-0030</t>
  </si>
  <si>
    <t>2026-01-0036</t>
  </si>
  <si>
    <t>2026-01-0055</t>
  </si>
  <si>
    <t>2026-01-0054</t>
  </si>
  <si>
    <t>2026-01-0053</t>
  </si>
  <si>
    <t>NEW</t>
  </si>
  <si>
    <t>02-16-28-2026</t>
  </si>
  <si>
    <t>Nov 16-31, 2025</t>
  </si>
  <si>
    <t>Absent, late/undertime, and adjustments from Feb 1-15, 2026 are reflected in this payroll.</t>
  </si>
  <si>
    <t>FEB 16-28, 2026</t>
  </si>
  <si>
    <t>Add: from Payroll Nov 16-31,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</si>
</sst>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??_-;_-@"/>
    <numFmt numFmtId="166" formatCode="h&quot;:&quot;mm&quot; &quot;AM/PM"/>
    <numFmt numFmtId="167" formatCode="mmm\ d\,\ yyyy"/>
    <numFmt numFmtId="168" formatCode="m/d/yyyy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u/>
      <sz val="11"/>
      <name val="Arial"/>
      <family val="2"/>
    </font>
    <font>
      <u val="singleAccounting"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 val="singleAccounting"/>
      <sz val="12"/>
      <color theme="1"/>
      <name val="Arial"/>
      <family val="2"/>
    </font>
    <font>
      <u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20"/>
      <color theme="1"/>
      <name val="Calibri"/>
    </font>
    <font>
      <sz val="16"/>
      <color theme="1"/>
      <name val="Calibri"/>
    </font>
    <font>
      <sz val="14"/>
      <color theme="1"/>
      <name val="Calibri"/>
    </font>
    <font>
      <i/>
      <sz val="11"/>
      <color theme="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1"/>
      <name val="Calibri"/>
    </font>
    <font>
      <b/>
      <i/>
      <sz val="11"/>
      <color theme="1"/>
      <name val="Calibri"/>
    </font>
    <font>
      <b/>
      <sz val="8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theme="1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8EAADB"/>
        <bgColor rgb="FF8EAADB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CCCCFF"/>
        <bgColor rgb="FFCCCCFF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D7D31"/>
        <bgColor rgb="FFED7D31"/>
      </patternFill>
    </fill>
    <fill>
      <patternFill patternType="solid">
        <fgColor rgb="FFDEEAF6"/>
        <bgColor rgb="FFDEEAF6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/>
  </cellStyleXfs>
  <cellXfs count="374">
    <xf numFmtId="0" fontId="0" fillId="0" borderId="0" xfId="0"/>
    <xf numFmtId="0" fontId="3" fillId="0" borderId="0" xfId="2" applyFont="1"/>
    <xf numFmtId="0" fontId="2" fillId="0" borderId="0" xfId="2"/>
    <xf numFmtId="0" fontId="4" fillId="0" borderId="0" xfId="2" applyFont="1"/>
    <xf numFmtId="0" fontId="5" fillId="0" borderId="0" xfId="2" applyFont="1"/>
    <xf numFmtId="164" fontId="3" fillId="0" borderId="0" xfId="2" applyNumberFormat="1" applyFont="1"/>
    <xf numFmtId="164" fontId="6" fillId="0" borderId="0" xfId="3" applyFont="1" applyFill="1"/>
    <xf numFmtId="164" fontId="7" fillId="0" borderId="0" xfId="3" applyFont="1" applyFill="1"/>
    <xf numFmtId="0" fontId="8" fillId="0" borderId="0" xfId="2" applyFont="1"/>
    <xf numFmtId="0" fontId="8" fillId="0" borderId="0" xfId="2" applyFont="1" applyAlignment="1">
      <alignment horizontal="center"/>
    </xf>
    <xf numFmtId="164" fontId="6" fillId="0" borderId="0" xfId="3" applyFont="1" applyFill="1" applyBorder="1"/>
    <xf numFmtId="164" fontId="3" fillId="0" borderId="0" xfId="3" applyFont="1" applyFill="1" applyBorder="1"/>
    <xf numFmtId="164" fontId="6" fillId="0" borderId="1" xfId="3" applyFont="1" applyFill="1" applyBorder="1"/>
    <xf numFmtId="164" fontId="2" fillId="0" borderId="0" xfId="2" applyNumberFormat="1"/>
    <xf numFmtId="164" fontId="2" fillId="0" borderId="0" xfId="1" applyFont="1"/>
    <xf numFmtId="0" fontId="5" fillId="0" borderId="0" xfId="2" applyFont="1" applyAlignment="1">
      <alignment horizont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 indent="4"/>
    </xf>
    <xf numFmtId="164" fontId="5" fillId="0" borderId="0" xfId="3" applyFont="1" applyFill="1" applyAlignment="1">
      <alignment horizontal="center"/>
    </xf>
    <xf numFmtId="164" fontId="3" fillId="0" borderId="0" xfId="3" applyFont="1" applyFill="1"/>
    <xf numFmtId="164" fontId="5" fillId="0" borderId="1" xfId="3" applyFont="1" applyFill="1" applyBorder="1"/>
    <xf numFmtId="164" fontId="9" fillId="0" borderId="0" xfId="3" applyFont="1" applyFill="1" applyBorder="1"/>
    <xf numFmtId="164" fontId="5" fillId="0" borderId="0" xfId="3" applyFont="1" applyFill="1" applyBorder="1"/>
    <xf numFmtId="164" fontId="5" fillId="0" borderId="0" xfId="3" applyFont="1" applyFill="1" applyBorder="1" applyAlignment="1">
      <alignment horizontal="left" wrapText="1"/>
    </xf>
    <xf numFmtId="164" fontId="2" fillId="0" borderId="0" xfId="3" applyFont="1" applyFill="1" applyBorder="1"/>
    <xf numFmtId="164" fontId="0" fillId="0" borderId="0" xfId="3" applyFont="1" applyFill="1" applyBorder="1"/>
    <xf numFmtId="0" fontId="10" fillId="0" borderId="0" xfId="2" applyFont="1"/>
    <xf numFmtId="0" fontId="11" fillId="0" borderId="0" xfId="2" applyFont="1"/>
    <xf numFmtId="164" fontId="13" fillId="0" borderId="0" xfId="3" applyFont="1" applyFill="1" applyBorder="1"/>
    <xf numFmtId="164" fontId="11" fillId="0" borderId="0" xfId="2" applyNumberFormat="1" applyFont="1"/>
    <xf numFmtId="164" fontId="14" fillId="0" borderId="0" xfId="3" applyFont="1" applyFill="1" applyBorder="1"/>
    <xf numFmtId="164" fontId="11" fillId="0" borderId="0" xfId="3" applyFont="1" applyFill="1" applyBorder="1"/>
    <xf numFmtId="164" fontId="14" fillId="0" borderId="1" xfId="3" applyFont="1" applyFill="1" applyBorder="1"/>
    <xf numFmtId="164" fontId="13" fillId="0" borderId="2" xfId="3" applyFont="1" applyFill="1" applyBorder="1"/>
    <xf numFmtId="0" fontId="17" fillId="0" borderId="0" xfId="2" applyFont="1"/>
    <xf numFmtId="0" fontId="18" fillId="0" borderId="0" xfId="2" applyFont="1" applyAlignment="1">
      <alignment horizontal="left" indent="4"/>
    </xf>
    <xf numFmtId="0" fontId="18" fillId="0" borderId="0" xfId="2" applyFont="1"/>
    <xf numFmtId="164" fontId="15" fillId="0" borderId="0" xfId="3" applyFont="1" applyFill="1" applyBorder="1"/>
    <xf numFmtId="0" fontId="12" fillId="0" borderId="0" xfId="2" applyFont="1"/>
    <xf numFmtId="0" fontId="16" fillId="0" borderId="0" xfId="2" applyFont="1"/>
    <xf numFmtId="0" fontId="16" fillId="0" borderId="0" xfId="2" applyFont="1" applyAlignment="1">
      <alignment horizontal="center"/>
    </xf>
    <xf numFmtId="0" fontId="17" fillId="0" borderId="3" xfId="2" applyFont="1" applyBorder="1"/>
    <xf numFmtId="0" fontId="17" fillId="0" borderId="4" xfId="2" applyFont="1" applyBorder="1"/>
    <xf numFmtId="0" fontId="17" fillId="0" borderId="5" xfId="2" applyFont="1" applyBorder="1"/>
    <xf numFmtId="0" fontId="17" fillId="0" borderId="6" xfId="2" applyFont="1" applyBorder="1"/>
    <xf numFmtId="0" fontId="17" fillId="0" borderId="7" xfId="2" applyFont="1" applyBorder="1"/>
    <xf numFmtId="0" fontId="18" fillId="0" borderId="7" xfId="2" applyFont="1" applyBorder="1"/>
    <xf numFmtId="0" fontId="11" fillId="0" borderId="6" xfId="2" applyFont="1" applyBorder="1"/>
    <xf numFmtId="0" fontId="4" fillId="0" borderId="7" xfId="2" applyFont="1" applyBorder="1"/>
    <xf numFmtId="0" fontId="11" fillId="0" borderId="7" xfId="2" applyFont="1" applyBorder="1"/>
    <xf numFmtId="164" fontId="14" fillId="0" borderId="7" xfId="3" applyFont="1" applyFill="1" applyBorder="1"/>
    <xf numFmtId="164" fontId="15" fillId="0" borderId="7" xfId="3" applyFont="1" applyFill="1" applyBorder="1"/>
    <xf numFmtId="0" fontId="16" fillId="0" borderId="7" xfId="2" applyFont="1" applyBorder="1" applyAlignment="1">
      <alignment horizontal="center"/>
    </xf>
    <xf numFmtId="164" fontId="13" fillId="0" borderId="7" xfId="3" applyFont="1" applyFill="1" applyBorder="1"/>
    <xf numFmtId="0" fontId="11" fillId="0" borderId="8" xfId="2" applyFont="1" applyBorder="1"/>
    <xf numFmtId="0" fontId="11" fillId="0" borderId="9" xfId="2" applyFont="1" applyBorder="1"/>
    <xf numFmtId="0" fontId="11" fillId="0" borderId="10" xfId="2" applyFont="1" applyBorder="1"/>
    <xf numFmtId="0" fontId="18" fillId="0" borderId="4" xfId="2" applyFont="1" applyBorder="1"/>
    <xf numFmtId="0" fontId="4" fillId="0" borderId="6" xfId="2" applyFont="1" applyBorder="1"/>
    <xf numFmtId="0" fontId="16" fillId="0" borderId="6" xfId="2" applyFont="1" applyBorder="1"/>
    <xf numFmtId="164" fontId="14" fillId="0" borderId="6" xfId="3" applyFont="1" applyFill="1" applyBorder="1"/>
    <xf numFmtId="0" fontId="4" fillId="0" borderId="9" xfId="2" applyFont="1" applyBorder="1"/>
    <xf numFmtId="164" fontId="14" fillId="0" borderId="8" xfId="3" applyFont="1" applyFill="1" applyBorder="1"/>
    <xf numFmtId="164" fontId="14" fillId="0" borderId="9" xfId="3" applyFont="1" applyFill="1" applyBorder="1"/>
    <xf numFmtId="164" fontId="13" fillId="0" borderId="9" xfId="3" applyFont="1" applyFill="1" applyBorder="1"/>
    <xf numFmtId="164" fontId="11" fillId="0" borderId="0" xfId="1" applyFont="1"/>
    <xf numFmtId="0" fontId="11" fillId="0" borderId="0" xfId="2" applyFont="1" applyAlignment="1">
      <alignment wrapText="1"/>
    </xf>
    <xf numFmtId="43" fontId="2" fillId="0" borderId="0" xfId="2" applyNumberFormat="1"/>
    <xf numFmtId="0" fontId="2" fillId="0" borderId="5" xfId="2" applyBorder="1"/>
    <xf numFmtId="164" fontId="14" fillId="0" borderId="0" xfId="3" applyFont="1" applyFill="1" applyBorder="1" applyAlignment="1">
      <alignment wrapText="1"/>
    </xf>
    <xf numFmtId="0" fontId="2" fillId="0" borderId="4" xfId="2" applyBorder="1"/>
    <xf numFmtId="0" fontId="11" fillId="0" borderId="4" xfId="2" applyFont="1" applyBorder="1"/>
    <xf numFmtId="164" fontId="11" fillId="0" borderId="0" xfId="2" applyNumberFormat="1" applyFont="1" applyAlignment="1">
      <alignment horizontal="centerContinuous" wrapText="1"/>
    </xf>
    <xf numFmtId="0" fontId="11" fillId="0" borderId="0" xfId="2" applyFont="1" applyAlignment="1">
      <alignment horizontal="centerContinuous"/>
    </xf>
    <xf numFmtId="0" fontId="11" fillId="0" borderId="7" xfId="2" applyFont="1" applyBorder="1" applyAlignment="1">
      <alignment horizontal="centerContinuous"/>
    </xf>
    <xf numFmtId="0" fontId="2" fillId="0" borderId="7" xfId="2" applyBorder="1"/>
    <xf numFmtId="164" fontId="11" fillId="0" borderId="0" xfId="1" applyFont="1" applyBorder="1" applyAlignment="1">
      <alignment vertical="center"/>
    </xf>
    <xf numFmtId="0" fontId="11" fillId="0" borderId="9" xfId="2" applyFont="1" applyBorder="1" applyAlignment="1">
      <alignment wrapText="1"/>
    </xf>
    <xf numFmtId="0" fontId="11" fillId="0" borderId="3" xfId="2" applyFont="1" applyBorder="1"/>
    <xf numFmtId="0" fontId="11" fillId="0" borderId="5" xfId="2" applyFont="1" applyBorder="1"/>
    <xf numFmtId="0" fontId="4" fillId="0" borderId="4" xfId="2" applyFont="1" applyBorder="1"/>
    <xf numFmtId="4" fontId="11" fillId="0" borderId="0" xfId="2" applyNumberFormat="1" applyFont="1"/>
    <xf numFmtId="164" fontId="5" fillId="0" borderId="0" xfId="3" applyFont="1" applyFill="1" applyBorder="1" applyAlignment="1">
      <alignment horizontal="center"/>
    </xf>
    <xf numFmtId="164" fontId="5" fillId="0" borderId="0" xfId="3" applyFont="1" applyFill="1" applyBorder="1" applyAlignment="1">
      <alignment horizontal="left"/>
    </xf>
    <xf numFmtId="0" fontId="3" fillId="0" borderId="0" xfId="2" applyFont="1" applyAlignment="1">
      <alignment horizontal="right"/>
    </xf>
    <xf numFmtId="164" fontId="5" fillId="0" borderId="0" xfId="2" applyNumberFormat="1" applyFont="1"/>
    <xf numFmtId="0" fontId="11" fillId="0" borderId="0" xfId="2" applyFont="1" applyAlignment="1">
      <alignment horizontal="right" wrapText="1"/>
    </xf>
    <xf numFmtId="0" fontId="11" fillId="0" borderId="0" xfId="2" applyFont="1" applyAlignment="1">
      <alignment vertical="center" wrapText="1"/>
    </xf>
    <xf numFmtId="164" fontId="14" fillId="0" borderId="0" xfId="3" applyFont="1" applyFill="1" applyBorder="1" applyAlignment="1">
      <alignment vertical="center" wrapText="1"/>
    </xf>
    <xf numFmtId="164" fontId="14" fillId="0" borderId="0" xfId="3" applyFont="1" applyFill="1" applyBorder="1" applyAlignment="1">
      <alignment horizontal="center"/>
    </xf>
    <xf numFmtId="0" fontId="11" fillId="0" borderId="0" xfId="2" applyFont="1" applyAlignment="1">
      <alignment vertical="center"/>
    </xf>
    <xf numFmtId="164" fontId="14" fillId="0" borderId="0" xfId="3" applyFont="1" applyFill="1" applyBorder="1" applyAlignment="1">
      <alignment vertical="center"/>
    </xf>
    <xf numFmtId="0" fontId="22" fillId="0" borderId="0" xfId="0" applyFont="1"/>
    <xf numFmtId="0" fontId="23" fillId="0" borderId="0" xfId="0" applyFont="1" applyAlignment="1">
      <alignment horizontal="left"/>
    </xf>
    <xf numFmtId="14" fontId="23" fillId="0" borderId="0" xfId="0" applyNumberFormat="1" applyFont="1" applyAlignment="1">
      <alignment horizontal="left"/>
    </xf>
    <xf numFmtId="14" fontId="23" fillId="0" borderId="0" xfId="0" applyNumberFormat="1" applyFont="1"/>
    <xf numFmtId="0" fontId="24" fillId="0" borderId="0" xfId="0" applyFont="1" applyAlignment="1">
      <alignment horizontal="center"/>
    </xf>
    <xf numFmtId="165" fontId="23" fillId="0" borderId="0" xfId="0" applyNumberFormat="1" applyFont="1"/>
    <xf numFmtId="1" fontId="23" fillId="0" borderId="0" xfId="0" applyNumberFormat="1" applyFont="1" applyAlignment="1">
      <alignment horizontal="center"/>
    </xf>
    <xf numFmtId="2" fontId="23" fillId="0" borderId="0" xfId="0" applyNumberFormat="1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165" fontId="28" fillId="0" borderId="0" xfId="0" applyNumberFormat="1" applyFont="1"/>
    <xf numFmtId="14" fontId="29" fillId="2" borderId="11" xfId="0" applyNumberFormat="1" applyFont="1" applyFill="1" applyBorder="1" applyAlignment="1">
      <alignment horizontal="center" vertical="center"/>
    </xf>
    <xf numFmtId="165" fontId="24" fillId="6" borderId="17" xfId="0" applyNumberFormat="1" applyFont="1" applyFill="1" applyBorder="1" applyAlignment="1">
      <alignment vertical="center"/>
    </xf>
    <xf numFmtId="165" fontId="30" fillId="2" borderId="0" xfId="0" applyNumberFormat="1" applyFont="1" applyFill="1" applyAlignment="1">
      <alignment horizontal="center" vertical="center" wrapText="1"/>
    </xf>
    <xf numFmtId="14" fontId="29" fillId="2" borderId="18" xfId="0" applyNumberFormat="1" applyFont="1" applyFill="1" applyBorder="1" applyAlignment="1">
      <alignment horizontal="center" vertical="center"/>
    </xf>
    <xf numFmtId="165" fontId="32" fillId="3" borderId="17" xfId="0" applyNumberFormat="1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vertical="center"/>
    </xf>
    <xf numFmtId="165" fontId="32" fillId="4" borderId="17" xfId="0" applyNumberFormat="1" applyFont="1" applyFill="1" applyBorder="1" applyAlignment="1">
      <alignment horizontal="center" vertical="center"/>
    </xf>
    <xf numFmtId="0" fontId="24" fillId="4" borderId="17" xfId="0" applyFont="1" applyFill="1" applyBorder="1" applyAlignment="1">
      <alignment vertical="center"/>
    </xf>
    <xf numFmtId="0" fontId="32" fillId="11" borderId="17" xfId="0" applyFont="1" applyFill="1" applyBorder="1" applyAlignment="1">
      <alignment horizontal="center" vertical="center"/>
    </xf>
    <xf numFmtId="0" fontId="24" fillId="11" borderId="17" xfId="0" applyFont="1" applyFill="1" applyBorder="1" applyAlignment="1">
      <alignment vertical="center"/>
    </xf>
    <xf numFmtId="165" fontId="32" fillId="11" borderId="17" xfId="0" applyNumberFormat="1" applyFont="1" applyFill="1" applyBorder="1" applyAlignment="1">
      <alignment horizontal="center" vertical="center"/>
    </xf>
    <xf numFmtId="165" fontId="32" fillId="5" borderId="17" xfId="0" applyNumberFormat="1" applyFont="1" applyFill="1" applyBorder="1" applyAlignment="1">
      <alignment horizontal="center" vertical="center"/>
    </xf>
    <xf numFmtId="165" fontId="29" fillId="2" borderId="17" xfId="0" applyNumberFormat="1" applyFont="1" applyFill="1" applyBorder="1" applyAlignment="1">
      <alignment horizontal="center"/>
    </xf>
    <xf numFmtId="165" fontId="30" fillId="2" borderId="17" xfId="0" applyNumberFormat="1" applyFont="1" applyFill="1" applyBorder="1" applyAlignment="1">
      <alignment horizontal="center"/>
    </xf>
    <xf numFmtId="14" fontId="29" fillId="2" borderId="21" xfId="0" applyNumberFormat="1" applyFont="1" applyFill="1" applyBorder="1" applyAlignment="1">
      <alignment horizontal="center" vertical="center"/>
    </xf>
    <xf numFmtId="165" fontId="30" fillId="2" borderId="21" xfId="0" applyNumberFormat="1" applyFont="1" applyFill="1" applyBorder="1" applyAlignment="1">
      <alignment horizontal="center" vertical="center" wrapText="1"/>
    </xf>
    <xf numFmtId="0" fontId="24" fillId="3" borderId="17" xfId="0" applyFont="1" applyFill="1" applyBorder="1" applyAlignment="1">
      <alignment horizontal="center" vertical="center"/>
    </xf>
    <xf numFmtId="165" fontId="24" fillId="3" borderId="17" xfId="0" applyNumberFormat="1" applyFont="1" applyFill="1" applyBorder="1" applyAlignment="1">
      <alignment horizontal="center" vertical="center"/>
    </xf>
    <xf numFmtId="0" fontId="24" fillId="4" borderId="17" xfId="0" applyFont="1" applyFill="1" applyBorder="1" applyAlignment="1">
      <alignment horizontal="center" vertical="center"/>
    </xf>
    <xf numFmtId="165" fontId="24" fillId="4" borderId="17" xfId="0" applyNumberFormat="1" applyFont="1" applyFill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/>
    </xf>
    <xf numFmtId="165" fontId="24" fillId="11" borderId="17" xfId="0" applyNumberFormat="1" applyFont="1" applyFill="1" applyBorder="1" applyAlignment="1">
      <alignment horizontal="center" vertical="center"/>
    </xf>
    <xf numFmtId="165" fontId="24" fillId="5" borderId="17" xfId="0" applyNumberFormat="1" applyFont="1" applyFill="1" applyBorder="1" applyAlignment="1">
      <alignment horizontal="center" vertical="center"/>
    </xf>
    <xf numFmtId="9" fontId="29" fillId="2" borderId="17" xfId="0" applyNumberFormat="1" applyFont="1" applyFill="1" applyBorder="1" applyAlignment="1">
      <alignment horizontal="center"/>
    </xf>
    <xf numFmtId="9" fontId="30" fillId="2" borderId="17" xfId="0" applyNumberFormat="1" applyFont="1" applyFill="1" applyBorder="1" applyAlignment="1">
      <alignment horizontal="center"/>
    </xf>
    <xf numFmtId="0" fontId="33" fillId="7" borderId="11" xfId="0" quotePrefix="1" applyFont="1" applyFill="1" applyBorder="1" applyAlignment="1">
      <alignment horizontal="center" vertical="center"/>
    </xf>
    <xf numFmtId="0" fontId="33" fillId="7" borderId="11" xfId="0" applyFont="1" applyFill="1" applyBorder="1" applyAlignment="1">
      <alignment horizontal="left" vertical="center"/>
    </xf>
    <xf numFmtId="0" fontId="33" fillId="7" borderId="17" xfId="0" applyFont="1" applyFill="1" applyBorder="1" applyAlignment="1">
      <alignment horizontal="left" vertical="center"/>
    </xf>
    <xf numFmtId="0" fontId="33" fillId="7" borderId="11" xfId="0" applyFont="1" applyFill="1" applyBorder="1" applyAlignment="1">
      <alignment horizontal="center" vertical="center"/>
    </xf>
    <xf numFmtId="0" fontId="33" fillId="11" borderId="11" xfId="0" applyFont="1" applyFill="1" applyBorder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34" fillId="0" borderId="17" xfId="0" applyFont="1" applyBorder="1" applyAlignment="1">
      <alignment horizontal="center"/>
    </xf>
    <xf numFmtId="0" fontId="35" fillId="0" borderId="17" xfId="0" applyFont="1" applyBorder="1" applyAlignment="1">
      <alignment horizontal="left"/>
    </xf>
    <xf numFmtId="14" fontId="35" fillId="0" borderId="22" xfId="0" applyNumberFormat="1" applyFont="1" applyBorder="1" applyAlignment="1">
      <alignment horizontal="left"/>
    </xf>
    <xf numFmtId="14" fontId="23" fillId="0" borderId="17" xfId="0" applyNumberFormat="1" applyFont="1" applyBorder="1"/>
    <xf numFmtId="0" fontId="23" fillId="0" borderId="17" xfId="0" applyFont="1" applyBorder="1"/>
    <xf numFmtId="0" fontId="24" fillId="0" borderId="17" xfId="0" applyFont="1" applyBorder="1" applyAlignment="1">
      <alignment horizontal="center"/>
    </xf>
    <xf numFmtId="3" fontId="23" fillId="0" borderId="17" xfId="0" applyNumberFormat="1" applyFont="1" applyBorder="1" applyAlignment="1">
      <alignment horizontal="center" vertical="center"/>
    </xf>
    <xf numFmtId="165" fontId="23" fillId="0" borderId="17" xfId="0" applyNumberFormat="1" applyFont="1" applyBorder="1" applyAlignment="1">
      <alignment horizontal="center"/>
    </xf>
    <xf numFmtId="166" fontId="23" fillId="0" borderId="17" xfId="0" applyNumberFormat="1" applyFont="1" applyBorder="1"/>
    <xf numFmtId="165" fontId="23" fillId="8" borderId="17" xfId="0" applyNumberFormat="1" applyFont="1" applyFill="1" applyBorder="1"/>
    <xf numFmtId="165" fontId="23" fillId="0" borderId="17" xfId="0" applyNumberFormat="1" applyFont="1" applyBorder="1"/>
    <xf numFmtId="1" fontId="23" fillId="0" borderId="17" xfId="0" applyNumberFormat="1" applyFont="1" applyBorder="1" applyAlignment="1">
      <alignment horizontal="center"/>
    </xf>
    <xf numFmtId="0" fontId="23" fillId="3" borderId="17" xfId="0" applyFont="1" applyFill="1" applyBorder="1"/>
    <xf numFmtId="165" fontId="23" fillId="3" borderId="17" xfId="0" applyNumberFormat="1" applyFont="1" applyFill="1" applyBorder="1"/>
    <xf numFmtId="0" fontId="23" fillId="4" borderId="17" xfId="0" applyFont="1" applyFill="1" applyBorder="1"/>
    <xf numFmtId="165" fontId="23" fillId="4" borderId="17" xfId="0" applyNumberFormat="1" applyFont="1" applyFill="1" applyBorder="1"/>
    <xf numFmtId="0" fontId="23" fillId="11" borderId="17" xfId="0" applyFont="1" applyFill="1" applyBorder="1" applyAlignment="1">
      <alignment horizontal="right"/>
    </xf>
    <xf numFmtId="0" fontId="23" fillId="11" borderId="16" xfId="0" applyFont="1" applyFill="1" applyBorder="1" applyAlignment="1">
      <alignment horizontal="right"/>
    </xf>
    <xf numFmtId="165" fontId="23" fillId="11" borderId="16" xfId="0" applyNumberFormat="1" applyFont="1" applyFill="1" applyBorder="1" applyAlignment="1">
      <alignment horizontal="right"/>
    </xf>
    <xf numFmtId="165" fontId="23" fillId="5" borderId="17" xfId="0" applyNumberFormat="1" applyFont="1" applyFill="1" applyBorder="1"/>
    <xf numFmtId="165" fontId="23" fillId="6" borderId="17" xfId="0" applyNumberFormat="1" applyFont="1" applyFill="1" applyBorder="1"/>
    <xf numFmtId="167" fontId="23" fillId="6" borderId="17" xfId="0" applyNumberFormat="1" applyFont="1" applyFill="1" applyBorder="1"/>
    <xf numFmtId="0" fontId="34" fillId="0" borderId="21" xfId="0" applyFont="1" applyBorder="1" applyAlignment="1">
      <alignment horizontal="center"/>
    </xf>
    <xf numFmtId="0" fontId="35" fillId="0" borderId="17" xfId="0" applyFont="1" applyBorder="1"/>
    <xf numFmtId="0" fontId="23" fillId="0" borderId="17" xfId="0" applyFont="1" applyBorder="1" applyAlignment="1">
      <alignment horizontal="left"/>
    </xf>
    <xf numFmtId="0" fontId="36" fillId="0" borderId="17" xfId="0" applyFont="1" applyBorder="1"/>
    <xf numFmtId="168" fontId="35" fillId="0" borderId="22" xfId="0" applyNumberFormat="1" applyFont="1" applyBorder="1" applyAlignment="1">
      <alignment horizontal="left"/>
    </xf>
    <xf numFmtId="168" fontId="35" fillId="0" borderId="16" xfId="0" applyNumberFormat="1" applyFont="1" applyBorder="1" applyAlignment="1">
      <alignment horizontal="left"/>
    </xf>
    <xf numFmtId="0" fontId="35" fillId="0" borderId="21" xfId="0" applyFont="1" applyBorder="1" applyAlignment="1">
      <alignment horizontal="left"/>
    </xf>
    <xf numFmtId="0" fontId="35" fillId="15" borderId="17" xfId="0" applyFont="1" applyFill="1" applyBorder="1"/>
    <xf numFmtId="0" fontId="35" fillId="10" borderId="0" xfId="0" applyFont="1" applyFill="1" applyAlignment="1">
      <alignment horizontal="left"/>
    </xf>
    <xf numFmtId="0" fontId="23" fillId="6" borderId="17" xfId="0" applyFont="1" applyFill="1" applyBorder="1"/>
    <xf numFmtId="0" fontId="36" fillId="18" borderId="17" xfId="0" applyFont="1" applyFill="1" applyBorder="1"/>
    <xf numFmtId="0" fontId="23" fillId="0" borderId="21" xfId="0" applyFont="1" applyBorder="1" applyAlignment="1">
      <alignment horizontal="left"/>
    </xf>
    <xf numFmtId="14" fontId="23" fillId="0" borderId="22" xfId="0" applyNumberFormat="1" applyFont="1" applyBorder="1" applyAlignment="1">
      <alignment horizontal="left"/>
    </xf>
    <xf numFmtId="14" fontId="23" fillId="0" borderId="22" xfId="0" applyNumberFormat="1" applyFont="1" applyBorder="1"/>
    <xf numFmtId="0" fontId="23" fillId="0" borderId="17" xfId="0" applyFont="1" applyBorder="1" applyAlignment="1">
      <alignment wrapText="1"/>
    </xf>
    <xf numFmtId="0" fontId="23" fillId="15" borderId="17" xfId="0" applyFont="1" applyFill="1" applyBorder="1" applyAlignment="1">
      <alignment horizontal="left"/>
    </xf>
    <xf numFmtId="14" fontId="23" fillId="15" borderId="22" xfId="0" applyNumberFormat="1" applyFont="1" applyFill="1" applyBorder="1" applyAlignment="1">
      <alignment horizontal="left"/>
    </xf>
    <xf numFmtId="14" fontId="23" fillId="15" borderId="22" xfId="0" applyNumberFormat="1" applyFont="1" applyFill="1" applyBorder="1"/>
    <xf numFmtId="0" fontId="23" fillId="15" borderId="17" xfId="0" applyFont="1" applyFill="1" applyBorder="1" applyAlignment="1">
      <alignment wrapText="1"/>
    </xf>
    <xf numFmtId="0" fontId="24" fillId="15" borderId="17" xfId="0" applyFont="1" applyFill="1" applyBorder="1" applyAlignment="1">
      <alignment horizontal="center"/>
    </xf>
    <xf numFmtId="0" fontId="36" fillId="15" borderId="17" xfId="0" applyFont="1" applyFill="1" applyBorder="1"/>
    <xf numFmtId="3" fontId="23" fillId="15" borderId="17" xfId="0" applyNumberFormat="1" applyFont="1" applyFill="1" applyBorder="1" applyAlignment="1">
      <alignment horizontal="center"/>
    </xf>
    <xf numFmtId="165" fontId="23" fillId="15" borderId="17" xfId="0" applyNumberFormat="1" applyFont="1" applyFill="1" applyBorder="1" applyAlignment="1">
      <alignment horizontal="center"/>
    </xf>
    <xf numFmtId="166" fontId="23" fillId="15" borderId="21" xfId="0" applyNumberFormat="1" applyFont="1" applyFill="1" applyBorder="1"/>
    <xf numFmtId="166" fontId="23" fillId="15" borderId="22" xfId="0" applyNumberFormat="1" applyFont="1" applyFill="1" applyBorder="1"/>
    <xf numFmtId="165" fontId="23" fillId="15" borderId="11" xfId="0" applyNumberFormat="1" applyFont="1" applyFill="1" applyBorder="1" applyAlignment="1">
      <alignment horizontal="right"/>
    </xf>
    <xf numFmtId="165" fontId="23" fillId="15" borderId="17" xfId="0" applyNumberFormat="1" applyFont="1" applyFill="1" applyBorder="1" applyAlignment="1">
      <alignment horizontal="right"/>
    </xf>
    <xf numFmtId="1" fontId="23" fillId="15" borderId="17" xfId="0" applyNumberFormat="1" applyFont="1" applyFill="1" applyBorder="1" applyAlignment="1">
      <alignment horizontal="center"/>
    </xf>
    <xf numFmtId="168" fontId="23" fillId="0" borderId="16" xfId="0" applyNumberFormat="1" applyFont="1" applyBorder="1" applyAlignment="1">
      <alignment horizontal="left"/>
    </xf>
    <xf numFmtId="3" fontId="23" fillId="0" borderId="17" xfId="0" applyNumberFormat="1" applyFont="1" applyBorder="1" applyAlignment="1">
      <alignment horizontal="center"/>
    </xf>
    <xf numFmtId="166" fontId="23" fillId="0" borderId="21" xfId="0" applyNumberFormat="1" applyFont="1" applyBorder="1"/>
    <xf numFmtId="166" fontId="23" fillId="0" borderId="22" xfId="0" applyNumberFormat="1" applyFont="1" applyBorder="1"/>
    <xf numFmtId="165" fontId="23" fillId="8" borderId="11" xfId="0" applyNumberFormat="1" applyFont="1" applyFill="1" applyBorder="1" applyAlignment="1">
      <alignment horizontal="right"/>
    </xf>
    <xf numFmtId="165" fontId="23" fillId="0" borderId="17" xfId="0" applyNumberFormat="1" applyFont="1" applyBorder="1" applyAlignment="1">
      <alignment horizontal="right"/>
    </xf>
    <xf numFmtId="1" fontId="23" fillId="0" borderId="11" xfId="0" applyNumberFormat="1" applyFont="1" applyBorder="1" applyAlignment="1">
      <alignment horizontal="center"/>
    </xf>
    <xf numFmtId="165" fontId="23" fillId="4" borderId="17" xfId="0" applyNumberFormat="1" applyFont="1" applyFill="1" applyBorder="1" applyAlignment="1">
      <alignment horizontal="right"/>
    </xf>
    <xf numFmtId="0" fontId="23" fillId="11" borderId="17" xfId="0" applyFont="1" applyFill="1" applyBorder="1"/>
    <xf numFmtId="165" fontId="23" fillId="11" borderId="17" xfId="0" applyNumberFormat="1" applyFont="1" applyFill="1" applyBorder="1" applyAlignment="1">
      <alignment horizontal="right"/>
    </xf>
    <xf numFmtId="165" fontId="23" fillId="5" borderId="17" xfId="0" applyNumberFormat="1" applyFont="1" applyFill="1" applyBorder="1" applyAlignment="1">
      <alignment horizontal="right"/>
    </xf>
    <xf numFmtId="0" fontId="23" fillId="0" borderId="18" xfId="0" applyFont="1" applyBorder="1"/>
    <xf numFmtId="14" fontId="23" fillId="0" borderId="20" xfId="0" applyNumberFormat="1" applyFont="1" applyBorder="1" applyAlignment="1">
      <alignment horizontal="left"/>
    </xf>
    <xf numFmtId="14" fontId="23" fillId="0" borderId="11" xfId="0" applyNumberFormat="1" applyFont="1" applyBorder="1"/>
    <xf numFmtId="0" fontId="23" fillId="0" borderId="11" xfId="0" applyFont="1" applyBorder="1"/>
    <xf numFmtId="0" fontId="24" fillId="0" borderId="11" xfId="0" applyFont="1" applyBorder="1" applyAlignment="1">
      <alignment horizontal="center"/>
    </xf>
    <xf numFmtId="3" fontId="23" fillId="0" borderId="11" xfId="0" applyNumberFormat="1" applyFont="1" applyBorder="1" applyAlignment="1">
      <alignment horizontal="center" vertical="center"/>
    </xf>
    <xf numFmtId="165" fontId="23" fillId="0" borderId="11" xfId="0" applyNumberFormat="1" applyFont="1" applyBorder="1" applyAlignment="1">
      <alignment horizontal="center"/>
    </xf>
    <xf numFmtId="165" fontId="23" fillId="0" borderId="11" xfId="0" applyNumberFormat="1" applyFont="1" applyBorder="1"/>
    <xf numFmtId="165" fontId="23" fillId="8" borderId="11" xfId="0" applyNumberFormat="1" applyFont="1" applyFill="1" applyBorder="1"/>
    <xf numFmtId="0" fontId="23" fillId="3" borderId="11" xfId="0" applyFont="1" applyFill="1" applyBorder="1"/>
    <xf numFmtId="0" fontId="23" fillId="4" borderId="11" xfId="0" applyFont="1" applyFill="1" applyBorder="1"/>
    <xf numFmtId="0" fontId="23" fillId="11" borderId="11" xfId="0" applyFont="1" applyFill="1" applyBorder="1"/>
    <xf numFmtId="0" fontId="23" fillId="11" borderId="13" xfId="0" applyFont="1" applyFill="1" applyBorder="1"/>
    <xf numFmtId="165" fontId="23" fillId="11" borderId="16" xfId="0" applyNumberFormat="1" applyFont="1" applyFill="1" applyBorder="1"/>
    <xf numFmtId="165" fontId="23" fillId="5" borderId="11" xfId="0" applyNumberFormat="1" applyFont="1" applyFill="1" applyBorder="1"/>
    <xf numFmtId="165" fontId="23" fillId="6" borderId="11" xfId="0" applyNumberFormat="1" applyFont="1" applyFill="1" applyBorder="1"/>
    <xf numFmtId="0" fontId="23" fillId="0" borderId="11" xfId="0" applyFont="1" applyBorder="1" applyAlignment="1">
      <alignment horizontal="left"/>
    </xf>
    <xf numFmtId="14" fontId="23" fillId="0" borderId="11" xfId="0" applyNumberFormat="1" applyFont="1" applyBorder="1" applyAlignment="1">
      <alignment horizontal="left"/>
    </xf>
    <xf numFmtId="165" fontId="23" fillId="11" borderId="17" xfId="0" applyNumberFormat="1" applyFont="1" applyFill="1" applyBorder="1"/>
    <xf numFmtId="0" fontId="24" fillId="0" borderId="23" xfId="0" applyFont="1" applyBorder="1"/>
    <xf numFmtId="0" fontId="24" fillId="0" borderId="24" xfId="0" applyFont="1" applyBorder="1" applyAlignment="1">
      <alignment horizontal="left"/>
    </xf>
    <xf numFmtId="14" fontId="23" fillId="0" borderId="24" xfId="0" applyNumberFormat="1" applyFont="1" applyBorder="1" applyAlignment="1">
      <alignment horizontal="left"/>
    </xf>
    <xf numFmtId="14" fontId="23" fillId="0" borderId="24" xfId="0" applyNumberFormat="1" applyFont="1" applyBorder="1"/>
    <xf numFmtId="0" fontId="23" fillId="0" borderId="24" xfId="0" applyFont="1" applyBorder="1"/>
    <xf numFmtId="0" fontId="24" fillId="0" borderId="24" xfId="0" applyFont="1" applyBorder="1" applyAlignment="1">
      <alignment horizontal="center"/>
    </xf>
    <xf numFmtId="165" fontId="23" fillId="0" borderId="24" xfId="0" applyNumberFormat="1" applyFont="1" applyBorder="1"/>
    <xf numFmtId="1" fontId="23" fillId="0" borderId="24" xfId="0" applyNumberFormat="1" applyFont="1" applyBorder="1" applyAlignment="1">
      <alignment horizontal="center"/>
    </xf>
    <xf numFmtId="165" fontId="24" fillId="0" borderId="25" xfId="0" applyNumberFormat="1" applyFont="1" applyBorder="1"/>
    <xf numFmtId="0" fontId="24" fillId="3" borderId="24" xfId="0" applyFont="1" applyFill="1" applyBorder="1"/>
    <xf numFmtId="165" fontId="24" fillId="3" borderId="24" xfId="0" applyNumberFormat="1" applyFont="1" applyFill="1" applyBorder="1"/>
    <xf numFmtId="0" fontId="24" fillId="4" borderId="24" xfId="0" applyFont="1" applyFill="1" applyBorder="1"/>
    <xf numFmtId="165" fontId="24" fillId="4" borderId="24" xfId="0" applyNumberFormat="1" applyFont="1" applyFill="1" applyBorder="1"/>
    <xf numFmtId="0" fontId="24" fillId="11" borderId="24" xfId="0" applyFont="1" applyFill="1" applyBorder="1"/>
    <xf numFmtId="165" fontId="24" fillId="11" borderId="24" xfId="0" applyNumberFormat="1" applyFont="1" applyFill="1" applyBorder="1"/>
    <xf numFmtId="165" fontId="24" fillId="0" borderId="24" xfId="0" applyNumberFormat="1" applyFont="1" applyBorder="1"/>
    <xf numFmtId="165" fontId="24" fillId="0" borderId="27" xfId="0" applyNumberFormat="1" applyFont="1" applyBorder="1"/>
    <xf numFmtId="165" fontId="24" fillId="0" borderId="26" xfId="0" applyNumberFormat="1" applyFont="1" applyBorder="1"/>
    <xf numFmtId="165" fontId="24" fillId="0" borderId="0" xfId="0" applyNumberFormat="1" applyFont="1"/>
    <xf numFmtId="0" fontId="23" fillId="0" borderId="0" xfId="0" applyFont="1" applyAlignment="1">
      <alignment wrapText="1"/>
    </xf>
    <xf numFmtId="0" fontId="24" fillId="0" borderId="0" xfId="0" applyFont="1"/>
    <xf numFmtId="165" fontId="30" fillId="12" borderId="28" xfId="0" applyNumberFormat="1" applyFont="1" applyFill="1" applyBorder="1" applyAlignment="1">
      <alignment horizontal="center" wrapText="1"/>
    </xf>
    <xf numFmtId="165" fontId="29" fillId="0" borderId="17" xfId="0" applyNumberFormat="1" applyFont="1" applyBorder="1" applyAlignment="1">
      <alignment horizontal="center" vertical="center"/>
    </xf>
    <xf numFmtId="165" fontId="32" fillId="13" borderId="17" xfId="0" applyNumberFormat="1" applyFont="1" applyFill="1" applyBorder="1" applyAlignment="1">
      <alignment horizontal="center" vertical="center"/>
    </xf>
    <xf numFmtId="0" fontId="24" fillId="13" borderId="17" xfId="0" applyFont="1" applyFill="1" applyBorder="1" applyAlignment="1">
      <alignment vertical="center"/>
    </xf>
    <xf numFmtId="0" fontId="24" fillId="11" borderId="17" xfId="0" applyFont="1" applyFill="1" applyBorder="1"/>
    <xf numFmtId="0" fontId="32" fillId="11" borderId="17" xfId="0" applyFont="1" applyFill="1" applyBorder="1" applyAlignment="1">
      <alignment horizontal="center"/>
    </xf>
    <xf numFmtId="165" fontId="30" fillId="12" borderId="17" xfId="0" applyNumberFormat="1" applyFont="1" applyFill="1" applyBorder="1" applyAlignment="1">
      <alignment horizontal="center"/>
    </xf>
    <xf numFmtId="165" fontId="30" fillId="12" borderId="21" xfId="0" applyNumberFormat="1" applyFont="1" applyFill="1" applyBorder="1" applyAlignment="1">
      <alignment horizontal="center"/>
    </xf>
    <xf numFmtId="0" fontId="24" fillId="13" borderId="17" xfId="0" applyFont="1" applyFill="1" applyBorder="1" applyAlignment="1">
      <alignment horizontal="center" vertical="center"/>
    </xf>
    <xf numFmtId="165" fontId="24" fillId="13" borderId="17" xfId="0" applyNumberFormat="1" applyFont="1" applyFill="1" applyBorder="1" applyAlignment="1">
      <alignment horizontal="center" vertical="center"/>
    </xf>
    <xf numFmtId="9" fontId="30" fillId="12" borderId="21" xfId="0" applyNumberFormat="1" applyFont="1" applyFill="1" applyBorder="1" applyAlignment="1">
      <alignment horizontal="center"/>
    </xf>
    <xf numFmtId="0" fontId="33" fillId="7" borderId="11" xfId="0" applyFont="1" applyFill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166" fontId="23" fillId="0" borderId="17" xfId="0" applyNumberFormat="1" applyFont="1" applyBorder="1" applyAlignment="1">
      <alignment horizontal="right"/>
    </xf>
    <xf numFmtId="166" fontId="23" fillId="0" borderId="16" xfId="0" applyNumberFormat="1" applyFont="1" applyBorder="1" applyAlignment="1">
      <alignment horizontal="right"/>
    </xf>
    <xf numFmtId="0" fontId="23" fillId="13" borderId="17" xfId="0" applyFont="1" applyFill="1" applyBorder="1"/>
    <xf numFmtId="165" fontId="23" fillId="13" borderId="17" xfId="0" applyNumberFormat="1" applyFont="1" applyFill="1" applyBorder="1"/>
    <xf numFmtId="166" fontId="23" fillId="0" borderId="21" xfId="0" applyNumberFormat="1" applyFont="1" applyBorder="1" applyAlignment="1">
      <alignment horizontal="right"/>
    </xf>
    <xf numFmtId="166" fontId="23" fillId="0" borderId="22" xfId="0" applyNumberFormat="1" applyFont="1" applyBorder="1" applyAlignment="1">
      <alignment horizontal="right"/>
    </xf>
    <xf numFmtId="0" fontId="23" fillId="17" borderId="17" xfId="0" applyFont="1" applyFill="1" applyBorder="1" applyAlignment="1">
      <alignment wrapText="1"/>
    </xf>
    <xf numFmtId="0" fontId="24" fillId="17" borderId="17" xfId="0" applyFont="1" applyFill="1" applyBorder="1" applyAlignment="1">
      <alignment horizontal="center"/>
    </xf>
    <xf numFmtId="0" fontId="23" fillId="17" borderId="17" xfId="0" applyFont="1" applyFill="1" applyBorder="1"/>
    <xf numFmtId="3" fontId="23" fillId="17" borderId="17" xfId="0" applyNumberFormat="1" applyFont="1" applyFill="1" applyBorder="1" applyAlignment="1">
      <alignment horizontal="center" vertical="center"/>
    </xf>
    <xf numFmtId="165" fontId="23" fillId="17" borderId="17" xfId="0" applyNumberFormat="1" applyFont="1" applyFill="1" applyBorder="1" applyAlignment="1">
      <alignment horizontal="center"/>
    </xf>
    <xf numFmtId="166" fontId="23" fillId="17" borderId="21" xfId="0" applyNumberFormat="1" applyFont="1" applyFill="1" applyBorder="1" applyAlignment="1">
      <alignment horizontal="right"/>
    </xf>
    <xf numFmtId="166" fontId="23" fillId="17" borderId="22" xfId="0" applyNumberFormat="1" applyFont="1" applyFill="1" applyBorder="1" applyAlignment="1">
      <alignment horizontal="right"/>
    </xf>
    <xf numFmtId="165" fontId="23" fillId="17" borderId="11" xfId="0" applyNumberFormat="1" applyFont="1" applyFill="1" applyBorder="1"/>
    <xf numFmtId="165" fontId="23" fillId="17" borderId="17" xfId="0" applyNumberFormat="1" applyFont="1" applyFill="1" applyBorder="1"/>
    <xf numFmtId="1" fontId="23" fillId="17" borderId="17" xfId="0" applyNumberFormat="1" applyFont="1" applyFill="1" applyBorder="1" applyAlignment="1">
      <alignment horizontal="center"/>
    </xf>
    <xf numFmtId="165" fontId="35" fillId="0" borderId="17" xfId="0" applyNumberFormat="1" applyFont="1" applyBorder="1"/>
    <xf numFmtId="14" fontId="35" fillId="0" borderId="16" xfId="0" applyNumberFormat="1" applyFont="1" applyBorder="1" applyAlignment="1">
      <alignment horizontal="left"/>
    </xf>
    <xf numFmtId="0" fontId="23" fillId="0" borderId="0" xfId="0" applyFont="1" applyAlignment="1">
      <alignment horizontal="center"/>
    </xf>
    <xf numFmtId="165" fontId="36" fillId="0" borderId="17" xfId="0" applyNumberFormat="1" applyFont="1" applyBorder="1" applyAlignment="1">
      <alignment horizontal="right"/>
    </xf>
    <xf numFmtId="165" fontId="23" fillId="6" borderId="17" xfId="0" applyNumberFormat="1" applyFont="1" applyFill="1" applyBorder="1" applyAlignment="1">
      <alignment wrapText="1"/>
    </xf>
    <xf numFmtId="0" fontId="23" fillId="0" borderId="17" xfId="0" applyFont="1" applyBorder="1" applyAlignment="1">
      <alignment horizontal="center"/>
    </xf>
    <xf numFmtId="165" fontId="23" fillId="18" borderId="17" xfId="0" applyNumberFormat="1" applyFont="1" applyFill="1" applyBorder="1" applyAlignment="1">
      <alignment horizontal="center"/>
    </xf>
    <xf numFmtId="3" fontId="36" fillId="17" borderId="17" xfId="0" applyNumberFormat="1" applyFont="1" applyFill="1" applyBorder="1" applyAlignment="1">
      <alignment horizontal="center" vertical="center"/>
    </xf>
    <xf numFmtId="165" fontId="36" fillId="17" borderId="11" xfId="0" applyNumberFormat="1" applyFont="1" applyFill="1" applyBorder="1"/>
    <xf numFmtId="0" fontId="36" fillId="0" borderId="17" xfId="0" applyFont="1" applyBorder="1" applyAlignment="1">
      <alignment wrapText="1"/>
    </xf>
    <xf numFmtId="0" fontId="35" fillId="15" borderId="17" xfId="0" applyFont="1" applyFill="1" applyBorder="1" applyAlignment="1">
      <alignment horizontal="left"/>
    </xf>
    <xf numFmtId="14" fontId="35" fillId="15" borderId="16" xfId="0" applyNumberFormat="1" applyFont="1" applyFill="1" applyBorder="1" applyAlignment="1">
      <alignment horizontal="left"/>
    </xf>
    <xf numFmtId="14" fontId="23" fillId="15" borderId="17" xfId="0" applyNumberFormat="1" applyFont="1" applyFill="1" applyBorder="1"/>
    <xf numFmtId="0" fontId="23" fillId="15" borderId="17" xfId="0" applyFont="1" applyFill="1" applyBorder="1"/>
    <xf numFmtId="3" fontId="23" fillId="15" borderId="17" xfId="0" applyNumberFormat="1" applyFont="1" applyFill="1" applyBorder="1" applyAlignment="1">
      <alignment horizontal="center" vertical="center"/>
    </xf>
    <xf numFmtId="166" fontId="23" fillId="15" borderId="21" xfId="0" applyNumberFormat="1" applyFont="1" applyFill="1" applyBorder="1" applyAlignment="1">
      <alignment horizontal="right"/>
    </xf>
    <xf numFmtId="166" fontId="23" fillId="15" borderId="22" xfId="0" applyNumberFormat="1" applyFont="1" applyFill="1" applyBorder="1" applyAlignment="1">
      <alignment horizontal="right"/>
    </xf>
    <xf numFmtId="165" fontId="23" fillId="15" borderId="11" xfId="0" applyNumberFormat="1" applyFont="1" applyFill="1" applyBorder="1"/>
    <xf numFmtId="165" fontId="23" fillId="15" borderId="17" xfId="0" applyNumberFormat="1" applyFont="1" applyFill="1" applyBorder="1"/>
    <xf numFmtId="1" fontId="23" fillId="15" borderId="11" xfId="0" applyNumberFormat="1" applyFont="1" applyFill="1" applyBorder="1" applyAlignment="1">
      <alignment horizontal="center"/>
    </xf>
    <xf numFmtId="1" fontId="23" fillId="17" borderId="11" xfId="0" applyNumberFormat="1" applyFont="1" applyFill="1" applyBorder="1" applyAlignment="1">
      <alignment horizontal="center"/>
    </xf>
    <xf numFmtId="168" fontId="35" fillId="15" borderId="16" xfId="0" applyNumberFormat="1" applyFont="1" applyFill="1" applyBorder="1" applyAlignment="1">
      <alignment horizontal="left"/>
    </xf>
    <xf numFmtId="0" fontId="35" fillId="0" borderId="16" xfId="0" applyFont="1" applyBorder="1"/>
    <xf numFmtId="0" fontId="35" fillId="0" borderId="22" xfId="0" applyFont="1" applyBorder="1"/>
    <xf numFmtId="0" fontId="35" fillId="9" borderId="21" xfId="0" applyFont="1" applyFill="1" applyBorder="1" applyAlignment="1">
      <alignment horizontal="left"/>
    </xf>
    <xf numFmtId="168" fontId="35" fillId="9" borderId="16" xfId="0" applyNumberFormat="1" applyFont="1" applyFill="1" applyBorder="1" applyAlignment="1">
      <alignment horizontal="left"/>
    </xf>
    <xf numFmtId="0" fontId="35" fillId="9" borderId="22" xfId="0" applyFont="1" applyFill="1" applyBorder="1"/>
    <xf numFmtId="0" fontId="24" fillId="9" borderId="17" xfId="0" applyFont="1" applyFill="1" applyBorder="1" applyAlignment="1">
      <alignment horizontal="center"/>
    </xf>
    <xf numFmtId="0" fontId="23" fillId="9" borderId="17" xfId="0" applyFont="1" applyFill="1" applyBorder="1"/>
    <xf numFmtId="3" fontId="23" fillId="9" borderId="17" xfId="0" applyNumberFormat="1" applyFont="1" applyFill="1" applyBorder="1" applyAlignment="1">
      <alignment horizontal="center" vertical="center"/>
    </xf>
    <xf numFmtId="165" fontId="23" fillId="9" borderId="17" xfId="0" applyNumberFormat="1" applyFont="1" applyFill="1" applyBorder="1" applyAlignment="1">
      <alignment horizontal="center"/>
    </xf>
    <xf numFmtId="14" fontId="35" fillId="9" borderId="16" xfId="0" applyNumberFormat="1" applyFont="1" applyFill="1" applyBorder="1" applyAlignment="1">
      <alignment horizontal="left"/>
    </xf>
    <xf numFmtId="0" fontId="35" fillId="9" borderId="17" xfId="0" applyFont="1" applyFill="1" applyBorder="1" applyAlignment="1">
      <alignment horizontal="left"/>
    </xf>
    <xf numFmtId="0" fontId="35" fillId="9" borderId="16" xfId="0" applyFont="1" applyFill="1" applyBorder="1"/>
    <xf numFmtId="14" fontId="35" fillId="15" borderId="22" xfId="0" applyNumberFormat="1" applyFont="1" applyFill="1" applyBorder="1" applyAlignment="1">
      <alignment horizontal="left"/>
    </xf>
    <xf numFmtId="0" fontId="35" fillId="15" borderId="22" xfId="0" applyFont="1" applyFill="1" applyBorder="1"/>
    <xf numFmtId="168" fontId="35" fillId="9" borderId="22" xfId="0" applyNumberFormat="1" applyFont="1" applyFill="1" applyBorder="1" applyAlignment="1">
      <alignment horizontal="left"/>
    </xf>
    <xf numFmtId="14" fontId="23" fillId="9" borderId="17" xfId="0" applyNumberFormat="1" applyFont="1" applyFill="1" applyBorder="1"/>
    <xf numFmtId="14" fontId="23" fillId="0" borderId="17" xfId="0" applyNumberFormat="1" applyFont="1" applyBorder="1" applyAlignment="1">
      <alignment horizontal="left"/>
    </xf>
    <xf numFmtId="168" fontId="23" fillId="0" borderId="17" xfId="0" applyNumberFormat="1" applyFont="1" applyBorder="1" applyAlignment="1">
      <alignment horizontal="left"/>
    </xf>
    <xf numFmtId="0" fontId="23" fillId="0" borderId="0" xfId="0" applyFont="1"/>
    <xf numFmtId="165" fontId="35" fillId="0" borderId="17" xfId="0" applyNumberFormat="1" applyFont="1" applyBorder="1" applyAlignment="1">
      <alignment horizontal="center"/>
    </xf>
    <xf numFmtId="14" fontId="35" fillId="0" borderId="13" xfId="0" applyNumberFormat="1" applyFont="1" applyBorder="1" applyAlignment="1">
      <alignment horizontal="left"/>
    </xf>
    <xf numFmtId="165" fontId="35" fillId="18" borderId="17" xfId="0" applyNumberFormat="1" applyFont="1" applyFill="1" applyBorder="1" applyAlignment="1">
      <alignment horizontal="center"/>
    </xf>
    <xf numFmtId="0" fontId="23" fillId="0" borderId="11" xfId="0" applyFont="1" applyBorder="1" applyAlignment="1">
      <alignment wrapText="1"/>
    </xf>
    <xf numFmtId="0" fontId="23" fillId="0" borderId="24" xfId="0" applyFont="1" applyBorder="1" applyAlignment="1">
      <alignment wrapText="1"/>
    </xf>
    <xf numFmtId="0" fontId="24" fillId="13" borderId="24" xfId="0" applyFont="1" applyFill="1" applyBorder="1"/>
    <xf numFmtId="165" fontId="24" fillId="13" borderId="24" xfId="0" applyNumberFormat="1" applyFont="1" applyFill="1" applyBorder="1"/>
    <xf numFmtId="165" fontId="24" fillId="0" borderId="26" xfId="0" applyNumberFormat="1" applyFont="1" applyBorder="1" applyAlignment="1">
      <alignment horizontal="right"/>
    </xf>
    <xf numFmtId="165" fontId="24" fillId="0" borderId="29" xfId="0" applyNumberFormat="1" applyFont="1" applyBorder="1" applyAlignment="1">
      <alignment horizontal="right"/>
    </xf>
    <xf numFmtId="0" fontId="23" fillId="9" borderId="0" xfId="0" applyFont="1" applyFill="1" applyAlignment="1">
      <alignment horizontal="left"/>
    </xf>
    <xf numFmtId="0" fontId="36" fillId="0" borderId="0" xfId="0" applyFont="1" applyAlignment="1">
      <alignment wrapText="1"/>
    </xf>
    <xf numFmtId="0" fontId="23" fillId="14" borderId="0" xfId="0" applyFont="1" applyFill="1" applyAlignment="1">
      <alignment horizontal="left"/>
    </xf>
    <xf numFmtId="0" fontId="23" fillId="16" borderId="0" xfId="0" applyFont="1" applyFill="1" applyAlignment="1">
      <alignment horizontal="left"/>
    </xf>
    <xf numFmtId="0" fontId="23" fillId="15" borderId="0" xfId="0" applyFont="1" applyFill="1" applyAlignment="1">
      <alignment horizontal="left"/>
    </xf>
    <xf numFmtId="0" fontId="23" fillId="18" borderId="0" xfId="0" applyFont="1" applyFill="1" applyAlignment="1">
      <alignment horizontal="left"/>
    </xf>
    <xf numFmtId="0" fontId="29" fillId="2" borderId="11" xfId="0" applyFont="1" applyFill="1" applyBorder="1" applyAlignment="1">
      <alignment horizontal="center" vertical="center"/>
    </xf>
    <xf numFmtId="0" fontId="31" fillId="0" borderId="18" xfId="0" applyFont="1" applyBorder="1"/>
    <xf numFmtId="0" fontId="31" fillId="0" borderId="21" xfId="0" applyFont="1" applyBorder="1"/>
    <xf numFmtId="165" fontId="30" fillId="2" borderId="11" xfId="0" applyNumberFormat="1" applyFont="1" applyFill="1" applyBorder="1" applyAlignment="1">
      <alignment horizontal="center" vertical="center"/>
    </xf>
    <xf numFmtId="165" fontId="30" fillId="2" borderId="11" xfId="0" applyNumberFormat="1" applyFont="1" applyFill="1" applyBorder="1" applyAlignment="1">
      <alignment horizontal="center" vertical="center" wrapText="1"/>
    </xf>
    <xf numFmtId="165" fontId="30" fillId="2" borderId="12" xfId="0" applyNumberFormat="1" applyFont="1" applyFill="1" applyBorder="1" applyAlignment="1">
      <alignment horizontal="center" vertical="center" wrapText="1"/>
    </xf>
    <xf numFmtId="0" fontId="31" fillId="0" borderId="13" xfId="0" applyFont="1" applyBorder="1"/>
    <xf numFmtId="0" fontId="31" fillId="0" borderId="19" xfId="0" applyFont="1" applyBorder="1"/>
    <xf numFmtId="0" fontId="31" fillId="0" borderId="20" xfId="0" applyFont="1" applyBorder="1"/>
    <xf numFmtId="0" fontId="29" fillId="2" borderId="11" xfId="0" applyFont="1" applyFill="1" applyBorder="1" applyAlignment="1">
      <alignment horizontal="left" vertical="center"/>
    </xf>
    <xf numFmtId="14" fontId="29" fillId="2" borderId="11" xfId="0" applyNumberFormat="1" applyFont="1" applyFill="1" applyBorder="1" applyAlignment="1">
      <alignment horizontal="left" vertical="center"/>
    </xf>
    <xf numFmtId="0" fontId="29" fillId="2" borderId="11" xfId="0" applyFont="1" applyFill="1" applyBorder="1" applyAlignment="1">
      <alignment horizontal="center" vertical="center" wrapText="1"/>
    </xf>
    <xf numFmtId="165" fontId="24" fillId="13" borderId="14" xfId="0" applyNumberFormat="1" applyFont="1" applyFill="1" applyBorder="1" applyAlignment="1">
      <alignment horizontal="center" vertical="center"/>
    </xf>
    <xf numFmtId="0" fontId="31" fillId="0" borderId="16" xfId="0" applyFont="1" applyBorder="1"/>
    <xf numFmtId="165" fontId="29" fillId="2" borderId="11" xfId="0" applyNumberFormat="1" applyFont="1" applyFill="1" applyBorder="1" applyAlignment="1">
      <alignment horizontal="center" vertical="center" wrapText="1"/>
    </xf>
    <xf numFmtId="165" fontId="24" fillId="5" borderId="14" xfId="0" applyNumberFormat="1" applyFont="1" applyFill="1" applyBorder="1" applyAlignment="1">
      <alignment horizontal="center" vertical="center"/>
    </xf>
    <xf numFmtId="165" fontId="32" fillId="6" borderId="11" xfId="0" applyNumberFormat="1" applyFont="1" applyFill="1" applyBorder="1" applyAlignment="1">
      <alignment horizontal="center" vertical="center" wrapText="1"/>
    </xf>
    <xf numFmtId="165" fontId="29" fillId="2" borderId="14" xfId="0" applyNumberFormat="1" applyFont="1" applyFill="1" applyBorder="1" applyAlignment="1">
      <alignment horizontal="center"/>
    </xf>
    <xf numFmtId="0" fontId="24" fillId="11" borderId="14" xfId="0" applyFont="1" applyFill="1" applyBorder="1" applyAlignment="1">
      <alignment horizontal="center"/>
    </xf>
    <xf numFmtId="0" fontId="31" fillId="0" borderId="15" xfId="0" applyFont="1" applyBorder="1"/>
    <xf numFmtId="165" fontId="24" fillId="5" borderId="14" xfId="0" applyNumberFormat="1" applyFont="1" applyFill="1" applyBorder="1" applyAlignment="1">
      <alignment horizontal="center"/>
    </xf>
    <xf numFmtId="165" fontId="24" fillId="6" borderId="14" xfId="0" applyNumberFormat="1" applyFont="1" applyFill="1" applyBorder="1" applyAlignment="1">
      <alignment horizontal="center" vertical="center"/>
    </xf>
    <xf numFmtId="165" fontId="29" fillId="2" borderId="11" xfId="0" applyNumberFormat="1" applyFont="1" applyFill="1" applyBorder="1" applyAlignment="1">
      <alignment horizontal="center" vertical="center"/>
    </xf>
    <xf numFmtId="165" fontId="29" fillId="0" borderId="11" xfId="0" applyNumberFormat="1" applyFont="1" applyBorder="1" applyAlignment="1">
      <alignment horizontal="center" vertical="center"/>
    </xf>
    <xf numFmtId="0" fontId="24" fillId="4" borderId="14" xfId="0" applyFont="1" applyFill="1" applyBorder="1" applyAlignment="1">
      <alignment horizontal="center"/>
    </xf>
    <xf numFmtId="165" fontId="24" fillId="4" borderId="14" xfId="0" applyNumberFormat="1" applyFont="1" applyFill="1" applyBorder="1" applyAlignment="1">
      <alignment horizontal="center" vertical="center"/>
    </xf>
    <xf numFmtId="1" fontId="29" fillId="2" borderId="11" xfId="0" applyNumberFormat="1" applyFont="1" applyFill="1" applyBorder="1" applyAlignment="1">
      <alignment horizontal="center" vertical="center" wrapText="1"/>
    </xf>
    <xf numFmtId="0" fontId="24" fillId="13" borderId="14" xfId="0" applyFont="1" applyFill="1" applyBorder="1" applyAlignment="1">
      <alignment horizontal="center"/>
    </xf>
    <xf numFmtId="165" fontId="24" fillId="11" borderId="14" xfId="0" applyNumberFormat="1" applyFont="1" applyFill="1" applyBorder="1" applyAlignment="1">
      <alignment horizontal="center" vertical="center"/>
    </xf>
    <xf numFmtId="165" fontId="32" fillId="6" borderId="11" xfId="0" applyNumberFormat="1" applyFont="1" applyFill="1" applyBorder="1" applyAlignment="1">
      <alignment horizontal="center" wrapText="1"/>
    </xf>
    <xf numFmtId="0" fontId="24" fillId="3" borderId="14" xfId="0" applyFont="1" applyFill="1" applyBorder="1" applyAlignment="1">
      <alignment horizontal="center"/>
    </xf>
    <xf numFmtId="165" fontId="24" fillId="3" borderId="14" xfId="0" applyNumberFormat="1" applyFont="1" applyFill="1" applyBorder="1" applyAlignment="1">
      <alignment horizontal="center" vertical="center"/>
    </xf>
    <xf numFmtId="164" fontId="5" fillId="0" borderId="0" xfId="3" applyFont="1" applyFill="1" applyBorder="1" applyAlignment="1">
      <alignment horizontal="center"/>
    </xf>
    <xf numFmtId="0" fontId="5" fillId="0" borderId="0" xfId="2" applyFont="1" applyAlignment="1">
      <alignment horizontal="center"/>
    </xf>
    <xf numFmtId="0" fontId="3" fillId="0" borderId="0" xfId="2" applyFont="1" applyAlignment="1">
      <alignment horizontal="center"/>
    </xf>
    <xf numFmtId="164" fontId="5" fillId="0" borderId="0" xfId="3" applyFont="1" applyFill="1" applyAlignment="1">
      <alignment horizontal="center"/>
    </xf>
    <xf numFmtId="165" fontId="30" fillId="0" borderId="0" xfId="0" applyNumberFormat="1" applyFont="1" applyAlignment="1">
      <alignment horizontal="center" vertical="center" wrapText="1"/>
    </xf>
    <xf numFmtId="165" fontId="30" fillId="0" borderId="0" xfId="0" applyNumberFormat="1" applyFont="1" applyAlignment="1">
      <alignment horizontal="center"/>
    </xf>
    <xf numFmtId="9" fontId="30" fillId="0" borderId="0" xfId="0" applyNumberFormat="1" applyFont="1" applyAlignment="1">
      <alignment horizontal="center"/>
    </xf>
    <xf numFmtId="0" fontId="33" fillId="0" borderId="0" xfId="0" applyFont="1" applyAlignment="1">
      <alignment horizontal="center" vertical="center"/>
    </xf>
    <xf numFmtId="164" fontId="14" fillId="0" borderId="0" xfId="3" applyFont="1" applyFill="1" applyBorder="1" applyAlignment="1">
      <alignment horizontal="left"/>
    </xf>
    <xf numFmtId="164" fontId="14" fillId="0" borderId="0" xfId="3" applyFont="1" applyFill="1" applyBorder="1" applyAlignment="1">
      <alignment horizontal="left" vertical="center" wrapText="1"/>
    </xf>
    <xf numFmtId="0" fontId="11" fillId="0" borderId="0" xfId="2" applyFont="1" applyBorder="1"/>
    <xf numFmtId="0" fontId="4" fillId="0" borderId="0" xfId="2" applyFont="1" applyBorder="1"/>
    <xf numFmtId="164" fontId="14" fillId="0" borderId="9" xfId="3" applyFont="1" applyFill="1" applyBorder="1" applyAlignment="1">
      <alignment vertical="center" wrapText="1"/>
    </xf>
    <xf numFmtId="0" fontId="17" fillId="0" borderId="0" xfId="2" applyFont="1" applyBorder="1"/>
    <xf numFmtId="0" fontId="18" fillId="0" borderId="0" xfId="2" applyFont="1" applyBorder="1"/>
    <xf numFmtId="0" fontId="18" fillId="0" borderId="0" xfId="2" applyFont="1" applyBorder="1" applyAlignment="1">
      <alignment horizontal="left" indent="4"/>
    </xf>
    <xf numFmtId="164" fontId="11" fillId="0" borderId="0" xfId="2" applyNumberFormat="1" applyFont="1" applyBorder="1"/>
    <xf numFmtId="0" fontId="12" fillId="0" borderId="0" xfId="2" applyFont="1" applyBorder="1"/>
    <xf numFmtId="0" fontId="16" fillId="0" borderId="0" xfId="2" applyFont="1" applyBorder="1"/>
    <xf numFmtId="0" fontId="16" fillId="0" borderId="0" xfId="2" applyFont="1" applyBorder="1" applyAlignment="1">
      <alignment horizontal="center"/>
    </xf>
  </cellXfs>
  <cellStyles count="7">
    <cellStyle name="Comma" xfId="1" builtinId="3"/>
    <cellStyle name="Comma 2" xfId="3" xr:uid="{AE4A9DF5-6ADA-49D1-BDD2-0AAC6D074B85}"/>
    <cellStyle name="Normal" xfId="0" builtinId="0"/>
    <cellStyle name="Normal 2" xfId="2" xr:uid="{A312498E-11ED-4973-A122-CA8A265B1173}"/>
    <cellStyle name="Normal 3" xfId="4" xr:uid="{BBBB88DA-F313-4268-935C-AA24974B85C6}"/>
    <cellStyle name="Normal 4" xfId="5" xr:uid="{39F20C0A-F5E7-4103-9E37-53DF9C1507DF}"/>
    <cellStyle name="Normal 5" xfId="6" xr:uid="{59746580-CC13-4192-B522-B2AAEBCCA13A}"/>
  </cellStyles>
  <dxfs count="1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</xdr:row>
      <xdr:rowOff>9921</xdr:rowOff>
    </xdr:from>
    <xdr:to>
      <xdr:col>3</xdr:col>
      <xdr:colOff>604441</xdr:colOff>
      <xdr:row>5</xdr:row>
      <xdr:rowOff>101439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F30C4B-57A3-4D7A-9FA3-332F95C1A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467121"/>
          <a:ext cx="585391" cy="777316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7" name="Picture 6">
          <a:extLst>
            <a:ext uri="{FF2B5EF4-FFF2-40B4-BE49-F238E27FC236}">
              <a16:creationId xmlns:a16="http://schemas.microsoft.com/office/drawing/2014/main" id="{D942CEB6-1B76-4C23-B2FD-DDC329B07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3225" y="371871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0</xdr:col>
      <xdr:colOff>200500</xdr:colOff>
      <xdr:row>2</xdr:row>
      <xdr:rowOff>135183</xdr:rowOff>
    </xdr:from>
    <xdr:to>
      <xdr:col>3</xdr:col>
      <xdr:colOff>34725</xdr:colOff>
      <xdr:row>5</xdr:row>
      <xdr:rowOff>66676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AE1D6B-38A3-45ED-89C3-18ACF1958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500" y="592383"/>
          <a:ext cx="653375" cy="617291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2</xdr:row>
      <xdr:rowOff>142875</xdr:rowOff>
    </xdr:from>
    <xdr:to>
      <xdr:col>9</xdr:col>
      <xdr:colOff>43775</xdr:colOff>
      <xdr:row>5</xdr:row>
      <xdr:rowOff>74368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BF3B8C-662E-4D8A-B184-E06842654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2950" y="600075"/>
          <a:ext cx="653375" cy="617291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2</xdr:row>
      <xdr:rowOff>9921</xdr:rowOff>
    </xdr:from>
    <xdr:ext cx="585391" cy="754063"/>
    <xdr:pic>
      <xdr:nvPicPr>
        <xdr:cNvPr id="4" name="Picture 3">
          <a:extLst>
            <a:ext uri="{FF2B5EF4-FFF2-40B4-BE49-F238E27FC236}">
              <a16:creationId xmlns:a16="http://schemas.microsoft.com/office/drawing/2014/main" id="{633ABB0F-D837-4772-A7EB-14E419C7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7107" y="472564"/>
          <a:ext cx="585391" cy="754063"/>
        </a:xfrm>
        <a:prstGeom prst="rect">
          <a:avLst/>
        </a:prstGeom>
      </xdr:spPr>
    </xdr:pic>
    <xdr:clientData/>
  </xdr:oneCellAnchor>
  <xdr:oneCellAnchor>
    <xdr:from>
      <xdr:col>12</xdr:col>
      <xdr:colOff>209550</xdr:colOff>
      <xdr:row>2</xdr:row>
      <xdr:rowOff>142875</xdr:rowOff>
    </xdr:from>
    <xdr:ext cx="650653" cy="625455"/>
    <xdr:pic>
      <xdr:nvPicPr>
        <xdr:cNvPr id="6" name="Picture 5">
          <a:extLst>
            <a:ext uri="{FF2B5EF4-FFF2-40B4-BE49-F238E27FC236}">
              <a16:creationId xmlns:a16="http://schemas.microsoft.com/office/drawing/2014/main" id="{CC953BC4-84B6-4C05-9AA4-4C7872916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229" y="605518"/>
          <a:ext cx="650653" cy="62545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9921</xdr:rowOff>
    </xdr:from>
    <xdr:ext cx="585391" cy="754063"/>
    <xdr:pic>
      <xdr:nvPicPr>
        <xdr:cNvPr id="8" name="Picture 7">
          <a:extLst>
            <a:ext uri="{FF2B5EF4-FFF2-40B4-BE49-F238E27FC236}">
              <a16:creationId xmlns:a16="http://schemas.microsoft.com/office/drawing/2014/main" id="{859522FC-F114-4553-AE73-4C6BDB7CA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97786" y="472564"/>
          <a:ext cx="585391" cy="754063"/>
        </a:xfrm>
        <a:prstGeom prst="rect">
          <a:avLst/>
        </a:prstGeom>
      </xdr:spPr>
    </xdr:pic>
    <xdr:clientData/>
  </xdr:oneCellAnchor>
  <xdr:oneCellAnchor>
    <xdr:from>
      <xdr:col>0</xdr:col>
      <xdr:colOff>209550</xdr:colOff>
      <xdr:row>38</xdr:row>
      <xdr:rowOff>142875</xdr:rowOff>
    </xdr:from>
    <xdr:ext cx="650653" cy="625455"/>
    <xdr:pic>
      <xdr:nvPicPr>
        <xdr:cNvPr id="9" name="Picture 8">
          <a:extLst>
            <a:ext uri="{FF2B5EF4-FFF2-40B4-BE49-F238E27FC236}">
              <a16:creationId xmlns:a16="http://schemas.microsoft.com/office/drawing/2014/main" id="{09A3A508-FF5B-4702-8389-80C0BC0A3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907" y="605518"/>
          <a:ext cx="650653" cy="62545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9921</xdr:rowOff>
    </xdr:from>
    <xdr:ext cx="585391" cy="754063"/>
    <xdr:pic>
      <xdr:nvPicPr>
        <xdr:cNvPr id="10" name="Picture 9">
          <a:extLst>
            <a:ext uri="{FF2B5EF4-FFF2-40B4-BE49-F238E27FC236}">
              <a16:creationId xmlns:a16="http://schemas.microsoft.com/office/drawing/2014/main" id="{DDEB1AE2-1F01-4B8C-973E-D994C1F13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7107" y="445350"/>
          <a:ext cx="585391" cy="754063"/>
        </a:xfrm>
        <a:prstGeom prst="rect">
          <a:avLst/>
        </a:prstGeom>
      </xdr:spPr>
    </xdr:pic>
    <xdr:clientData/>
  </xdr:oneCellAnchor>
  <xdr:oneCellAnchor>
    <xdr:from>
      <xdr:col>12</xdr:col>
      <xdr:colOff>209550</xdr:colOff>
      <xdr:row>2</xdr:row>
      <xdr:rowOff>142875</xdr:rowOff>
    </xdr:from>
    <xdr:ext cx="650653" cy="625457"/>
    <xdr:pic>
      <xdr:nvPicPr>
        <xdr:cNvPr id="11" name="Picture 10">
          <a:extLst>
            <a:ext uri="{FF2B5EF4-FFF2-40B4-BE49-F238E27FC236}">
              <a16:creationId xmlns:a16="http://schemas.microsoft.com/office/drawing/2014/main" id="{F7DDA2C5-0B13-4FE5-BC87-A9F74792E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229" y="578304"/>
          <a:ext cx="650653" cy="62545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CB4631-CB10-456E-AED7-7DA76C922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409971"/>
          <a:ext cx="585391" cy="758827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8" name="Picture 7">
          <a:extLst>
            <a:ext uri="{FF2B5EF4-FFF2-40B4-BE49-F238E27FC236}">
              <a16:creationId xmlns:a16="http://schemas.microsoft.com/office/drawing/2014/main" id="{F4549670-1CCA-4659-8B60-EE09EDA99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1525" y="409971"/>
          <a:ext cx="585391" cy="754063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4" name="Picture 3">
          <a:extLst>
            <a:ext uri="{FF2B5EF4-FFF2-40B4-BE49-F238E27FC236}">
              <a16:creationId xmlns:a16="http://schemas.microsoft.com/office/drawing/2014/main" id="{9C0FA567-0508-4451-B0C8-AD1AE49B8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2100" y="457596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0</xdr:col>
      <xdr:colOff>209550</xdr:colOff>
      <xdr:row>2</xdr:row>
      <xdr:rowOff>142875</xdr:rowOff>
    </xdr:from>
    <xdr:to>
      <xdr:col>3</xdr:col>
      <xdr:colOff>43775</xdr:colOff>
      <xdr:row>5</xdr:row>
      <xdr:rowOff>74364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21AE3E-0DD9-4B4A-AAFA-9A3FAE9E4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600075"/>
          <a:ext cx="653375" cy="617291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2</xdr:row>
      <xdr:rowOff>142875</xdr:rowOff>
    </xdr:from>
    <xdr:to>
      <xdr:col>9</xdr:col>
      <xdr:colOff>53300</xdr:colOff>
      <xdr:row>5</xdr:row>
      <xdr:rowOff>74364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C4561B-C6AF-464E-8FEB-A566D8BCC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2950" y="600075"/>
          <a:ext cx="653375" cy="617291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2</xdr:row>
      <xdr:rowOff>9921</xdr:rowOff>
    </xdr:from>
    <xdr:ext cx="585391" cy="754063"/>
    <xdr:pic>
      <xdr:nvPicPr>
        <xdr:cNvPr id="5" name="Picture 4">
          <a:extLst>
            <a:ext uri="{FF2B5EF4-FFF2-40B4-BE49-F238E27FC236}">
              <a16:creationId xmlns:a16="http://schemas.microsoft.com/office/drawing/2014/main" id="{BB1FE5EA-F7F2-4045-8305-2E58ABDFD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0" y="472564"/>
          <a:ext cx="585391" cy="754063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9921</xdr:rowOff>
    </xdr:from>
    <xdr:ext cx="585391" cy="754063"/>
    <xdr:pic>
      <xdr:nvPicPr>
        <xdr:cNvPr id="6" name="Picture 5">
          <a:extLst>
            <a:ext uri="{FF2B5EF4-FFF2-40B4-BE49-F238E27FC236}">
              <a16:creationId xmlns:a16="http://schemas.microsoft.com/office/drawing/2014/main" id="{7D2EE0B3-C0BD-4716-AAF7-CFECD698F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0" y="472564"/>
          <a:ext cx="585391" cy="754063"/>
        </a:xfrm>
        <a:prstGeom prst="rect">
          <a:avLst/>
        </a:prstGeom>
      </xdr:spPr>
    </xdr:pic>
    <xdr:clientData/>
  </xdr:oneCellAnchor>
  <xdr:oneCellAnchor>
    <xdr:from>
      <xdr:col>12</xdr:col>
      <xdr:colOff>209550</xdr:colOff>
      <xdr:row>2</xdr:row>
      <xdr:rowOff>142875</xdr:rowOff>
    </xdr:from>
    <xdr:ext cx="646571" cy="625455"/>
    <xdr:pic>
      <xdr:nvPicPr>
        <xdr:cNvPr id="10" name="Picture 9">
          <a:extLst>
            <a:ext uri="{FF2B5EF4-FFF2-40B4-BE49-F238E27FC236}">
              <a16:creationId xmlns:a16="http://schemas.microsoft.com/office/drawing/2014/main" id="{825DADEA-EBE4-494A-812C-35D31DC11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229" y="605518"/>
          <a:ext cx="646571" cy="62545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9921</xdr:rowOff>
    </xdr:from>
    <xdr:ext cx="585391" cy="754063"/>
    <xdr:pic>
      <xdr:nvPicPr>
        <xdr:cNvPr id="11" name="Picture 10">
          <a:extLst>
            <a:ext uri="{FF2B5EF4-FFF2-40B4-BE49-F238E27FC236}">
              <a16:creationId xmlns:a16="http://schemas.microsoft.com/office/drawing/2014/main" id="{13D5FB2F-364F-49EB-9174-062F35DED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70571" y="445350"/>
          <a:ext cx="585391" cy="7540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9921</xdr:rowOff>
    </xdr:from>
    <xdr:ext cx="585391" cy="754063"/>
    <xdr:pic>
      <xdr:nvPicPr>
        <xdr:cNvPr id="12" name="Picture 11">
          <a:extLst>
            <a:ext uri="{FF2B5EF4-FFF2-40B4-BE49-F238E27FC236}">
              <a16:creationId xmlns:a16="http://schemas.microsoft.com/office/drawing/2014/main" id="{5F599EF5-47DE-4101-BE9E-B734EC310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70571" y="445350"/>
          <a:ext cx="585391" cy="754063"/>
        </a:xfrm>
        <a:prstGeom prst="rect">
          <a:avLst/>
        </a:prstGeom>
      </xdr:spPr>
    </xdr:pic>
    <xdr:clientData/>
  </xdr:oneCellAnchor>
  <xdr:oneCellAnchor>
    <xdr:from>
      <xdr:col>0</xdr:col>
      <xdr:colOff>209550</xdr:colOff>
      <xdr:row>38</xdr:row>
      <xdr:rowOff>142875</xdr:rowOff>
    </xdr:from>
    <xdr:ext cx="646571" cy="625455"/>
    <xdr:pic>
      <xdr:nvPicPr>
        <xdr:cNvPr id="13" name="Picture 12">
          <a:extLst>
            <a:ext uri="{FF2B5EF4-FFF2-40B4-BE49-F238E27FC236}">
              <a16:creationId xmlns:a16="http://schemas.microsoft.com/office/drawing/2014/main" id="{DB9BF2C9-1879-4448-BA3C-EA0AEF800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578304"/>
          <a:ext cx="646571" cy="62545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38</xdr:row>
      <xdr:rowOff>9921</xdr:rowOff>
    </xdr:from>
    <xdr:ext cx="585391" cy="754063"/>
    <xdr:pic>
      <xdr:nvPicPr>
        <xdr:cNvPr id="3" name="Picture 2">
          <a:extLst>
            <a:ext uri="{FF2B5EF4-FFF2-40B4-BE49-F238E27FC236}">
              <a16:creationId xmlns:a16="http://schemas.microsoft.com/office/drawing/2014/main" id="{69AD5C04-E895-48F1-A12B-CEE44E766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29" y="7793207"/>
          <a:ext cx="585391" cy="75406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6DEA24-810B-4C87-B0B1-17E7D6260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409971"/>
          <a:ext cx="585391" cy="758827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4" name="Picture 3">
          <a:extLst>
            <a:ext uri="{FF2B5EF4-FFF2-40B4-BE49-F238E27FC236}">
              <a16:creationId xmlns:a16="http://schemas.microsoft.com/office/drawing/2014/main" id="{8EE3D43C-0302-4DD4-B99C-1DDC8F094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409971"/>
          <a:ext cx="585391" cy="754063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9921</xdr:rowOff>
    </xdr:from>
    <xdr:ext cx="585391" cy="754063"/>
    <xdr:pic>
      <xdr:nvPicPr>
        <xdr:cNvPr id="5" name="Picture 4">
          <a:extLst>
            <a:ext uri="{FF2B5EF4-FFF2-40B4-BE49-F238E27FC236}">
              <a16:creationId xmlns:a16="http://schemas.microsoft.com/office/drawing/2014/main" id="{88F4EAB8-618D-4D3A-A295-D0B3CF905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3450" y="409971"/>
          <a:ext cx="585391" cy="7540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9921</xdr:rowOff>
    </xdr:from>
    <xdr:ext cx="585391" cy="785480"/>
    <xdr:pic>
      <xdr:nvPicPr>
        <xdr:cNvPr id="12" name="Picture 11">
          <a:extLst>
            <a:ext uri="{FF2B5EF4-FFF2-40B4-BE49-F238E27FC236}">
              <a16:creationId xmlns:a16="http://schemas.microsoft.com/office/drawing/2014/main" id="{ACBE2A0D-05B3-4496-A8BF-5E909B667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464" y="472564"/>
          <a:ext cx="585391" cy="78548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38</xdr:row>
      <xdr:rowOff>9921</xdr:rowOff>
    </xdr:from>
    <xdr:ext cx="585391" cy="754063"/>
    <xdr:pic>
      <xdr:nvPicPr>
        <xdr:cNvPr id="13" name="Picture 12">
          <a:extLst>
            <a:ext uri="{FF2B5EF4-FFF2-40B4-BE49-F238E27FC236}">
              <a16:creationId xmlns:a16="http://schemas.microsoft.com/office/drawing/2014/main" id="{052287D7-AD8C-4E09-B008-5D23D73E3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1179" y="472564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0</xdr:col>
      <xdr:colOff>199774</xdr:colOff>
      <xdr:row>2</xdr:row>
      <xdr:rowOff>134471</xdr:rowOff>
    </xdr:from>
    <xdr:to>
      <xdr:col>2</xdr:col>
      <xdr:colOff>226778</xdr:colOff>
      <xdr:row>5</xdr:row>
      <xdr:rowOff>79411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1D514F8-C7F8-43DB-8324-9B68A4F1C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774" y="594299"/>
          <a:ext cx="657625" cy="634679"/>
        </a:xfrm>
        <a:prstGeom prst="rect">
          <a:avLst/>
        </a:prstGeom>
      </xdr:spPr>
    </xdr:pic>
    <xdr:clientData/>
  </xdr:twoCellAnchor>
  <xdr:twoCellAnchor editAs="oneCell">
    <xdr:from>
      <xdr:col>6</xdr:col>
      <xdr:colOff>195137</xdr:colOff>
      <xdr:row>2</xdr:row>
      <xdr:rowOff>134471</xdr:rowOff>
    </xdr:from>
    <xdr:to>
      <xdr:col>8</xdr:col>
      <xdr:colOff>220983</xdr:colOff>
      <xdr:row>5</xdr:row>
      <xdr:rowOff>79411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14E9BF8-48F6-4C34-8361-D0B2FEA91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9775" y="594299"/>
          <a:ext cx="656467" cy="634679"/>
        </a:xfrm>
        <a:prstGeom prst="rect">
          <a:avLst/>
        </a:prstGeom>
      </xdr:spPr>
    </xdr:pic>
    <xdr:clientData/>
  </xdr:twoCellAnchor>
  <xdr:twoCellAnchor editAs="oneCell">
    <xdr:from>
      <xdr:col>12</xdr:col>
      <xdr:colOff>201705</xdr:colOff>
      <xdr:row>2</xdr:row>
      <xdr:rowOff>134471</xdr:rowOff>
    </xdr:from>
    <xdr:to>
      <xdr:col>14</xdr:col>
      <xdr:colOff>227551</xdr:colOff>
      <xdr:row>5</xdr:row>
      <xdr:rowOff>79411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6FCFE99-A462-43BE-B0EC-9D2F32F9C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117" y="582706"/>
          <a:ext cx="653375" cy="617291"/>
        </a:xfrm>
        <a:prstGeom prst="rect">
          <a:avLst/>
        </a:prstGeom>
      </xdr:spPr>
    </xdr:pic>
    <xdr:clientData/>
  </xdr:twoCellAnchor>
  <xdr:twoCellAnchor editAs="oneCell">
    <xdr:from>
      <xdr:col>0</xdr:col>
      <xdr:colOff>197069</xdr:colOff>
      <xdr:row>38</xdr:row>
      <xdr:rowOff>145676</xdr:rowOff>
    </xdr:from>
    <xdr:to>
      <xdr:col>2</xdr:col>
      <xdr:colOff>222915</xdr:colOff>
      <xdr:row>41</xdr:row>
      <xdr:rowOff>90613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43E555C-CF99-49B9-A34C-A439D8D9A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069" y="8008728"/>
          <a:ext cx="656467" cy="634679"/>
        </a:xfrm>
        <a:prstGeom prst="rect">
          <a:avLst/>
        </a:prstGeom>
      </xdr:spPr>
    </xdr:pic>
    <xdr:clientData/>
  </xdr:twoCellAnchor>
  <xdr:twoCellAnchor editAs="oneCell">
    <xdr:from>
      <xdr:col>6</xdr:col>
      <xdr:colOff>204411</xdr:colOff>
      <xdr:row>38</xdr:row>
      <xdr:rowOff>134471</xdr:rowOff>
    </xdr:from>
    <xdr:to>
      <xdr:col>8</xdr:col>
      <xdr:colOff>231415</xdr:colOff>
      <xdr:row>41</xdr:row>
      <xdr:rowOff>79408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7061F9B-82FF-497E-BFFC-DD69A4AF6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9049" y="7997523"/>
          <a:ext cx="657625" cy="634679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74</xdr:row>
      <xdr:rowOff>9921</xdr:rowOff>
    </xdr:from>
    <xdr:ext cx="585391" cy="754063"/>
    <xdr:pic>
      <xdr:nvPicPr>
        <xdr:cNvPr id="3" name="Picture 2">
          <a:extLst>
            <a:ext uri="{FF2B5EF4-FFF2-40B4-BE49-F238E27FC236}">
              <a16:creationId xmlns:a16="http://schemas.microsoft.com/office/drawing/2014/main" id="{7FA0DD59-6A4A-45EC-8DFD-25F77E06D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1071" y="8038135"/>
          <a:ext cx="585391" cy="754063"/>
        </a:xfrm>
        <a:prstGeom prst="rect">
          <a:avLst/>
        </a:prstGeom>
      </xdr:spPr>
    </xdr:pic>
    <xdr:clientData/>
  </xdr:oneCellAnchor>
  <xdr:oneCellAnchor>
    <xdr:from>
      <xdr:col>0</xdr:col>
      <xdr:colOff>203386</xdr:colOff>
      <xdr:row>74</xdr:row>
      <xdr:rowOff>126626</xdr:rowOff>
    </xdr:from>
    <xdr:ext cx="654576" cy="638903"/>
    <xdr:pic>
      <xdr:nvPicPr>
        <xdr:cNvPr id="6" name="Picture 5">
          <a:extLst>
            <a:ext uri="{FF2B5EF4-FFF2-40B4-BE49-F238E27FC236}">
              <a16:creationId xmlns:a16="http://schemas.microsoft.com/office/drawing/2014/main" id="{B3BAF751-DAB0-402E-809B-52FA7AADD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3600" y="8154840"/>
          <a:ext cx="654576" cy="638903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38</xdr:row>
      <xdr:rowOff>9921</xdr:rowOff>
    </xdr:from>
    <xdr:ext cx="585391" cy="754063"/>
    <xdr:pic>
      <xdr:nvPicPr>
        <xdr:cNvPr id="9" name="Picture 8">
          <a:extLst>
            <a:ext uri="{FF2B5EF4-FFF2-40B4-BE49-F238E27FC236}">
              <a16:creationId xmlns:a16="http://schemas.microsoft.com/office/drawing/2014/main" id="{47614C81-C78B-423A-B2CA-5BE8B4BED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5964" y="7983707"/>
          <a:ext cx="585391" cy="754063"/>
        </a:xfrm>
        <a:prstGeom prst="rect">
          <a:avLst/>
        </a:prstGeom>
      </xdr:spPr>
    </xdr:pic>
    <xdr:clientData/>
  </xdr:oneCellAnchor>
  <xdr:oneCellAnchor>
    <xdr:from>
      <xdr:col>12</xdr:col>
      <xdr:colOff>204411</xdr:colOff>
      <xdr:row>38</xdr:row>
      <xdr:rowOff>134471</xdr:rowOff>
    </xdr:from>
    <xdr:ext cx="652933" cy="638901"/>
    <xdr:pic>
      <xdr:nvPicPr>
        <xdr:cNvPr id="10" name="Picture 9">
          <a:extLst>
            <a:ext uri="{FF2B5EF4-FFF2-40B4-BE49-F238E27FC236}">
              <a16:creationId xmlns:a16="http://schemas.microsoft.com/office/drawing/2014/main" id="{EC2EF49D-7AB6-4277-ADA9-CD9CF6B74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9518" y="8108257"/>
          <a:ext cx="652933" cy="63890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FD3FE-DCE0-4833-B355-EE96C2589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467121"/>
          <a:ext cx="585391" cy="777316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3" name="Picture 2">
          <a:extLst>
            <a:ext uri="{FF2B5EF4-FFF2-40B4-BE49-F238E27FC236}">
              <a16:creationId xmlns:a16="http://schemas.microsoft.com/office/drawing/2014/main" id="{7C5B74FA-E8A2-454F-9403-C056D1205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467121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0</xdr:col>
      <xdr:colOff>198783</xdr:colOff>
      <xdr:row>2</xdr:row>
      <xdr:rowOff>157370</xdr:rowOff>
    </xdr:from>
    <xdr:to>
      <xdr:col>2</xdr:col>
      <xdr:colOff>222680</xdr:colOff>
      <xdr:row>5</xdr:row>
      <xdr:rowOff>78922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83D56C-9962-4E05-96C6-4D7F10641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83" y="621196"/>
          <a:ext cx="653375" cy="617291"/>
        </a:xfrm>
        <a:prstGeom prst="rect">
          <a:avLst/>
        </a:prstGeom>
      </xdr:spPr>
    </xdr:pic>
    <xdr:clientData/>
  </xdr:twoCellAnchor>
  <xdr:twoCellAnchor editAs="oneCell">
    <xdr:from>
      <xdr:col>6</xdr:col>
      <xdr:colOff>215348</xdr:colOff>
      <xdr:row>2</xdr:row>
      <xdr:rowOff>149087</xdr:rowOff>
    </xdr:from>
    <xdr:to>
      <xdr:col>8</xdr:col>
      <xdr:colOff>239245</xdr:colOff>
      <xdr:row>5</xdr:row>
      <xdr:rowOff>70639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93F5FE-ED02-4A5D-8BFB-924A3C75C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5131" y="612913"/>
          <a:ext cx="653375" cy="6172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EA07D6-1227-4952-9278-6835F5AA5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467121"/>
          <a:ext cx="585391" cy="777316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3" name="Picture 2">
          <a:extLst>
            <a:ext uri="{FF2B5EF4-FFF2-40B4-BE49-F238E27FC236}">
              <a16:creationId xmlns:a16="http://schemas.microsoft.com/office/drawing/2014/main" id="{28096D1B-90F8-4296-8C39-0254D33FF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467121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0</xdr:col>
      <xdr:colOff>198783</xdr:colOff>
      <xdr:row>2</xdr:row>
      <xdr:rowOff>157371</xdr:rowOff>
    </xdr:from>
    <xdr:to>
      <xdr:col>2</xdr:col>
      <xdr:colOff>222680</xdr:colOff>
      <xdr:row>5</xdr:row>
      <xdr:rowOff>78923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260CE1-3E11-422F-8732-1616FF786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83" y="621197"/>
          <a:ext cx="653375" cy="617291"/>
        </a:xfrm>
        <a:prstGeom prst="rect">
          <a:avLst/>
        </a:prstGeom>
      </xdr:spPr>
    </xdr:pic>
    <xdr:clientData/>
  </xdr:twoCellAnchor>
  <xdr:twoCellAnchor editAs="oneCell">
    <xdr:from>
      <xdr:col>6</xdr:col>
      <xdr:colOff>198783</xdr:colOff>
      <xdr:row>2</xdr:row>
      <xdr:rowOff>149087</xdr:rowOff>
    </xdr:from>
    <xdr:to>
      <xdr:col>8</xdr:col>
      <xdr:colOff>222680</xdr:colOff>
      <xdr:row>5</xdr:row>
      <xdr:rowOff>70639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301613-7792-4A56-A6B5-D464E551A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8566" y="612913"/>
          <a:ext cx="653375" cy="617291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2</xdr:row>
      <xdr:rowOff>9921</xdr:rowOff>
    </xdr:from>
    <xdr:ext cx="585391" cy="754063"/>
    <xdr:pic>
      <xdr:nvPicPr>
        <xdr:cNvPr id="4" name="Picture 3">
          <a:extLst>
            <a:ext uri="{FF2B5EF4-FFF2-40B4-BE49-F238E27FC236}">
              <a16:creationId xmlns:a16="http://schemas.microsoft.com/office/drawing/2014/main" id="{92171232-7E52-4A87-BD86-8F04BED90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5964" y="472564"/>
          <a:ext cx="585391" cy="754063"/>
        </a:xfrm>
        <a:prstGeom prst="rect">
          <a:avLst/>
        </a:prstGeom>
      </xdr:spPr>
    </xdr:pic>
    <xdr:clientData/>
  </xdr:oneCellAnchor>
  <xdr:oneCellAnchor>
    <xdr:from>
      <xdr:col>12</xdr:col>
      <xdr:colOff>198783</xdr:colOff>
      <xdr:row>2</xdr:row>
      <xdr:rowOff>149087</xdr:rowOff>
    </xdr:from>
    <xdr:ext cx="649826" cy="615516"/>
    <xdr:pic>
      <xdr:nvPicPr>
        <xdr:cNvPr id="5" name="Picture 4">
          <a:extLst>
            <a:ext uri="{FF2B5EF4-FFF2-40B4-BE49-F238E27FC236}">
              <a16:creationId xmlns:a16="http://schemas.microsoft.com/office/drawing/2014/main" id="{4B2EA7A8-96A3-4592-B691-4FAAA4D58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3890" y="611730"/>
          <a:ext cx="649826" cy="61551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040945-B02F-42BA-A3BC-475C1397B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467121"/>
          <a:ext cx="585391" cy="777316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2</xdr:row>
      <xdr:rowOff>9921</xdr:rowOff>
    </xdr:from>
    <xdr:ext cx="585391" cy="754063"/>
    <xdr:pic>
      <xdr:nvPicPr>
        <xdr:cNvPr id="4" name="Picture 3">
          <a:extLst>
            <a:ext uri="{FF2B5EF4-FFF2-40B4-BE49-F238E27FC236}">
              <a16:creationId xmlns:a16="http://schemas.microsoft.com/office/drawing/2014/main" id="{C5A016F2-3905-49B2-BC2A-818BF902E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3450" y="467121"/>
          <a:ext cx="585391" cy="7540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9921</xdr:rowOff>
    </xdr:from>
    <xdr:ext cx="585391" cy="763869"/>
    <xdr:pic>
      <xdr:nvPicPr>
        <xdr:cNvPr id="5" name="Picture 4">
          <a:extLst>
            <a:ext uri="{FF2B5EF4-FFF2-40B4-BE49-F238E27FC236}">
              <a16:creationId xmlns:a16="http://schemas.microsoft.com/office/drawing/2014/main" id="{DF24AC46-1DA9-4550-8D94-335AB2D9C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265" y="458156"/>
          <a:ext cx="585391" cy="763869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38</xdr:row>
      <xdr:rowOff>9921</xdr:rowOff>
    </xdr:from>
    <xdr:ext cx="585391" cy="754063"/>
    <xdr:pic>
      <xdr:nvPicPr>
        <xdr:cNvPr id="7" name="Picture 6">
          <a:extLst>
            <a:ext uri="{FF2B5EF4-FFF2-40B4-BE49-F238E27FC236}">
              <a16:creationId xmlns:a16="http://schemas.microsoft.com/office/drawing/2014/main" id="{715419E0-945E-4DB7-AD72-1F59A4B84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1294" y="458156"/>
          <a:ext cx="585391" cy="7540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74</xdr:row>
      <xdr:rowOff>9921</xdr:rowOff>
    </xdr:from>
    <xdr:ext cx="585391" cy="754063"/>
    <xdr:pic>
      <xdr:nvPicPr>
        <xdr:cNvPr id="8" name="Picture 7">
          <a:extLst>
            <a:ext uri="{FF2B5EF4-FFF2-40B4-BE49-F238E27FC236}">
              <a16:creationId xmlns:a16="http://schemas.microsoft.com/office/drawing/2014/main" id="{67F0B275-1B95-4DE0-8D5A-2B514B030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5359459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0</xdr:col>
      <xdr:colOff>207065</xdr:colOff>
      <xdr:row>74</xdr:row>
      <xdr:rowOff>149088</xdr:rowOff>
    </xdr:from>
    <xdr:to>
      <xdr:col>2</xdr:col>
      <xdr:colOff>230962</xdr:colOff>
      <xdr:row>77</xdr:row>
      <xdr:rowOff>70640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17FD6C-F013-4416-A151-1660FD862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065" y="16109675"/>
          <a:ext cx="653375" cy="617291"/>
        </a:xfrm>
        <a:prstGeom prst="rect">
          <a:avLst/>
        </a:prstGeom>
      </xdr:spPr>
    </xdr:pic>
    <xdr:clientData/>
  </xdr:twoCellAnchor>
  <xdr:twoCellAnchor editAs="oneCell">
    <xdr:from>
      <xdr:col>0</xdr:col>
      <xdr:colOff>215348</xdr:colOff>
      <xdr:row>38</xdr:row>
      <xdr:rowOff>149087</xdr:rowOff>
    </xdr:from>
    <xdr:to>
      <xdr:col>3</xdr:col>
      <xdr:colOff>1120</xdr:colOff>
      <xdr:row>41</xdr:row>
      <xdr:rowOff>70639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E585D3C-6419-47F6-B366-0899ECBAF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348" y="8058978"/>
          <a:ext cx="653375" cy="617291"/>
        </a:xfrm>
        <a:prstGeom prst="rect">
          <a:avLst/>
        </a:prstGeom>
      </xdr:spPr>
    </xdr:pic>
    <xdr:clientData/>
  </xdr:twoCellAnchor>
  <xdr:twoCellAnchor editAs="oneCell">
    <xdr:from>
      <xdr:col>12</xdr:col>
      <xdr:colOff>210475</xdr:colOff>
      <xdr:row>38</xdr:row>
      <xdr:rowOff>123264</xdr:rowOff>
    </xdr:from>
    <xdr:to>
      <xdr:col>15</xdr:col>
      <xdr:colOff>997</xdr:colOff>
      <xdr:row>41</xdr:row>
      <xdr:rowOff>68202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ADB06D7-6254-4B08-A8B6-06DB0FB3A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0040" y="8033155"/>
          <a:ext cx="660196" cy="640677"/>
        </a:xfrm>
        <a:prstGeom prst="rect">
          <a:avLst/>
        </a:prstGeom>
      </xdr:spPr>
    </xdr:pic>
    <xdr:clientData/>
  </xdr:twoCellAnchor>
  <xdr:twoCellAnchor editAs="oneCell">
    <xdr:from>
      <xdr:col>12</xdr:col>
      <xdr:colOff>198782</xdr:colOff>
      <xdr:row>2</xdr:row>
      <xdr:rowOff>149087</xdr:rowOff>
    </xdr:from>
    <xdr:to>
      <xdr:col>14</xdr:col>
      <xdr:colOff>222679</xdr:colOff>
      <xdr:row>5</xdr:row>
      <xdr:rowOff>70639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A27C1E9-96B4-4F41-A71A-8AC5AA7E5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8347" y="612913"/>
          <a:ext cx="653375" cy="617291"/>
        </a:xfrm>
        <a:prstGeom prst="rect">
          <a:avLst/>
        </a:prstGeom>
      </xdr:spPr>
    </xdr:pic>
    <xdr:clientData/>
  </xdr:twoCellAnchor>
  <xdr:twoCellAnchor editAs="oneCell">
    <xdr:from>
      <xdr:col>0</xdr:col>
      <xdr:colOff>198783</xdr:colOff>
      <xdr:row>2</xdr:row>
      <xdr:rowOff>149087</xdr:rowOff>
    </xdr:from>
    <xdr:to>
      <xdr:col>2</xdr:col>
      <xdr:colOff>222680</xdr:colOff>
      <xdr:row>5</xdr:row>
      <xdr:rowOff>70639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10F493E-E7C1-4FC0-9894-0FCC82859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83" y="612913"/>
          <a:ext cx="653375" cy="617291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74</xdr:row>
      <xdr:rowOff>9921</xdr:rowOff>
    </xdr:from>
    <xdr:ext cx="585391" cy="754063"/>
    <xdr:pic>
      <xdr:nvPicPr>
        <xdr:cNvPr id="11" name="Picture 10">
          <a:extLst>
            <a:ext uri="{FF2B5EF4-FFF2-40B4-BE49-F238E27FC236}">
              <a16:creationId xmlns:a16="http://schemas.microsoft.com/office/drawing/2014/main" id="{360B8AAE-347E-40A2-90D8-544E34545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857" y="15590100"/>
          <a:ext cx="585391" cy="754063"/>
        </a:xfrm>
        <a:prstGeom prst="rect">
          <a:avLst/>
        </a:prstGeom>
      </xdr:spPr>
    </xdr:pic>
    <xdr:clientData/>
  </xdr:oneCellAnchor>
  <xdr:oneCellAnchor>
    <xdr:from>
      <xdr:col>6</xdr:col>
      <xdr:colOff>207065</xdr:colOff>
      <xdr:row>74</xdr:row>
      <xdr:rowOff>149088</xdr:rowOff>
    </xdr:from>
    <xdr:ext cx="649826" cy="615516"/>
    <xdr:pic>
      <xdr:nvPicPr>
        <xdr:cNvPr id="12" name="Picture 11">
          <a:extLst>
            <a:ext uri="{FF2B5EF4-FFF2-40B4-BE49-F238E27FC236}">
              <a16:creationId xmlns:a16="http://schemas.microsoft.com/office/drawing/2014/main" id="{4EA7B9AF-3889-4E33-89BD-2AD6A51F5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065" y="15729267"/>
          <a:ext cx="649826" cy="615516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15" name="Picture 14">
          <a:extLst>
            <a:ext uri="{FF2B5EF4-FFF2-40B4-BE49-F238E27FC236}">
              <a16:creationId xmlns:a16="http://schemas.microsoft.com/office/drawing/2014/main" id="{67549D7C-B280-486F-9DA4-2931C4035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0" y="467121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6</xdr:col>
      <xdr:colOff>190500</xdr:colOff>
      <xdr:row>2</xdr:row>
      <xdr:rowOff>149087</xdr:rowOff>
    </xdr:from>
    <xdr:to>
      <xdr:col>8</xdr:col>
      <xdr:colOff>215313</xdr:colOff>
      <xdr:row>5</xdr:row>
      <xdr:rowOff>67893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5CFA005-2C39-47B6-B8CA-A7600AA9B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606287"/>
          <a:ext cx="653463" cy="604606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24" name="Picture 23">
          <a:extLst>
            <a:ext uri="{FF2B5EF4-FFF2-40B4-BE49-F238E27FC236}">
              <a16:creationId xmlns:a16="http://schemas.microsoft.com/office/drawing/2014/main" id="{EC0562CE-A733-4D17-8AD5-F09A72218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0" y="467121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6</xdr:col>
      <xdr:colOff>207065</xdr:colOff>
      <xdr:row>2</xdr:row>
      <xdr:rowOff>149088</xdr:rowOff>
    </xdr:from>
    <xdr:to>
      <xdr:col>8</xdr:col>
      <xdr:colOff>230962</xdr:colOff>
      <xdr:row>5</xdr:row>
      <xdr:rowOff>70640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550B09F-D2A9-4BD7-B4EA-8274BF2FA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8090" y="606288"/>
          <a:ext cx="652547" cy="607352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38</xdr:row>
      <xdr:rowOff>9921</xdr:rowOff>
    </xdr:from>
    <xdr:ext cx="585391" cy="754063"/>
    <xdr:pic>
      <xdr:nvPicPr>
        <xdr:cNvPr id="30" name="Picture 29">
          <a:extLst>
            <a:ext uri="{FF2B5EF4-FFF2-40B4-BE49-F238E27FC236}">
              <a16:creationId xmlns:a16="http://schemas.microsoft.com/office/drawing/2014/main" id="{56490534-FAFC-40F3-8D1E-E85B0AA6C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0" y="467121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6</xdr:col>
      <xdr:colOff>190500</xdr:colOff>
      <xdr:row>38</xdr:row>
      <xdr:rowOff>149087</xdr:rowOff>
    </xdr:from>
    <xdr:to>
      <xdr:col>8</xdr:col>
      <xdr:colOff>215313</xdr:colOff>
      <xdr:row>41</xdr:row>
      <xdr:rowOff>67893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1135EDB-1E65-4463-923A-5849CE7FD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606287"/>
          <a:ext cx="653463" cy="604606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38</xdr:row>
      <xdr:rowOff>9921</xdr:rowOff>
    </xdr:from>
    <xdr:ext cx="585391" cy="754063"/>
    <xdr:pic>
      <xdr:nvPicPr>
        <xdr:cNvPr id="32" name="Picture 31">
          <a:extLst>
            <a:ext uri="{FF2B5EF4-FFF2-40B4-BE49-F238E27FC236}">
              <a16:creationId xmlns:a16="http://schemas.microsoft.com/office/drawing/2014/main" id="{FBD9B959-C1C7-4CC2-BC81-C1633A9EB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0" y="467121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6</xdr:col>
      <xdr:colOff>207065</xdr:colOff>
      <xdr:row>38</xdr:row>
      <xdr:rowOff>149088</xdr:rowOff>
    </xdr:from>
    <xdr:to>
      <xdr:col>8</xdr:col>
      <xdr:colOff>230962</xdr:colOff>
      <xdr:row>41</xdr:row>
      <xdr:rowOff>70640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37CF4B0-44C9-4B8B-A870-892505541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8090" y="606288"/>
          <a:ext cx="652547" cy="607352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74</xdr:row>
      <xdr:rowOff>9921</xdr:rowOff>
    </xdr:from>
    <xdr:ext cx="585391" cy="754063"/>
    <xdr:pic>
      <xdr:nvPicPr>
        <xdr:cNvPr id="34" name="Picture 33">
          <a:extLst>
            <a:ext uri="{FF2B5EF4-FFF2-40B4-BE49-F238E27FC236}">
              <a16:creationId xmlns:a16="http://schemas.microsoft.com/office/drawing/2014/main" id="{25E6A820-9A2D-498E-8DEE-3429B008F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1071" y="472564"/>
          <a:ext cx="585391" cy="754063"/>
        </a:xfrm>
        <a:prstGeom prst="rect">
          <a:avLst/>
        </a:prstGeom>
      </xdr:spPr>
    </xdr:pic>
    <xdr:clientData/>
  </xdr:oneCellAnchor>
  <xdr:oneCellAnchor>
    <xdr:from>
      <xdr:col>6</xdr:col>
      <xdr:colOff>198782</xdr:colOff>
      <xdr:row>74</xdr:row>
      <xdr:rowOff>149087</xdr:rowOff>
    </xdr:from>
    <xdr:ext cx="649826" cy="615516"/>
    <xdr:pic>
      <xdr:nvPicPr>
        <xdr:cNvPr id="35" name="Picture 34">
          <a:extLst>
            <a:ext uri="{FF2B5EF4-FFF2-40B4-BE49-F238E27FC236}">
              <a16:creationId xmlns:a16="http://schemas.microsoft.com/office/drawing/2014/main" id="{6E625E24-7B6D-40A4-930B-871A3FE0D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8996" y="611730"/>
          <a:ext cx="649826" cy="61551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96EBC4-2E23-4261-A253-D9165925B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467121"/>
          <a:ext cx="585391" cy="777316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3" name="Picture 2">
          <a:extLst>
            <a:ext uri="{FF2B5EF4-FFF2-40B4-BE49-F238E27FC236}">
              <a16:creationId xmlns:a16="http://schemas.microsoft.com/office/drawing/2014/main" id="{24550835-DB79-4503-B316-7A753224E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0" y="467121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0</xdr:col>
      <xdr:colOff>200025</xdr:colOff>
      <xdr:row>2</xdr:row>
      <xdr:rowOff>142875</xdr:rowOff>
    </xdr:from>
    <xdr:to>
      <xdr:col>2</xdr:col>
      <xdr:colOff>224750</xdr:colOff>
      <xdr:row>5</xdr:row>
      <xdr:rowOff>74366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3AFFD6-09C1-4C1F-9EFB-937E8BE96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00075"/>
          <a:ext cx="653375" cy="617291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2</xdr:row>
      <xdr:rowOff>142875</xdr:rowOff>
    </xdr:from>
    <xdr:to>
      <xdr:col>8</xdr:col>
      <xdr:colOff>234275</xdr:colOff>
      <xdr:row>5</xdr:row>
      <xdr:rowOff>74366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285719-4C03-430C-A120-6C233F603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600075"/>
          <a:ext cx="653375" cy="6172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A055F3-C5CF-4264-831B-8B5E54B1C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467121"/>
          <a:ext cx="585391" cy="777316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3" name="Picture 2">
          <a:extLst>
            <a:ext uri="{FF2B5EF4-FFF2-40B4-BE49-F238E27FC236}">
              <a16:creationId xmlns:a16="http://schemas.microsoft.com/office/drawing/2014/main" id="{4E21922E-D5E0-4A67-BB4B-6B644E1D9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2563" y="462359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0</xdr:col>
      <xdr:colOff>200025</xdr:colOff>
      <xdr:row>2</xdr:row>
      <xdr:rowOff>142875</xdr:rowOff>
    </xdr:from>
    <xdr:to>
      <xdr:col>2</xdr:col>
      <xdr:colOff>224750</xdr:colOff>
      <xdr:row>5</xdr:row>
      <xdr:rowOff>74366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EF33F7-0196-45AA-B074-ACB469260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00075"/>
          <a:ext cx="653375" cy="617291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2</xdr:row>
      <xdr:rowOff>142875</xdr:rowOff>
    </xdr:from>
    <xdr:to>
      <xdr:col>8</xdr:col>
      <xdr:colOff>234275</xdr:colOff>
      <xdr:row>5</xdr:row>
      <xdr:rowOff>74366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40FB42-9BFF-41A1-83C4-DD3D2BBD0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5" y="600075"/>
          <a:ext cx="653375" cy="617291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2</xdr:row>
      <xdr:rowOff>9921</xdr:rowOff>
    </xdr:from>
    <xdr:ext cx="585391" cy="754063"/>
    <xdr:pic>
      <xdr:nvPicPr>
        <xdr:cNvPr id="4" name="Picture 3">
          <a:extLst>
            <a:ext uri="{FF2B5EF4-FFF2-40B4-BE49-F238E27FC236}">
              <a16:creationId xmlns:a16="http://schemas.microsoft.com/office/drawing/2014/main" id="{D447B124-08AA-41FD-B8B8-D01B2230B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5964" y="472564"/>
          <a:ext cx="585391" cy="754063"/>
        </a:xfrm>
        <a:prstGeom prst="rect">
          <a:avLst/>
        </a:prstGeom>
      </xdr:spPr>
    </xdr:pic>
    <xdr:clientData/>
  </xdr:oneCellAnchor>
  <xdr:oneCellAnchor>
    <xdr:from>
      <xdr:col>12</xdr:col>
      <xdr:colOff>209550</xdr:colOff>
      <xdr:row>2</xdr:row>
      <xdr:rowOff>142875</xdr:rowOff>
    </xdr:from>
    <xdr:ext cx="650654" cy="625455"/>
    <xdr:pic>
      <xdr:nvPicPr>
        <xdr:cNvPr id="5" name="Picture 4">
          <a:extLst>
            <a:ext uri="{FF2B5EF4-FFF2-40B4-BE49-F238E27FC236}">
              <a16:creationId xmlns:a16="http://schemas.microsoft.com/office/drawing/2014/main" id="{9965DD46-2DFD-41AB-8FE5-CBC9E3774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4657" y="605518"/>
          <a:ext cx="650654" cy="62545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8" name="Picture 7">
          <a:extLst>
            <a:ext uri="{FF2B5EF4-FFF2-40B4-BE49-F238E27FC236}">
              <a16:creationId xmlns:a16="http://schemas.microsoft.com/office/drawing/2014/main" id="{9B7241CE-E313-40B7-A418-29BFFC972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5964" y="472564"/>
          <a:ext cx="585391" cy="754063"/>
        </a:xfrm>
        <a:prstGeom prst="rect">
          <a:avLst/>
        </a:prstGeom>
      </xdr:spPr>
    </xdr:pic>
    <xdr:clientData/>
  </xdr:oneCellAnchor>
  <xdr:oneCellAnchor>
    <xdr:from>
      <xdr:col>6</xdr:col>
      <xdr:colOff>209550</xdr:colOff>
      <xdr:row>2</xdr:row>
      <xdr:rowOff>142875</xdr:rowOff>
    </xdr:from>
    <xdr:ext cx="650654" cy="625455"/>
    <xdr:pic>
      <xdr:nvPicPr>
        <xdr:cNvPr id="9" name="Picture 8">
          <a:extLst>
            <a:ext uri="{FF2B5EF4-FFF2-40B4-BE49-F238E27FC236}">
              <a16:creationId xmlns:a16="http://schemas.microsoft.com/office/drawing/2014/main" id="{79B3E5D2-1271-4903-B700-F093BB63F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4657" y="605518"/>
          <a:ext cx="650654" cy="62545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9921</xdr:rowOff>
    </xdr:from>
    <xdr:ext cx="585391" cy="754063"/>
    <xdr:pic>
      <xdr:nvPicPr>
        <xdr:cNvPr id="10" name="Picture 9">
          <a:extLst>
            <a:ext uri="{FF2B5EF4-FFF2-40B4-BE49-F238E27FC236}">
              <a16:creationId xmlns:a16="http://schemas.microsoft.com/office/drawing/2014/main" id="{A9D8933B-41B2-4EC8-A875-DE5AB3BBC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5964" y="472564"/>
          <a:ext cx="585391" cy="754063"/>
        </a:xfrm>
        <a:prstGeom prst="rect">
          <a:avLst/>
        </a:prstGeom>
      </xdr:spPr>
    </xdr:pic>
    <xdr:clientData/>
  </xdr:oneCellAnchor>
  <xdr:oneCellAnchor>
    <xdr:from>
      <xdr:col>12</xdr:col>
      <xdr:colOff>209550</xdr:colOff>
      <xdr:row>2</xdr:row>
      <xdr:rowOff>142875</xdr:rowOff>
    </xdr:from>
    <xdr:ext cx="650654" cy="625455"/>
    <xdr:pic>
      <xdr:nvPicPr>
        <xdr:cNvPr id="11" name="Picture 10">
          <a:extLst>
            <a:ext uri="{FF2B5EF4-FFF2-40B4-BE49-F238E27FC236}">
              <a16:creationId xmlns:a16="http://schemas.microsoft.com/office/drawing/2014/main" id="{E282C72F-BB38-44DF-8686-C4542F046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4657" y="605518"/>
          <a:ext cx="650654" cy="62545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9921</xdr:rowOff>
    </xdr:from>
    <xdr:ext cx="585391" cy="754063"/>
    <xdr:pic>
      <xdr:nvPicPr>
        <xdr:cNvPr id="12" name="Picture 11">
          <a:extLst>
            <a:ext uri="{FF2B5EF4-FFF2-40B4-BE49-F238E27FC236}">
              <a16:creationId xmlns:a16="http://schemas.microsoft.com/office/drawing/2014/main" id="{842F42B3-30C8-420B-86A0-24B54D0AA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5964" y="472564"/>
          <a:ext cx="585391" cy="754063"/>
        </a:xfrm>
        <a:prstGeom prst="rect">
          <a:avLst/>
        </a:prstGeom>
      </xdr:spPr>
    </xdr:pic>
    <xdr:clientData/>
  </xdr:oneCellAnchor>
  <xdr:oneCellAnchor>
    <xdr:from>
      <xdr:col>12</xdr:col>
      <xdr:colOff>209550</xdr:colOff>
      <xdr:row>2</xdr:row>
      <xdr:rowOff>142875</xdr:rowOff>
    </xdr:from>
    <xdr:ext cx="650654" cy="625455"/>
    <xdr:pic>
      <xdr:nvPicPr>
        <xdr:cNvPr id="13" name="Picture 12">
          <a:extLst>
            <a:ext uri="{FF2B5EF4-FFF2-40B4-BE49-F238E27FC236}">
              <a16:creationId xmlns:a16="http://schemas.microsoft.com/office/drawing/2014/main" id="{05E5B5FE-CA1A-422C-99F1-271EFFD1B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4657" y="605518"/>
          <a:ext cx="650654" cy="62545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A9129-2B81-45BF-B1CE-016E36F5D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467121"/>
          <a:ext cx="585391" cy="777316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3" name="Picture 2">
          <a:extLst>
            <a:ext uri="{FF2B5EF4-FFF2-40B4-BE49-F238E27FC236}">
              <a16:creationId xmlns:a16="http://schemas.microsoft.com/office/drawing/2014/main" id="{302A104B-C6C7-4045-AC13-5A3CC2BCE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467121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0</xdr:col>
      <xdr:colOff>207065</xdr:colOff>
      <xdr:row>2</xdr:row>
      <xdr:rowOff>149086</xdr:rowOff>
    </xdr:from>
    <xdr:to>
      <xdr:col>2</xdr:col>
      <xdr:colOff>230962</xdr:colOff>
      <xdr:row>5</xdr:row>
      <xdr:rowOff>70638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97D6AD-A415-42C3-9C0F-F0E2C9722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065" y="612912"/>
          <a:ext cx="653375" cy="617291"/>
        </a:xfrm>
        <a:prstGeom prst="rect">
          <a:avLst/>
        </a:prstGeom>
      </xdr:spPr>
    </xdr:pic>
    <xdr:clientData/>
  </xdr:twoCellAnchor>
  <xdr:twoCellAnchor editAs="oneCell">
    <xdr:from>
      <xdr:col>6</xdr:col>
      <xdr:colOff>195640</xdr:colOff>
      <xdr:row>2</xdr:row>
      <xdr:rowOff>149087</xdr:rowOff>
    </xdr:from>
    <xdr:to>
      <xdr:col>8</xdr:col>
      <xdr:colOff>219537</xdr:colOff>
      <xdr:row>5</xdr:row>
      <xdr:rowOff>70639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616200-C1AC-4C74-9538-6E920E5FC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0278" y="608915"/>
          <a:ext cx="654518" cy="61129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0C061B-DB24-4F3F-8191-EA8EA5B7D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467121"/>
          <a:ext cx="585391" cy="777316"/>
        </a:xfrm>
        <a:prstGeom prst="rect">
          <a:avLst/>
        </a:prstGeom>
      </xdr:spPr>
    </xdr:pic>
    <xdr:clientData/>
  </xdr:twoCellAnchor>
  <xdr:twoCellAnchor editAs="oneCell">
    <xdr:from>
      <xdr:col>0</xdr:col>
      <xdr:colOff>197827</xdr:colOff>
      <xdr:row>2</xdr:row>
      <xdr:rowOff>134633</xdr:rowOff>
    </xdr:from>
    <xdr:to>
      <xdr:col>2</xdr:col>
      <xdr:colOff>221087</xdr:colOff>
      <xdr:row>5</xdr:row>
      <xdr:rowOff>70520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3FAF6D-38BC-4832-A9C6-9F3E05F9A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827" y="587071"/>
          <a:ext cx="654291" cy="614543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85480"/>
    <xdr:pic>
      <xdr:nvPicPr>
        <xdr:cNvPr id="3" name="Picture 2">
          <a:extLst>
            <a:ext uri="{FF2B5EF4-FFF2-40B4-BE49-F238E27FC236}">
              <a16:creationId xmlns:a16="http://schemas.microsoft.com/office/drawing/2014/main" id="{AEF71034-FE33-4197-8F6F-A209E49E8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857" y="472564"/>
          <a:ext cx="585391" cy="785480"/>
        </a:xfrm>
        <a:prstGeom prst="rect">
          <a:avLst/>
        </a:prstGeom>
      </xdr:spPr>
    </xdr:pic>
    <xdr:clientData/>
  </xdr:oneCellAnchor>
  <xdr:oneCellAnchor>
    <xdr:from>
      <xdr:col>6</xdr:col>
      <xdr:colOff>197827</xdr:colOff>
      <xdr:row>2</xdr:row>
      <xdr:rowOff>134633</xdr:rowOff>
    </xdr:from>
    <xdr:ext cx="649189" cy="629851"/>
    <xdr:pic>
      <xdr:nvPicPr>
        <xdr:cNvPr id="5" name="Picture 4">
          <a:extLst>
            <a:ext uri="{FF2B5EF4-FFF2-40B4-BE49-F238E27FC236}">
              <a16:creationId xmlns:a16="http://schemas.microsoft.com/office/drawing/2014/main" id="{5457FA3D-117B-454E-8DB9-9E1B9B239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827" y="597276"/>
          <a:ext cx="649189" cy="629851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</xdr:row>
      <xdr:rowOff>9921</xdr:rowOff>
    </xdr:from>
    <xdr:ext cx="585391" cy="785480"/>
    <xdr:pic>
      <xdr:nvPicPr>
        <xdr:cNvPr id="6" name="Picture 5">
          <a:extLst>
            <a:ext uri="{FF2B5EF4-FFF2-40B4-BE49-F238E27FC236}">
              <a16:creationId xmlns:a16="http://schemas.microsoft.com/office/drawing/2014/main" id="{0AB65822-4541-4799-9274-B4DC08A96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857" y="472564"/>
          <a:ext cx="585391" cy="785480"/>
        </a:xfrm>
        <a:prstGeom prst="rect">
          <a:avLst/>
        </a:prstGeom>
      </xdr:spPr>
    </xdr:pic>
    <xdr:clientData/>
  </xdr:oneCellAnchor>
  <xdr:oneCellAnchor>
    <xdr:from>
      <xdr:col>6</xdr:col>
      <xdr:colOff>197827</xdr:colOff>
      <xdr:row>2</xdr:row>
      <xdr:rowOff>134633</xdr:rowOff>
    </xdr:from>
    <xdr:ext cx="649189" cy="629851"/>
    <xdr:pic>
      <xdr:nvPicPr>
        <xdr:cNvPr id="7" name="Picture 6">
          <a:extLst>
            <a:ext uri="{FF2B5EF4-FFF2-40B4-BE49-F238E27FC236}">
              <a16:creationId xmlns:a16="http://schemas.microsoft.com/office/drawing/2014/main" id="{BA5CCEEC-AC2E-4E27-8BC0-0DFC164F0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827" y="597276"/>
          <a:ext cx="649189" cy="629851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7872FF-DC7F-49C5-BAD4-2EA4ADAD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467121"/>
          <a:ext cx="585391" cy="777316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3" name="Picture 2">
          <a:extLst>
            <a:ext uri="{FF2B5EF4-FFF2-40B4-BE49-F238E27FC236}">
              <a16:creationId xmlns:a16="http://schemas.microsoft.com/office/drawing/2014/main" id="{B3754A78-BD5D-4CC3-9420-4C4042DFA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467121"/>
          <a:ext cx="585391" cy="754063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9921</xdr:rowOff>
    </xdr:from>
    <xdr:ext cx="585391" cy="754063"/>
    <xdr:pic>
      <xdr:nvPicPr>
        <xdr:cNvPr id="4" name="Picture 3">
          <a:extLst>
            <a:ext uri="{FF2B5EF4-FFF2-40B4-BE49-F238E27FC236}">
              <a16:creationId xmlns:a16="http://schemas.microsoft.com/office/drawing/2014/main" id="{5397A59D-175B-4338-BEAE-0E28AB54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3450" y="467121"/>
          <a:ext cx="585391" cy="7540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9921</xdr:rowOff>
    </xdr:from>
    <xdr:ext cx="585391" cy="763869"/>
    <xdr:pic>
      <xdr:nvPicPr>
        <xdr:cNvPr id="5" name="Picture 4">
          <a:extLst>
            <a:ext uri="{FF2B5EF4-FFF2-40B4-BE49-F238E27FC236}">
              <a16:creationId xmlns:a16="http://schemas.microsoft.com/office/drawing/2014/main" id="{D70F58A0-9B2E-49B5-8307-8B6976C81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265" y="458156"/>
          <a:ext cx="585391" cy="763869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38</xdr:row>
      <xdr:rowOff>9921</xdr:rowOff>
    </xdr:from>
    <xdr:ext cx="585391" cy="754063"/>
    <xdr:pic>
      <xdr:nvPicPr>
        <xdr:cNvPr id="6" name="Picture 5">
          <a:extLst>
            <a:ext uri="{FF2B5EF4-FFF2-40B4-BE49-F238E27FC236}">
              <a16:creationId xmlns:a16="http://schemas.microsoft.com/office/drawing/2014/main" id="{E7F65E3E-5805-4C2A-95E1-D98412D12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8382" y="458156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0</xdr:col>
      <xdr:colOff>223631</xdr:colOff>
      <xdr:row>2</xdr:row>
      <xdr:rowOff>157369</xdr:rowOff>
    </xdr:from>
    <xdr:to>
      <xdr:col>2</xdr:col>
      <xdr:colOff>231879</xdr:colOff>
      <xdr:row>5</xdr:row>
      <xdr:rowOff>76175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9B54EE5-A4D4-4546-9E93-A96FE7231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631" y="621195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6</xdr:col>
      <xdr:colOff>207065</xdr:colOff>
      <xdr:row>2</xdr:row>
      <xdr:rowOff>149087</xdr:rowOff>
    </xdr:from>
    <xdr:to>
      <xdr:col>8</xdr:col>
      <xdr:colOff>231878</xdr:colOff>
      <xdr:row>5</xdr:row>
      <xdr:rowOff>67893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5B1913C-ED33-455A-9BC1-78A64B523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3413" y="612913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12</xdr:col>
      <xdr:colOff>215349</xdr:colOff>
      <xdr:row>2</xdr:row>
      <xdr:rowOff>157369</xdr:rowOff>
    </xdr:from>
    <xdr:to>
      <xdr:col>15</xdr:col>
      <xdr:colOff>4838</xdr:colOff>
      <xdr:row>5</xdr:row>
      <xdr:rowOff>76175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26B584A-D497-42CA-9810-8307EA9E4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1479" y="621195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6</xdr:col>
      <xdr:colOff>215348</xdr:colOff>
      <xdr:row>38</xdr:row>
      <xdr:rowOff>149087</xdr:rowOff>
    </xdr:from>
    <xdr:to>
      <xdr:col>9</xdr:col>
      <xdr:colOff>4837</xdr:colOff>
      <xdr:row>41</xdr:row>
      <xdr:rowOff>67890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A3AD4D4-E722-47DA-A1CF-29A525BFE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1696" y="8058978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0</xdr:col>
      <xdr:colOff>198783</xdr:colOff>
      <xdr:row>38</xdr:row>
      <xdr:rowOff>157369</xdr:rowOff>
    </xdr:from>
    <xdr:to>
      <xdr:col>2</xdr:col>
      <xdr:colOff>207031</xdr:colOff>
      <xdr:row>41</xdr:row>
      <xdr:rowOff>76172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873C405-3BD3-48CC-852E-5727A3B6B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83" y="8067260"/>
          <a:ext cx="654291" cy="614543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38</xdr:row>
      <xdr:rowOff>9921</xdr:rowOff>
    </xdr:from>
    <xdr:ext cx="585391" cy="754063"/>
    <xdr:pic>
      <xdr:nvPicPr>
        <xdr:cNvPr id="7" name="Picture 6">
          <a:extLst>
            <a:ext uri="{FF2B5EF4-FFF2-40B4-BE49-F238E27FC236}">
              <a16:creationId xmlns:a16="http://schemas.microsoft.com/office/drawing/2014/main" id="{11A6552A-6435-434B-A748-02B796C47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3179" y="7983707"/>
          <a:ext cx="585391" cy="754063"/>
        </a:xfrm>
        <a:prstGeom prst="rect">
          <a:avLst/>
        </a:prstGeom>
      </xdr:spPr>
    </xdr:pic>
    <xdr:clientData/>
  </xdr:oneCellAnchor>
  <xdr:oneCellAnchor>
    <xdr:from>
      <xdr:col>12</xdr:col>
      <xdr:colOff>215348</xdr:colOff>
      <xdr:row>38</xdr:row>
      <xdr:rowOff>149087</xdr:rowOff>
    </xdr:from>
    <xdr:ext cx="660347" cy="612767"/>
    <xdr:pic>
      <xdr:nvPicPr>
        <xdr:cNvPr id="8" name="Picture 7">
          <a:extLst>
            <a:ext uri="{FF2B5EF4-FFF2-40B4-BE49-F238E27FC236}">
              <a16:creationId xmlns:a16="http://schemas.microsoft.com/office/drawing/2014/main" id="{C30EE2E8-0A23-4BF6-9B25-3D4EE7520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7669" y="8122873"/>
          <a:ext cx="660347" cy="612767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74</xdr:row>
      <xdr:rowOff>9921</xdr:rowOff>
    </xdr:from>
    <xdr:ext cx="585391" cy="754063"/>
    <xdr:pic>
      <xdr:nvPicPr>
        <xdr:cNvPr id="9" name="Picture 8">
          <a:extLst>
            <a:ext uri="{FF2B5EF4-FFF2-40B4-BE49-F238E27FC236}">
              <a16:creationId xmlns:a16="http://schemas.microsoft.com/office/drawing/2014/main" id="{E837E346-CA4C-4F8F-A9B2-28E824670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8286" y="7983707"/>
          <a:ext cx="585391" cy="754063"/>
        </a:xfrm>
        <a:prstGeom prst="rect">
          <a:avLst/>
        </a:prstGeom>
      </xdr:spPr>
    </xdr:pic>
    <xdr:clientData/>
  </xdr:oneCellAnchor>
  <xdr:oneCellAnchor>
    <xdr:from>
      <xdr:col>0</xdr:col>
      <xdr:colOff>215348</xdr:colOff>
      <xdr:row>74</xdr:row>
      <xdr:rowOff>149087</xdr:rowOff>
    </xdr:from>
    <xdr:ext cx="660347" cy="612767"/>
    <xdr:pic>
      <xdr:nvPicPr>
        <xdr:cNvPr id="10" name="Picture 9">
          <a:extLst>
            <a:ext uri="{FF2B5EF4-FFF2-40B4-BE49-F238E27FC236}">
              <a16:creationId xmlns:a16="http://schemas.microsoft.com/office/drawing/2014/main" id="{6B0D7FF9-B806-4913-9B22-0E4870785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2777" y="8122873"/>
          <a:ext cx="660347" cy="612767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74</xdr:row>
      <xdr:rowOff>9921</xdr:rowOff>
    </xdr:from>
    <xdr:ext cx="585391" cy="754063"/>
    <xdr:pic>
      <xdr:nvPicPr>
        <xdr:cNvPr id="11" name="Picture 10">
          <a:extLst>
            <a:ext uri="{FF2B5EF4-FFF2-40B4-BE49-F238E27FC236}">
              <a16:creationId xmlns:a16="http://schemas.microsoft.com/office/drawing/2014/main" id="{F04DF3B7-BBD8-4FF8-8829-18D5725A4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071" y="15522064"/>
          <a:ext cx="585391" cy="754063"/>
        </a:xfrm>
        <a:prstGeom prst="rect">
          <a:avLst/>
        </a:prstGeom>
      </xdr:spPr>
    </xdr:pic>
    <xdr:clientData/>
  </xdr:oneCellAnchor>
  <xdr:oneCellAnchor>
    <xdr:from>
      <xdr:col>6</xdr:col>
      <xdr:colOff>215348</xdr:colOff>
      <xdr:row>74</xdr:row>
      <xdr:rowOff>149087</xdr:rowOff>
    </xdr:from>
    <xdr:ext cx="660347" cy="612767"/>
    <xdr:pic>
      <xdr:nvPicPr>
        <xdr:cNvPr id="17" name="Picture 16">
          <a:extLst>
            <a:ext uri="{FF2B5EF4-FFF2-40B4-BE49-F238E27FC236}">
              <a16:creationId xmlns:a16="http://schemas.microsoft.com/office/drawing/2014/main" id="{C3EA0A60-BC1E-4E1E-9B9D-514253CEA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348" y="15661230"/>
          <a:ext cx="660347" cy="6127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1C1796-A509-480B-835E-F0EE377AD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467121"/>
          <a:ext cx="585391" cy="777316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3" name="Picture 2">
          <a:extLst>
            <a:ext uri="{FF2B5EF4-FFF2-40B4-BE49-F238E27FC236}">
              <a16:creationId xmlns:a16="http://schemas.microsoft.com/office/drawing/2014/main" id="{57D3E1BD-841E-4D40-BD67-5BA2FD548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467121"/>
          <a:ext cx="585391" cy="754063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9921</xdr:rowOff>
    </xdr:from>
    <xdr:ext cx="585391" cy="754063"/>
    <xdr:pic>
      <xdr:nvPicPr>
        <xdr:cNvPr id="4" name="Picture 3">
          <a:extLst>
            <a:ext uri="{FF2B5EF4-FFF2-40B4-BE49-F238E27FC236}">
              <a16:creationId xmlns:a16="http://schemas.microsoft.com/office/drawing/2014/main" id="{0A37C563-0F7A-4D8B-A4DC-B04DE14E6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1357" y="458957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190500</xdr:colOff>
      <xdr:row>2</xdr:row>
      <xdr:rowOff>157369</xdr:rowOff>
    </xdr:from>
    <xdr:to>
      <xdr:col>2</xdr:col>
      <xdr:colOff>215313</xdr:colOff>
      <xdr:row>5</xdr:row>
      <xdr:rowOff>76175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830925-E426-4FA0-80CD-DFF727694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621195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2</xdr:row>
      <xdr:rowOff>149087</xdr:rowOff>
    </xdr:from>
    <xdr:to>
      <xdr:col>8</xdr:col>
      <xdr:colOff>215313</xdr:colOff>
      <xdr:row>5</xdr:row>
      <xdr:rowOff>67893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12C5080-FB64-4531-B25B-E36D6C822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0283" y="612913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12</xdr:col>
      <xdr:colOff>207065</xdr:colOff>
      <xdr:row>2</xdr:row>
      <xdr:rowOff>157370</xdr:rowOff>
    </xdr:from>
    <xdr:to>
      <xdr:col>14</xdr:col>
      <xdr:colOff>231878</xdr:colOff>
      <xdr:row>5</xdr:row>
      <xdr:rowOff>76176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FF17CD7-21F3-4AB9-B76F-1DD5DDA76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6630" y="621196"/>
          <a:ext cx="654291" cy="614543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5" name="Picture 4">
          <a:extLst>
            <a:ext uri="{FF2B5EF4-FFF2-40B4-BE49-F238E27FC236}">
              <a16:creationId xmlns:a16="http://schemas.microsoft.com/office/drawing/2014/main" id="{271843E9-D736-4345-B727-39DFE5135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15392796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6</xdr:col>
      <xdr:colOff>207065</xdr:colOff>
      <xdr:row>2</xdr:row>
      <xdr:rowOff>149088</xdr:rowOff>
    </xdr:from>
    <xdr:to>
      <xdr:col>8</xdr:col>
      <xdr:colOff>230962</xdr:colOff>
      <xdr:row>5</xdr:row>
      <xdr:rowOff>70640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945407-ADBC-42CA-AF92-CD15D05E5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065" y="15531963"/>
          <a:ext cx="652547" cy="60735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CE567D-2569-479F-A6F7-C4E47D0BB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467121"/>
          <a:ext cx="585391" cy="777316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3" name="Picture 2">
          <a:extLst>
            <a:ext uri="{FF2B5EF4-FFF2-40B4-BE49-F238E27FC236}">
              <a16:creationId xmlns:a16="http://schemas.microsoft.com/office/drawing/2014/main" id="{E044209E-FDA0-4221-8492-0FA2E6C41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467121"/>
          <a:ext cx="585391" cy="754063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9921</xdr:rowOff>
    </xdr:from>
    <xdr:ext cx="585391" cy="754063"/>
    <xdr:pic>
      <xdr:nvPicPr>
        <xdr:cNvPr id="4" name="Picture 3">
          <a:extLst>
            <a:ext uri="{FF2B5EF4-FFF2-40B4-BE49-F238E27FC236}">
              <a16:creationId xmlns:a16="http://schemas.microsoft.com/office/drawing/2014/main" id="{0E25DB39-BA47-46ED-A1FA-556116C6D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3450" y="467121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0</xdr:col>
      <xdr:colOff>205155</xdr:colOff>
      <xdr:row>2</xdr:row>
      <xdr:rowOff>139211</xdr:rowOff>
    </xdr:from>
    <xdr:to>
      <xdr:col>2</xdr:col>
      <xdr:colOff>229331</xdr:colOff>
      <xdr:row>5</xdr:row>
      <xdr:rowOff>72350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9EF668-6801-4E10-9110-0030BF90B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5" y="593480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6</xdr:col>
      <xdr:colOff>212480</xdr:colOff>
      <xdr:row>2</xdr:row>
      <xdr:rowOff>131885</xdr:rowOff>
    </xdr:from>
    <xdr:to>
      <xdr:col>9</xdr:col>
      <xdr:colOff>1332</xdr:colOff>
      <xdr:row>5</xdr:row>
      <xdr:rowOff>65024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5813A6A-E293-4008-BBB4-158E0C7A9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5961" y="586154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12</xdr:col>
      <xdr:colOff>197826</xdr:colOff>
      <xdr:row>2</xdr:row>
      <xdr:rowOff>131884</xdr:rowOff>
    </xdr:from>
    <xdr:to>
      <xdr:col>14</xdr:col>
      <xdr:colOff>222002</xdr:colOff>
      <xdr:row>5</xdr:row>
      <xdr:rowOff>65023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ECF68DB-20DC-442E-B75F-F73A2F04F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4788" y="586153"/>
          <a:ext cx="654291" cy="614543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38</xdr:row>
      <xdr:rowOff>9921</xdr:rowOff>
    </xdr:from>
    <xdr:ext cx="585391" cy="754063"/>
    <xdr:pic>
      <xdr:nvPicPr>
        <xdr:cNvPr id="8" name="Picture 7">
          <a:extLst>
            <a:ext uri="{FF2B5EF4-FFF2-40B4-BE49-F238E27FC236}">
              <a16:creationId xmlns:a16="http://schemas.microsoft.com/office/drawing/2014/main" id="{E3502C5D-2B5C-4333-A30E-7194B5136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1071" y="445350"/>
          <a:ext cx="585391" cy="754063"/>
        </a:xfrm>
        <a:prstGeom prst="rect">
          <a:avLst/>
        </a:prstGeom>
      </xdr:spPr>
    </xdr:pic>
    <xdr:clientData/>
  </xdr:oneCellAnchor>
  <xdr:oneCellAnchor>
    <xdr:from>
      <xdr:col>0</xdr:col>
      <xdr:colOff>197826</xdr:colOff>
      <xdr:row>38</xdr:row>
      <xdr:rowOff>131884</xdr:rowOff>
    </xdr:from>
    <xdr:ext cx="650105" cy="627103"/>
    <xdr:pic>
      <xdr:nvPicPr>
        <xdr:cNvPr id="9" name="Picture 8">
          <a:extLst>
            <a:ext uri="{FF2B5EF4-FFF2-40B4-BE49-F238E27FC236}">
              <a16:creationId xmlns:a16="http://schemas.microsoft.com/office/drawing/2014/main" id="{D7A312B7-93D8-468B-9A8F-3AEACD830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8040" y="567313"/>
          <a:ext cx="650105" cy="627103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91253-2633-4A00-AC67-E47E60B63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467121"/>
          <a:ext cx="585391" cy="777316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3" name="Picture 2">
          <a:extLst>
            <a:ext uri="{FF2B5EF4-FFF2-40B4-BE49-F238E27FC236}">
              <a16:creationId xmlns:a16="http://schemas.microsoft.com/office/drawing/2014/main" id="{ABD000F0-A32C-439B-AD42-265E9F333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467121"/>
          <a:ext cx="585391" cy="754063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5" name="Picture 4">
          <a:extLst>
            <a:ext uri="{FF2B5EF4-FFF2-40B4-BE49-F238E27FC236}">
              <a16:creationId xmlns:a16="http://schemas.microsoft.com/office/drawing/2014/main" id="{BBF808E3-F20A-4CC1-9BCF-D6F9CDDBD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457596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0</xdr:col>
      <xdr:colOff>208274</xdr:colOff>
      <xdr:row>2</xdr:row>
      <xdr:rowOff>130220</xdr:rowOff>
    </xdr:from>
    <xdr:to>
      <xdr:col>2</xdr:col>
      <xdr:colOff>234649</xdr:colOff>
      <xdr:row>5</xdr:row>
      <xdr:rowOff>66615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7F7F57-BCF3-4E7D-8124-11B13D933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274" y="590048"/>
          <a:ext cx="656996" cy="626136"/>
        </a:xfrm>
        <a:prstGeom prst="rect">
          <a:avLst/>
        </a:prstGeom>
      </xdr:spPr>
    </xdr:pic>
    <xdr:clientData/>
  </xdr:twoCellAnchor>
  <xdr:twoCellAnchor editAs="oneCell">
    <xdr:from>
      <xdr:col>6</xdr:col>
      <xdr:colOff>210207</xdr:colOff>
      <xdr:row>2</xdr:row>
      <xdr:rowOff>144517</xdr:rowOff>
    </xdr:from>
    <xdr:to>
      <xdr:col>8</xdr:col>
      <xdr:colOff>233877</xdr:colOff>
      <xdr:row>5</xdr:row>
      <xdr:rowOff>69319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F55337-3A54-4D07-8611-843795E94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4845" y="604345"/>
          <a:ext cx="654291" cy="61454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00700B-F4F8-4B2C-843A-64846FC80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467121"/>
          <a:ext cx="585391" cy="777316"/>
        </a:xfrm>
        <a:prstGeom prst="rect">
          <a:avLst/>
        </a:prstGeom>
      </xdr:spPr>
    </xdr:pic>
    <xdr:clientData/>
  </xdr:twoCellAnchor>
  <xdr:twoCellAnchor editAs="oneCell">
    <xdr:from>
      <xdr:col>0</xdr:col>
      <xdr:colOff>204107</xdr:colOff>
      <xdr:row>2</xdr:row>
      <xdr:rowOff>163286</xdr:rowOff>
    </xdr:from>
    <xdr:to>
      <xdr:col>2</xdr:col>
      <xdr:colOff>232469</xdr:colOff>
      <xdr:row>5</xdr:row>
      <xdr:rowOff>83865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1FEC22-A4D7-4BFD-A142-F422AC23E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612322"/>
          <a:ext cx="654291" cy="614543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85480"/>
    <xdr:pic>
      <xdr:nvPicPr>
        <xdr:cNvPr id="4" name="Picture 3">
          <a:extLst>
            <a:ext uri="{FF2B5EF4-FFF2-40B4-BE49-F238E27FC236}">
              <a16:creationId xmlns:a16="http://schemas.microsoft.com/office/drawing/2014/main" id="{D05CB34C-6887-4D0D-A478-77BE9544B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857" y="458957"/>
          <a:ext cx="585391" cy="785480"/>
        </a:xfrm>
        <a:prstGeom prst="rect">
          <a:avLst/>
        </a:prstGeom>
      </xdr:spPr>
    </xdr:pic>
    <xdr:clientData/>
  </xdr:oneCellAnchor>
  <xdr:oneCellAnchor>
    <xdr:from>
      <xdr:col>6</xdr:col>
      <xdr:colOff>204107</xdr:colOff>
      <xdr:row>2</xdr:row>
      <xdr:rowOff>163286</xdr:rowOff>
    </xdr:from>
    <xdr:ext cx="654291" cy="614543"/>
    <xdr:pic>
      <xdr:nvPicPr>
        <xdr:cNvPr id="5" name="Picture 4">
          <a:extLst>
            <a:ext uri="{FF2B5EF4-FFF2-40B4-BE49-F238E27FC236}">
              <a16:creationId xmlns:a16="http://schemas.microsoft.com/office/drawing/2014/main" id="{4BAD8F08-9E17-4069-A050-033756D31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612322"/>
          <a:ext cx="654291" cy="614543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D2B673-6CB7-4B58-B67A-7F88A635A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467121"/>
          <a:ext cx="585391" cy="777316"/>
        </a:xfrm>
        <a:prstGeom prst="rect">
          <a:avLst/>
        </a:prstGeom>
      </xdr:spPr>
    </xdr:pic>
    <xdr:clientData/>
  </xdr:twoCellAnchor>
  <xdr:twoCellAnchor editAs="oneCell">
    <xdr:from>
      <xdr:col>0</xdr:col>
      <xdr:colOff>205154</xdr:colOff>
      <xdr:row>2</xdr:row>
      <xdr:rowOff>150727</xdr:rowOff>
    </xdr:from>
    <xdr:to>
      <xdr:col>2</xdr:col>
      <xdr:colOff>233516</xdr:colOff>
      <xdr:row>5</xdr:row>
      <xdr:rowOff>75492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9B3E5-B0B7-4CC6-816C-1C023463C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4" y="604996"/>
          <a:ext cx="658477" cy="60616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911DD-835C-4A1B-86C5-CC7788AF2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467121"/>
          <a:ext cx="585391" cy="777316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3" name="Picture 2">
          <a:extLst>
            <a:ext uri="{FF2B5EF4-FFF2-40B4-BE49-F238E27FC236}">
              <a16:creationId xmlns:a16="http://schemas.microsoft.com/office/drawing/2014/main" id="{E096F10A-9D7C-4D52-9A09-AF2473C24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0" y="467121"/>
          <a:ext cx="585391" cy="754063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9921</xdr:rowOff>
    </xdr:from>
    <xdr:ext cx="585391" cy="754063"/>
    <xdr:pic>
      <xdr:nvPicPr>
        <xdr:cNvPr id="4" name="Picture 3">
          <a:extLst>
            <a:ext uri="{FF2B5EF4-FFF2-40B4-BE49-F238E27FC236}">
              <a16:creationId xmlns:a16="http://schemas.microsoft.com/office/drawing/2014/main" id="{C140731F-3326-4527-922F-FB3C05956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467121"/>
          <a:ext cx="585391" cy="7540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9921</xdr:rowOff>
    </xdr:from>
    <xdr:ext cx="585391" cy="763869"/>
    <xdr:pic>
      <xdr:nvPicPr>
        <xdr:cNvPr id="5" name="Picture 4">
          <a:extLst>
            <a:ext uri="{FF2B5EF4-FFF2-40B4-BE49-F238E27FC236}">
              <a16:creationId xmlns:a16="http://schemas.microsoft.com/office/drawing/2014/main" id="{AAD819E0-0B81-4D5D-BB39-2C28EEF77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8134746"/>
          <a:ext cx="585391" cy="763869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38</xdr:row>
      <xdr:rowOff>9921</xdr:rowOff>
    </xdr:from>
    <xdr:ext cx="585391" cy="754063"/>
    <xdr:pic>
      <xdr:nvPicPr>
        <xdr:cNvPr id="6" name="Picture 5">
          <a:extLst>
            <a:ext uri="{FF2B5EF4-FFF2-40B4-BE49-F238E27FC236}">
              <a16:creationId xmlns:a16="http://schemas.microsoft.com/office/drawing/2014/main" id="{95FE949D-BE83-441F-8B91-2E4B7A52F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0" y="8134746"/>
          <a:ext cx="585391" cy="754063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38</xdr:row>
      <xdr:rowOff>9921</xdr:rowOff>
    </xdr:from>
    <xdr:ext cx="585391" cy="754063"/>
    <xdr:pic>
      <xdr:nvPicPr>
        <xdr:cNvPr id="7" name="Picture 6">
          <a:extLst>
            <a:ext uri="{FF2B5EF4-FFF2-40B4-BE49-F238E27FC236}">
              <a16:creationId xmlns:a16="http://schemas.microsoft.com/office/drawing/2014/main" id="{D05CA2A6-EFF7-42BD-AC47-68AE8AC2D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8134746"/>
          <a:ext cx="585391" cy="7540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74</xdr:row>
      <xdr:rowOff>9921</xdr:rowOff>
    </xdr:from>
    <xdr:ext cx="585391" cy="763869"/>
    <xdr:pic>
      <xdr:nvPicPr>
        <xdr:cNvPr id="8" name="Picture 7">
          <a:extLst>
            <a:ext uri="{FF2B5EF4-FFF2-40B4-BE49-F238E27FC236}">
              <a16:creationId xmlns:a16="http://schemas.microsoft.com/office/drawing/2014/main" id="{8D4BC3C4-F5B9-4DE3-A318-9E62E6B0B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15602346"/>
          <a:ext cx="585391" cy="763869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74</xdr:row>
      <xdr:rowOff>9921</xdr:rowOff>
    </xdr:from>
    <xdr:ext cx="585391" cy="754063"/>
    <xdr:pic>
      <xdr:nvPicPr>
        <xdr:cNvPr id="9" name="Picture 8">
          <a:extLst>
            <a:ext uri="{FF2B5EF4-FFF2-40B4-BE49-F238E27FC236}">
              <a16:creationId xmlns:a16="http://schemas.microsoft.com/office/drawing/2014/main" id="{62AF80D7-35B0-45C5-98E9-0DCD191F5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0" y="15602346"/>
          <a:ext cx="585391" cy="754063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74</xdr:row>
      <xdr:rowOff>9921</xdr:rowOff>
    </xdr:from>
    <xdr:ext cx="585391" cy="754063"/>
    <xdr:pic>
      <xdr:nvPicPr>
        <xdr:cNvPr id="21" name="Picture 20">
          <a:extLst>
            <a:ext uri="{FF2B5EF4-FFF2-40B4-BE49-F238E27FC236}">
              <a16:creationId xmlns:a16="http://schemas.microsoft.com/office/drawing/2014/main" id="{B350D619-EA22-45CE-9906-A46650CDE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23373385"/>
          <a:ext cx="585391" cy="754063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74</xdr:row>
      <xdr:rowOff>9921</xdr:rowOff>
    </xdr:from>
    <xdr:ext cx="585391" cy="754063"/>
    <xdr:pic>
      <xdr:nvPicPr>
        <xdr:cNvPr id="22" name="Picture 21">
          <a:extLst>
            <a:ext uri="{FF2B5EF4-FFF2-40B4-BE49-F238E27FC236}">
              <a16:creationId xmlns:a16="http://schemas.microsoft.com/office/drawing/2014/main" id="{DEC7288B-0E22-423E-BC42-E95BBAE8D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23373385"/>
          <a:ext cx="585391" cy="754063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74</xdr:row>
      <xdr:rowOff>9921</xdr:rowOff>
    </xdr:from>
    <xdr:ext cx="585391" cy="763869"/>
    <xdr:pic>
      <xdr:nvPicPr>
        <xdr:cNvPr id="30" name="Picture 29">
          <a:extLst>
            <a:ext uri="{FF2B5EF4-FFF2-40B4-BE49-F238E27FC236}">
              <a16:creationId xmlns:a16="http://schemas.microsoft.com/office/drawing/2014/main" id="{964C7AFE-49D1-4211-A8F5-6F7C476B9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15807814"/>
          <a:ext cx="585391" cy="763869"/>
        </a:xfrm>
        <a:prstGeom prst="rect">
          <a:avLst/>
        </a:prstGeom>
      </xdr:spPr>
    </xdr:pic>
    <xdr:clientData/>
  </xdr:oneCellAnchor>
  <xdr:twoCellAnchor editAs="oneCell">
    <xdr:from>
      <xdr:col>0</xdr:col>
      <xdr:colOff>212481</xdr:colOff>
      <xdr:row>2</xdr:row>
      <xdr:rowOff>154913</xdr:rowOff>
    </xdr:from>
    <xdr:to>
      <xdr:col>2</xdr:col>
      <xdr:colOff>240843</xdr:colOff>
      <xdr:row>5</xdr:row>
      <xdr:rowOff>75492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5219382-9578-44BF-B8B8-8F540750D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81" y="609182"/>
          <a:ext cx="658477" cy="601983"/>
        </a:xfrm>
        <a:prstGeom prst="rect">
          <a:avLst/>
        </a:prstGeom>
      </xdr:spPr>
    </xdr:pic>
    <xdr:clientData/>
  </xdr:twoCellAnchor>
  <xdr:twoCellAnchor editAs="oneCell">
    <xdr:from>
      <xdr:col>6</xdr:col>
      <xdr:colOff>212481</xdr:colOff>
      <xdr:row>2</xdr:row>
      <xdr:rowOff>139212</xdr:rowOff>
    </xdr:from>
    <xdr:to>
      <xdr:col>8</xdr:col>
      <xdr:colOff>236657</xdr:colOff>
      <xdr:row>5</xdr:row>
      <xdr:rowOff>72351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5EFCCDA-3A0F-4093-9D8C-B1C1ECD1B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16" y="593481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12</xdr:col>
      <xdr:colOff>212481</xdr:colOff>
      <xdr:row>2</xdr:row>
      <xdr:rowOff>139212</xdr:rowOff>
    </xdr:from>
    <xdr:to>
      <xdr:col>14</xdr:col>
      <xdr:colOff>236655</xdr:colOff>
      <xdr:row>5</xdr:row>
      <xdr:rowOff>72351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CE847CF-45D9-4A4E-A65E-91CCA74BD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593481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12</xdr:col>
      <xdr:colOff>219808</xdr:colOff>
      <xdr:row>38</xdr:row>
      <xdr:rowOff>146539</xdr:rowOff>
    </xdr:from>
    <xdr:to>
      <xdr:col>14</xdr:col>
      <xdr:colOff>243982</xdr:colOff>
      <xdr:row>41</xdr:row>
      <xdr:rowOff>79679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E932574-7B3C-4866-AF54-98C287E81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6077" y="8403981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6</xdr:col>
      <xdr:colOff>205153</xdr:colOff>
      <xdr:row>38</xdr:row>
      <xdr:rowOff>139212</xdr:rowOff>
    </xdr:from>
    <xdr:to>
      <xdr:col>8</xdr:col>
      <xdr:colOff>229329</xdr:colOff>
      <xdr:row>41</xdr:row>
      <xdr:rowOff>72352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3BE1602-8093-462D-986C-B859B7BC4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3288" y="8396654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0</xdr:col>
      <xdr:colOff>212481</xdr:colOff>
      <xdr:row>38</xdr:row>
      <xdr:rowOff>131884</xdr:rowOff>
    </xdr:from>
    <xdr:to>
      <xdr:col>2</xdr:col>
      <xdr:colOff>236657</xdr:colOff>
      <xdr:row>41</xdr:row>
      <xdr:rowOff>65024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5D93BC3-C7C3-4E09-96F7-2CA8538DC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81" y="8389326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0</xdr:col>
      <xdr:colOff>219808</xdr:colOff>
      <xdr:row>74</xdr:row>
      <xdr:rowOff>131885</xdr:rowOff>
    </xdr:from>
    <xdr:to>
      <xdr:col>2</xdr:col>
      <xdr:colOff>243984</xdr:colOff>
      <xdr:row>77</xdr:row>
      <xdr:rowOff>65021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98FEF78-43F3-48C9-9B2E-982D98917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8" y="15804173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6</xdr:col>
      <xdr:colOff>205154</xdr:colOff>
      <xdr:row>74</xdr:row>
      <xdr:rowOff>139212</xdr:rowOff>
    </xdr:from>
    <xdr:to>
      <xdr:col>8</xdr:col>
      <xdr:colOff>229330</xdr:colOff>
      <xdr:row>77</xdr:row>
      <xdr:rowOff>72348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2422CA0-61BE-429D-80FA-EF299792D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3289" y="15811500"/>
          <a:ext cx="654291" cy="614543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74</xdr:row>
      <xdr:rowOff>9921</xdr:rowOff>
    </xdr:from>
    <xdr:ext cx="585391" cy="754063"/>
    <xdr:pic>
      <xdr:nvPicPr>
        <xdr:cNvPr id="10" name="Picture 9">
          <a:extLst>
            <a:ext uri="{FF2B5EF4-FFF2-40B4-BE49-F238E27FC236}">
              <a16:creationId xmlns:a16="http://schemas.microsoft.com/office/drawing/2014/main" id="{7F6060A2-817B-46B6-91C7-C41D90702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6464" y="17508707"/>
          <a:ext cx="585391" cy="754063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74</xdr:row>
      <xdr:rowOff>9921</xdr:rowOff>
    </xdr:from>
    <xdr:ext cx="585391" cy="754063"/>
    <xdr:pic>
      <xdr:nvPicPr>
        <xdr:cNvPr id="11" name="Picture 10">
          <a:extLst>
            <a:ext uri="{FF2B5EF4-FFF2-40B4-BE49-F238E27FC236}">
              <a16:creationId xmlns:a16="http://schemas.microsoft.com/office/drawing/2014/main" id="{0258DF49-E5F9-4BEB-A5EA-0994D6DFA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6464" y="17508707"/>
          <a:ext cx="585391" cy="754063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74</xdr:row>
      <xdr:rowOff>9921</xdr:rowOff>
    </xdr:from>
    <xdr:ext cx="585391" cy="754063"/>
    <xdr:pic>
      <xdr:nvPicPr>
        <xdr:cNvPr id="15" name="Picture 14">
          <a:extLst>
            <a:ext uri="{FF2B5EF4-FFF2-40B4-BE49-F238E27FC236}">
              <a16:creationId xmlns:a16="http://schemas.microsoft.com/office/drawing/2014/main" id="{2262C916-207B-4C16-93D5-A2B66FAAF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6464" y="17508707"/>
          <a:ext cx="585391" cy="754063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74</xdr:row>
      <xdr:rowOff>9921</xdr:rowOff>
    </xdr:from>
    <xdr:ext cx="585391" cy="763869"/>
    <xdr:pic>
      <xdr:nvPicPr>
        <xdr:cNvPr id="23" name="Picture 22">
          <a:extLst>
            <a:ext uri="{FF2B5EF4-FFF2-40B4-BE49-F238E27FC236}">
              <a16:creationId xmlns:a16="http://schemas.microsoft.com/office/drawing/2014/main" id="{6E75C024-15CE-4120-A802-D37973E3F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6464" y="17508707"/>
          <a:ext cx="585391" cy="763869"/>
        </a:xfrm>
        <a:prstGeom prst="rect">
          <a:avLst/>
        </a:prstGeom>
      </xdr:spPr>
    </xdr:pic>
    <xdr:clientData/>
  </xdr:oneCellAnchor>
  <xdr:oneCellAnchor>
    <xdr:from>
      <xdr:col>12</xdr:col>
      <xdr:colOff>205154</xdr:colOff>
      <xdr:row>74</xdr:row>
      <xdr:rowOff>139212</xdr:rowOff>
    </xdr:from>
    <xdr:ext cx="650105" cy="627100"/>
    <xdr:pic>
      <xdr:nvPicPr>
        <xdr:cNvPr id="24" name="Picture 23">
          <a:extLst>
            <a:ext uri="{FF2B5EF4-FFF2-40B4-BE49-F238E27FC236}">
              <a16:creationId xmlns:a16="http://schemas.microsoft.com/office/drawing/2014/main" id="{7F530502-0057-4637-B785-8A76AFB9E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511" y="17637998"/>
          <a:ext cx="650105" cy="6271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110</xdr:row>
      <xdr:rowOff>9921</xdr:rowOff>
    </xdr:from>
    <xdr:ext cx="585391" cy="754063"/>
    <xdr:pic>
      <xdr:nvPicPr>
        <xdr:cNvPr id="25" name="Picture 24">
          <a:extLst>
            <a:ext uri="{FF2B5EF4-FFF2-40B4-BE49-F238E27FC236}">
              <a16:creationId xmlns:a16="http://schemas.microsoft.com/office/drawing/2014/main" id="{40F7E45D-426F-4FC9-B82A-C45ABA1DC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5179" y="16175207"/>
          <a:ext cx="585391" cy="7540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110</xdr:row>
      <xdr:rowOff>9921</xdr:rowOff>
    </xdr:from>
    <xdr:ext cx="585391" cy="754063"/>
    <xdr:pic>
      <xdr:nvPicPr>
        <xdr:cNvPr id="26" name="Picture 25">
          <a:extLst>
            <a:ext uri="{FF2B5EF4-FFF2-40B4-BE49-F238E27FC236}">
              <a16:creationId xmlns:a16="http://schemas.microsoft.com/office/drawing/2014/main" id="{C858686C-15E6-42D7-AD1E-ED5371D5E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5179" y="16175207"/>
          <a:ext cx="585391" cy="7540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110</xdr:row>
      <xdr:rowOff>9921</xdr:rowOff>
    </xdr:from>
    <xdr:ext cx="585391" cy="754063"/>
    <xdr:pic>
      <xdr:nvPicPr>
        <xdr:cNvPr id="27" name="Picture 26">
          <a:extLst>
            <a:ext uri="{FF2B5EF4-FFF2-40B4-BE49-F238E27FC236}">
              <a16:creationId xmlns:a16="http://schemas.microsoft.com/office/drawing/2014/main" id="{6EFC5B14-3EDE-430E-9C44-511F9ED8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5179" y="16175207"/>
          <a:ext cx="585391" cy="7540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110</xdr:row>
      <xdr:rowOff>9921</xdr:rowOff>
    </xdr:from>
    <xdr:ext cx="585391" cy="763869"/>
    <xdr:pic>
      <xdr:nvPicPr>
        <xdr:cNvPr id="28" name="Picture 27">
          <a:extLst>
            <a:ext uri="{FF2B5EF4-FFF2-40B4-BE49-F238E27FC236}">
              <a16:creationId xmlns:a16="http://schemas.microsoft.com/office/drawing/2014/main" id="{2DD37614-6E56-4479-8400-BD604ECE3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5179" y="16175207"/>
          <a:ext cx="585391" cy="763869"/>
        </a:xfrm>
        <a:prstGeom prst="rect">
          <a:avLst/>
        </a:prstGeom>
      </xdr:spPr>
    </xdr:pic>
    <xdr:clientData/>
  </xdr:oneCellAnchor>
  <xdr:oneCellAnchor>
    <xdr:from>
      <xdr:col>0</xdr:col>
      <xdr:colOff>205154</xdr:colOff>
      <xdr:row>110</xdr:row>
      <xdr:rowOff>139212</xdr:rowOff>
    </xdr:from>
    <xdr:ext cx="650105" cy="627100"/>
    <xdr:pic>
      <xdr:nvPicPr>
        <xdr:cNvPr id="29" name="Picture 28">
          <a:extLst>
            <a:ext uri="{FF2B5EF4-FFF2-40B4-BE49-F238E27FC236}">
              <a16:creationId xmlns:a16="http://schemas.microsoft.com/office/drawing/2014/main" id="{8AC56655-3DFE-46B7-9D16-F6D51DD63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5868" y="16304498"/>
          <a:ext cx="650105" cy="62710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9921</xdr:rowOff>
    </xdr:from>
    <xdr:to>
      <xdr:col>3</xdr:col>
      <xdr:colOff>585391</xdr:colOff>
      <xdr:row>5</xdr:row>
      <xdr:rowOff>101437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311D8E-172A-4D8D-8130-DB6E2A973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467121"/>
          <a:ext cx="585391" cy="777316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2</xdr:row>
      <xdr:rowOff>9921</xdr:rowOff>
    </xdr:from>
    <xdr:ext cx="585391" cy="754063"/>
    <xdr:pic>
      <xdr:nvPicPr>
        <xdr:cNvPr id="3" name="Picture 2">
          <a:extLst>
            <a:ext uri="{FF2B5EF4-FFF2-40B4-BE49-F238E27FC236}">
              <a16:creationId xmlns:a16="http://schemas.microsoft.com/office/drawing/2014/main" id="{7EE6F2E2-A02C-4CFC-AB6D-5F33820B2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467121"/>
          <a:ext cx="585391" cy="754063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9921</xdr:rowOff>
    </xdr:from>
    <xdr:ext cx="585391" cy="754063"/>
    <xdr:pic>
      <xdr:nvPicPr>
        <xdr:cNvPr id="4" name="Picture 3">
          <a:extLst>
            <a:ext uri="{FF2B5EF4-FFF2-40B4-BE49-F238E27FC236}">
              <a16:creationId xmlns:a16="http://schemas.microsoft.com/office/drawing/2014/main" id="{AE16CDBD-17A9-4E9B-9C07-8125910AA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3450" y="467121"/>
          <a:ext cx="585391" cy="7540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9921</xdr:rowOff>
    </xdr:from>
    <xdr:ext cx="585391" cy="763869"/>
    <xdr:pic>
      <xdr:nvPicPr>
        <xdr:cNvPr id="5" name="Picture 4">
          <a:extLst>
            <a:ext uri="{FF2B5EF4-FFF2-40B4-BE49-F238E27FC236}">
              <a16:creationId xmlns:a16="http://schemas.microsoft.com/office/drawing/2014/main" id="{02060B7B-88AB-4A29-A09E-401357FEF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7334646"/>
          <a:ext cx="585391" cy="763869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38</xdr:row>
      <xdr:rowOff>9921</xdr:rowOff>
    </xdr:from>
    <xdr:ext cx="585391" cy="754063"/>
    <xdr:pic>
      <xdr:nvPicPr>
        <xdr:cNvPr id="6" name="Picture 5">
          <a:extLst>
            <a:ext uri="{FF2B5EF4-FFF2-40B4-BE49-F238E27FC236}">
              <a16:creationId xmlns:a16="http://schemas.microsoft.com/office/drawing/2014/main" id="{F6A2AF2E-804D-47C0-9085-DE49C011A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1179" y="8051742"/>
          <a:ext cx="585391" cy="754063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38</xdr:row>
      <xdr:rowOff>9921</xdr:rowOff>
    </xdr:from>
    <xdr:ext cx="585391" cy="754063"/>
    <xdr:pic>
      <xdr:nvPicPr>
        <xdr:cNvPr id="7" name="Picture 6">
          <a:extLst>
            <a:ext uri="{FF2B5EF4-FFF2-40B4-BE49-F238E27FC236}">
              <a16:creationId xmlns:a16="http://schemas.microsoft.com/office/drawing/2014/main" id="{05DB008D-F4F8-4D15-9E70-0C40EC073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3450" y="7334646"/>
          <a:ext cx="585391" cy="7540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74</xdr:row>
      <xdr:rowOff>9921</xdr:rowOff>
    </xdr:from>
    <xdr:ext cx="585391" cy="763869"/>
    <xdr:pic>
      <xdr:nvPicPr>
        <xdr:cNvPr id="8" name="Picture 7">
          <a:extLst>
            <a:ext uri="{FF2B5EF4-FFF2-40B4-BE49-F238E27FC236}">
              <a16:creationId xmlns:a16="http://schemas.microsoft.com/office/drawing/2014/main" id="{1F70EB7A-CF20-4546-8DC0-DCB316760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14202171"/>
          <a:ext cx="585391" cy="763869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74</xdr:row>
      <xdr:rowOff>9921</xdr:rowOff>
    </xdr:from>
    <xdr:ext cx="585391" cy="754063"/>
    <xdr:pic>
      <xdr:nvPicPr>
        <xdr:cNvPr id="9" name="Picture 8">
          <a:extLst>
            <a:ext uri="{FF2B5EF4-FFF2-40B4-BE49-F238E27FC236}">
              <a16:creationId xmlns:a16="http://schemas.microsoft.com/office/drawing/2014/main" id="{BD14E687-D1F6-48CA-A1FA-4AB4135AC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14202171"/>
          <a:ext cx="585391" cy="754063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74</xdr:row>
      <xdr:rowOff>9921</xdr:rowOff>
    </xdr:from>
    <xdr:ext cx="585391" cy="763869"/>
    <xdr:pic>
      <xdr:nvPicPr>
        <xdr:cNvPr id="10" name="Picture 9">
          <a:extLst>
            <a:ext uri="{FF2B5EF4-FFF2-40B4-BE49-F238E27FC236}">
              <a16:creationId xmlns:a16="http://schemas.microsoft.com/office/drawing/2014/main" id="{86941D3B-AAC1-4F6D-9738-CA85AACD3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464" y="15617314"/>
          <a:ext cx="585391" cy="763869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74</xdr:row>
      <xdr:rowOff>9921</xdr:rowOff>
    </xdr:from>
    <xdr:ext cx="585391" cy="754063"/>
    <xdr:pic>
      <xdr:nvPicPr>
        <xdr:cNvPr id="11" name="Picture 10">
          <a:extLst>
            <a:ext uri="{FF2B5EF4-FFF2-40B4-BE49-F238E27FC236}">
              <a16:creationId xmlns:a16="http://schemas.microsoft.com/office/drawing/2014/main" id="{8CE74D58-90FD-4AAC-B5F5-464702396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1179" y="15617314"/>
          <a:ext cx="585391" cy="754063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110</xdr:row>
      <xdr:rowOff>9921</xdr:rowOff>
    </xdr:from>
    <xdr:ext cx="585391" cy="754063"/>
    <xdr:pic>
      <xdr:nvPicPr>
        <xdr:cNvPr id="12" name="Picture 11">
          <a:extLst>
            <a:ext uri="{FF2B5EF4-FFF2-40B4-BE49-F238E27FC236}">
              <a16:creationId xmlns:a16="http://schemas.microsoft.com/office/drawing/2014/main" id="{7482E3D4-C2F4-43E3-A7C4-1D4F6FD7C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0545" y="17310785"/>
          <a:ext cx="585391" cy="754063"/>
        </a:xfrm>
        <a:prstGeom prst="rect">
          <a:avLst/>
        </a:prstGeom>
      </xdr:spPr>
    </xdr:pic>
    <xdr:clientData/>
  </xdr:oneCellAnchor>
  <xdr:twoCellAnchor editAs="oneCell">
    <xdr:from>
      <xdr:col>0</xdr:col>
      <xdr:colOff>208359</xdr:colOff>
      <xdr:row>2</xdr:row>
      <xdr:rowOff>148828</xdr:rowOff>
    </xdr:from>
    <xdr:to>
      <xdr:col>2</xdr:col>
      <xdr:colOff>231619</xdr:colOff>
      <xdr:row>5</xdr:row>
      <xdr:rowOff>74510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EBB04A8-5D70-42B4-AB55-4F49C3398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359" y="601266"/>
          <a:ext cx="654291" cy="604338"/>
        </a:xfrm>
        <a:prstGeom prst="rect">
          <a:avLst/>
        </a:prstGeom>
      </xdr:spPr>
    </xdr:pic>
    <xdr:clientData/>
  </xdr:twoCellAnchor>
  <xdr:twoCellAnchor editAs="oneCell">
    <xdr:from>
      <xdr:col>6</xdr:col>
      <xdr:colOff>220265</xdr:colOff>
      <xdr:row>2</xdr:row>
      <xdr:rowOff>136921</xdr:rowOff>
    </xdr:from>
    <xdr:to>
      <xdr:col>8</xdr:col>
      <xdr:colOff>243525</xdr:colOff>
      <xdr:row>5</xdr:row>
      <xdr:rowOff>72808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965DD2D-EAD6-4EFE-8A80-47E165290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1531" y="589359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12</xdr:col>
      <xdr:colOff>208359</xdr:colOff>
      <xdr:row>2</xdr:row>
      <xdr:rowOff>142875</xdr:rowOff>
    </xdr:from>
    <xdr:to>
      <xdr:col>14</xdr:col>
      <xdr:colOff>229917</xdr:colOff>
      <xdr:row>5</xdr:row>
      <xdr:rowOff>78762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71302EF-EAF0-45F7-A2D4-5D2190123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5406" y="595313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12</xdr:col>
      <xdr:colOff>208359</xdr:colOff>
      <xdr:row>38</xdr:row>
      <xdr:rowOff>136922</xdr:rowOff>
    </xdr:from>
    <xdr:to>
      <xdr:col>14</xdr:col>
      <xdr:colOff>229917</xdr:colOff>
      <xdr:row>41</xdr:row>
      <xdr:rowOff>72809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CBACA14-1972-4DD1-A1D7-8145FFEAB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5406" y="8114110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6</xdr:col>
      <xdr:colOff>208359</xdr:colOff>
      <xdr:row>38</xdr:row>
      <xdr:rowOff>136922</xdr:rowOff>
    </xdr:from>
    <xdr:to>
      <xdr:col>8</xdr:col>
      <xdr:colOff>231619</xdr:colOff>
      <xdr:row>41</xdr:row>
      <xdr:rowOff>72809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B5E5B47-E984-4F99-B1F1-A81326775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8114110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0</xdr:col>
      <xdr:colOff>208359</xdr:colOff>
      <xdr:row>38</xdr:row>
      <xdr:rowOff>130968</xdr:rowOff>
    </xdr:from>
    <xdr:to>
      <xdr:col>2</xdr:col>
      <xdr:colOff>231619</xdr:colOff>
      <xdr:row>41</xdr:row>
      <xdr:rowOff>66855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A005D91-D24D-4774-93A6-6434BA767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359" y="8108156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0</xdr:col>
      <xdr:colOff>208359</xdr:colOff>
      <xdr:row>74</xdr:row>
      <xdr:rowOff>136922</xdr:rowOff>
    </xdr:from>
    <xdr:to>
      <xdr:col>2</xdr:col>
      <xdr:colOff>231619</xdr:colOff>
      <xdr:row>77</xdr:row>
      <xdr:rowOff>72809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062DFDD-2FCD-4527-9ACC-15152C08E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359" y="15621000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6</xdr:col>
      <xdr:colOff>202406</xdr:colOff>
      <xdr:row>74</xdr:row>
      <xdr:rowOff>130969</xdr:rowOff>
    </xdr:from>
    <xdr:to>
      <xdr:col>8</xdr:col>
      <xdr:colOff>225666</xdr:colOff>
      <xdr:row>77</xdr:row>
      <xdr:rowOff>66856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EC08E57-64A0-4A51-947D-2A1FD03AC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3672" y="15615047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12</xdr:col>
      <xdr:colOff>208359</xdr:colOff>
      <xdr:row>74</xdr:row>
      <xdr:rowOff>130969</xdr:rowOff>
    </xdr:from>
    <xdr:to>
      <xdr:col>14</xdr:col>
      <xdr:colOff>229917</xdr:colOff>
      <xdr:row>77</xdr:row>
      <xdr:rowOff>66856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46ECFA9-15B8-4872-B273-066734397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5406" y="15615047"/>
          <a:ext cx="654291" cy="614543"/>
        </a:xfrm>
        <a:prstGeom prst="rect">
          <a:avLst/>
        </a:prstGeom>
      </xdr:spPr>
    </xdr:pic>
    <xdr:clientData/>
  </xdr:twoCellAnchor>
  <xdr:twoCellAnchor editAs="oneCell">
    <xdr:from>
      <xdr:col>0</xdr:col>
      <xdr:colOff>214313</xdr:colOff>
      <xdr:row>110</xdr:row>
      <xdr:rowOff>130968</xdr:rowOff>
    </xdr:from>
    <xdr:to>
      <xdr:col>2</xdr:col>
      <xdr:colOff>237573</xdr:colOff>
      <xdr:row>113</xdr:row>
      <xdr:rowOff>66856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069A7BD-CC9F-40DE-9C5D-70A63D2A2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3" y="23121937"/>
          <a:ext cx="654291" cy="614543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110</xdr:row>
      <xdr:rowOff>9921</xdr:rowOff>
    </xdr:from>
    <xdr:ext cx="585391" cy="754063"/>
    <xdr:pic>
      <xdr:nvPicPr>
        <xdr:cNvPr id="23" name="Picture 22">
          <a:extLst>
            <a:ext uri="{FF2B5EF4-FFF2-40B4-BE49-F238E27FC236}">
              <a16:creationId xmlns:a16="http://schemas.microsoft.com/office/drawing/2014/main" id="{265E7A38-B105-48B1-A74A-20F994121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4464" y="23686350"/>
          <a:ext cx="585391" cy="754063"/>
        </a:xfrm>
        <a:prstGeom prst="rect">
          <a:avLst/>
        </a:prstGeom>
      </xdr:spPr>
    </xdr:pic>
    <xdr:clientData/>
  </xdr:oneCellAnchor>
  <xdr:oneCellAnchor>
    <xdr:from>
      <xdr:col>6</xdr:col>
      <xdr:colOff>214313</xdr:colOff>
      <xdr:row>110</xdr:row>
      <xdr:rowOff>130968</xdr:rowOff>
    </xdr:from>
    <xdr:ext cx="649189" cy="629852"/>
    <xdr:pic>
      <xdr:nvPicPr>
        <xdr:cNvPr id="24" name="Picture 23">
          <a:extLst>
            <a:ext uri="{FF2B5EF4-FFF2-40B4-BE49-F238E27FC236}">
              <a16:creationId xmlns:a16="http://schemas.microsoft.com/office/drawing/2014/main" id="{A9F0D352-0625-4C19-AB62-76AFC2EC2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3" y="23807397"/>
          <a:ext cx="649189" cy="629852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110</xdr:row>
      <xdr:rowOff>9921</xdr:rowOff>
    </xdr:from>
    <xdr:ext cx="585391" cy="754063"/>
    <xdr:pic>
      <xdr:nvPicPr>
        <xdr:cNvPr id="25" name="Picture 24">
          <a:extLst>
            <a:ext uri="{FF2B5EF4-FFF2-40B4-BE49-F238E27FC236}">
              <a16:creationId xmlns:a16="http://schemas.microsoft.com/office/drawing/2014/main" id="{2A6156BE-1E4E-43AB-BE71-2F0616C59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5143" y="23686350"/>
          <a:ext cx="585391" cy="754063"/>
        </a:xfrm>
        <a:prstGeom prst="rect">
          <a:avLst/>
        </a:prstGeom>
      </xdr:spPr>
    </xdr:pic>
    <xdr:clientData/>
  </xdr:oneCellAnchor>
  <xdr:oneCellAnchor>
    <xdr:from>
      <xdr:col>12</xdr:col>
      <xdr:colOff>214313</xdr:colOff>
      <xdr:row>110</xdr:row>
      <xdr:rowOff>130968</xdr:rowOff>
    </xdr:from>
    <xdr:ext cx="649189" cy="629852"/>
    <xdr:pic>
      <xdr:nvPicPr>
        <xdr:cNvPr id="26" name="Picture 25">
          <a:extLst>
            <a:ext uri="{FF2B5EF4-FFF2-40B4-BE49-F238E27FC236}">
              <a16:creationId xmlns:a16="http://schemas.microsoft.com/office/drawing/2014/main" id="{42DFE8C4-BF17-4E12-90A8-C5E6724E9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3027" y="23807397"/>
          <a:ext cx="649189" cy="62985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-User\Desktop\PAYROLL%20MICH\JO\2022\09.2%20J.O.%20PAYROLL%20Sept.%2016-30,%202022%20(Advance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OS%20Payroll%202026/202602.2%20(Advance)/202602.2%20FC%2001%20JO%20PAYROLL%20FEB%2016-28,%202026.xlsx" TargetMode="External"/><Relationship Id="rId2" Type="http://schemas.openxmlformats.org/officeDocument/2006/relationships/externalLinkPath" Target="file:///G:\APACER%20BACKUP\ATI%2011-16-2022\PAYROLL%20MICH\COS\COS%202026\COS%20Payroll%202026\202602.2%20(Advance)\202602.2%20FC%2001%20JO%20PAYROLL%20FEB%2016-28,%202026.xlsx" TargetMode="External"/><Relationship Id="rId1" Type="http://schemas.openxmlformats.org/officeDocument/2006/relationships/externalLinkPath" Target="/APACER%20BACKUP/ATI%2011-16-2022/PAYROLL%20MICH/COS/COS%202026/COS%20Payroll%202026/202602.2%20(Advance)/202602.2%20FC%2001%20JO%20PAYROLL%20FEB%2016-28,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OS%20Payroll%202026/202602.2%20(Advance)/202602.2%20FC%2006%20JO%20PAYROLL%20FEB%2016-28,%202026.xlsx" TargetMode="External"/><Relationship Id="rId2" Type="http://schemas.openxmlformats.org/officeDocument/2006/relationships/externalLinkPath" Target="file:///G:\APACER%20BACKUP\ATI%2011-16-2022\PAYROLL%20MICH\COS\COS%202026\COS%20Payroll%202026\202602.2%20(Advance)\202602.2%20FC%2006%20JO%20PAYROLL%20FEB%2016-28,%202026.xlsx" TargetMode="External"/><Relationship Id="rId1" Type="http://schemas.openxmlformats.org/officeDocument/2006/relationships/externalLinkPath" Target="/APACER%20BACKUP/ATI%2011-16-2022/PAYROLL%20MICH/COS/COS%202026/COS%20Payroll%202026/202602.2%20(Advance)/202602.2%20FC%2006%20JO%20PAYROLL%20FEB%2016-28,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  <sheetName val="PER OFFICE"/>
      <sheetName val="TEXTLIST - FC  01"/>
      <sheetName val="TEXTLIST - FC 06"/>
      <sheetName val="Work Permit"/>
    </sheetNames>
    <sheetDataSet>
      <sheetData sheetId="0" refreshError="1">
        <row r="10">
          <cell r="C10">
            <v>1</v>
          </cell>
        </row>
        <row r="11">
          <cell r="C11">
            <v>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STER DATA"/>
      <sheetName val="GENERAL PAYROLL"/>
      <sheetName val="TXTLIST"/>
      <sheetName val="MONTHLY SALARY"/>
      <sheetName val="PREMIUM"/>
      <sheetName val="CODE"/>
      <sheetName val="CODE 2"/>
      <sheetName val="Pivot Table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J1" t="str">
            <v>SALARY GRADE</v>
          </cell>
          <cell r="K1" t="str">
            <v>RATE</v>
          </cell>
          <cell r="R1" t="str">
            <v>Name</v>
          </cell>
          <cell r="S1" t="str">
            <v>SG</v>
          </cell>
        </row>
        <row r="2">
          <cell r="J2">
            <v>6</v>
          </cell>
          <cell r="K2">
            <v>17553</v>
          </cell>
          <cell r="R2" t="str">
            <v>AUSTRIA, CHRISTIAN JOCEF B.</v>
          </cell>
          <cell r="S2">
            <v>8</v>
          </cell>
        </row>
        <row r="3">
          <cell r="J3">
            <v>7</v>
          </cell>
          <cell r="K3">
            <v>18620</v>
          </cell>
          <cell r="R3" t="str">
            <v>SALVANIA, DIANNE MARIE U.</v>
          </cell>
          <cell r="S3">
            <v>11</v>
          </cell>
        </row>
        <row r="4">
          <cell r="J4">
            <v>8</v>
          </cell>
          <cell r="K4">
            <v>19744</v>
          </cell>
          <cell r="R4" t="str">
            <v>MONTIEL, KRISTEL DIANNE A.</v>
          </cell>
          <cell r="S4">
            <v>11</v>
          </cell>
        </row>
        <row r="5">
          <cell r="J5">
            <v>9</v>
          </cell>
          <cell r="K5">
            <v>21211</v>
          </cell>
          <cell r="R5" t="str">
            <v>KATIPUNAN, JERUSHA KYLE ANGELA M.</v>
          </cell>
          <cell r="S5">
            <v>11</v>
          </cell>
        </row>
        <row r="6">
          <cell r="J6">
            <v>10</v>
          </cell>
          <cell r="K6">
            <v>23176</v>
          </cell>
          <cell r="R6" t="str">
            <v>ESMER, GLECY R.</v>
          </cell>
          <cell r="S6">
            <v>8</v>
          </cell>
        </row>
        <row r="7">
          <cell r="J7">
            <v>11</v>
          </cell>
          <cell r="K7">
            <v>27000</v>
          </cell>
          <cell r="R7" t="str">
            <v>AGUILAR, ROXETTE</v>
          </cell>
          <cell r="S7">
            <v>11</v>
          </cell>
        </row>
        <row r="8">
          <cell r="J8">
            <v>12</v>
          </cell>
          <cell r="K8">
            <v>29165</v>
          </cell>
          <cell r="R8" t="str">
            <v>ANTIPAS, ANDREA JANE M.</v>
          </cell>
          <cell r="S8">
            <v>8</v>
          </cell>
        </row>
        <row r="9">
          <cell r="J9">
            <v>13</v>
          </cell>
          <cell r="K9">
            <v>31320</v>
          </cell>
          <cell r="R9" t="str">
            <v>GABAO, JENNY ROSE B.</v>
          </cell>
          <cell r="S9">
            <v>11</v>
          </cell>
        </row>
        <row r="10">
          <cell r="J10">
            <v>14</v>
          </cell>
          <cell r="K10">
            <v>33843</v>
          </cell>
          <cell r="R10" t="str">
            <v>LAMPAS, CHRISTIAN JOSEPH P</v>
          </cell>
          <cell r="S10">
            <v>11</v>
          </cell>
        </row>
        <row r="11">
          <cell r="J11">
            <v>15</v>
          </cell>
          <cell r="K11">
            <v>36619</v>
          </cell>
          <cell r="R11" t="str">
            <v>MANDANI, AVE M.</v>
          </cell>
          <cell r="S11">
            <v>7</v>
          </cell>
        </row>
        <row r="12">
          <cell r="J12">
            <v>16</v>
          </cell>
          <cell r="K12">
            <v>39672</v>
          </cell>
          <cell r="R12" t="str">
            <v>PERNIA, JONAS S.</v>
          </cell>
          <cell r="S12">
            <v>8</v>
          </cell>
        </row>
        <row r="13">
          <cell r="J13">
            <v>17</v>
          </cell>
          <cell r="K13">
            <v>43030</v>
          </cell>
          <cell r="R13" t="str">
            <v>SAREFE, ANGELIA KAY N.</v>
          </cell>
          <cell r="S13">
            <v>11</v>
          </cell>
        </row>
        <row r="14">
          <cell r="J14">
            <v>0</v>
          </cell>
          <cell r="K14">
            <v>50617</v>
          </cell>
          <cell r="R14" t="str">
            <v>BALANGATAN, JUN CHRISTOPHER C.</v>
          </cell>
          <cell r="S14">
            <v>11</v>
          </cell>
        </row>
        <row r="15">
          <cell r="R15" t="str">
            <v>SANGALANG, JANICE C.</v>
          </cell>
          <cell r="S15">
            <v>11</v>
          </cell>
        </row>
        <row r="16">
          <cell r="R16" t="str">
            <v>CABIGAS, IOMMI NICOL R.</v>
          </cell>
          <cell r="S16">
            <v>11</v>
          </cell>
        </row>
        <row r="17">
          <cell r="R17" t="str">
            <v>CAGUMBAY, LIYANNE M.</v>
          </cell>
          <cell r="S17">
            <v>8</v>
          </cell>
        </row>
        <row r="18">
          <cell r="R18" t="str">
            <v>DE GUZMAN, SWEET JESSABEL M.</v>
          </cell>
          <cell r="S18">
            <v>17</v>
          </cell>
        </row>
        <row r="19">
          <cell r="R19" t="str">
            <v>MARTIN, RENALYN J. II</v>
          </cell>
          <cell r="S19">
            <v>8</v>
          </cell>
        </row>
        <row r="20">
          <cell r="R20" t="str">
            <v>SALVA, IRENE U</v>
          </cell>
          <cell r="S20">
            <v>8</v>
          </cell>
        </row>
        <row r="21">
          <cell r="R21" t="str">
            <v>CRUZ, CLAIRE JOYCE B.</v>
          </cell>
          <cell r="S21">
            <v>8</v>
          </cell>
        </row>
        <row r="22">
          <cell r="R22" t="str">
            <v>BESOL, MAY C.</v>
          </cell>
          <cell r="S22">
            <v>8</v>
          </cell>
        </row>
        <row r="23">
          <cell r="R23" t="str">
            <v>PARDO, KHEVIN A.</v>
          </cell>
          <cell r="S23">
            <v>11</v>
          </cell>
        </row>
        <row r="24">
          <cell r="R24" t="str">
            <v>BABAT, JUNE SHERYLL KAYE L.</v>
          </cell>
          <cell r="S24">
            <v>8</v>
          </cell>
        </row>
        <row r="25">
          <cell r="R25" t="str">
            <v>FERNANDEZ, YARI E.</v>
          </cell>
          <cell r="S25">
            <v>8</v>
          </cell>
        </row>
        <row r="26">
          <cell r="R26" t="str">
            <v>SALVANIA, JEFFREY</v>
          </cell>
          <cell r="S26">
            <v>8</v>
          </cell>
        </row>
        <row r="27">
          <cell r="R27" t="str">
            <v>TUPARAN, DOMINIQUE P.</v>
          </cell>
          <cell r="S27">
            <v>15</v>
          </cell>
        </row>
        <row r="28">
          <cell r="R28" t="str">
            <v>TOLERO, JONALYN T.</v>
          </cell>
          <cell r="S28">
            <v>8</v>
          </cell>
        </row>
        <row r="29">
          <cell r="R29" t="str">
            <v>MARTIN, SHAIRA LEA E.</v>
          </cell>
          <cell r="S29">
            <v>8</v>
          </cell>
        </row>
        <row r="30">
          <cell r="R30" t="str">
            <v>RABINO, MA.RUBEN ANA D.</v>
          </cell>
          <cell r="S30">
            <v>8</v>
          </cell>
        </row>
        <row r="31">
          <cell r="R31" t="str">
            <v xml:space="preserve">CAPONGCOL, MARY JANE </v>
          </cell>
          <cell r="S31">
            <v>8</v>
          </cell>
        </row>
        <row r="32">
          <cell r="R32" t="str">
            <v>CUARTERON, JOSEN L.</v>
          </cell>
          <cell r="S32">
            <v>7</v>
          </cell>
        </row>
        <row r="33">
          <cell r="R33" t="str">
            <v>FLORES, JOPETER C.</v>
          </cell>
          <cell r="S33">
            <v>7</v>
          </cell>
        </row>
        <row r="34">
          <cell r="R34" t="str">
            <v>CATUBAY, ELVIS JOHN L.</v>
          </cell>
          <cell r="S34">
            <v>8</v>
          </cell>
        </row>
        <row r="35">
          <cell r="R35" t="str">
            <v>MARCELO, FERDINAND S.</v>
          </cell>
          <cell r="S35">
            <v>7</v>
          </cell>
        </row>
        <row r="36">
          <cell r="R36" t="str">
            <v xml:space="preserve">TAPIADOR, JACKSON T. </v>
          </cell>
          <cell r="S36">
            <v>7</v>
          </cell>
        </row>
        <row r="37">
          <cell r="R37" t="str">
            <v>PERALTA, JONEL</v>
          </cell>
          <cell r="S37">
            <v>16</v>
          </cell>
        </row>
        <row r="38">
          <cell r="R38" t="str">
            <v>RIVAS, JOSEPH S.</v>
          </cell>
          <cell r="S38">
            <v>11</v>
          </cell>
        </row>
        <row r="40">
          <cell r="R40" t="str">
            <v>LORENA, SUSAN G</v>
          </cell>
          <cell r="S40">
            <v>8</v>
          </cell>
        </row>
        <row r="41">
          <cell r="R41" t="str">
            <v>MELCHOR, LYNDON G.</v>
          </cell>
          <cell r="S41">
            <v>8</v>
          </cell>
        </row>
        <row r="42">
          <cell r="R42" t="str">
            <v>GUTIERREZ, DACHIEL P.</v>
          </cell>
          <cell r="S42">
            <v>7</v>
          </cell>
        </row>
        <row r="43">
          <cell r="R43" t="str">
            <v>GAGUCAS, MICHAEL B.</v>
          </cell>
          <cell r="S43">
            <v>8</v>
          </cell>
        </row>
        <row r="44">
          <cell r="R44" t="str">
            <v>DE GUZMAN, JHOUSWELL LEE MELVIN B.</v>
          </cell>
          <cell r="S44">
            <v>8</v>
          </cell>
        </row>
        <row r="45">
          <cell r="R45" t="str">
            <v>AKUT, FILSAN G.</v>
          </cell>
          <cell r="S45">
            <v>10</v>
          </cell>
        </row>
        <row r="46">
          <cell r="R46" t="str">
            <v>CELOCIA, ROSELY-ANN G.</v>
          </cell>
          <cell r="S46">
            <v>8</v>
          </cell>
        </row>
        <row r="47">
          <cell r="R47" t="str">
            <v>BRUZON, ANGENNITTE F.</v>
          </cell>
          <cell r="S47">
            <v>8</v>
          </cell>
        </row>
        <row r="48">
          <cell r="R48" t="str">
            <v>INTERNO, JUSTIN PAOLO D.</v>
          </cell>
          <cell r="S48">
            <v>15</v>
          </cell>
        </row>
        <row r="49">
          <cell r="R49" t="str">
            <v>VELEZ, JOHN CARL ACE B.</v>
          </cell>
          <cell r="S49">
            <v>15</v>
          </cell>
        </row>
        <row r="50">
          <cell r="R50" t="str">
            <v>TURDA, HERSHEY M.</v>
          </cell>
          <cell r="S50">
            <v>15</v>
          </cell>
        </row>
        <row r="51">
          <cell r="R51" t="str">
            <v>BADILLO, ALBINO M.</v>
          </cell>
          <cell r="S51">
            <v>6</v>
          </cell>
        </row>
        <row r="52">
          <cell r="R52" t="str">
            <v>BELO, JOSHUA G.</v>
          </cell>
          <cell r="S52">
            <v>6</v>
          </cell>
        </row>
        <row r="53">
          <cell r="R53" t="str">
            <v>ABCEDE, DIANNE P.</v>
          </cell>
          <cell r="S53">
            <v>11</v>
          </cell>
        </row>
        <row r="54">
          <cell r="R54" t="str">
            <v>MEJIA, JONNIEL</v>
          </cell>
          <cell r="S54">
            <v>6</v>
          </cell>
        </row>
        <row r="57">
          <cell r="R57" t="str">
            <v>CATIMBANG, SHANDEE FAY O.</v>
          </cell>
          <cell r="S57">
            <v>11</v>
          </cell>
        </row>
        <row r="59">
          <cell r="R59" t="str">
            <v>ESTO, CARMELA JOY Z.</v>
          </cell>
          <cell r="S59">
            <v>9</v>
          </cell>
        </row>
        <row r="61">
          <cell r="R61" t="str">
            <v>JORVINA, CLAUDENE ACE A.</v>
          </cell>
          <cell r="S61">
            <v>14</v>
          </cell>
        </row>
        <row r="62">
          <cell r="R62" t="str">
            <v>ESTAPON, LESLIE DC.</v>
          </cell>
          <cell r="S62">
            <v>8</v>
          </cell>
        </row>
        <row r="63">
          <cell r="R63" t="str">
            <v>BALUYUT, JULIA MARIE M.</v>
          </cell>
          <cell r="S63">
            <v>11</v>
          </cell>
        </row>
        <row r="64">
          <cell r="R64" t="str">
            <v>DE GALICIA, JACQUELINE C.</v>
          </cell>
          <cell r="S64">
            <v>15</v>
          </cell>
        </row>
        <row r="65">
          <cell r="R65" t="str">
            <v>DACUT, AIZEL M.</v>
          </cell>
          <cell r="S65">
            <v>8</v>
          </cell>
        </row>
        <row r="66">
          <cell r="R66" t="str">
            <v>BONIFACIO, KLARISSE A.</v>
          </cell>
          <cell r="S66">
            <v>8</v>
          </cell>
        </row>
        <row r="67">
          <cell r="R67" t="str">
            <v>GALABAY, CHRISTIANEL B.</v>
          </cell>
          <cell r="S67">
            <v>15</v>
          </cell>
        </row>
        <row r="68">
          <cell r="R68" t="str">
            <v>MADRIAGA, MIGUEL SEBASTIAN S.</v>
          </cell>
          <cell r="S68">
            <v>15</v>
          </cell>
        </row>
        <row r="69">
          <cell r="R69" t="str">
            <v>PASTOR, JANELLE E.</v>
          </cell>
          <cell r="S69">
            <v>11</v>
          </cell>
        </row>
        <row r="70">
          <cell r="R70" t="str">
            <v>MANGILOG, ERICCA MAE V.</v>
          </cell>
          <cell r="S70">
            <v>11</v>
          </cell>
        </row>
        <row r="71">
          <cell r="R71" t="str">
            <v>MARTIN, ORLAN LEONARD E.</v>
          </cell>
          <cell r="S71">
            <v>8</v>
          </cell>
        </row>
        <row r="72">
          <cell r="R72" t="str">
            <v>SARACANLAO, EDDIE H.</v>
          </cell>
          <cell r="S72">
            <v>15</v>
          </cell>
        </row>
        <row r="73">
          <cell r="R73" t="str">
            <v>FRANCISCO, ULYSSES H.</v>
          </cell>
          <cell r="S73">
            <v>15</v>
          </cell>
        </row>
        <row r="74">
          <cell r="R74" t="str">
            <v>DITCHE, ALLIAH LYN P.</v>
          </cell>
          <cell r="S74">
            <v>15</v>
          </cell>
        </row>
        <row r="75">
          <cell r="R75" t="str">
            <v>MAGDARAOG, CHRISTINE NAZEL C.</v>
          </cell>
          <cell r="S75">
            <v>8</v>
          </cell>
        </row>
        <row r="76">
          <cell r="R76" t="str">
            <v>GAMBOA, ELGIE F.</v>
          </cell>
          <cell r="S76">
            <v>7</v>
          </cell>
        </row>
        <row r="77">
          <cell r="R77" t="str">
            <v xml:space="preserve">PATAN, LIOMYR A. </v>
          </cell>
          <cell r="S77">
            <v>14</v>
          </cell>
        </row>
        <row r="78">
          <cell r="R78" t="str">
            <v>LOZANO, ADRIAN D.</v>
          </cell>
          <cell r="S78">
            <v>8</v>
          </cell>
        </row>
        <row r="79">
          <cell r="R79" t="str">
            <v>BIGAY, SHEILA MAE F.</v>
          </cell>
          <cell r="S79">
            <v>6</v>
          </cell>
        </row>
        <row r="80">
          <cell r="R80" t="str">
            <v>CORDOVA, JOEL M.</v>
          </cell>
          <cell r="S80">
            <v>6</v>
          </cell>
        </row>
        <row r="81">
          <cell r="R81" t="str">
            <v>EMBALZADO, SHERYL P.</v>
          </cell>
          <cell r="S81">
            <v>8</v>
          </cell>
        </row>
        <row r="82">
          <cell r="R82" t="str">
            <v>ANDAYA, APRIL JANE G.</v>
          </cell>
          <cell r="S82">
            <v>8</v>
          </cell>
        </row>
        <row r="83">
          <cell r="R83" t="str">
            <v>GABUYO, DYNA ROSE M.</v>
          </cell>
          <cell r="S83">
            <v>15</v>
          </cell>
        </row>
        <row r="84">
          <cell r="R84" t="str">
            <v>LIPAN, AGNES J.</v>
          </cell>
          <cell r="S84">
            <v>8</v>
          </cell>
        </row>
        <row r="85">
          <cell r="R85" t="str">
            <v>GUZMAN, JESSA MAE G.</v>
          </cell>
          <cell r="S85">
            <v>8</v>
          </cell>
        </row>
        <row r="86">
          <cell r="R86" t="str">
            <v>OLIVO, JENNA P.</v>
          </cell>
          <cell r="S86">
            <v>8</v>
          </cell>
        </row>
        <row r="87">
          <cell r="R87" t="str">
            <v>CALDITO, CHARISSE D.</v>
          </cell>
          <cell r="S87">
            <v>8</v>
          </cell>
        </row>
        <row r="88">
          <cell r="R88" t="str">
            <v>SERDONCILLO, RANIL G.</v>
          </cell>
          <cell r="S88">
            <v>7</v>
          </cell>
        </row>
        <row r="89">
          <cell r="R89" t="str">
            <v>TORIO, MARLON P.</v>
          </cell>
          <cell r="S89">
            <v>7</v>
          </cell>
        </row>
        <row r="90">
          <cell r="R90" t="str">
            <v>NAMOCA, SANTIAGO J.</v>
          </cell>
          <cell r="S90">
            <v>7</v>
          </cell>
        </row>
        <row r="91">
          <cell r="R91" t="str">
            <v>WALICAN, CARLA S.</v>
          </cell>
          <cell r="S91">
            <v>8</v>
          </cell>
        </row>
        <row r="92">
          <cell r="R92" t="str">
            <v>SASIS, BRINGKLY B.</v>
          </cell>
          <cell r="S92">
            <v>6</v>
          </cell>
        </row>
        <row r="93">
          <cell r="R93" t="str">
            <v xml:space="preserve">RODRIGUEZ, MA. RUFFA A. </v>
          </cell>
          <cell r="S93">
            <v>11</v>
          </cell>
        </row>
        <row r="94">
          <cell r="R94" t="str">
            <v>YUGA, MYKA ALEXZA B.</v>
          </cell>
          <cell r="S94">
            <v>8</v>
          </cell>
        </row>
        <row r="95">
          <cell r="R95" t="str">
            <v>ARANAZ, CZAREE JOSIAH A.</v>
          </cell>
          <cell r="S95">
            <v>11</v>
          </cell>
        </row>
        <row r="96">
          <cell r="R96" t="str">
            <v>AGUSTIN, PAULYN B.</v>
          </cell>
          <cell r="S96">
            <v>11</v>
          </cell>
        </row>
        <row r="97">
          <cell r="R97" t="str">
            <v>COMPLETO, CRIZANTO E.</v>
          </cell>
          <cell r="S97">
            <v>7</v>
          </cell>
        </row>
        <row r="98">
          <cell r="R98" t="str">
            <v>NILO, FAITH PERL A.</v>
          </cell>
          <cell r="S98">
            <v>11</v>
          </cell>
        </row>
        <row r="99">
          <cell r="R99" t="str">
            <v>VERINO, ALLYSON RYAN T.</v>
          </cell>
          <cell r="S99">
            <v>11</v>
          </cell>
        </row>
        <row r="100">
          <cell r="R100" t="str">
            <v>AMBROSIO, JOHN HAROLD F.</v>
          </cell>
          <cell r="S100">
            <v>15</v>
          </cell>
        </row>
        <row r="101">
          <cell r="R101" t="str">
            <v>LIM, KLEIN ANSON G.</v>
          </cell>
          <cell r="S101">
            <v>11</v>
          </cell>
        </row>
        <row r="102">
          <cell r="R102" t="str">
            <v>AGUAS, DERICKE DUANE C.</v>
          </cell>
          <cell r="S102">
            <v>11</v>
          </cell>
        </row>
        <row r="103">
          <cell r="R103" t="str">
            <v>OQUINDO, SHEILA JANE G.</v>
          </cell>
          <cell r="S103">
            <v>11</v>
          </cell>
        </row>
        <row r="104">
          <cell r="R104" t="str">
            <v xml:space="preserve">GUTIERREZ, DACHIEL P.  </v>
          </cell>
          <cell r="S104">
            <v>7</v>
          </cell>
        </row>
        <row r="105">
          <cell r="R105" t="str">
            <v>BALA, ANGEL D.</v>
          </cell>
          <cell r="S105">
            <v>11</v>
          </cell>
        </row>
        <row r="106">
          <cell r="R106" t="str">
            <v>NIÑO, COLENE MAE B.</v>
          </cell>
          <cell r="S106">
            <v>15</v>
          </cell>
        </row>
      </sheetData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STER DATA "/>
      <sheetName val="GENERAL PAYROLL"/>
      <sheetName val="TXTLIST"/>
      <sheetName val="CODE"/>
      <sheetName val="CODE 2"/>
      <sheetName val="PREMIUM"/>
    </sheetNames>
    <sheetDataSet>
      <sheetData sheetId="0"/>
      <sheetData sheetId="1"/>
      <sheetData sheetId="2"/>
      <sheetData sheetId="3"/>
      <sheetData sheetId="4">
        <row r="1">
          <cell r="J1" t="str">
            <v>SALARY GRADE</v>
          </cell>
          <cell r="K1" t="str">
            <v>RATE</v>
          </cell>
        </row>
        <row r="2">
          <cell r="J2">
            <v>6</v>
          </cell>
          <cell r="K2">
            <v>17553</v>
          </cell>
        </row>
        <row r="3">
          <cell r="J3">
            <v>7</v>
          </cell>
          <cell r="K3">
            <v>18620</v>
          </cell>
        </row>
        <row r="4">
          <cell r="J4">
            <v>8</v>
          </cell>
          <cell r="K4">
            <v>19744</v>
          </cell>
        </row>
        <row r="5">
          <cell r="J5">
            <v>9</v>
          </cell>
          <cell r="K5">
            <v>21211</v>
          </cell>
        </row>
        <row r="6">
          <cell r="J6">
            <v>10</v>
          </cell>
          <cell r="K6">
            <v>23176</v>
          </cell>
        </row>
        <row r="7">
          <cell r="J7">
            <v>11</v>
          </cell>
          <cell r="K7">
            <v>27000</v>
          </cell>
        </row>
        <row r="8">
          <cell r="J8">
            <v>12</v>
          </cell>
          <cell r="K8">
            <v>29165</v>
          </cell>
        </row>
        <row r="9">
          <cell r="J9">
            <v>13</v>
          </cell>
          <cell r="K9">
            <v>31320</v>
          </cell>
        </row>
        <row r="10">
          <cell r="J10">
            <v>14</v>
          </cell>
          <cell r="K10">
            <v>33843</v>
          </cell>
        </row>
        <row r="11">
          <cell r="J11">
            <v>15</v>
          </cell>
          <cell r="K11">
            <v>36619</v>
          </cell>
        </row>
        <row r="12">
          <cell r="J12">
            <v>16</v>
          </cell>
          <cell r="K12">
            <v>39672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3E47-202F-4309-A125-944845DA07A3}">
  <sheetPr codeName="Sheet1"/>
  <dimension ref="A1:BC1010"/>
  <sheetViews>
    <sheetView zoomScale="70" zoomScaleNormal="70" workbookViewId="0">
      <pane xSplit="5" ySplit="8" topLeftCell="AQ47" activePane="bottomRight" state="frozen"/>
      <selection activeCell="AY31" sqref="AY31"/>
      <selection pane="topRight" activeCell="AY31" sqref="AY31"/>
      <selection pane="bottomLeft" activeCell="AY31" sqref="AY31"/>
      <selection pane="bottomRight" activeCell="AY31" sqref="AY31"/>
    </sheetView>
  </sheetViews>
  <sheetFormatPr defaultColWidth="14.42578125" defaultRowHeight="15" customHeight="1" outlineLevelCol="1"/>
  <cols>
    <col min="1" max="1" width="5.28515625" customWidth="1"/>
    <col min="2" max="2" width="13.28515625" customWidth="1"/>
    <col min="3" max="4" width="13.5703125" customWidth="1"/>
    <col min="5" max="5" width="30.85546875" customWidth="1"/>
    <col min="6" max="6" width="8" customWidth="1"/>
    <col min="7" max="7" width="43.140625" customWidth="1"/>
    <col min="8" max="10" width="16.7109375" customWidth="1"/>
    <col min="11" max="12" width="16.7109375" hidden="1" customWidth="1"/>
    <col min="13" max="13" width="16.7109375" customWidth="1"/>
    <col min="14" max="17" width="17.5703125" customWidth="1"/>
    <col min="18" max="18" width="8.5703125" customWidth="1"/>
    <col min="19" max="19" width="19.140625" customWidth="1"/>
    <col min="20" max="22" width="9.140625" customWidth="1"/>
    <col min="23" max="25" width="15.28515625" customWidth="1"/>
    <col min="26" max="28" width="9.140625" customWidth="1"/>
    <col min="29" max="31" width="15.28515625" customWidth="1"/>
    <col min="32" max="34" width="9.140625" hidden="1" customWidth="1" outlineLevel="1"/>
    <col min="35" max="37" width="15.28515625" hidden="1" customWidth="1" outlineLevel="1"/>
    <col min="38" max="38" width="15.28515625" customWidth="1" collapsed="1"/>
    <col min="39" max="40" width="15.28515625" customWidth="1"/>
    <col min="41" max="41" width="18" customWidth="1"/>
    <col min="42" max="42" width="18.5703125" customWidth="1"/>
    <col min="43" max="43" width="32.85546875" customWidth="1"/>
    <col min="44" max="44" width="18.7109375" customWidth="1"/>
    <col min="45" max="46" width="15.140625" customWidth="1"/>
    <col min="47" max="52" width="18.5703125" customWidth="1"/>
    <col min="53" max="55" width="18.7109375" customWidth="1"/>
  </cols>
  <sheetData>
    <row r="1" spans="1:55" ht="28.5">
      <c r="A1" s="92"/>
      <c r="B1" s="93"/>
      <c r="C1" s="94"/>
      <c r="D1" s="95"/>
      <c r="E1" s="234"/>
      <c r="F1" s="96"/>
      <c r="H1" s="97"/>
      <c r="I1" s="97"/>
      <c r="J1" s="97"/>
      <c r="K1" s="97"/>
      <c r="L1" s="97"/>
      <c r="M1" s="97"/>
      <c r="N1" s="97"/>
      <c r="O1" s="97"/>
      <c r="P1" s="97"/>
      <c r="Q1" s="97"/>
      <c r="R1" s="98"/>
      <c r="S1" s="97"/>
      <c r="T1" s="99"/>
      <c r="U1" s="99"/>
      <c r="V1" s="99"/>
      <c r="W1" s="97"/>
      <c r="X1" s="97"/>
      <c r="Y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</row>
    <row r="2" spans="1:55" ht="26.25">
      <c r="A2" s="100" t="s">
        <v>24</v>
      </c>
      <c r="B2" s="93"/>
      <c r="C2" s="94"/>
      <c r="D2" s="95"/>
      <c r="E2" s="234"/>
      <c r="F2" s="96"/>
      <c r="H2" s="97"/>
      <c r="I2" s="97"/>
      <c r="J2" s="97"/>
      <c r="K2" s="97"/>
      <c r="L2" s="97"/>
      <c r="M2" s="97"/>
      <c r="N2" s="97"/>
      <c r="O2" s="97"/>
      <c r="P2" s="97"/>
      <c r="Q2" s="97"/>
      <c r="R2" s="98"/>
      <c r="S2" s="97"/>
      <c r="T2" s="99"/>
      <c r="U2" s="99"/>
      <c r="V2" s="99"/>
      <c r="W2" s="97"/>
      <c r="X2" s="97"/>
      <c r="Y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</row>
    <row r="3" spans="1:55" ht="21">
      <c r="A3" s="101" t="s">
        <v>25</v>
      </c>
      <c r="B3" s="93"/>
      <c r="C3" s="94"/>
      <c r="D3" s="95"/>
      <c r="E3" s="234"/>
      <c r="F3" s="96"/>
      <c r="H3" s="97"/>
      <c r="I3" s="97"/>
      <c r="J3" s="97"/>
      <c r="K3" s="97"/>
      <c r="L3" s="97"/>
      <c r="M3" s="97"/>
      <c r="N3" s="97"/>
      <c r="O3" s="97"/>
      <c r="P3" s="97"/>
      <c r="Q3" s="97"/>
      <c r="R3" s="98"/>
      <c r="S3" s="97"/>
      <c r="T3" s="99"/>
      <c r="U3" s="99"/>
      <c r="V3" s="99"/>
      <c r="W3" s="97"/>
      <c r="X3" s="97"/>
      <c r="Y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V3" s="97"/>
      <c r="AW3" s="97"/>
      <c r="AX3" s="97"/>
      <c r="AY3" s="97"/>
      <c r="AZ3" s="97"/>
      <c r="BA3" s="97"/>
      <c r="BB3" s="97"/>
      <c r="BC3" s="97"/>
    </row>
    <row r="4" spans="1:55" ht="18.75">
      <c r="A4" s="102" t="s">
        <v>316</v>
      </c>
      <c r="B4" s="93"/>
      <c r="C4" s="93"/>
      <c r="D4" s="95"/>
      <c r="E4" s="234"/>
      <c r="F4" s="96"/>
      <c r="H4" s="97"/>
      <c r="I4" s="97"/>
      <c r="J4" s="97"/>
      <c r="K4" s="97"/>
      <c r="L4" s="97"/>
      <c r="M4" s="97"/>
      <c r="N4" s="97"/>
      <c r="O4" s="97"/>
      <c r="P4" s="97"/>
      <c r="Q4" s="97"/>
      <c r="R4" s="98"/>
      <c r="S4" s="97"/>
      <c r="T4" s="99"/>
      <c r="U4" s="99"/>
      <c r="V4" s="99"/>
      <c r="W4" s="97"/>
      <c r="X4" s="97"/>
      <c r="Y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</row>
    <row r="5" spans="1:55">
      <c r="B5" s="93"/>
      <c r="C5" s="94"/>
      <c r="D5" s="95"/>
      <c r="E5" s="234"/>
      <c r="F5" s="96"/>
      <c r="H5" s="97"/>
      <c r="I5" s="97"/>
      <c r="J5" s="97"/>
      <c r="K5" s="97"/>
      <c r="L5" s="97"/>
      <c r="M5" s="97"/>
      <c r="N5" s="97"/>
      <c r="O5" s="97"/>
      <c r="P5" s="97"/>
      <c r="Q5" s="97"/>
      <c r="R5" s="98"/>
      <c r="S5" s="97"/>
      <c r="T5" s="99"/>
      <c r="U5" s="99"/>
      <c r="V5" s="99"/>
      <c r="W5" s="97"/>
      <c r="X5" s="97"/>
      <c r="Y5" s="97"/>
      <c r="Z5" s="235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</row>
    <row r="6" spans="1:55" ht="14.25" customHeight="1">
      <c r="A6" s="322" t="s">
        <v>26</v>
      </c>
      <c r="B6" s="331" t="s">
        <v>27</v>
      </c>
      <c r="C6" s="332" t="s">
        <v>28</v>
      </c>
      <c r="D6" s="104"/>
      <c r="E6" s="333" t="s">
        <v>29</v>
      </c>
      <c r="F6" s="322" t="s">
        <v>30</v>
      </c>
      <c r="G6" s="322" t="s">
        <v>31</v>
      </c>
      <c r="H6" s="325" t="s">
        <v>32</v>
      </c>
      <c r="I6" s="325" t="s">
        <v>33</v>
      </c>
      <c r="J6" s="326" t="s">
        <v>173</v>
      </c>
      <c r="K6" s="327" t="s">
        <v>164</v>
      </c>
      <c r="L6" s="328"/>
      <c r="M6" s="344" t="s">
        <v>35</v>
      </c>
      <c r="N6" s="344" t="s">
        <v>36</v>
      </c>
      <c r="O6" s="344" t="s">
        <v>37</v>
      </c>
      <c r="P6" s="344" t="s">
        <v>38</v>
      </c>
      <c r="Q6" s="344" t="s">
        <v>39</v>
      </c>
      <c r="R6" s="348" t="s">
        <v>40</v>
      </c>
      <c r="S6" s="336" t="s">
        <v>41</v>
      </c>
      <c r="T6" s="349" t="s">
        <v>239</v>
      </c>
      <c r="U6" s="341"/>
      <c r="V6" s="335"/>
      <c r="W6" s="349" t="str">
        <f>T6</f>
        <v>02-01-15-2026</v>
      </c>
      <c r="X6" s="341"/>
      <c r="Y6" s="335"/>
      <c r="Z6" s="346" t="s">
        <v>316</v>
      </c>
      <c r="AA6" s="341"/>
      <c r="AB6" s="335"/>
      <c r="AC6" s="346" t="str">
        <f>Z6</f>
        <v>02-16-28-2026</v>
      </c>
      <c r="AD6" s="341"/>
      <c r="AE6" s="335"/>
      <c r="AF6" s="340"/>
      <c r="AG6" s="341"/>
      <c r="AH6" s="335"/>
      <c r="AI6" s="340"/>
      <c r="AJ6" s="341"/>
      <c r="AK6" s="335"/>
      <c r="AL6" s="342"/>
      <c r="AM6" s="341"/>
      <c r="AN6" s="335"/>
      <c r="AO6" s="344" t="s">
        <v>43</v>
      </c>
      <c r="AP6" s="343" t="s">
        <v>44</v>
      </c>
      <c r="AQ6" s="335"/>
      <c r="AR6" s="344" t="s">
        <v>12</v>
      </c>
      <c r="AS6" s="339" t="s">
        <v>45</v>
      </c>
      <c r="AT6" s="335"/>
      <c r="AU6" s="105" t="s">
        <v>46</v>
      </c>
      <c r="AV6" s="105"/>
      <c r="AW6" s="105"/>
      <c r="AX6" s="105"/>
      <c r="AY6" s="336" t="s">
        <v>47</v>
      </c>
      <c r="AZ6" s="336" t="s">
        <v>48</v>
      </c>
      <c r="BA6" s="345"/>
      <c r="BB6" s="236"/>
      <c r="BC6" s="237"/>
    </row>
    <row r="7" spans="1:55" ht="14.25" customHeight="1">
      <c r="A7" s="323"/>
      <c r="B7" s="323"/>
      <c r="C7" s="323"/>
      <c r="D7" s="107"/>
      <c r="E7" s="323"/>
      <c r="F7" s="323"/>
      <c r="G7" s="323"/>
      <c r="H7" s="323"/>
      <c r="I7" s="323"/>
      <c r="J7" s="323"/>
      <c r="K7" s="329"/>
      <c r="L7" s="330"/>
      <c r="M7" s="323"/>
      <c r="N7" s="323"/>
      <c r="O7" s="323"/>
      <c r="P7" s="323"/>
      <c r="Q7" s="323"/>
      <c r="R7" s="323"/>
      <c r="S7" s="323"/>
      <c r="T7" s="238" t="s">
        <v>50</v>
      </c>
      <c r="U7" s="239" t="s">
        <v>49</v>
      </c>
      <c r="V7" s="239"/>
      <c r="W7" s="238" t="s">
        <v>50</v>
      </c>
      <c r="X7" s="334" t="s">
        <v>49</v>
      </c>
      <c r="Y7" s="335"/>
      <c r="Z7" s="110" t="s">
        <v>50</v>
      </c>
      <c r="AA7" s="111" t="s">
        <v>49</v>
      </c>
      <c r="AB7" s="111"/>
      <c r="AC7" s="110" t="s">
        <v>50</v>
      </c>
      <c r="AD7" s="347" t="s">
        <v>49</v>
      </c>
      <c r="AE7" s="335"/>
      <c r="AF7" s="240"/>
      <c r="AG7" s="240" t="s">
        <v>49</v>
      </c>
      <c r="AH7" s="240"/>
      <c r="AI7" s="241" t="s">
        <v>50</v>
      </c>
      <c r="AJ7" s="240" t="s">
        <v>49</v>
      </c>
      <c r="AK7" s="240"/>
      <c r="AL7" s="115"/>
      <c r="AM7" s="337" t="s">
        <v>49</v>
      </c>
      <c r="AN7" s="335"/>
      <c r="AO7" s="323"/>
      <c r="AP7" s="338" t="s">
        <v>225</v>
      </c>
      <c r="AQ7" s="338" t="s">
        <v>48</v>
      </c>
      <c r="AR7" s="323"/>
      <c r="AS7" s="242" t="s">
        <v>51</v>
      </c>
      <c r="AT7" s="242" t="s">
        <v>52</v>
      </c>
      <c r="AU7" s="338" t="s">
        <v>53</v>
      </c>
      <c r="AV7" s="338" t="s">
        <v>54</v>
      </c>
      <c r="AW7" s="338" t="s">
        <v>55</v>
      </c>
      <c r="AX7" s="338" t="s">
        <v>165</v>
      </c>
      <c r="AY7" s="323"/>
      <c r="AZ7" s="323"/>
      <c r="BA7" s="323"/>
      <c r="BB7" s="243"/>
      <c r="BC7" s="237"/>
    </row>
    <row r="8" spans="1:55">
      <c r="A8" s="324"/>
      <c r="B8" s="324"/>
      <c r="C8" s="324"/>
      <c r="D8" s="118"/>
      <c r="E8" s="324"/>
      <c r="F8" s="324"/>
      <c r="G8" s="324"/>
      <c r="H8" s="324"/>
      <c r="I8" s="324"/>
      <c r="J8" s="324"/>
      <c r="K8" s="119" t="s">
        <v>56</v>
      </c>
      <c r="L8" s="119" t="s">
        <v>57</v>
      </c>
      <c r="M8" s="324"/>
      <c r="N8" s="324"/>
      <c r="O8" s="324"/>
      <c r="P8" s="324"/>
      <c r="Q8" s="324"/>
      <c r="R8" s="324"/>
      <c r="S8" s="324"/>
      <c r="T8" s="244" t="s">
        <v>7</v>
      </c>
      <c r="U8" s="244" t="s">
        <v>58</v>
      </c>
      <c r="V8" s="244" t="s">
        <v>59</v>
      </c>
      <c r="W8" s="245" t="s">
        <v>7</v>
      </c>
      <c r="X8" s="245" t="s">
        <v>58</v>
      </c>
      <c r="Y8" s="245" t="s">
        <v>59</v>
      </c>
      <c r="Z8" s="122" t="s">
        <v>7</v>
      </c>
      <c r="AA8" s="122" t="s">
        <v>58</v>
      </c>
      <c r="AB8" s="122" t="s">
        <v>59</v>
      </c>
      <c r="AC8" s="123" t="s">
        <v>7</v>
      </c>
      <c r="AD8" s="123" t="s">
        <v>58</v>
      </c>
      <c r="AE8" s="123" t="s">
        <v>59</v>
      </c>
      <c r="AF8" s="125" t="s">
        <v>7</v>
      </c>
      <c r="AG8" s="125" t="s">
        <v>58</v>
      </c>
      <c r="AH8" s="125" t="s">
        <v>59</v>
      </c>
      <c r="AI8" s="125" t="s">
        <v>7</v>
      </c>
      <c r="AJ8" s="125" t="s">
        <v>58</v>
      </c>
      <c r="AK8" s="125" t="s">
        <v>59</v>
      </c>
      <c r="AL8" s="126" t="s">
        <v>7</v>
      </c>
      <c r="AM8" s="126" t="s">
        <v>58</v>
      </c>
      <c r="AN8" s="126" t="s">
        <v>59</v>
      </c>
      <c r="AO8" s="324"/>
      <c r="AP8" s="324"/>
      <c r="AQ8" s="324"/>
      <c r="AR8" s="324"/>
      <c r="AS8" s="128">
        <v>0.02</v>
      </c>
      <c r="AT8" s="128">
        <v>0.1</v>
      </c>
      <c r="AU8" s="324"/>
      <c r="AV8" s="324"/>
      <c r="AW8" s="324"/>
      <c r="AX8" s="324"/>
      <c r="AY8" s="324"/>
      <c r="AZ8" s="324"/>
      <c r="BA8" s="324"/>
      <c r="BB8" s="246"/>
      <c r="BC8" s="237"/>
    </row>
    <row r="9" spans="1:55" ht="18" customHeight="1">
      <c r="A9" s="129" t="s">
        <v>60</v>
      </c>
      <c r="B9" s="130">
        <v>2</v>
      </c>
      <c r="C9" s="130">
        <v>3</v>
      </c>
      <c r="D9" s="129" t="s">
        <v>61</v>
      </c>
      <c r="E9" s="247">
        <v>5</v>
      </c>
      <c r="F9" s="132">
        <v>6</v>
      </c>
      <c r="G9" s="132">
        <v>7</v>
      </c>
      <c r="H9" s="129" t="s">
        <v>62</v>
      </c>
      <c r="I9" s="132"/>
      <c r="J9" s="132"/>
      <c r="K9" s="132"/>
      <c r="L9" s="132" t="s">
        <v>63</v>
      </c>
      <c r="M9" s="132" t="s">
        <v>64</v>
      </c>
      <c r="N9" s="132" t="s">
        <v>65</v>
      </c>
      <c r="O9" s="132" t="s">
        <v>66</v>
      </c>
      <c r="P9" s="132" t="s">
        <v>67</v>
      </c>
      <c r="Q9" s="132" t="s">
        <v>68</v>
      </c>
      <c r="R9" s="132" t="s">
        <v>69</v>
      </c>
      <c r="S9" s="132" t="s">
        <v>70</v>
      </c>
      <c r="T9" s="132" t="s">
        <v>71</v>
      </c>
      <c r="U9" s="132" t="s">
        <v>72</v>
      </c>
      <c r="V9" s="132" t="s">
        <v>73</v>
      </c>
      <c r="W9" s="132" t="s">
        <v>74</v>
      </c>
      <c r="X9" s="132" t="s">
        <v>75</v>
      </c>
      <c r="Y9" s="132" t="s">
        <v>76</v>
      </c>
      <c r="Z9" s="132" t="s">
        <v>77</v>
      </c>
      <c r="AA9" s="132" t="s">
        <v>78</v>
      </c>
      <c r="AB9" s="132" t="s">
        <v>79</v>
      </c>
      <c r="AC9" s="132" t="s">
        <v>80</v>
      </c>
      <c r="AD9" s="132" t="s">
        <v>81</v>
      </c>
      <c r="AE9" s="132" t="s">
        <v>82</v>
      </c>
      <c r="AF9" s="132" t="s">
        <v>77</v>
      </c>
      <c r="AG9" s="132" t="s">
        <v>78</v>
      </c>
      <c r="AH9" s="132" t="s">
        <v>79</v>
      </c>
      <c r="AI9" s="132"/>
      <c r="AJ9" s="132" t="s">
        <v>81</v>
      </c>
      <c r="AK9" s="132" t="s">
        <v>82</v>
      </c>
      <c r="AL9" s="132"/>
      <c r="AM9" s="132" t="s">
        <v>84</v>
      </c>
      <c r="AN9" s="132" t="s">
        <v>85</v>
      </c>
      <c r="AO9" s="132" t="s">
        <v>86</v>
      </c>
      <c r="AP9" s="132" t="s">
        <v>87</v>
      </c>
      <c r="AQ9" s="132" t="s">
        <v>88</v>
      </c>
      <c r="AR9" s="132" t="s">
        <v>89</v>
      </c>
      <c r="AS9" s="132" t="s">
        <v>90</v>
      </c>
      <c r="AT9" s="132" t="s">
        <v>91</v>
      </c>
      <c r="AU9" s="132" t="s">
        <v>92</v>
      </c>
      <c r="AV9" s="132" t="s">
        <v>93</v>
      </c>
      <c r="AW9" s="132"/>
      <c r="AX9" s="132" t="s">
        <v>94</v>
      </c>
      <c r="AY9" s="132" t="s">
        <v>95</v>
      </c>
      <c r="AZ9" s="132">
        <v>43</v>
      </c>
      <c r="BA9" s="248"/>
      <c r="BB9" s="249"/>
      <c r="BC9" s="249"/>
    </row>
    <row r="10" spans="1:55">
      <c r="A10" s="140">
        <f t="shared" ref="A10:A75" si="0">IF(B10="","",COUNTA($B$10:B10))</f>
        <v>1</v>
      </c>
      <c r="B10" s="136" t="s">
        <v>253</v>
      </c>
      <c r="C10" s="162">
        <v>46036</v>
      </c>
      <c r="D10" s="138"/>
      <c r="E10" s="171" t="s">
        <v>96</v>
      </c>
      <c r="F10" s="140" t="s">
        <v>97</v>
      </c>
      <c r="G10" s="139" t="s">
        <v>17</v>
      </c>
      <c r="H10" s="141">
        <f>IF(AZ10="Payroll",VLOOKUP(E10,'[2]CODE 2'!$R:$S,2,FALSE),"0")</f>
        <v>8</v>
      </c>
      <c r="I10" s="142" t="s">
        <v>254</v>
      </c>
      <c r="J10" s="142" t="s">
        <v>174</v>
      </c>
      <c r="K10" s="250"/>
      <c r="L10" s="251"/>
      <c r="M10" s="204">
        <f>IFERROR(VLOOKUP($H10,'[2]CODE 2'!$J:$K,2,FALSE)," ")</f>
        <v>19744</v>
      </c>
      <c r="N10" s="145">
        <f t="shared" ref="N10:N75" si="1">IFERROR(ROUND((M10/2),2),"")</f>
        <v>9872</v>
      </c>
      <c r="O10" s="145">
        <f t="shared" ref="O10:O75" si="2">IFERROR((M10/22)," ")</f>
        <v>897.4545454545455</v>
      </c>
      <c r="P10" s="145">
        <f t="shared" ref="P10:P75" si="3">IFERROR((O10/8),"")</f>
        <v>112.18181818181819</v>
      </c>
      <c r="Q10" s="145">
        <f t="shared" ref="Q10:Q75" si="4">IFERROR((P10/60),"")</f>
        <v>1.8696969696969699</v>
      </c>
      <c r="R10" s="146" t="str">
        <f>IF(AZ10="Payroll","11","")</f>
        <v>11</v>
      </c>
      <c r="S10" s="145">
        <f t="shared" ref="S10:S75" si="5">IFERROR(ROUND((O10*R10),2)," ")</f>
        <v>9872</v>
      </c>
      <c r="T10" s="252">
        <v>0</v>
      </c>
      <c r="U10" s="252">
        <v>0</v>
      </c>
      <c r="V10" s="252">
        <v>0</v>
      </c>
      <c r="W10" s="253">
        <f t="shared" ref="W10:W27" si="6">IFERROR(ROUND(($O10*$T10),2)," ")</f>
        <v>0</v>
      </c>
      <c r="X10" s="253">
        <f t="shared" ref="X10:X76" si="7">IFERROR(ROUND(($P10*$U10),2),"")</f>
        <v>0</v>
      </c>
      <c r="Y10" s="253">
        <f t="shared" ref="Y10:Y76" si="8">IFERROR(ROUND(($Q10*$V10),2),"")</f>
        <v>0</v>
      </c>
      <c r="Z10" s="149"/>
      <c r="AA10" s="149"/>
      <c r="AB10" s="149"/>
      <c r="AC10" s="150">
        <f t="shared" ref="AC10:AC75" si="9">IFERROR(ROUND(($O10*$Z10),2)," ")</f>
        <v>0</v>
      </c>
      <c r="AD10" s="150">
        <f t="shared" ref="AD10:AD75" si="10">IFERROR(ROUND(($P10*$AA10),2),"")</f>
        <v>0</v>
      </c>
      <c r="AE10" s="150">
        <f t="shared" ref="AE10:AE75" si="11">IFERROR(ROUND(($Q10*$AB10),2),"")</f>
        <v>0</v>
      </c>
      <c r="AF10" s="193"/>
      <c r="AG10" s="193"/>
      <c r="AH10" s="193"/>
      <c r="AI10" s="214">
        <f t="shared" ref="AI10:AI76" si="12">IFERROR(ROUND(($O10*$AF10),2)," ")</f>
        <v>0</v>
      </c>
      <c r="AJ10" s="214">
        <f t="shared" ref="AJ10:AJ76" si="13">IFERROR(ROUND(($P10*$AG10),2),"")</f>
        <v>0</v>
      </c>
      <c r="AK10" s="214">
        <f t="shared" ref="AK10:AK76" si="14">IFERROR(ROUND(($Q10*$AH10),2),"")</f>
        <v>0</v>
      </c>
      <c r="AL10" s="154">
        <f t="shared" ref="AL10:AL76" si="15">IFERROR(ROUND(($W10+$AC10+$AI10),2),"")</f>
        <v>0</v>
      </c>
      <c r="AM10" s="154">
        <f t="shared" ref="AM10:AM76" si="16">IFERROR(ROUND(($X10+$AD10+$AJ10),2),"")</f>
        <v>0</v>
      </c>
      <c r="AN10" s="154">
        <f t="shared" ref="AN10:AN76" si="17">IFERROR(ROUND(($Y10+$AE10+$AK10),2),"")</f>
        <v>0</v>
      </c>
      <c r="AO10" s="145">
        <f t="shared" ref="AO10:AO76" si="18">SUM(AL10:AN10)</f>
        <v>0</v>
      </c>
      <c r="AP10" s="155"/>
      <c r="AQ10" s="155"/>
      <c r="AR10" s="145">
        <f t="shared" ref="AR10:AR37" si="19">IFERROR(ROUND((S10-AO10-AP10),2),"")</f>
        <v>9872</v>
      </c>
      <c r="AS10" s="145"/>
      <c r="AT10" s="145"/>
      <c r="AU10" s="155"/>
      <c r="AV10" s="155"/>
      <c r="AW10" s="155"/>
      <c r="AX10" s="155"/>
      <c r="AY10" s="145">
        <f t="shared" ref="AY10:AY75" si="20">IFERROR(ROUND((AR10-AS10-AT10-AU10-AV10-AW10-AX10),2),"")</f>
        <v>9872</v>
      </c>
      <c r="AZ10" s="145" t="s">
        <v>99</v>
      </c>
      <c r="BA10" s="145" t="s">
        <v>230</v>
      </c>
      <c r="BB10" s="190"/>
      <c r="BC10" s="190"/>
    </row>
    <row r="11" spans="1:55">
      <c r="A11" s="140">
        <f t="shared" si="0"/>
        <v>2</v>
      </c>
      <c r="B11" s="136" t="s">
        <v>255</v>
      </c>
      <c r="C11" s="162">
        <v>46036</v>
      </c>
      <c r="D11" s="138"/>
      <c r="E11" s="171" t="s">
        <v>176</v>
      </c>
      <c r="F11" s="140" t="s">
        <v>97</v>
      </c>
      <c r="G11" s="139" t="s">
        <v>213</v>
      </c>
      <c r="H11" s="141">
        <f>IF(AZ11="Payroll",VLOOKUP(E11,'[2]CODE 2'!$R:$S,2,FALSE),"0")</f>
        <v>11</v>
      </c>
      <c r="I11" s="142" t="s">
        <v>254</v>
      </c>
      <c r="J11" s="142" t="s">
        <v>174</v>
      </c>
      <c r="K11" s="254"/>
      <c r="L11" s="255"/>
      <c r="M11" s="204">
        <f>IFERROR(VLOOKUP($H11,'[2]CODE 2'!$J:$K,2,FALSE)," ")</f>
        <v>27000</v>
      </c>
      <c r="N11" s="145">
        <f t="shared" si="1"/>
        <v>13500</v>
      </c>
      <c r="O11" s="145">
        <f t="shared" si="2"/>
        <v>1227.2727272727273</v>
      </c>
      <c r="P11" s="145">
        <f t="shared" si="3"/>
        <v>153.40909090909091</v>
      </c>
      <c r="Q11" s="145">
        <f t="shared" si="4"/>
        <v>2.5568181818181817</v>
      </c>
      <c r="R11" s="146">
        <v>11</v>
      </c>
      <c r="S11" s="145">
        <f t="shared" si="5"/>
        <v>13500</v>
      </c>
      <c r="T11" s="252">
        <v>0</v>
      </c>
      <c r="U11" s="252">
        <v>0</v>
      </c>
      <c r="V11" s="252">
        <v>0</v>
      </c>
      <c r="W11" s="253">
        <f t="shared" si="6"/>
        <v>0</v>
      </c>
      <c r="X11" s="253">
        <f t="shared" si="7"/>
        <v>0</v>
      </c>
      <c r="Y11" s="253">
        <f t="shared" si="8"/>
        <v>0</v>
      </c>
      <c r="Z11" s="149"/>
      <c r="AA11" s="149"/>
      <c r="AB11" s="149"/>
      <c r="AC11" s="150">
        <f t="shared" si="9"/>
        <v>0</v>
      </c>
      <c r="AD11" s="150">
        <f t="shared" si="10"/>
        <v>0</v>
      </c>
      <c r="AE11" s="150">
        <f t="shared" si="11"/>
        <v>0</v>
      </c>
      <c r="AF11" s="193"/>
      <c r="AG11" s="193"/>
      <c r="AH11" s="193"/>
      <c r="AI11" s="214">
        <f t="shared" si="12"/>
        <v>0</v>
      </c>
      <c r="AJ11" s="214">
        <f t="shared" si="13"/>
        <v>0</v>
      </c>
      <c r="AK11" s="214">
        <f t="shared" si="14"/>
        <v>0</v>
      </c>
      <c r="AL11" s="154">
        <f t="shared" si="15"/>
        <v>0</v>
      </c>
      <c r="AM11" s="154">
        <f t="shared" si="16"/>
        <v>0</v>
      </c>
      <c r="AN11" s="154">
        <f t="shared" si="17"/>
        <v>0</v>
      </c>
      <c r="AO11" s="145">
        <f t="shared" si="18"/>
        <v>0</v>
      </c>
      <c r="AP11" s="155"/>
      <c r="AQ11" s="155"/>
      <c r="AR11" s="145">
        <f t="shared" si="19"/>
        <v>13500</v>
      </c>
      <c r="AS11" s="145"/>
      <c r="AT11" s="145"/>
      <c r="AU11" s="155"/>
      <c r="AV11" s="155"/>
      <c r="AW11" s="155"/>
      <c r="AX11" s="155"/>
      <c r="AY11" s="145">
        <f t="shared" si="20"/>
        <v>13500</v>
      </c>
      <c r="AZ11" s="145" t="s">
        <v>99</v>
      </c>
      <c r="BA11" s="145" t="s">
        <v>217</v>
      </c>
      <c r="BB11" s="190"/>
      <c r="BC11" s="190"/>
    </row>
    <row r="12" spans="1:55">
      <c r="A12" s="140">
        <f t="shared" si="0"/>
        <v>3</v>
      </c>
      <c r="B12" s="136" t="s">
        <v>256</v>
      </c>
      <c r="C12" s="162">
        <v>46036</v>
      </c>
      <c r="D12" s="138"/>
      <c r="E12" s="171" t="s">
        <v>212</v>
      </c>
      <c r="F12" s="140" t="s">
        <v>97</v>
      </c>
      <c r="G12" s="139" t="s">
        <v>141</v>
      </c>
      <c r="H12" s="141">
        <v>15</v>
      </c>
      <c r="I12" s="142" t="s">
        <v>254</v>
      </c>
      <c r="J12" s="142" t="s">
        <v>174</v>
      </c>
      <c r="K12" s="254"/>
      <c r="L12" s="255"/>
      <c r="M12" s="204">
        <f>IFERROR(VLOOKUP($H12,'[2]CODE 2'!$J:$K,2,FALSE)," ")</f>
        <v>36619</v>
      </c>
      <c r="N12" s="145">
        <f t="shared" si="1"/>
        <v>18309.5</v>
      </c>
      <c r="O12" s="145">
        <f t="shared" si="2"/>
        <v>1664.5</v>
      </c>
      <c r="P12" s="145">
        <f t="shared" si="3"/>
        <v>208.0625</v>
      </c>
      <c r="Q12" s="145">
        <f t="shared" si="4"/>
        <v>3.4677083333333334</v>
      </c>
      <c r="R12" s="146">
        <v>11</v>
      </c>
      <c r="S12" s="145">
        <f t="shared" si="5"/>
        <v>18309.5</v>
      </c>
      <c r="T12" s="252">
        <v>0</v>
      </c>
      <c r="U12" s="252">
        <v>0</v>
      </c>
      <c r="V12" s="252">
        <v>0</v>
      </c>
      <c r="W12" s="253">
        <f t="shared" si="6"/>
        <v>0</v>
      </c>
      <c r="X12" s="253">
        <f t="shared" si="7"/>
        <v>0</v>
      </c>
      <c r="Y12" s="253">
        <f t="shared" si="8"/>
        <v>0</v>
      </c>
      <c r="Z12" s="149"/>
      <c r="AA12" s="149"/>
      <c r="AB12" s="149"/>
      <c r="AC12" s="150">
        <f t="shared" si="9"/>
        <v>0</v>
      </c>
      <c r="AD12" s="150">
        <f t="shared" si="10"/>
        <v>0</v>
      </c>
      <c r="AE12" s="150">
        <f t="shared" si="11"/>
        <v>0</v>
      </c>
      <c r="AF12" s="193"/>
      <c r="AG12" s="193"/>
      <c r="AH12" s="193"/>
      <c r="AI12" s="214">
        <f t="shared" si="12"/>
        <v>0</v>
      </c>
      <c r="AJ12" s="214">
        <f t="shared" si="13"/>
        <v>0</v>
      </c>
      <c r="AK12" s="214">
        <f t="shared" si="14"/>
        <v>0</v>
      </c>
      <c r="AL12" s="154">
        <f t="shared" si="15"/>
        <v>0</v>
      </c>
      <c r="AM12" s="154">
        <f t="shared" si="16"/>
        <v>0</v>
      </c>
      <c r="AN12" s="154">
        <f t="shared" si="17"/>
        <v>0</v>
      </c>
      <c r="AO12" s="145">
        <f t="shared" si="18"/>
        <v>0</v>
      </c>
      <c r="AP12" s="155"/>
      <c r="AQ12" s="155"/>
      <c r="AR12" s="145">
        <f t="shared" si="19"/>
        <v>18309.5</v>
      </c>
      <c r="AS12" s="145"/>
      <c r="AT12" s="145"/>
      <c r="AU12" s="155"/>
      <c r="AV12" s="155"/>
      <c r="AW12" s="155"/>
      <c r="AX12" s="155"/>
      <c r="AY12" s="145">
        <f t="shared" si="20"/>
        <v>18309.5</v>
      </c>
      <c r="AZ12" s="145" t="s">
        <v>99</v>
      </c>
      <c r="BA12" s="145" t="s">
        <v>133</v>
      </c>
      <c r="BB12" s="190"/>
      <c r="BC12" s="190"/>
    </row>
    <row r="13" spans="1:55">
      <c r="A13" s="140">
        <f t="shared" si="0"/>
        <v>4</v>
      </c>
      <c r="B13" s="136" t="s">
        <v>242</v>
      </c>
      <c r="C13" s="162">
        <v>46035</v>
      </c>
      <c r="D13" s="138"/>
      <c r="E13" s="256" t="s">
        <v>233</v>
      </c>
      <c r="F13" s="257" t="s">
        <v>97</v>
      </c>
      <c r="G13" s="258" t="s">
        <v>213</v>
      </c>
      <c r="H13" s="259" t="str">
        <f>IF(AZ13="Payroll",VLOOKUP(E13,'[2]CODE 2'!$R:$S,2,FALSE),"0")</f>
        <v>0</v>
      </c>
      <c r="I13" s="260" t="s">
        <v>195</v>
      </c>
      <c r="J13" s="260" t="s">
        <v>174</v>
      </c>
      <c r="K13" s="261"/>
      <c r="L13" s="262"/>
      <c r="M13" s="263" t="str">
        <f>IFERROR(VLOOKUP($H13,'[2]CODE 2'!$J:$K,2,FALSE)," ")</f>
        <v xml:space="preserve"> </v>
      </c>
      <c r="N13" s="264" t="str">
        <f t="shared" si="1"/>
        <v/>
      </c>
      <c r="O13" s="264" t="str">
        <f t="shared" si="2"/>
        <v xml:space="preserve"> </v>
      </c>
      <c r="P13" s="264" t="str">
        <f t="shared" si="3"/>
        <v/>
      </c>
      <c r="Q13" s="264" t="str">
        <f t="shared" si="4"/>
        <v/>
      </c>
      <c r="R13" s="265">
        <v>11</v>
      </c>
      <c r="S13" s="264" t="str">
        <f t="shared" si="5"/>
        <v xml:space="preserve"> </v>
      </c>
      <c r="T13" s="252">
        <v>0</v>
      </c>
      <c r="U13" s="252">
        <v>0</v>
      </c>
      <c r="V13" s="252">
        <v>0</v>
      </c>
      <c r="W13" s="253" t="str">
        <f t="shared" si="6"/>
        <v xml:space="preserve"> </v>
      </c>
      <c r="X13" s="253" t="str">
        <f t="shared" si="7"/>
        <v/>
      </c>
      <c r="Y13" s="253" t="str">
        <f t="shared" si="8"/>
        <v/>
      </c>
      <c r="Z13" s="149"/>
      <c r="AA13" s="149"/>
      <c r="AB13" s="149"/>
      <c r="AC13" s="150" t="str">
        <f t="shared" si="9"/>
        <v xml:space="preserve"> </v>
      </c>
      <c r="AD13" s="150" t="str">
        <f t="shared" si="10"/>
        <v/>
      </c>
      <c r="AE13" s="150" t="str">
        <f t="shared" si="11"/>
        <v/>
      </c>
      <c r="AF13" s="193"/>
      <c r="AG13" s="193"/>
      <c r="AH13" s="193"/>
      <c r="AI13" s="214" t="str">
        <f t="shared" si="12"/>
        <v xml:space="preserve"> </v>
      </c>
      <c r="AJ13" s="214" t="str">
        <f t="shared" si="13"/>
        <v/>
      </c>
      <c r="AK13" s="214" t="str">
        <f t="shared" si="14"/>
        <v/>
      </c>
      <c r="AL13" s="154" t="str">
        <f t="shared" si="15"/>
        <v/>
      </c>
      <c r="AM13" s="154" t="str">
        <f t="shared" si="16"/>
        <v/>
      </c>
      <c r="AN13" s="154" t="str">
        <f t="shared" si="17"/>
        <v/>
      </c>
      <c r="AO13" s="145">
        <f t="shared" si="18"/>
        <v>0</v>
      </c>
      <c r="AP13" s="155"/>
      <c r="AQ13" s="155"/>
      <c r="AR13" s="145" t="str">
        <f t="shared" si="19"/>
        <v/>
      </c>
      <c r="AS13" s="145"/>
      <c r="AT13" s="145"/>
      <c r="AU13" s="155"/>
      <c r="AV13" s="155"/>
      <c r="AW13" s="155"/>
      <c r="AX13" s="155"/>
      <c r="AY13" s="145" t="str">
        <f t="shared" si="20"/>
        <v/>
      </c>
      <c r="AZ13" s="145" t="s">
        <v>188</v>
      </c>
      <c r="BA13" s="145" t="s">
        <v>222</v>
      </c>
      <c r="BB13" s="190"/>
      <c r="BC13" s="190"/>
    </row>
    <row r="14" spans="1:55">
      <c r="A14" s="140">
        <f t="shared" si="0"/>
        <v>5</v>
      </c>
      <c r="B14" s="136" t="s">
        <v>257</v>
      </c>
      <c r="C14" s="162">
        <v>46036</v>
      </c>
      <c r="D14" s="138"/>
      <c r="E14" s="171" t="s">
        <v>100</v>
      </c>
      <c r="F14" s="140" t="s">
        <v>18</v>
      </c>
      <c r="G14" s="139" t="s">
        <v>17</v>
      </c>
      <c r="H14" s="141">
        <f>IF(AZ14="Payroll",VLOOKUP(E14,'[2]CODE 2'!$R:$S,2,FALSE),"0")</f>
        <v>8</v>
      </c>
      <c r="I14" s="142" t="s">
        <v>254</v>
      </c>
      <c r="J14" s="142" t="s">
        <v>174</v>
      </c>
      <c r="K14" s="254"/>
      <c r="L14" s="255"/>
      <c r="M14" s="204">
        <f>IFERROR(VLOOKUP($H14,'[2]CODE 2'!$J:$K,2,FALSE)," ")</f>
        <v>19744</v>
      </c>
      <c r="N14" s="145">
        <f t="shared" si="1"/>
        <v>9872</v>
      </c>
      <c r="O14" s="145">
        <f t="shared" si="2"/>
        <v>897.4545454545455</v>
      </c>
      <c r="P14" s="145">
        <f t="shared" si="3"/>
        <v>112.18181818181819</v>
      </c>
      <c r="Q14" s="145">
        <f t="shared" si="4"/>
        <v>1.8696969696969699</v>
      </c>
      <c r="R14" s="146" t="str">
        <f t="shared" ref="R14:R30" si="21">IF(AZ14="Payroll","11","")</f>
        <v>11</v>
      </c>
      <c r="S14" s="145">
        <f t="shared" si="5"/>
        <v>9872</v>
      </c>
      <c r="T14" s="252">
        <v>0</v>
      </c>
      <c r="U14" s="252">
        <v>0</v>
      </c>
      <c r="V14" s="252">
        <v>0</v>
      </c>
      <c r="W14" s="253">
        <f t="shared" si="6"/>
        <v>0</v>
      </c>
      <c r="X14" s="253">
        <f t="shared" si="7"/>
        <v>0</v>
      </c>
      <c r="Y14" s="253">
        <f t="shared" si="8"/>
        <v>0</v>
      </c>
      <c r="Z14" s="149"/>
      <c r="AA14" s="149"/>
      <c r="AB14" s="149"/>
      <c r="AC14" s="150">
        <f t="shared" si="9"/>
        <v>0</v>
      </c>
      <c r="AD14" s="150">
        <f t="shared" si="10"/>
        <v>0</v>
      </c>
      <c r="AE14" s="150">
        <f t="shared" si="11"/>
        <v>0</v>
      </c>
      <c r="AF14" s="193"/>
      <c r="AG14" s="193"/>
      <c r="AH14" s="193"/>
      <c r="AI14" s="214">
        <f t="shared" si="12"/>
        <v>0</v>
      </c>
      <c r="AJ14" s="214">
        <f t="shared" si="13"/>
        <v>0</v>
      </c>
      <c r="AK14" s="214">
        <f t="shared" si="14"/>
        <v>0</v>
      </c>
      <c r="AL14" s="154">
        <f t="shared" si="15"/>
        <v>0</v>
      </c>
      <c r="AM14" s="154">
        <f t="shared" si="16"/>
        <v>0</v>
      </c>
      <c r="AN14" s="154">
        <f t="shared" si="17"/>
        <v>0</v>
      </c>
      <c r="AO14" s="145">
        <f t="shared" si="18"/>
        <v>0</v>
      </c>
      <c r="AP14" s="155"/>
      <c r="AQ14" s="155"/>
      <c r="AR14" s="145">
        <f t="shared" si="19"/>
        <v>9872</v>
      </c>
      <c r="AS14" s="266"/>
      <c r="AT14" s="145"/>
      <c r="AU14" s="155">
        <v>2000</v>
      </c>
      <c r="AV14" s="155">
        <v>395.48</v>
      </c>
      <c r="AW14" s="155"/>
      <c r="AX14" s="155"/>
      <c r="AY14" s="145">
        <f t="shared" si="20"/>
        <v>7476.52</v>
      </c>
      <c r="AZ14" s="145" t="s">
        <v>99</v>
      </c>
      <c r="BA14" s="145" t="s">
        <v>194</v>
      </c>
      <c r="BB14" s="190"/>
      <c r="BC14" s="190"/>
    </row>
    <row r="15" spans="1:55">
      <c r="A15" s="140">
        <f t="shared" si="0"/>
        <v>6</v>
      </c>
      <c r="B15" s="136" t="s">
        <v>243</v>
      </c>
      <c r="C15" s="267">
        <v>46035</v>
      </c>
      <c r="D15" s="138"/>
      <c r="E15" s="256" t="s">
        <v>171</v>
      </c>
      <c r="F15" s="257" t="s">
        <v>18</v>
      </c>
      <c r="G15" s="258" t="s">
        <v>172</v>
      </c>
      <c r="H15" s="259" t="str">
        <f>IF(AZ15="Payroll",VLOOKUP(E15,'[2]CODE 2'!$R:$S,2,FALSE),"0")</f>
        <v>0</v>
      </c>
      <c r="I15" s="260" t="s">
        <v>195</v>
      </c>
      <c r="J15" s="260" t="s">
        <v>174</v>
      </c>
      <c r="K15" s="261"/>
      <c r="L15" s="262"/>
      <c r="M15" s="263" t="str">
        <f>IFERROR(VLOOKUP($H15,'[2]CODE 2'!$J:$K,2,FALSE)," ")</f>
        <v xml:space="preserve"> </v>
      </c>
      <c r="N15" s="264" t="str">
        <f t="shared" si="1"/>
        <v/>
      </c>
      <c r="O15" s="264" t="str">
        <f t="shared" si="2"/>
        <v xml:space="preserve"> </v>
      </c>
      <c r="P15" s="264" t="str">
        <f t="shared" si="3"/>
        <v/>
      </c>
      <c r="Q15" s="264" t="str">
        <f t="shared" si="4"/>
        <v/>
      </c>
      <c r="R15" s="265" t="str">
        <f t="shared" si="21"/>
        <v/>
      </c>
      <c r="S15" s="264" t="str">
        <f t="shared" si="5"/>
        <v xml:space="preserve"> </v>
      </c>
      <c r="T15" s="252">
        <v>0</v>
      </c>
      <c r="U15" s="252">
        <v>0</v>
      </c>
      <c r="V15" s="252">
        <v>0</v>
      </c>
      <c r="W15" s="253" t="str">
        <f t="shared" si="6"/>
        <v xml:space="preserve"> </v>
      </c>
      <c r="X15" s="253" t="str">
        <f t="shared" si="7"/>
        <v/>
      </c>
      <c r="Y15" s="253" t="str">
        <f t="shared" si="8"/>
        <v/>
      </c>
      <c r="Z15" s="149"/>
      <c r="AA15" s="149"/>
      <c r="AB15" s="149"/>
      <c r="AC15" s="150" t="str">
        <f t="shared" si="9"/>
        <v xml:space="preserve"> </v>
      </c>
      <c r="AD15" s="150" t="str">
        <f t="shared" si="10"/>
        <v/>
      </c>
      <c r="AE15" s="150" t="str">
        <f t="shared" si="11"/>
        <v/>
      </c>
      <c r="AF15" s="193"/>
      <c r="AG15" s="193"/>
      <c r="AH15" s="193"/>
      <c r="AI15" s="214" t="str">
        <f t="shared" si="12"/>
        <v xml:space="preserve"> </v>
      </c>
      <c r="AJ15" s="214" t="str">
        <f t="shared" si="13"/>
        <v/>
      </c>
      <c r="AK15" s="214" t="str">
        <f t="shared" si="14"/>
        <v/>
      </c>
      <c r="AL15" s="154" t="str">
        <f t="shared" si="15"/>
        <v/>
      </c>
      <c r="AM15" s="154" t="str">
        <f t="shared" si="16"/>
        <v/>
      </c>
      <c r="AN15" s="154" t="str">
        <f t="shared" si="17"/>
        <v/>
      </c>
      <c r="AO15" s="145">
        <f t="shared" si="18"/>
        <v>0</v>
      </c>
      <c r="AP15" s="155"/>
      <c r="AQ15" s="155"/>
      <c r="AR15" s="145" t="str">
        <f t="shared" si="19"/>
        <v/>
      </c>
      <c r="AS15" s="145"/>
      <c r="AT15" s="145"/>
      <c r="AU15" s="155"/>
      <c r="AV15" s="155"/>
      <c r="AW15" s="155"/>
      <c r="AX15" s="155"/>
      <c r="AY15" s="145" t="str">
        <f t="shared" si="20"/>
        <v/>
      </c>
      <c r="AZ15" s="145" t="s">
        <v>188</v>
      </c>
      <c r="BA15" s="145" t="s">
        <v>216</v>
      </c>
      <c r="BB15" s="190"/>
      <c r="BC15" s="190"/>
    </row>
    <row r="16" spans="1:55">
      <c r="A16" s="140">
        <f t="shared" si="0"/>
        <v>7</v>
      </c>
      <c r="B16" s="136" t="s">
        <v>258</v>
      </c>
      <c r="C16" s="162">
        <v>46036</v>
      </c>
      <c r="D16" s="138"/>
      <c r="E16" s="171" t="s">
        <v>218</v>
      </c>
      <c r="F16" s="140" t="s">
        <v>18</v>
      </c>
      <c r="G16" s="139" t="s">
        <v>219</v>
      </c>
      <c r="H16" s="141">
        <f>IF(AZ16="Payroll",VLOOKUP(E16,'[2]CODE 2'!$R:$S,2,FALSE),"0")</f>
        <v>11</v>
      </c>
      <c r="I16" s="142" t="s">
        <v>254</v>
      </c>
      <c r="J16" s="142" t="s">
        <v>174</v>
      </c>
      <c r="K16" s="254"/>
      <c r="L16" s="255"/>
      <c r="M16" s="204">
        <f>IFERROR(VLOOKUP($H16,'[2]CODE 2'!$J:$K,2,FALSE)," ")</f>
        <v>27000</v>
      </c>
      <c r="N16" s="145">
        <f t="shared" si="1"/>
        <v>13500</v>
      </c>
      <c r="O16" s="145">
        <f t="shared" si="2"/>
        <v>1227.2727272727273</v>
      </c>
      <c r="P16" s="145">
        <f t="shared" si="3"/>
        <v>153.40909090909091</v>
      </c>
      <c r="Q16" s="145">
        <f t="shared" si="4"/>
        <v>2.5568181818181817</v>
      </c>
      <c r="R16" s="146" t="str">
        <f t="shared" si="21"/>
        <v>11</v>
      </c>
      <c r="S16" s="145">
        <f t="shared" si="5"/>
        <v>13500</v>
      </c>
      <c r="T16" s="252">
        <v>0</v>
      </c>
      <c r="U16" s="252">
        <v>0</v>
      </c>
      <c r="V16" s="252">
        <v>4</v>
      </c>
      <c r="W16" s="253">
        <f t="shared" si="6"/>
        <v>0</v>
      </c>
      <c r="X16" s="253">
        <f t="shared" si="7"/>
        <v>0</v>
      </c>
      <c r="Y16" s="253">
        <f t="shared" si="8"/>
        <v>10.23</v>
      </c>
      <c r="Z16" s="149"/>
      <c r="AA16" s="149"/>
      <c r="AB16" s="149"/>
      <c r="AC16" s="150">
        <f t="shared" si="9"/>
        <v>0</v>
      </c>
      <c r="AD16" s="150">
        <f t="shared" si="10"/>
        <v>0</v>
      </c>
      <c r="AE16" s="150">
        <f t="shared" si="11"/>
        <v>0</v>
      </c>
      <c r="AF16" s="193"/>
      <c r="AG16" s="193"/>
      <c r="AH16" s="193"/>
      <c r="AI16" s="214">
        <f t="shared" si="12"/>
        <v>0</v>
      </c>
      <c r="AJ16" s="214">
        <f t="shared" si="13"/>
        <v>0</v>
      </c>
      <c r="AK16" s="214">
        <f t="shared" si="14"/>
        <v>0</v>
      </c>
      <c r="AL16" s="154">
        <f t="shared" si="15"/>
        <v>0</v>
      </c>
      <c r="AM16" s="154">
        <f t="shared" si="16"/>
        <v>0</v>
      </c>
      <c r="AN16" s="154">
        <f t="shared" si="17"/>
        <v>10.23</v>
      </c>
      <c r="AO16" s="145">
        <f t="shared" si="18"/>
        <v>10.23</v>
      </c>
      <c r="AP16" s="155"/>
      <c r="AQ16" s="155"/>
      <c r="AR16" s="145">
        <f t="shared" si="19"/>
        <v>13489.77</v>
      </c>
      <c r="AS16" s="145"/>
      <c r="AT16" s="145"/>
      <c r="AU16" s="155"/>
      <c r="AV16" s="155"/>
      <c r="AW16" s="155"/>
      <c r="AX16" s="155"/>
      <c r="AY16" s="145">
        <f t="shared" si="20"/>
        <v>13489.77</v>
      </c>
      <c r="AZ16" s="145" t="s">
        <v>99</v>
      </c>
      <c r="BA16" s="145" t="s">
        <v>96</v>
      </c>
      <c r="BB16" s="190"/>
      <c r="BC16" s="190"/>
    </row>
    <row r="17" spans="1:55">
      <c r="A17" s="140">
        <f t="shared" si="0"/>
        <v>8</v>
      </c>
      <c r="B17" s="136" t="s">
        <v>259</v>
      </c>
      <c r="C17" s="162">
        <v>46036</v>
      </c>
      <c r="D17" s="138"/>
      <c r="E17" s="171" t="s">
        <v>223</v>
      </c>
      <c r="F17" s="140" t="s">
        <v>18</v>
      </c>
      <c r="G17" s="139" t="s">
        <v>224</v>
      </c>
      <c r="H17" s="141">
        <f>IF(AZ17="Payroll",VLOOKUP(E17,'[2]CODE 2'!$R:$S,2,FALSE),"0")</f>
        <v>11</v>
      </c>
      <c r="I17" s="142" t="s">
        <v>254</v>
      </c>
      <c r="J17" s="142" t="s">
        <v>174</v>
      </c>
      <c r="K17" s="254"/>
      <c r="L17" s="255"/>
      <c r="M17" s="204">
        <f>IFERROR(VLOOKUP($H17,'[2]CODE 2'!$J:$K,2,FALSE)," ")</f>
        <v>27000</v>
      </c>
      <c r="N17" s="145">
        <f t="shared" si="1"/>
        <v>13500</v>
      </c>
      <c r="O17" s="145">
        <f t="shared" si="2"/>
        <v>1227.2727272727273</v>
      </c>
      <c r="P17" s="145">
        <f t="shared" si="3"/>
        <v>153.40909090909091</v>
      </c>
      <c r="Q17" s="145">
        <f t="shared" si="4"/>
        <v>2.5568181818181817</v>
      </c>
      <c r="R17" s="146" t="str">
        <f t="shared" si="21"/>
        <v>11</v>
      </c>
      <c r="S17" s="145">
        <f t="shared" si="5"/>
        <v>13500</v>
      </c>
      <c r="T17" s="252">
        <v>0</v>
      </c>
      <c r="U17" s="252">
        <v>0</v>
      </c>
      <c r="V17" s="252">
        <v>0</v>
      </c>
      <c r="W17" s="253">
        <f t="shared" si="6"/>
        <v>0</v>
      </c>
      <c r="X17" s="253">
        <f t="shared" si="7"/>
        <v>0</v>
      </c>
      <c r="Y17" s="253">
        <f t="shared" si="8"/>
        <v>0</v>
      </c>
      <c r="Z17" s="149"/>
      <c r="AA17" s="149"/>
      <c r="AB17" s="149"/>
      <c r="AC17" s="150">
        <f t="shared" si="9"/>
        <v>0</v>
      </c>
      <c r="AD17" s="150">
        <f t="shared" si="10"/>
        <v>0</v>
      </c>
      <c r="AE17" s="150">
        <f t="shared" si="11"/>
        <v>0</v>
      </c>
      <c r="AF17" s="193"/>
      <c r="AG17" s="193"/>
      <c r="AH17" s="193"/>
      <c r="AI17" s="214">
        <f t="shared" si="12"/>
        <v>0</v>
      </c>
      <c r="AJ17" s="214">
        <f t="shared" si="13"/>
        <v>0</v>
      </c>
      <c r="AK17" s="214">
        <f t="shared" si="14"/>
        <v>0</v>
      </c>
      <c r="AL17" s="154">
        <f t="shared" si="15"/>
        <v>0</v>
      </c>
      <c r="AM17" s="154">
        <f t="shared" si="16"/>
        <v>0</v>
      </c>
      <c r="AN17" s="154">
        <f t="shared" si="17"/>
        <v>0</v>
      </c>
      <c r="AO17" s="145">
        <f t="shared" si="18"/>
        <v>0</v>
      </c>
      <c r="AP17" s="155"/>
      <c r="AQ17" s="155"/>
      <c r="AR17" s="145">
        <f t="shared" si="19"/>
        <v>13500</v>
      </c>
      <c r="AS17" s="145"/>
      <c r="AT17" s="145"/>
      <c r="AU17" s="155"/>
      <c r="AV17" s="155"/>
      <c r="AW17" s="155"/>
      <c r="AX17" s="155"/>
      <c r="AY17" s="145">
        <f t="shared" si="20"/>
        <v>13500</v>
      </c>
      <c r="AZ17" s="145" t="s">
        <v>99</v>
      </c>
      <c r="BA17" s="145" t="s">
        <v>142</v>
      </c>
      <c r="BB17" s="190"/>
      <c r="BC17" s="190"/>
    </row>
    <row r="18" spans="1:55">
      <c r="A18" s="140">
        <f t="shared" si="0"/>
        <v>9</v>
      </c>
      <c r="B18" s="136" t="s">
        <v>260</v>
      </c>
      <c r="C18" s="267">
        <v>46036</v>
      </c>
      <c r="D18" s="138"/>
      <c r="E18" s="171" t="s">
        <v>102</v>
      </c>
      <c r="F18" s="140" t="s">
        <v>101</v>
      </c>
      <c r="G18" s="139" t="s">
        <v>103</v>
      </c>
      <c r="H18" s="141">
        <f>IF(AZ18="Payroll",VLOOKUP(E18,'[2]CODE 2'!$R:$S,2,FALSE),"0")</f>
        <v>11</v>
      </c>
      <c r="I18" s="268" t="s">
        <v>261</v>
      </c>
      <c r="J18" s="142" t="s">
        <v>174</v>
      </c>
      <c r="K18" s="254"/>
      <c r="L18" s="255"/>
      <c r="M18" s="204">
        <f>IFERROR(VLOOKUP($H18,'[2]CODE 2'!$J:$K,2,FALSE)," ")</f>
        <v>27000</v>
      </c>
      <c r="N18" s="145">
        <f t="shared" si="1"/>
        <v>13500</v>
      </c>
      <c r="O18" s="145">
        <f t="shared" si="2"/>
        <v>1227.2727272727273</v>
      </c>
      <c r="P18" s="145">
        <f t="shared" si="3"/>
        <v>153.40909090909091</v>
      </c>
      <c r="Q18" s="145">
        <f t="shared" si="4"/>
        <v>2.5568181818181817</v>
      </c>
      <c r="R18" s="146" t="str">
        <f t="shared" si="21"/>
        <v>11</v>
      </c>
      <c r="S18" s="145">
        <f t="shared" si="5"/>
        <v>13500</v>
      </c>
      <c r="T18" s="252">
        <v>1</v>
      </c>
      <c r="U18" s="252">
        <v>0</v>
      </c>
      <c r="V18" s="252">
        <v>0</v>
      </c>
      <c r="W18" s="253">
        <f t="shared" si="6"/>
        <v>1227.27</v>
      </c>
      <c r="X18" s="253">
        <f t="shared" si="7"/>
        <v>0</v>
      </c>
      <c r="Y18" s="253">
        <f t="shared" si="8"/>
        <v>0</v>
      </c>
      <c r="Z18" s="149"/>
      <c r="AA18" s="149"/>
      <c r="AB18" s="149"/>
      <c r="AC18" s="150">
        <f t="shared" si="9"/>
        <v>0</v>
      </c>
      <c r="AD18" s="150">
        <f t="shared" si="10"/>
        <v>0</v>
      </c>
      <c r="AE18" s="150">
        <f t="shared" si="11"/>
        <v>0</v>
      </c>
      <c r="AF18" s="193"/>
      <c r="AG18" s="193"/>
      <c r="AH18" s="193"/>
      <c r="AI18" s="214">
        <f t="shared" si="12"/>
        <v>0</v>
      </c>
      <c r="AJ18" s="214">
        <f t="shared" si="13"/>
        <v>0</v>
      </c>
      <c r="AK18" s="214">
        <f t="shared" si="14"/>
        <v>0</v>
      </c>
      <c r="AL18" s="154">
        <f t="shared" si="15"/>
        <v>1227.27</v>
      </c>
      <c r="AM18" s="154">
        <f t="shared" si="16"/>
        <v>0</v>
      </c>
      <c r="AN18" s="154">
        <f t="shared" si="17"/>
        <v>0</v>
      </c>
      <c r="AO18" s="145">
        <f t="shared" si="18"/>
        <v>1227.27</v>
      </c>
      <c r="AP18" s="155"/>
      <c r="AQ18" s="155"/>
      <c r="AR18" s="145">
        <f t="shared" si="19"/>
        <v>12272.73</v>
      </c>
      <c r="AS18" s="145"/>
      <c r="AT18" s="145"/>
      <c r="AU18" s="155"/>
      <c r="AV18" s="155"/>
      <c r="AW18" s="155"/>
      <c r="AX18" s="155"/>
      <c r="AY18" s="145">
        <f t="shared" si="20"/>
        <v>12272.73</v>
      </c>
      <c r="AZ18" s="145" t="s">
        <v>99</v>
      </c>
      <c r="BA18" s="145" t="s">
        <v>237</v>
      </c>
      <c r="BB18" s="190"/>
      <c r="BC18" s="190"/>
    </row>
    <row r="19" spans="1:55">
      <c r="A19" s="140">
        <f t="shared" si="0"/>
        <v>10</v>
      </c>
      <c r="B19" s="136" t="s">
        <v>262</v>
      </c>
      <c r="C19" s="267">
        <v>46036</v>
      </c>
      <c r="D19" s="138"/>
      <c r="E19" s="171" t="s">
        <v>104</v>
      </c>
      <c r="F19" s="140" t="s">
        <v>101</v>
      </c>
      <c r="G19" s="139" t="s">
        <v>105</v>
      </c>
      <c r="H19" s="141">
        <f>IF(AZ19="Payroll",VLOOKUP(E19,'[2]CODE 2'!$R:$S,2,FALSE),"0")</f>
        <v>7</v>
      </c>
      <c r="I19" s="142" t="s">
        <v>254</v>
      </c>
      <c r="J19" s="142" t="s">
        <v>174</v>
      </c>
      <c r="K19" s="254"/>
      <c r="L19" s="255"/>
      <c r="M19" s="204">
        <f>IFERROR(VLOOKUP($H19,'[2]CODE 2'!$J:$K,2,FALSE)," ")</f>
        <v>18620</v>
      </c>
      <c r="N19" s="145">
        <f t="shared" si="1"/>
        <v>9310</v>
      </c>
      <c r="O19" s="145">
        <f t="shared" si="2"/>
        <v>846.36363636363637</v>
      </c>
      <c r="P19" s="145">
        <f t="shared" si="3"/>
        <v>105.79545454545455</v>
      </c>
      <c r="Q19" s="145">
        <f t="shared" si="4"/>
        <v>1.7632575757575757</v>
      </c>
      <c r="R19" s="146" t="str">
        <f t="shared" si="21"/>
        <v>11</v>
      </c>
      <c r="S19" s="145">
        <f t="shared" si="5"/>
        <v>9310</v>
      </c>
      <c r="T19" s="252">
        <v>0</v>
      </c>
      <c r="U19" s="252">
        <v>0</v>
      </c>
      <c r="V19" s="252">
        <v>0</v>
      </c>
      <c r="W19" s="253">
        <f t="shared" si="6"/>
        <v>0</v>
      </c>
      <c r="X19" s="253">
        <f t="shared" si="7"/>
        <v>0</v>
      </c>
      <c r="Y19" s="253">
        <f t="shared" si="8"/>
        <v>0</v>
      </c>
      <c r="Z19" s="149"/>
      <c r="AA19" s="149"/>
      <c r="AB19" s="149"/>
      <c r="AC19" s="150">
        <f t="shared" si="9"/>
        <v>0</v>
      </c>
      <c r="AD19" s="150">
        <f t="shared" si="10"/>
        <v>0</v>
      </c>
      <c r="AE19" s="150">
        <f t="shared" si="11"/>
        <v>0</v>
      </c>
      <c r="AF19" s="193"/>
      <c r="AG19" s="193"/>
      <c r="AH19" s="193"/>
      <c r="AI19" s="214">
        <f t="shared" si="12"/>
        <v>0</v>
      </c>
      <c r="AJ19" s="214">
        <f t="shared" si="13"/>
        <v>0</v>
      </c>
      <c r="AK19" s="214">
        <f t="shared" si="14"/>
        <v>0</v>
      </c>
      <c r="AL19" s="154">
        <f t="shared" si="15"/>
        <v>0</v>
      </c>
      <c r="AM19" s="154">
        <f t="shared" si="16"/>
        <v>0</v>
      </c>
      <c r="AN19" s="154">
        <f t="shared" si="17"/>
        <v>0</v>
      </c>
      <c r="AO19" s="145">
        <f t="shared" si="18"/>
        <v>0</v>
      </c>
      <c r="AP19" s="155"/>
      <c r="AQ19" s="155"/>
      <c r="AR19" s="145">
        <f t="shared" si="19"/>
        <v>9310</v>
      </c>
      <c r="AS19" s="145"/>
      <c r="AT19" s="145"/>
      <c r="AU19" s="155"/>
      <c r="AV19" s="155"/>
      <c r="AW19" s="155"/>
      <c r="AX19" s="155"/>
      <c r="AY19" s="145">
        <f t="shared" si="20"/>
        <v>9310</v>
      </c>
      <c r="AZ19" s="145" t="s">
        <v>99</v>
      </c>
      <c r="BA19" s="145" t="s">
        <v>107</v>
      </c>
      <c r="BB19" s="269"/>
      <c r="BC19" s="269"/>
    </row>
    <row r="20" spans="1:55">
      <c r="A20" s="140">
        <f t="shared" si="0"/>
        <v>11</v>
      </c>
      <c r="B20" s="136" t="s">
        <v>263</v>
      </c>
      <c r="C20" s="267">
        <v>46036</v>
      </c>
      <c r="D20" s="138"/>
      <c r="E20" s="171" t="s">
        <v>106</v>
      </c>
      <c r="F20" s="140" t="s">
        <v>101</v>
      </c>
      <c r="G20" s="139" t="s">
        <v>17</v>
      </c>
      <c r="H20" s="141">
        <f>IF(AZ20="Payroll",VLOOKUP(E20,'[2]CODE 2'!$R:$S,2,FALSE),"0")</f>
        <v>8</v>
      </c>
      <c r="I20" s="142" t="s">
        <v>254</v>
      </c>
      <c r="J20" s="142" t="s">
        <v>174</v>
      </c>
      <c r="K20" s="254"/>
      <c r="L20" s="255"/>
      <c r="M20" s="204">
        <f>IFERROR(VLOOKUP($H20,'[2]CODE 2'!$J:$K,2,FALSE)," ")</f>
        <v>19744</v>
      </c>
      <c r="N20" s="145">
        <f t="shared" si="1"/>
        <v>9872</v>
      </c>
      <c r="O20" s="145">
        <f t="shared" si="2"/>
        <v>897.4545454545455</v>
      </c>
      <c r="P20" s="145">
        <f t="shared" si="3"/>
        <v>112.18181818181819</v>
      </c>
      <c r="Q20" s="145">
        <f t="shared" si="4"/>
        <v>1.8696969696969699</v>
      </c>
      <c r="R20" s="146" t="str">
        <f t="shared" si="21"/>
        <v>11</v>
      </c>
      <c r="S20" s="145">
        <f t="shared" si="5"/>
        <v>9872</v>
      </c>
      <c r="T20" s="252">
        <v>0</v>
      </c>
      <c r="U20" s="252">
        <v>0</v>
      </c>
      <c r="V20" s="252">
        <v>0</v>
      </c>
      <c r="W20" s="253">
        <f t="shared" si="6"/>
        <v>0</v>
      </c>
      <c r="X20" s="253">
        <f t="shared" si="7"/>
        <v>0</v>
      </c>
      <c r="Y20" s="253">
        <f t="shared" si="8"/>
        <v>0</v>
      </c>
      <c r="Z20" s="149"/>
      <c r="AA20" s="149"/>
      <c r="AB20" s="149"/>
      <c r="AC20" s="150">
        <f t="shared" si="9"/>
        <v>0</v>
      </c>
      <c r="AD20" s="150">
        <f t="shared" si="10"/>
        <v>0</v>
      </c>
      <c r="AE20" s="150">
        <f t="shared" si="11"/>
        <v>0</v>
      </c>
      <c r="AF20" s="193"/>
      <c r="AG20" s="193"/>
      <c r="AH20" s="193"/>
      <c r="AI20" s="214">
        <f t="shared" si="12"/>
        <v>0</v>
      </c>
      <c r="AJ20" s="214">
        <f t="shared" si="13"/>
        <v>0</v>
      </c>
      <c r="AK20" s="214">
        <f t="shared" si="14"/>
        <v>0</v>
      </c>
      <c r="AL20" s="154">
        <f t="shared" si="15"/>
        <v>0</v>
      </c>
      <c r="AM20" s="154">
        <f t="shared" si="16"/>
        <v>0</v>
      </c>
      <c r="AN20" s="154">
        <f t="shared" si="17"/>
        <v>0</v>
      </c>
      <c r="AO20" s="145">
        <f t="shared" si="18"/>
        <v>0</v>
      </c>
      <c r="AP20" s="155"/>
      <c r="AQ20" s="270"/>
      <c r="AR20" s="145">
        <f t="shared" si="19"/>
        <v>9872</v>
      </c>
      <c r="AS20" s="145"/>
      <c r="AT20" s="145"/>
      <c r="AU20" s="155"/>
      <c r="AV20" s="155"/>
      <c r="AW20" s="155"/>
      <c r="AX20" s="155"/>
      <c r="AY20" s="145">
        <f t="shared" si="20"/>
        <v>9872</v>
      </c>
      <c r="AZ20" s="145" t="s">
        <v>99</v>
      </c>
      <c r="BA20" s="145" t="s">
        <v>143</v>
      </c>
      <c r="BB20" s="190"/>
      <c r="BC20" s="190"/>
    </row>
    <row r="21" spans="1:55" ht="18" customHeight="1">
      <c r="A21" s="140">
        <f t="shared" si="0"/>
        <v>12</v>
      </c>
      <c r="B21" s="136" t="s">
        <v>264</v>
      </c>
      <c r="C21" s="267">
        <v>46036</v>
      </c>
      <c r="D21" s="138"/>
      <c r="E21" s="171" t="s">
        <v>107</v>
      </c>
      <c r="F21" s="140" t="s">
        <v>101</v>
      </c>
      <c r="G21" s="139" t="s">
        <v>108</v>
      </c>
      <c r="H21" s="141">
        <f>IF(AZ21="Payroll",VLOOKUP(E21,'[2]CODE 2'!$R:$S,2,FALSE),"0")</f>
        <v>11</v>
      </c>
      <c r="I21" s="142" t="s">
        <v>254</v>
      </c>
      <c r="J21" s="142" t="s">
        <v>174</v>
      </c>
      <c r="K21" s="254"/>
      <c r="L21" s="255"/>
      <c r="M21" s="204">
        <f>IFERROR(VLOOKUP($H21,'[2]CODE 2'!$J:$K,2,FALSE)," ")</f>
        <v>27000</v>
      </c>
      <c r="N21" s="145">
        <f t="shared" si="1"/>
        <v>13500</v>
      </c>
      <c r="O21" s="145">
        <f t="shared" si="2"/>
        <v>1227.2727272727273</v>
      </c>
      <c r="P21" s="145">
        <f t="shared" si="3"/>
        <v>153.40909090909091</v>
      </c>
      <c r="Q21" s="145">
        <f t="shared" si="4"/>
        <v>2.5568181818181817</v>
      </c>
      <c r="R21" s="146" t="str">
        <f t="shared" si="21"/>
        <v>11</v>
      </c>
      <c r="S21" s="145">
        <f t="shared" si="5"/>
        <v>13500</v>
      </c>
      <c r="T21" s="252">
        <v>0</v>
      </c>
      <c r="U21" s="252">
        <v>0</v>
      </c>
      <c r="V21" s="252">
        <v>0</v>
      </c>
      <c r="W21" s="253">
        <f t="shared" si="6"/>
        <v>0</v>
      </c>
      <c r="X21" s="253">
        <f t="shared" si="7"/>
        <v>0</v>
      </c>
      <c r="Y21" s="253">
        <f t="shared" si="8"/>
        <v>0</v>
      </c>
      <c r="Z21" s="149"/>
      <c r="AA21" s="149"/>
      <c r="AB21" s="149"/>
      <c r="AC21" s="150">
        <f t="shared" si="9"/>
        <v>0</v>
      </c>
      <c r="AD21" s="150">
        <f t="shared" si="10"/>
        <v>0</v>
      </c>
      <c r="AE21" s="150">
        <f t="shared" si="11"/>
        <v>0</v>
      </c>
      <c r="AF21" s="193"/>
      <c r="AG21" s="193"/>
      <c r="AH21" s="193"/>
      <c r="AI21" s="214">
        <f t="shared" si="12"/>
        <v>0</v>
      </c>
      <c r="AJ21" s="214">
        <f t="shared" si="13"/>
        <v>0</v>
      </c>
      <c r="AK21" s="214">
        <f t="shared" si="14"/>
        <v>0</v>
      </c>
      <c r="AL21" s="154">
        <f t="shared" si="15"/>
        <v>0</v>
      </c>
      <c r="AM21" s="154">
        <f t="shared" si="16"/>
        <v>0</v>
      </c>
      <c r="AN21" s="154">
        <f t="shared" si="17"/>
        <v>0</v>
      </c>
      <c r="AO21" s="145">
        <f t="shared" si="18"/>
        <v>0</v>
      </c>
      <c r="AP21" s="155"/>
      <c r="AQ21" s="155"/>
      <c r="AR21" s="145">
        <f t="shared" si="19"/>
        <v>13500</v>
      </c>
      <c r="AS21" s="145"/>
      <c r="AT21" s="145"/>
      <c r="AU21" s="155"/>
      <c r="AV21" s="155"/>
      <c r="AW21" s="155"/>
      <c r="AX21" s="155"/>
      <c r="AY21" s="145">
        <f t="shared" si="20"/>
        <v>13500</v>
      </c>
      <c r="AZ21" s="145" t="s">
        <v>99</v>
      </c>
      <c r="BA21" s="145" t="s">
        <v>137</v>
      </c>
      <c r="BB21" s="269"/>
      <c r="BC21" s="269"/>
    </row>
    <row r="22" spans="1:55" ht="18" customHeight="1">
      <c r="A22" s="140">
        <f t="shared" si="0"/>
        <v>13</v>
      </c>
      <c r="B22" s="136" t="s">
        <v>265</v>
      </c>
      <c r="C22" s="267">
        <v>46036</v>
      </c>
      <c r="D22" s="138"/>
      <c r="E22" s="171" t="s">
        <v>221</v>
      </c>
      <c r="F22" s="140" t="s">
        <v>101</v>
      </c>
      <c r="G22" s="199" t="s">
        <v>144</v>
      </c>
      <c r="H22" s="141">
        <f>IF(AZ22="Payroll",VLOOKUP(E22,'[2]CODE 2'!$R:$S,2,FALSE),"0")</f>
        <v>11</v>
      </c>
      <c r="I22" s="271" t="s">
        <v>261</v>
      </c>
      <c r="J22" s="142" t="s">
        <v>174</v>
      </c>
      <c r="K22" s="254"/>
      <c r="L22" s="255"/>
      <c r="M22" s="204">
        <f>IFERROR(VLOOKUP($H22,'[2]CODE 2'!$J:$K,2,FALSE)," ")</f>
        <v>27000</v>
      </c>
      <c r="N22" s="145">
        <f t="shared" si="1"/>
        <v>13500</v>
      </c>
      <c r="O22" s="145">
        <f t="shared" si="2"/>
        <v>1227.2727272727273</v>
      </c>
      <c r="P22" s="145">
        <f t="shared" si="3"/>
        <v>153.40909090909091</v>
      </c>
      <c r="Q22" s="145">
        <f t="shared" si="4"/>
        <v>2.5568181818181817</v>
      </c>
      <c r="R22" s="146" t="str">
        <f t="shared" si="21"/>
        <v>11</v>
      </c>
      <c r="S22" s="145">
        <f t="shared" si="5"/>
        <v>13500</v>
      </c>
      <c r="T22" s="252">
        <v>0</v>
      </c>
      <c r="U22" s="252">
        <v>0</v>
      </c>
      <c r="V22" s="252">
        <v>9</v>
      </c>
      <c r="W22" s="253">
        <f t="shared" si="6"/>
        <v>0</v>
      </c>
      <c r="X22" s="253">
        <f t="shared" si="7"/>
        <v>0</v>
      </c>
      <c r="Y22" s="253">
        <f t="shared" si="8"/>
        <v>23.01</v>
      </c>
      <c r="Z22" s="149"/>
      <c r="AA22" s="149"/>
      <c r="AB22" s="149"/>
      <c r="AC22" s="150">
        <f t="shared" si="9"/>
        <v>0</v>
      </c>
      <c r="AD22" s="150">
        <f t="shared" si="10"/>
        <v>0</v>
      </c>
      <c r="AE22" s="150">
        <f t="shared" si="11"/>
        <v>0</v>
      </c>
      <c r="AF22" s="193"/>
      <c r="AG22" s="193"/>
      <c r="AH22" s="193"/>
      <c r="AI22" s="214">
        <f t="shared" si="12"/>
        <v>0</v>
      </c>
      <c r="AJ22" s="214">
        <f t="shared" si="13"/>
        <v>0</v>
      </c>
      <c r="AK22" s="214">
        <f t="shared" si="14"/>
        <v>0</v>
      </c>
      <c r="AL22" s="154">
        <f t="shared" si="15"/>
        <v>0</v>
      </c>
      <c r="AM22" s="154">
        <f t="shared" si="16"/>
        <v>0</v>
      </c>
      <c r="AN22" s="154">
        <f t="shared" si="17"/>
        <v>23.01</v>
      </c>
      <c r="AO22" s="145">
        <f t="shared" si="18"/>
        <v>23.01</v>
      </c>
      <c r="AP22" s="155"/>
      <c r="AQ22" s="155"/>
      <c r="AR22" s="145">
        <f t="shared" si="19"/>
        <v>13476.99</v>
      </c>
      <c r="AS22" s="145"/>
      <c r="AT22" s="145"/>
      <c r="AU22" s="155"/>
      <c r="AV22" s="155"/>
      <c r="AW22" s="155"/>
      <c r="AX22" s="155"/>
      <c r="AY22" s="145">
        <f t="shared" si="20"/>
        <v>13476.99</v>
      </c>
      <c r="AZ22" s="145" t="s">
        <v>99</v>
      </c>
      <c r="BA22" s="145" t="s">
        <v>184</v>
      </c>
      <c r="BB22" s="269"/>
      <c r="BC22" s="269"/>
    </row>
    <row r="23" spans="1:55" ht="15.75" customHeight="1">
      <c r="A23" s="140">
        <f t="shared" si="0"/>
        <v>14</v>
      </c>
      <c r="B23" s="136" t="s">
        <v>266</v>
      </c>
      <c r="C23" s="267">
        <v>46036</v>
      </c>
      <c r="D23" s="138"/>
      <c r="E23" s="171" t="s">
        <v>230</v>
      </c>
      <c r="F23" s="140" t="s">
        <v>101</v>
      </c>
      <c r="G23" s="199" t="s">
        <v>231</v>
      </c>
      <c r="H23" s="141">
        <v>11</v>
      </c>
      <c r="I23" s="272" t="s">
        <v>254</v>
      </c>
      <c r="J23" s="142" t="s">
        <v>174</v>
      </c>
      <c r="K23" s="254"/>
      <c r="L23" s="255"/>
      <c r="M23" s="204">
        <f>IFERROR(VLOOKUP($H23,'[2]CODE 2'!$J:$K,2,FALSE)," ")</f>
        <v>27000</v>
      </c>
      <c r="N23" s="145">
        <f t="shared" si="1"/>
        <v>13500</v>
      </c>
      <c r="O23" s="145">
        <f t="shared" si="2"/>
        <v>1227.2727272727273</v>
      </c>
      <c r="P23" s="145">
        <f t="shared" si="3"/>
        <v>153.40909090909091</v>
      </c>
      <c r="Q23" s="145">
        <f t="shared" si="4"/>
        <v>2.5568181818181817</v>
      </c>
      <c r="R23" s="146" t="str">
        <f t="shared" si="21"/>
        <v>11</v>
      </c>
      <c r="S23" s="145">
        <f t="shared" si="5"/>
        <v>13500</v>
      </c>
      <c r="T23" s="252">
        <v>0</v>
      </c>
      <c r="U23" s="252">
        <v>0</v>
      </c>
      <c r="V23" s="252">
        <v>0</v>
      </c>
      <c r="W23" s="253">
        <f t="shared" si="6"/>
        <v>0</v>
      </c>
      <c r="X23" s="253">
        <f t="shared" si="7"/>
        <v>0</v>
      </c>
      <c r="Y23" s="253">
        <f t="shared" si="8"/>
        <v>0</v>
      </c>
      <c r="Z23" s="149"/>
      <c r="AA23" s="149"/>
      <c r="AB23" s="149"/>
      <c r="AC23" s="150">
        <f t="shared" si="9"/>
        <v>0</v>
      </c>
      <c r="AD23" s="150">
        <f t="shared" si="10"/>
        <v>0</v>
      </c>
      <c r="AE23" s="150">
        <f t="shared" si="11"/>
        <v>0</v>
      </c>
      <c r="AF23" s="193"/>
      <c r="AG23" s="193"/>
      <c r="AH23" s="193"/>
      <c r="AI23" s="214">
        <f t="shared" si="12"/>
        <v>0</v>
      </c>
      <c r="AJ23" s="214">
        <f t="shared" si="13"/>
        <v>0</v>
      </c>
      <c r="AK23" s="214">
        <f t="shared" si="14"/>
        <v>0</v>
      </c>
      <c r="AL23" s="154">
        <f t="shared" si="15"/>
        <v>0</v>
      </c>
      <c r="AM23" s="154">
        <f t="shared" si="16"/>
        <v>0</v>
      </c>
      <c r="AN23" s="154">
        <f t="shared" si="17"/>
        <v>0</v>
      </c>
      <c r="AO23" s="145">
        <f t="shared" si="18"/>
        <v>0</v>
      </c>
      <c r="AP23" s="155"/>
      <c r="AQ23" s="155"/>
      <c r="AR23" s="145">
        <f t="shared" si="19"/>
        <v>13500</v>
      </c>
      <c r="AS23" s="145"/>
      <c r="AT23" s="145"/>
      <c r="AU23" s="155"/>
      <c r="AV23" s="155"/>
      <c r="AW23" s="155"/>
      <c r="AX23" s="155"/>
      <c r="AY23" s="145">
        <f t="shared" si="20"/>
        <v>13500</v>
      </c>
      <c r="AZ23" s="145" t="s">
        <v>99</v>
      </c>
      <c r="BA23" s="145" t="s">
        <v>215</v>
      </c>
      <c r="BB23" s="190"/>
      <c r="BC23" s="190"/>
    </row>
    <row r="24" spans="1:55" ht="15.75" customHeight="1">
      <c r="A24" s="140">
        <f t="shared" si="0"/>
        <v>15</v>
      </c>
      <c r="B24" s="136" t="s">
        <v>267</v>
      </c>
      <c r="C24" s="267">
        <v>46036</v>
      </c>
      <c r="D24" s="138"/>
      <c r="E24" s="171" t="s">
        <v>237</v>
      </c>
      <c r="F24" s="140" t="s">
        <v>101</v>
      </c>
      <c r="G24" s="199" t="s">
        <v>231</v>
      </c>
      <c r="H24" s="141">
        <v>11</v>
      </c>
      <c r="I24" s="142" t="s">
        <v>254</v>
      </c>
      <c r="J24" s="142" t="s">
        <v>174</v>
      </c>
      <c r="K24" s="254"/>
      <c r="L24" s="255"/>
      <c r="M24" s="204">
        <f>IFERROR(VLOOKUP($H24,'[2]CODE 2'!$J:$K,2,FALSE)," ")</f>
        <v>27000</v>
      </c>
      <c r="N24" s="145">
        <f t="shared" si="1"/>
        <v>13500</v>
      </c>
      <c r="O24" s="145">
        <f t="shared" si="2"/>
        <v>1227.2727272727273</v>
      </c>
      <c r="P24" s="145">
        <f t="shared" si="3"/>
        <v>153.40909090909091</v>
      </c>
      <c r="Q24" s="145">
        <f t="shared" si="4"/>
        <v>2.5568181818181817</v>
      </c>
      <c r="R24" s="146" t="str">
        <f t="shared" si="21"/>
        <v>11</v>
      </c>
      <c r="S24" s="145">
        <f t="shared" si="5"/>
        <v>13500</v>
      </c>
      <c r="T24" s="252">
        <v>0</v>
      </c>
      <c r="U24" s="252">
        <v>0</v>
      </c>
      <c r="V24" s="252">
        <v>0</v>
      </c>
      <c r="W24" s="253">
        <f t="shared" si="6"/>
        <v>0</v>
      </c>
      <c r="X24" s="253">
        <f t="shared" si="7"/>
        <v>0</v>
      </c>
      <c r="Y24" s="253">
        <f t="shared" si="8"/>
        <v>0</v>
      </c>
      <c r="Z24" s="149"/>
      <c r="AA24" s="149"/>
      <c r="AB24" s="149"/>
      <c r="AC24" s="150">
        <f t="shared" si="9"/>
        <v>0</v>
      </c>
      <c r="AD24" s="150">
        <f t="shared" si="10"/>
        <v>0</v>
      </c>
      <c r="AE24" s="150">
        <f t="shared" si="11"/>
        <v>0</v>
      </c>
      <c r="AF24" s="193"/>
      <c r="AG24" s="193"/>
      <c r="AH24" s="193"/>
      <c r="AI24" s="214">
        <f t="shared" si="12"/>
        <v>0</v>
      </c>
      <c r="AJ24" s="214">
        <f t="shared" si="13"/>
        <v>0</v>
      </c>
      <c r="AK24" s="214">
        <f t="shared" si="14"/>
        <v>0</v>
      </c>
      <c r="AL24" s="154">
        <f t="shared" si="15"/>
        <v>0</v>
      </c>
      <c r="AM24" s="154">
        <f t="shared" si="16"/>
        <v>0</v>
      </c>
      <c r="AN24" s="154">
        <f t="shared" si="17"/>
        <v>0</v>
      </c>
      <c r="AO24" s="145">
        <f t="shared" si="18"/>
        <v>0</v>
      </c>
      <c r="AP24" s="155"/>
      <c r="AQ24" s="155"/>
      <c r="AR24" s="145">
        <f t="shared" si="19"/>
        <v>13500</v>
      </c>
      <c r="AS24" s="145"/>
      <c r="AT24" s="145"/>
      <c r="AU24" s="155">
        <v>2000</v>
      </c>
      <c r="AV24" s="155"/>
      <c r="AW24" s="155"/>
      <c r="AX24" s="155"/>
      <c r="AY24" s="145">
        <f t="shared" si="20"/>
        <v>11500</v>
      </c>
      <c r="AZ24" s="145" t="s">
        <v>99</v>
      </c>
      <c r="BA24" s="145" t="s">
        <v>198</v>
      </c>
      <c r="BB24" s="190"/>
      <c r="BC24" s="190"/>
    </row>
    <row r="25" spans="1:55" ht="15.75" customHeight="1">
      <c r="A25" s="140">
        <f t="shared" si="0"/>
        <v>16</v>
      </c>
      <c r="B25" s="136" t="s">
        <v>268</v>
      </c>
      <c r="C25" s="267">
        <v>46036</v>
      </c>
      <c r="D25" s="138"/>
      <c r="E25" s="275" t="s">
        <v>184</v>
      </c>
      <c r="F25" s="140" t="s">
        <v>109</v>
      </c>
      <c r="G25" s="139" t="s">
        <v>17</v>
      </c>
      <c r="H25" s="141">
        <f>IF(AZ25="Payroll",VLOOKUP(E25,'[2]CODE 2'!$R:$S,2,FALSE),"0")</f>
        <v>8</v>
      </c>
      <c r="I25" s="142" t="s">
        <v>269</v>
      </c>
      <c r="J25" s="142" t="s">
        <v>174</v>
      </c>
      <c r="K25" s="254"/>
      <c r="L25" s="255"/>
      <c r="M25" s="204">
        <f>IFERROR(VLOOKUP($H25,'[2]CODE 2'!$J:$K,2,FALSE)," ")</f>
        <v>19744</v>
      </c>
      <c r="N25" s="145">
        <f t="shared" si="1"/>
        <v>9872</v>
      </c>
      <c r="O25" s="145">
        <f t="shared" si="2"/>
        <v>897.4545454545455</v>
      </c>
      <c r="P25" s="145">
        <f t="shared" si="3"/>
        <v>112.18181818181819</v>
      </c>
      <c r="Q25" s="145">
        <f t="shared" si="4"/>
        <v>1.8696969696969699</v>
      </c>
      <c r="R25" s="146" t="str">
        <f t="shared" si="21"/>
        <v>11</v>
      </c>
      <c r="S25" s="145">
        <f t="shared" si="5"/>
        <v>9872</v>
      </c>
      <c r="T25" s="252">
        <v>0</v>
      </c>
      <c r="U25" s="252">
        <v>0</v>
      </c>
      <c r="V25" s="252">
        <v>0</v>
      </c>
      <c r="W25" s="253">
        <f t="shared" si="6"/>
        <v>0</v>
      </c>
      <c r="X25" s="253">
        <f t="shared" si="7"/>
        <v>0</v>
      </c>
      <c r="Y25" s="253">
        <f t="shared" si="8"/>
        <v>0</v>
      </c>
      <c r="Z25" s="149"/>
      <c r="AA25" s="149"/>
      <c r="AB25" s="149"/>
      <c r="AC25" s="150">
        <f t="shared" si="9"/>
        <v>0</v>
      </c>
      <c r="AD25" s="150">
        <f t="shared" si="10"/>
        <v>0</v>
      </c>
      <c r="AE25" s="150">
        <f t="shared" si="11"/>
        <v>0</v>
      </c>
      <c r="AF25" s="193"/>
      <c r="AG25" s="193"/>
      <c r="AH25" s="193"/>
      <c r="AI25" s="214">
        <f t="shared" si="12"/>
        <v>0</v>
      </c>
      <c r="AJ25" s="214">
        <f t="shared" si="13"/>
        <v>0</v>
      </c>
      <c r="AK25" s="214">
        <f t="shared" si="14"/>
        <v>0</v>
      </c>
      <c r="AL25" s="154">
        <f t="shared" si="15"/>
        <v>0</v>
      </c>
      <c r="AM25" s="154">
        <f t="shared" si="16"/>
        <v>0</v>
      </c>
      <c r="AN25" s="154">
        <f t="shared" si="17"/>
        <v>0</v>
      </c>
      <c r="AO25" s="145">
        <f t="shared" si="18"/>
        <v>0</v>
      </c>
      <c r="AP25" s="155"/>
      <c r="AQ25" s="155"/>
      <c r="AR25" s="145">
        <f t="shared" si="19"/>
        <v>9872</v>
      </c>
      <c r="AS25" s="145"/>
      <c r="AT25" s="145"/>
      <c r="AU25" s="155"/>
      <c r="AV25" s="155"/>
      <c r="AW25" s="155"/>
      <c r="AX25" s="155"/>
      <c r="AY25" s="145">
        <f t="shared" si="20"/>
        <v>9872</v>
      </c>
      <c r="AZ25" s="145" t="s">
        <v>99</v>
      </c>
      <c r="BA25" s="145" t="s">
        <v>118</v>
      </c>
      <c r="BB25" s="190"/>
      <c r="BC25" s="190"/>
    </row>
    <row r="26" spans="1:55" ht="15.75" customHeight="1">
      <c r="A26" s="140">
        <f t="shared" si="0"/>
        <v>17</v>
      </c>
      <c r="B26" s="136" t="s">
        <v>270</v>
      </c>
      <c r="C26" s="267">
        <v>46036</v>
      </c>
      <c r="D26" s="138"/>
      <c r="E26" s="275" t="s">
        <v>110</v>
      </c>
      <c r="F26" s="140" t="s">
        <v>109</v>
      </c>
      <c r="G26" s="139" t="s">
        <v>158</v>
      </c>
      <c r="H26" s="141">
        <f>IF(AZ26="Payroll",VLOOKUP(E26,'[2]CODE 2'!$R:$S,2,FALSE),"0")</f>
        <v>17</v>
      </c>
      <c r="I26" s="142" t="s">
        <v>254</v>
      </c>
      <c r="J26" s="142" t="s">
        <v>174</v>
      </c>
      <c r="K26" s="254"/>
      <c r="L26" s="255"/>
      <c r="M26" s="204">
        <f>IFERROR(VLOOKUP($H26,'[2]CODE 2'!$J:$K,2,FALSE)," ")</f>
        <v>43030</v>
      </c>
      <c r="N26" s="145">
        <f t="shared" si="1"/>
        <v>21515</v>
      </c>
      <c r="O26" s="145">
        <f t="shared" si="2"/>
        <v>1955.909090909091</v>
      </c>
      <c r="P26" s="145">
        <f t="shared" si="3"/>
        <v>244.48863636363637</v>
      </c>
      <c r="Q26" s="145">
        <f t="shared" si="4"/>
        <v>4.0748106060606064</v>
      </c>
      <c r="R26" s="146" t="str">
        <f t="shared" si="21"/>
        <v>11</v>
      </c>
      <c r="S26" s="145">
        <f t="shared" si="5"/>
        <v>21515</v>
      </c>
      <c r="T26" s="252">
        <v>0</v>
      </c>
      <c r="U26" s="252">
        <v>0</v>
      </c>
      <c r="V26" s="252">
        <v>0</v>
      </c>
      <c r="W26" s="253">
        <f t="shared" si="6"/>
        <v>0</v>
      </c>
      <c r="X26" s="253">
        <f t="shared" si="7"/>
        <v>0</v>
      </c>
      <c r="Y26" s="253">
        <f t="shared" si="8"/>
        <v>0</v>
      </c>
      <c r="Z26" s="149"/>
      <c r="AA26" s="149"/>
      <c r="AB26" s="149"/>
      <c r="AC26" s="150">
        <f t="shared" si="9"/>
        <v>0</v>
      </c>
      <c r="AD26" s="150">
        <f t="shared" si="10"/>
        <v>0</v>
      </c>
      <c r="AE26" s="150">
        <f t="shared" si="11"/>
        <v>0</v>
      </c>
      <c r="AF26" s="193"/>
      <c r="AG26" s="193"/>
      <c r="AH26" s="193"/>
      <c r="AI26" s="214">
        <f t="shared" si="12"/>
        <v>0</v>
      </c>
      <c r="AJ26" s="214">
        <f t="shared" si="13"/>
        <v>0</v>
      </c>
      <c r="AK26" s="214">
        <f t="shared" si="14"/>
        <v>0</v>
      </c>
      <c r="AL26" s="154">
        <f t="shared" si="15"/>
        <v>0</v>
      </c>
      <c r="AM26" s="154">
        <f t="shared" si="16"/>
        <v>0</v>
      </c>
      <c r="AN26" s="154">
        <f t="shared" si="17"/>
        <v>0</v>
      </c>
      <c r="AO26" s="145">
        <f t="shared" si="18"/>
        <v>0</v>
      </c>
      <c r="AP26" s="155"/>
      <c r="AQ26" s="155"/>
      <c r="AR26" s="145">
        <f t="shared" si="19"/>
        <v>21515</v>
      </c>
      <c r="AS26" s="145"/>
      <c r="AT26" s="145"/>
      <c r="AU26" s="155"/>
      <c r="AV26" s="155"/>
      <c r="AW26" s="155"/>
      <c r="AX26" s="155"/>
      <c r="AY26" s="145">
        <f t="shared" si="20"/>
        <v>21515</v>
      </c>
      <c r="AZ26" s="145" t="s">
        <v>99</v>
      </c>
      <c r="BA26" s="145" t="s">
        <v>154</v>
      </c>
      <c r="BB26" s="190"/>
      <c r="BC26" s="190"/>
    </row>
    <row r="27" spans="1:55" ht="15.75" customHeight="1">
      <c r="A27" s="140">
        <f t="shared" si="0"/>
        <v>18</v>
      </c>
      <c r="B27" s="136" t="s">
        <v>271</v>
      </c>
      <c r="C27" s="162">
        <v>46036</v>
      </c>
      <c r="D27" s="138"/>
      <c r="E27" s="171" t="s">
        <v>112</v>
      </c>
      <c r="F27" s="140" t="s">
        <v>111</v>
      </c>
      <c r="G27" s="139" t="s">
        <v>17</v>
      </c>
      <c r="H27" s="141">
        <f>IF(AZ27="Payroll",VLOOKUP(E27,'[2]CODE 2'!$R:$S,2,FALSE),"0")</f>
        <v>8</v>
      </c>
      <c r="I27" s="142" t="s">
        <v>254</v>
      </c>
      <c r="J27" s="142" t="s">
        <v>174</v>
      </c>
      <c r="K27" s="254"/>
      <c r="L27" s="255"/>
      <c r="M27" s="204">
        <f>IFERROR(VLOOKUP($H27,'[2]CODE 2'!$J:$K,2,FALSE)," ")</f>
        <v>19744</v>
      </c>
      <c r="N27" s="145">
        <f t="shared" si="1"/>
        <v>9872</v>
      </c>
      <c r="O27" s="145">
        <f t="shared" si="2"/>
        <v>897.4545454545455</v>
      </c>
      <c r="P27" s="145">
        <f t="shared" si="3"/>
        <v>112.18181818181819</v>
      </c>
      <c r="Q27" s="145">
        <f t="shared" si="4"/>
        <v>1.8696969696969699</v>
      </c>
      <c r="R27" s="146" t="str">
        <f t="shared" si="21"/>
        <v>11</v>
      </c>
      <c r="S27" s="145">
        <f t="shared" si="5"/>
        <v>9872</v>
      </c>
      <c r="T27" s="252">
        <v>0</v>
      </c>
      <c r="U27" s="252">
        <v>0</v>
      </c>
      <c r="V27" s="252">
        <v>0</v>
      </c>
      <c r="W27" s="253">
        <f t="shared" si="6"/>
        <v>0</v>
      </c>
      <c r="X27" s="253">
        <f t="shared" si="7"/>
        <v>0</v>
      </c>
      <c r="Y27" s="253">
        <f t="shared" si="8"/>
        <v>0</v>
      </c>
      <c r="Z27" s="149"/>
      <c r="AA27" s="149"/>
      <c r="AB27" s="149"/>
      <c r="AC27" s="150">
        <f t="shared" si="9"/>
        <v>0</v>
      </c>
      <c r="AD27" s="150">
        <f t="shared" si="10"/>
        <v>0</v>
      </c>
      <c r="AE27" s="150">
        <f t="shared" si="11"/>
        <v>0</v>
      </c>
      <c r="AF27" s="193"/>
      <c r="AG27" s="193"/>
      <c r="AH27" s="193"/>
      <c r="AI27" s="214">
        <f t="shared" si="12"/>
        <v>0</v>
      </c>
      <c r="AJ27" s="214">
        <f t="shared" si="13"/>
        <v>0</v>
      </c>
      <c r="AK27" s="214">
        <f t="shared" si="14"/>
        <v>0</v>
      </c>
      <c r="AL27" s="154">
        <f t="shared" si="15"/>
        <v>0</v>
      </c>
      <c r="AM27" s="154">
        <f t="shared" si="16"/>
        <v>0</v>
      </c>
      <c r="AN27" s="154">
        <f t="shared" si="17"/>
        <v>0</v>
      </c>
      <c r="AO27" s="145">
        <f t="shared" si="18"/>
        <v>0</v>
      </c>
      <c r="AP27" s="155"/>
      <c r="AQ27" s="155"/>
      <c r="AR27" s="145">
        <f t="shared" si="19"/>
        <v>9872</v>
      </c>
      <c r="AS27" s="145"/>
      <c r="AT27" s="145"/>
      <c r="AU27" s="155"/>
      <c r="AV27" s="155"/>
      <c r="AW27" s="155"/>
      <c r="AX27" s="155"/>
      <c r="AY27" s="145">
        <f t="shared" si="20"/>
        <v>9872</v>
      </c>
      <c r="AZ27" s="145" t="s">
        <v>99</v>
      </c>
      <c r="BA27" s="145" t="s">
        <v>123</v>
      </c>
      <c r="BB27" s="190"/>
      <c r="BC27" s="190"/>
    </row>
    <row r="28" spans="1:55" ht="15.75" customHeight="1">
      <c r="A28" s="140">
        <f t="shared" si="0"/>
        <v>19</v>
      </c>
      <c r="B28" s="136" t="s">
        <v>245</v>
      </c>
      <c r="C28" s="267">
        <v>46035</v>
      </c>
      <c r="D28" s="138"/>
      <c r="E28" s="256" t="s">
        <v>210</v>
      </c>
      <c r="F28" s="257" t="s">
        <v>111</v>
      </c>
      <c r="G28" s="258" t="s">
        <v>17</v>
      </c>
      <c r="H28" s="273" t="str">
        <f>IF(AZ28="Payroll",VLOOKUP(E28,'[2]CODE 2'!$R:$S,2,FALSE),"0")</f>
        <v>0</v>
      </c>
      <c r="I28" s="260" t="s">
        <v>195</v>
      </c>
      <c r="J28" s="260" t="s">
        <v>174</v>
      </c>
      <c r="K28" s="261"/>
      <c r="L28" s="262"/>
      <c r="M28" s="274" t="str">
        <f>IFERROR(VLOOKUP($H28,'[2]CODE 2'!$J:$K,2,FALSE)," ")</f>
        <v xml:space="preserve"> </v>
      </c>
      <c r="N28" s="264" t="str">
        <f t="shared" si="1"/>
        <v/>
      </c>
      <c r="O28" s="264" t="str">
        <f t="shared" si="2"/>
        <v xml:space="preserve"> </v>
      </c>
      <c r="P28" s="264" t="str">
        <f t="shared" si="3"/>
        <v/>
      </c>
      <c r="Q28" s="264" t="str">
        <f t="shared" si="4"/>
        <v/>
      </c>
      <c r="R28" s="265" t="str">
        <f t="shared" si="21"/>
        <v/>
      </c>
      <c r="S28" s="264" t="str">
        <f t="shared" si="5"/>
        <v xml:space="preserve"> </v>
      </c>
      <c r="T28" s="252">
        <v>0</v>
      </c>
      <c r="U28" s="252">
        <v>0</v>
      </c>
      <c r="V28" s="252">
        <v>0</v>
      </c>
      <c r="W28" s="253" t="str">
        <f>IFERROR(ROUND(($O28*#REF!),2)," ")</f>
        <v xml:space="preserve"> </v>
      </c>
      <c r="X28" s="253" t="str">
        <f t="shared" si="7"/>
        <v/>
      </c>
      <c r="Y28" s="253" t="str">
        <f t="shared" si="8"/>
        <v/>
      </c>
      <c r="Z28" s="149"/>
      <c r="AA28" s="149"/>
      <c r="AB28" s="149"/>
      <c r="AC28" s="150" t="str">
        <f t="shared" si="9"/>
        <v xml:space="preserve"> </v>
      </c>
      <c r="AD28" s="150" t="str">
        <f t="shared" si="10"/>
        <v/>
      </c>
      <c r="AE28" s="150" t="str">
        <f t="shared" si="11"/>
        <v/>
      </c>
      <c r="AF28" s="193"/>
      <c r="AG28" s="193"/>
      <c r="AH28" s="193"/>
      <c r="AI28" s="214" t="str">
        <f t="shared" si="12"/>
        <v xml:space="preserve"> </v>
      </c>
      <c r="AJ28" s="214" t="str">
        <f t="shared" si="13"/>
        <v/>
      </c>
      <c r="AK28" s="214" t="str">
        <f t="shared" si="14"/>
        <v/>
      </c>
      <c r="AL28" s="154" t="str">
        <f t="shared" si="15"/>
        <v/>
      </c>
      <c r="AM28" s="154" t="str">
        <f t="shared" si="16"/>
        <v/>
      </c>
      <c r="AN28" s="154" t="str">
        <f t="shared" si="17"/>
        <v/>
      </c>
      <c r="AO28" s="145">
        <f t="shared" si="18"/>
        <v>0</v>
      </c>
      <c r="AP28" s="155"/>
      <c r="AQ28" s="155"/>
      <c r="AR28" s="145" t="str">
        <f t="shared" si="19"/>
        <v/>
      </c>
      <c r="AS28" s="145"/>
      <c r="AT28" s="145"/>
      <c r="AU28" s="155"/>
      <c r="AV28" s="155"/>
      <c r="AW28" s="155"/>
      <c r="AX28" s="155"/>
      <c r="AY28" s="145" t="str">
        <f t="shared" si="20"/>
        <v/>
      </c>
      <c r="AZ28" s="145" t="s">
        <v>188</v>
      </c>
      <c r="BA28" s="145" t="s">
        <v>135</v>
      </c>
      <c r="BB28" s="190"/>
      <c r="BC28" s="190"/>
    </row>
    <row r="29" spans="1:55" ht="15.75" customHeight="1">
      <c r="A29" s="140">
        <f t="shared" si="0"/>
        <v>20</v>
      </c>
      <c r="B29" s="136" t="s">
        <v>272</v>
      </c>
      <c r="C29" s="162">
        <v>46036</v>
      </c>
      <c r="D29" s="138"/>
      <c r="E29" s="275" t="s">
        <v>215</v>
      </c>
      <c r="F29" s="140" t="s">
        <v>111</v>
      </c>
      <c r="G29" s="139" t="s">
        <v>226</v>
      </c>
      <c r="H29" s="141"/>
      <c r="I29" s="142" t="s">
        <v>254</v>
      </c>
      <c r="J29" s="142"/>
      <c r="K29" s="254"/>
      <c r="L29" s="255"/>
      <c r="M29" s="204">
        <f>IFERROR(VLOOKUP($H29,'[2]CODE 2'!$J:$K,2,FALSE)," ")</f>
        <v>50617</v>
      </c>
      <c r="N29" s="145">
        <f t="shared" si="1"/>
        <v>25308.5</v>
      </c>
      <c r="O29" s="145">
        <f t="shared" si="2"/>
        <v>2300.7727272727275</v>
      </c>
      <c r="P29" s="145">
        <f t="shared" si="3"/>
        <v>287.59659090909093</v>
      </c>
      <c r="Q29" s="145">
        <f t="shared" si="4"/>
        <v>4.7932765151515158</v>
      </c>
      <c r="R29" s="146" t="str">
        <f t="shared" si="21"/>
        <v>11</v>
      </c>
      <c r="S29" s="145">
        <f t="shared" si="5"/>
        <v>25308.5</v>
      </c>
      <c r="T29" s="252">
        <v>5</v>
      </c>
      <c r="U29" s="252">
        <v>1</v>
      </c>
      <c r="V29" s="252">
        <v>43</v>
      </c>
      <c r="W29" s="253">
        <f>IFERROR(ROUND(($O29*$T29),2)," ")</f>
        <v>11503.86</v>
      </c>
      <c r="X29" s="253">
        <f t="shared" si="7"/>
        <v>287.60000000000002</v>
      </c>
      <c r="Y29" s="253">
        <f t="shared" si="8"/>
        <v>206.11</v>
      </c>
      <c r="Z29" s="149"/>
      <c r="AA29" s="149"/>
      <c r="AB29" s="149"/>
      <c r="AC29" s="150">
        <f t="shared" si="9"/>
        <v>0</v>
      </c>
      <c r="AD29" s="150">
        <f t="shared" si="10"/>
        <v>0</v>
      </c>
      <c r="AE29" s="150">
        <f t="shared" si="11"/>
        <v>0</v>
      </c>
      <c r="AF29" s="193"/>
      <c r="AG29" s="193"/>
      <c r="AH29" s="193"/>
      <c r="AI29" s="214">
        <f t="shared" si="12"/>
        <v>0</v>
      </c>
      <c r="AJ29" s="214">
        <f t="shared" si="13"/>
        <v>0</v>
      </c>
      <c r="AK29" s="214">
        <f t="shared" si="14"/>
        <v>0</v>
      </c>
      <c r="AL29" s="154">
        <f t="shared" si="15"/>
        <v>11503.86</v>
      </c>
      <c r="AM29" s="154">
        <f t="shared" si="16"/>
        <v>287.60000000000002</v>
      </c>
      <c r="AN29" s="154">
        <f t="shared" si="17"/>
        <v>206.11</v>
      </c>
      <c r="AO29" s="145">
        <f t="shared" si="18"/>
        <v>11997.570000000002</v>
      </c>
      <c r="AP29" s="155"/>
      <c r="AQ29" s="155"/>
      <c r="AR29" s="145">
        <f t="shared" si="19"/>
        <v>13310.93</v>
      </c>
      <c r="AS29" s="145"/>
      <c r="AT29" s="145"/>
      <c r="AU29" s="155"/>
      <c r="AV29" s="155"/>
      <c r="AW29" s="155"/>
      <c r="AX29" s="155"/>
      <c r="AY29" s="145">
        <f t="shared" si="20"/>
        <v>13310.93</v>
      </c>
      <c r="AZ29" s="145" t="s">
        <v>99</v>
      </c>
      <c r="BA29" s="145" t="s">
        <v>220</v>
      </c>
      <c r="BB29" s="190"/>
      <c r="BC29" s="190"/>
    </row>
    <row r="30" spans="1:55" ht="15.75" customHeight="1">
      <c r="A30" s="140">
        <f t="shared" si="0"/>
        <v>21</v>
      </c>
      <c r="B30" s="136" t="s">
        <v>273</v>
      </c>
      <c r="C30" s="267">
        <v>46036</v>
      </c>
      <c r="D30" s="138"/>
      <c r="E30" s="171" t="s">
        <v>116</v>
      </c>
      <c r="F30" s="140" t="s">
        <v>114</v>
      </c>
      <c r="G30" s="139" t="s">
        <v>17</v>
      </c>
      <c r="H30" s="141">
        <f>IF(AZ30="Payroll",VLOOKUP(E30,'[2]CODE 2'!$R:$S,2,FALSE),"0")</f>
        <v>8</v>
      </c>
      <c r="I30" s="142" t="s">
        <v>254</v>
      </c>
      <c r="J30" s="142" t="s">
        <v>174</v>
      </c>
      <c r="K30" s="254"/>
      <c r="L30" s="255"/>
      <c r="M30" s="204">
        <f>IFERROR(VLOOKUP($H30,'[2]CODE 2'!$J:$K,2,FALSE)," ")</f>
        <v>19744</v>
      </c>
      <c r="N30" s="145">
        <f t="shared" si="1"/>
        <v>9872</v>
      </c>
      <c r="O30" s="145">
        <f t="shared" si="2"/>
        <v>897.4545454545455</v>
      </c>
      <c r="P30" s="145">
        <f t="shared" si="3"/>
        <v>112.18181818181819</v>
      </c>
      <c r="Q30" s="145">
        <f t="shared" si="4"/>
        <v>1.8696969696969699</v>
      </c>
      <c r="R30" s="191" t="str">
        <f t="shared" si="21"/>
        <v>11</v>
      </c>
      <c r="S30" s="145">
        <f t="shared" si="5"/>
        <v>9872</v>
      </c>
      <c r="T30" s="252">
        <v>0</v>
      </c>
      <c r="U30" s="252">
        <v>0</v>
      </c>
      <c r="V30" s="252">
        <v>0</v>
      </c>
      <c r="W30" s="253">
        <f>IFERROR(ROUND(($O30*$T28),2)," ")</f>
        <v>0</v>
      </c>
      <c r="X30" s="253">
        <f t="shared" si="7"/>
        <v>0</v>
      </c>
      <c r="Y30" s="253">
        <f t="shared" si="8"/>
        <v>0</v>
      </c>
      <c r="Z30" s="149"/>
      <c r="AA30" s="149"/>
      <c r="AB30" s="149"/>
      <c r="AC30" s="150">
        <f t="shared" si="9"/>
        <v>0</v>
      </c>
      <c r="AD30" s="150">
        <f t="shared" si="10"/>
        <v>0</v>
      </c>
      <c r="AE30" s="150">
        <f t="shared" si="11"/>
        <v>0</v>
      </c>
      <c r="AF30" s="193"/>
      <c r="AG30" s="193"/>
      <c r="AH30" s="193"/>
      <c r="AI30" s="214">
        <f t="shared" si="12"/>
        <v>0</v>
      </c>
      <c r="AJ30" s="214">
        <f t="shared" si="13"/>
        <v>0</v>
      </c>
      <c r="AK30" s="214">
        <f t="shared" si="14"/>
        <v>0</v>
      </c>
      <c r="AL30" s="154">
        <f t="shared" si="15"/>
        <v>0</v>
      </c>
      <c r="AM30" s="154">
        <f t="shared" si="16"/>
        <v>0</v>
      </c>
      <c r="AN30" s="154">
        <f t="shared" si="17"/>
        <v>0</v>
      </c>
      <c r="AO30" s="145">
        <f t="shared" si="18"/>
        <v>0</v>
      </c>
      <c r="AP30" s="155"/>
      <c r="AQ30" s="155"/>
      <c r="AR30" s="145">
        <f t="shared" si="19"/>
        <v>9872</v>
      </c>
      <c r="AS30" s="145"/>
      <c r="AT30" s="145"/>
      <c r="AU30" s="155"/>
      <c r="AV30" s="155"/>
      <c r="AW30" s="155"/>
      <c r="AX30" s="155"/>
      <c r="AY30" s="145">
        <f t="shared" si="20"/>
        <v>9872</v>
      </c>
      <c r="AZ30" s="145" t="s">
        <v>99</v>
      </c>
      <c r="BA30" s="145" t="s">
        <v>191</v>
      </c>
      <c r="BB30" s="190"/>
      <c r="BC30" s="190"/>
    </row>
    <row r="31" spans="1:55" ht="15.75" customHeight="1">
      <c r="A31" s="140">
        <f t="shared" si="0"/>
        <v>22</v>
      </c>
      <c r="B31" s="276" t="s">
        <v>251</v>
      </c>
      <c r="C31" s="277">
        <v>46036</v>
      </c>
      <c r="D31" s="278"/>
      <c r="E31" s="175" t="s">
        <v>166</v>
      </c>
      <c r="F31" s="176" t="s">
        <v>114</v>
      </c>
      <c r="G31" s="279" t="s">
        <v>17</v>
      </c>
      <c r="H31" s="280" t="str">
        <f>IF(AZ31="Payroll",VLOOKUP(E31,'[2]CODE 2'!$R:$S,2,FALSE),"0")</f>
        <v>0</v>
      </c>
      <c r="I31" s="179" t="s">
        <v>274</v>
      </c>
      <c r="J31" s="179" t="s">
        <v>174</v>
      </c>
      <c r="K31" s="281"/>
      <c r="L31" s="282"/>
      <c r="M31" s="283" t="str">
        <f>IFERROR(VLOOKUP($H31,'[2]CODE 2'!$J:$K,2,FALSE)," ")</f>
        <v xml:space="preserve"> </v>
      </c>
      <c r="N31" s="284" t="str">
        <f t="shared" si="1"/>
        <v/>
      </c>
      <c r="O31" s="284" t="str">
        <f t="shared" si="2"/>
        <v xml:space="preserve"> </v>
      </c>
      <c r="P31" s="284" t="str">
        <f t="shared" si="3"/>
        <v/>
      </c>
      <c r="Q31" s="284" t="str">
        <f t="shared" si="4"/>
        <v/>
      </c>
      <c r="R31" s="285">
        <v>11</v>
      </c>
      <c r="S31" s="284" t="str">
        <f t="shared" si="5"/>
        <v xml:space="preserve"> </v>
      </c>
      <c r="T31" s="252">
        <v>0</v>
      </c>
      <c r="U31" s="252">
        <v>0</v>
      </c>
      <c r="V31" s="252">
        <v>18</v>
      </c>
      <c r="W31" s="253" t="str">
        <f t="shared" ref="W31:W76" si="22">IFERROR(ROUND(($O31*$T31),2)," ")</f>
        <v xml:space="preserve"> </v>
      </c>
      <c r="X31" s="253" t="str">
        <f t="shared" si="7"/>
        <v/>
      </c>
      <c r="Y31" s="253" t="str">
        <f t="shared" si="8"/>
        <v/>
      </c>
      <c r="Z31" s="149"/>
      <c r="AA31" s="149"/>
      <c r="AB31" s="149"/>
      <c r="AC31" s="150" t="str">
        <f t="shared" si="9"/>
        <v xml:space="preserve"> </v>
      </c>
      <c r="AD31" s="150" t="str">
        <f t="shared" si="10"/>
        <v/>
      </c>
      <c r="AE31" s="150" t="str">
        <f t="shared" si="11"/>
        <v/>
      </c>
      <c r="AF31" s="193"/>
      <c r="AG31" s="193"/>
      <c r="AH31" s="193"/>
      <c r="AI31" s="214" t="str">
        <f t="shared" si="12"/>
        <v xml:space="preserve"> </v>
      </c>
      <c r="AJ31" s="214" t="str">
        <f t="shared" si="13"/>
        <v/>
      </c>
      <c r="AK31" s="214" t="str">
        <f t="shared" si="14"/>
        <v/>
      </c>
      <c r="AL31" s="154" t="str">
        <f t="shared" si="15"/>
        <v/>
      </c>
      <c r="AM31" s="154" t="str">
        <f t="shared" si="16"/>
        <v/>
      </c>
      <c r="AN31" s="154" t="str">
        <f t="shared" si="17"/>
        <v/>
      </c>
      <c r="AO31" s="145">
        <f t="shared" si="18"/>
        <v>0</v>
      </c>
      <c r="AP31" s="155"/>
      <c r="AQ31" s="155"/>
      <c r="AR31" s="145" t="str">
        <f t="shared" si="19"/>
        <v/>
      </c>
      <c r="AS31" s="145"/>
      <c r="AT31" s="145"/>
      <c r="AU31" s="155"/>
      <c r="AV31" s="155"/>
      <c r="AW31" s="155"/>
      <c r="AX31" s="155"/>
      <c r="AY31" s="145" t="str">
        <f t="shared" si="20"/>
        <v/>
      </c>
      <c r="AZ31" s="145" t="s">
        <v>188</v>
      </c>
      <c r="BA31" s="145" t="s">
        <v>113</v>
      </c>
      <c r="BB31" s="190"/>
      <c r="BC31" s="190"/>
    </row>
    <row r="32" spans="1:55" ht="15.75" customHeight="1">
      <c r="A32" s="140">
        <f t="shared" si="0"/>
        <v>23</v>
      </c>
      <c r="B32" s="136" t="s">
        <v>275</v>
      </c>
      <c r="C32" s="267">
        <v>46036</v>
      </c>
      <c r="D32" s="138"/>
      <c r="E32" s="171" t="s">
        <v>178</v>
      </c>
      <c r="F32" s="140" t="s">
        <v>114</v>
      </c>
      <c r="G32" s="139" t="s">
        <v>17</v>
      </c>
      <c r="H32" s="141">
        <f>IF(AZ32="Payroll",VLOOKUP(E32,'[2]CODE 2'!$R:$S,2,FALSE),"0")</f>
        <v>8</v>
      </c>
      <c r="I32" s="142" t="s">
        <v>254</v>
      </c>
      <c r="J32" s="142" t="s">
        <v>174</v>
      </c>
      <c r="K32" s="254"/>
      <c r="L32" s="255"/>
      <c r="M32" s="204">
        <f>IFERROR(VLOOKUP($H32,'[2]CODE 2'!$J:$K,2,FALSE)," ")</f>
        <v>19744</v>
      </c>
      <c r="N32" s="145">
        <f t="shared" si="1"/>
        <v>9872</v>
      </c>
      <c r="O32" s="145">
        <f t="shared" si="2"/>
        <v>897.4545454545455</v>
      </c>
      <c r="P32" s="145">
        <f t="shared" si="3"/>
        <v>112.18181818181819</v>
      </c>
      <c r="Q32" s="145">
        <f t="shared" si="4"/>
        <v>1.8696969696969699</v>
      </c>
      <c r="R32" s="191">
        <v>11</v>
      </c>
      <c r="S32" s="145">
        <f t="shared" si="5"/>
        <v>9872</v>
      </c>
      <c r="T32" s="252">
        <v>0</v>
      </c>
      <c r="U32" s="252">
        <v>0</v>
      </c>
      <c r="V32" s="252">
        <v>32</v>
      </c>
      <c r="W32" s="253">
        <f t="shared" si="22"/>
        <v>0</v>
      </c>
      <c r="X32" s="253">
        <f t="shared" si="7"/>
        <v>0</v>
      </c>
      <c r="Y32" s="253">
        <f t="shared" si="8"/>
        <v>59.83</v>
      </c>
      <c r="Z32" s="149"/>
      <c r="AA32" s="149"/>
      <c r="AB32" s="149"/>
      <c r="AC32" s="150">
        <f t="shared" si="9"/>
        <v>0</v>
      </c>
      <c r="AD32" s="150">
        <f t="shared" si="10"/>
        <v>0</v>
      </c>
      <c r="AE32" s="150">
        <f t="shared" si="11"/>
        <v>0</v>
      </c>
      <c r="AF32" s="193"/>
      <c r="AG32" s="193"/>
      <c r="AH32" s="193"/>
      <c r="AI32" s="214">
        <f t="shared" si="12"/>
        <v>0</v>
      </c>
      <c r="AJ32" s="214">
        <f t="shared" si="13"/>
        <v>0</v>
      </c>
      <c r="AK32" s="214">
        <f t="shared" si="14"/>
        <v>0</v>
      </c>
      <c r="AL32" s="154">
        <f t="shared" si="15"/>
        <v>0</v>
      </c>
      <c r="AM32" s="154">
        <f t="shared" si="16"/>
        <v>0</v>
      </c>
      <c r="AN32" s="154">
        <f t="shared" si="17"/>
        <v>59.83</v>
      </c>
      <c r="AO32" s="145">
        <f t="shared" si="18"/>
        <v>59.83</v>
      </c>
      <c r="AP32" s="155"/>
      <c r="AQ32" s="155"/>
      <c r="AR32" s="145">
        <f t="shared" si="19"/>
        <v>9812.17</v>
      </c>
      <c r="AS32" s="145"/>
      <c r="AT32" s="145"/>
      <c r="AU32" s="155"/>
      <c r="AV32" s="155"/>
      <c r="AW32" s="155"/>
      <c r="AX32" s="155"/>
      <c r="AY32" s="145">
        <f t="shared" si="20"/>
        <v>9812.17</v>
      </c>
      <c r="AZ32" s="145" t="s">
        <v>99</v>
      </c>
      <c r="BA32" s="145" t="s">
        <v>120</v>
      </c>
      <c r="BB32" s="190"/>
      <c r="BC32" s="190"/>
    </row>
    <row r="33" spans="1:55" ht="15.75" customHeight="1">
      <c r="A33" s="140">
        <f t="shared" si="0"/>
        <v>24</v>
      </c>
      <c r="B33" s="136" t="s">
        <v>247</v>
      </c>
      <c r="C33" s="267">
        <v>46035</v>
      </c>
      <c r="D33" s="138"/>
      <c r="E33" s="256" t="s">
        <v>186</v>
      </c>
      <c r="F33" s="257" t="s">
        <v>114</v>
      </c>
      <c r="G33" s="258" t="s">
        <v>17</v>
      </c>
      <c r="H33" s="259" t="str">
        <f>IF(AZ33="Payroll",VLOOKUP(E33,'[2]CODE 2'!$R:$S,2,FALSE),"0")</f>
        <v>0</v>
      </c>
      <c r="I33" s="260" t="s">
        <v>195</v>
      </c>
      <c r="J33" s="260" t="s">
        <v>174</v>
      </c>
      <c r="K33" s="261"/>
      <c r="L33" s="262"/>
      <c r="M33" s="263" t="str">
        <f>IFERROR(VLOOKUP($H33,'[2]CODE 2'!$J:$K,2,FALSE)," ")</f>
        <v xml:space="preserve"> </v>
      </c>
      <c r="N33" s="264" t="str">
        <f t="shared" si="1"/>
        <v/>
      </c>
      <c r="O33" s="264" t="str">
        <f t="shared" si="2"/>
        <v xml:space="preserve"> </v>
      </c>
      <c r="P33" s="264" t="str">
        <f t="shared" si="3"/>
        <v/>
      </c>
      <c r="Q33" s="264" t="str">
        <f t="shared" si="4"/>
        <v/>
      </c>
      <c r="R33" s="286">
        <v>11</v>
      </c>
      <c r="S33" s="264" t="str">
        <f t="shared" si="5"/>
        <v xml:space="preserve"> </v>
      </c>
      <c r="T33" s="252">
        <v>0</v>
      </c>
      <c r="U33" s="252">
        <v>0</v>
      </c>
      <c r="V33" s="252">
        <v>0</v>
      </c>
      <c r="W33" s="253" t="str">
        <f t="shared" si="22"/>
        <v xml:space="preserve"> </v>
      </c>
      <c r="X33" s="253" t="str">
        <f t="shared" si="7"/>
        <v/>
      </c>
      <c r="Y33" s="253" t="str">
        <f t="shared" si="8"/>
        <v/>
      </c>
      <c r="Z33" s="149"/>
      <c r="AA33" s="149"/>
      <c r="AB33" s="149"/>
      <c r="AC33" s="150" t="str">
        <f t="shared" si="9"/>
        <v xml:space="preserve"> </v>
      </c>
      <c r="AD33" s="150" t="str">
        <f t="shared" si="10"/>
        <v/>
      </c>
      <c r="AE33" s="150" t="str">
        <f t="shared" si="11"/>
        <v/>
      </c>
      <c r="AF33" s="193"/>
      <c r="AG33" s="193"/>
      <c r="AH33" s="193"/>
      <c r="AI33" s="214" t="str">
        <f t="shared" si="12"/>
        <v xml:space="preserve"> </v>
      </c>
      <c r="AJ33" s="214" t="str">
        <f t="shared" si="13"/>
        <v/>
      </c>
      <c r="AK33" s="214" t="str">
        <f t="shared" si="14"/>
        <v/>
      </c>
      <c r="AL33" s="154" t="str">
        <f t="shared" si="15"/>
        <v/>
      </c>
      <c r="AM33" s="154" t="str">
        <f t="shared" si="16"/>
        <v/>
      </c>
      <c r="AN33" s="154" t="str">
        <f t="shared" si="17"/>
        <v/>
      </c>
      <c r="AO33" s="145">
        <f t="shared" si="18"/>
        <v>0</v>
      </c>
      <c r="AP33" s="155"/>
      <c r="AQ33" s="155"/>
      <c r="AR33" s="145" t="str">
        <f t="shared" si="19"/>
        <v/>
      </c>
      <c r="AS33" s="145"/>
      <c r="AT33" s="145"/>
      <c r="AU33" s="155"/>
      <c r="AV33" s="155"/>
      <c r="AW33" s="155"/>
      <c r="AX33" s="155"/>
      <c r="AY33" s="145" t="str">
        <f t="shared" si="20"/>
        <v/>
      </c>
      <c r="AZ33" s="145" t="s">
        <v>188</v>
      </c>
      <c r="BA33" s="145" t="s">
        <v>110</v>
      </c>
      <c r="BB33" s="190"/>
      <c r="BC33" s="190"/>
    </row>
    <row r="34" spans="1:55" ht="15.75" customHeight="1">
      <c r="A34" s="140">
        <f t="shared" si="0"/>
        <v>25</v>
      </c>
      <c r="B34" s="276" t="s">
        <v>252</v>
      </c>
      <c r="C34" s="287">
        <v>46036</v>
      </c>
      <c r="D34" s="278"/>
      <c r="E34" s="175" t="s">
        <v>189</v>
      </c>
      <c r="F34" s="176" t="s">
        <v>114</v>
      </c>
      <c r="G34" s="279" t="s">
        <v>17</v>
      </c>
      <c r="H34" s="280" t="str">
        <f>IF(AZ34="Payroll",VLOOKUP(E34,'[2]CODE 2'!$R:$S,2,FALSE),"0")</f>
        <v>0</v>
      </c>
      <c r="I34" s="179" t="s">
        <v>274</v>
      </c>
      <c r="J34" s="179" t="s">
        <v>174</v>
      </c>
      <c r="K34" s="281"/>
      <c r="L34" s="282"/>
      <c r="M34" s="283" t="str">
        <f>IFERROR(VLOOKUP($H34,'[2]CODE 2'!$J:$K,2,FALSE)," ")</f>
        <v xml:space="preserve"> </v>
      </c>
      <c r="N34" s="284" t="str">
        <f t="shared" si="1"/>
        <v/>
      </c>
      <c r="O34" s="284" t="str">
        <f t="shared" si="2"/>
        <v xml:space="preserve"> </v>
      </c>
      <c r="P34" s="284" t="str">
        <f t="shared" si="3"/>
        <v/>
      </c>
      <c r="Q34" s="284" t="str">
        <f t="shared" si="4"/>
        <v/>
      </c>
      <c r="R34" s="285">
        <v>11</v>
      </c>
      <c r="S34" s="284" t="str">
        <f t="shared" si="5"/>
        <v xml:space="preserve"> </v>
      </c>
      <c r="T34" s="252">
        <v>0</v>
      </c>
      <c r="U34" s="252">
        <v>0</v>
      </c>
      <c r="V34" s="252">
        <v>5</v>
      </c>
      <c r="W34" s="253" t="str">
        <f t="shared" si="22"/>
        <v xml:space="preserve"> </v>
      </c>
      <c r="X34" s="253" t="str">
        <f t="shared" si="7"/>
        <v/>
      </c>
      <c r="Y34" s="253" t="str">
        <f t="shared" si="8"/>
        <v/>
      </c>
      <c r="Z34" s="149"/>
      <c r="AA34" s="149"/>
      <c r="AB34" s="149"/>
      <c r="AC34" s="150" t="str">
        <f t="shared" si="9"/>
        <v xml:space="preserve"> </v>
      </c>
      <c r="AD34" s="150" t="str">
        <f t="shared" si="10"/>
        <v/>
      </c>
      <c r="AE34" s="150" t="str">
        <f t="shared" si="11"/>
        <v/>
      </c>
      <c r="AF34" s="193"/>
      <c r="AG34" s="193"/>
      <c r="AH34" s="193"/>
      <c r="AI34" s="214" t="str">
        <f t="shared" si="12"/>
        <v xml:space="preserve"> </v>
      </c>
      <c r="AJ34" s="214" t="str">
        <f t="shared" si="13"/>
        <v/>
      </c>
      <c r="AK34" s="214" t="str">
        <f t="shared" si="14"/>
        <v/>
      </c>
      <c r="AL34" s="154" t="str">
        <f t="shared" si="15"/>
        <v/>
      </c>
      <c r="AM34" s="154" t="str">
        <f t="shared" si="16"/>
        <v/>
      </c>
      <c r="AN34" s="154" t="str">
        <f t="shared" si="17"/>
        <v/>
      </c>
      <c r="AO34" s="145">
        <f t="shared" si="18"/>
        <v>0</v>
      </c>
      <c r="AP34" s="155"/>
      <c r="AQ34" s="155"/>
      <c r="AR34" s="145" t="str">
        <f t="shared" si="19"/>
        <v/>
      </c>
      <c r="AS34" s="145"/>
      <c r="AT34" s="145"/>
      <c r="AU34" s="155"/>
      <c r="AV34" s="155"/>
      <c r="AW34" s="155"/>
      <c r="AX34" s="155"/>
      <c r="AY34" s="145" t="str">
        <f t="shared" si="20"/>
        <v/>
      </c>
      <c r="AZ34" s="145" t="s">
        <v>188</v>
      </c>
      <c r="BA34" s="145" t="s">
        <v>181</v>
      </c>
      <c r="BB34" s="190"/>
      <c r="BC34" s="190"/>
    </row>
    <row r="35" spans="1:55" ht="15.75" customHeight="1">
      <c r="A35" s="140">
        <f t="shared" si="0"/>
        <v>26</v>
      </c>
      <c r="B35" s="136" t="s">
        <v>244</v>
      </c>
      <c r="C35" s="267">
        <v>46035</v>
      </c>
      <c r="D35" s="138"/>
      <c r="E35" s="256" t="s">
        <v>197</v>
      </c>
      <c r="F35" s="257" t="s">
        <v>114</v>
      </c>
      <c r="G35" s="258" t="s">
        <v>177</v>
      </c>
      <c r="H35" s="259" t="str">
        <f>IF(AZ35="Payroll",VLOOKUP(E35,'[2]CODE 2'!$R:$S,2,FALSE),"0")</f>
        <v>0</v>
      </c>
      <c r="I35" s="260" t="s">
        <v>195</v>
      </c>
      <c r="J35" s="260" t="s">
        <v>174</v>
      </c>
      <c r="K35" s="261"/>
      <c r="L35" s="262"/>
      <c r="M35" s="263" t="str">
        <f>IFERROR(VLOOKUP($H35,'[2]CODE 2'!$J:$K,2,FALSE)," ")</f>
        <v xml:space="preserve"> </v>
      </c>
      <c r="N35" s="264" t="str">
        <f t="shared" si="1"/>
        <v/>
      </c>
      <c r="O35" s="264" t="str">
        <f t="shared" si="2"/>
        <v xml:space="preserve"> </v>
      </c>
      <c r="P35" s="264" t="str">
        <f t="shared" si="3"/>
        <v/>
      </c>
      <c r="Q35" s="264" t="str">
        <f t="shared" si="4"/>
        <v/>
      </c>
      <c r="R35" s="286">
        <v>11</v>
      </c>
      <c r="S35" s="264" t="str">
        <f t="shared" si="5"/>
        <v xml:space="preserve"> </v>
      </c>
      <c r="T35" s="252">
        <v>0</v>
      </c>
      <c r="U35" s="252">
        <v>0</v>
      </c>
      <c r="V35" s="252">
        <v>0</v>
      </c>
      <c r="W35" s="253" t="str">
        <f t="shared" si="22"/>
        <v xml:space="preserve"> </v>
      </c>
      <c r="X35" s="253" t="str">
        <f t="shared" si="7"/>
        <v/>
      </c>
      <c r="Y35" s="253" t="str">
        <f t="shared" si="8"/>
        <v/>
      </c>
      <c r="Z35" s="149"/>
      <c r="AA35" s="149"/>
      <c r="AB35" s="149"/>
      <c r="AC35" s="150" t="str">
        <f t="shared" si="9"/>
        <v xml:space="preserve"> </v>
      </c>
      <c r="AD35" s="150" t="str">
        <f t="shared" si="10"/>
        <v/>
      </c>
      <c r="AE35" s="150" t="str">
        <f t="shared" si="11"/>
        <v/>
      </c>
      <c r="AF35" s="193"/>
      <c r="AG35" s="193"/>
      <c r="AH35" s="193"/>
      <c r="AI35" s="214" t="str">
        <f t="shared" si="12"/>
        <v xml:space="preserve"> </v>
      </c>
      <c r="AJ35" s="214" t="str">
        <f t="shared" si="13"/>
        <v/>
      </c>
      <c r="AK35" s="214" t="str">
        <f t="shared" si="14"/>
        <v/>
      </c>
      <c r="AL35" s="154" t="str">
        <f t="shared" si="15"/>
        <v/>
      </c>
      <c r="AM35" s="154" t="str">
        <f t="shared" si="16"/>
        <v/>
      </c>
      <c r="AN35" s="154" t="str">
        <f t="shared" si="17"/>
        <v/>
      </c>
      <c r="AO35" s="145">
        <f t="shared" si="18"/>
        <v>0</v>
      </c>
      <c r="AP35" s="155"/>
      <c r="AQ35" s="155"/>
      <c r="AR35" s="145" t="str">
        <f t="shared" si="19"/>
        <v/>
      </c>
      <c r="AS35" s="145"/>
      <c r="AT35" s="145"/>
      <c r="AU35" s="155"/>
      <c r="AV35" s="155"/>
      <c r="AW35" s="155"/>
      <c r="AX35" s="155"/>
      <c r="AY35" s="145" t="str">
        <f t="shared" si="20"/>
        <v/>
      </c>
      <c r="AZ35" s="145" t="s">
        <v>188</v>
      </c>
      <c r="BA35" s="145" t="s">
        <v>193</v>
      </c>
      <c r="BB35" s="190"/>
      <c r="BC35" s="190"/>
    </row>
    <row r="36" spans="1:55" ht="15.75" customHeight="1">
      <c r="A36" s="140">
        <f t="shared" si="0"/>
        <v>27</v>
      </c>
      <c r="B36" s="159" t="s">
        <v>250</v>
      </c>
      <c r="C36" s="185">
        <v>46035</v>
      </c>
      <c r="D36" s="138"/>
      <c r="E36" s="256" t="s">
        <v>198</v>
      </c>
      <c r="F36" s="257" t="s">
        <v>114</v>
      </c>
      <c r="G36" s="258" t="s">
        <v>17</v>
      </c>
      <c r="H36" s="259" t="str">
        <f>IF(AZ36="Payroll",VLOOKUP(E36,'[2]CODE 2'!$R:$S,2,FALSE),"0")</f>
        <v>0</v>
      </c>
      <c r="I36" s="260" t="s">
        <v>195</v>
      </c>
      <c r="J36" s="260" t="s">
        <v>174</v>
      </c>
      <c r="K36" s="261"/>
      <c r="L36" s="262"/>
      <c r="M36" s="263" t="str">
        <f>IFERROR(VLOOKUP($H36,'[2]CODE 2'!$J:$K,2,FALSE)," ")</f>
        <v xml:space="preserve"> </v>
      </c>
      <c r="N36" s="264" t="str">
        <f t="shared" si="1"/>
        <v/>
      </c>
      <c r="O36" s="264" t="str">
        <f t="shared" si="2"/>
        <v xml:space="preserve"> </v>
      </c>
      <c r="P36" s="264" t="str">
        <f t="shared" si="3"/>
        <v/>
      </c>
      <c r="Q36" s="264" t="str">
        <f t="shared" si="4"/>
        <v/>
      </c>
      <c r="R36" s="286">
        <v>11</v>
      </c>
      <c r="S36" s="264" t="str">
        <f t="shared" si="5"/>
        <v xml:space="preserve"> </v>
      </c>
      <c r="T36" s="252">
        <v>0</v>
      </c>
      <c r="U36" s="252">
        <v>0</v>
      </c>
      <c r="V36" s="252">
        <v>29</v>
      </c>
      <c r="W36" s="253" t="str">
        <f t="shared" si="22"/>
        <v xml:space="preserve"> </v>
      </c>
      <c r="X36" s="253" t="str">
        <f t="shared" si="7"/>
        <v/>
      </c>
      <c r="Y36" s="253" t="str">
        <f t="shared" si="8"/>
        <v/>
      </c>
      <c r="Z36" s="149"/>
      <c r="AA36" s="149"/>
      <c r="AB36" s="149"/>
      <c r="AC36" s="150" t="str">
        <f t="shared" si="9"/>
        <v xml:space="preserve"> </v>
      </c>
      <c r="AD36" s="150" t="str">
        <f t="shared" si="10"/>
        <v/>
      </c>
      <c r="AE36" s="150" t="str">
        <f t="shared" si="11"/>
        <v/>
      </c>
      <c r="AF36" s="193"/>
      <c r="AG36" s="193"/>
      <c r="AH36" s="193"/>
      <c r="AI36" s="214" t="str">
        <f t="shared" si="12"/>
        <v xml:space="preserve"> </v>
      </c>
      <c r="AJ36" s="214" t="str">
        <f t="shared" si="13"/>
        <v/>
      </c>
      <c r="AK36" s="214" t="str">
        <f t="shared" si="14"/>
        <v/>
      </c>
      <c r="AL36" s="154" t="str">
        <f t="shared" si="15"/>
        <v/>
      </c>
      <c r="AM36" s="154" t="str">
        <f t="shared" si="16"/>
        <v/>
      </c>
      <c r="AN36" s="154" t="str">
        <f t="shared" si="17"/>
        <v/>
      </c>
      <c r="AO36" s="145">
        <f t="shared" si="18"/>
        <v>0</v>
      </c>
      <c r="AP36" s="155"/>
      <c r="AQ36" s="155"/>
      <c r="AR36" s="145" t="str">
        <f t="shared" si="19"/>
        <v/>
      </c>
      <c r="AS36" s="145"/>
      <c r="AT36" s="145"/>
      <c r="AU36" s="155"/>
      <c r="AV36" s="155"/>
      <c r="AW36" s="155"/>
      <c r="AX36" s="155"/>
      <c r="AY36" s="145" t="str">
        <f t="shared" si="20"/>
        <v/>
      </c>
      <c r="AZ36" s="145" t="s">
        <v>188</v>
      </c>
      <c r="BA36" s="145" t="s">
        <v>100</v>
      </c>
      <c r="BB36" s="190"/>
      <c r="BC36" s="190"/>
    </row>
    <row r="37" spans="1:55" ht="15.75" customHeight="1">
      <c r="A37" s="140">
        <f t="shared" si="0"/>
        <v>28</v>
      </c>
      <c r="B37" s="136" t="s">
        <v>276</v>
      </c>
      <c r="C37" s="185">
        <v>46036</v>
      </c>
      <c r="D37" s="138"/>
      <c r="E37" s="171" t="s">
        <v>214</v>
      </c>
      <c r="F37" s="140" t="s">
        <v>114</v>
      </c>
      <c r="G37" s="139" t="s">
        <v>17</v>
      </c>
      <c r="H37" s="141">
        <f>IF(AZ37="Payroll",VLOOKUP(E37,'[2]CODE 2'!$R:$S,2,FALSE),"0")</f>
        <v>8</v>
      </c>
      <c r="I37" s="142" t="s">
        <v>254</v>
      </c>
      <c r="J37" s="142" t="s">
        <v>174</v>
      </c>
      <c r="K37" s="254"/>
      <c r="L37" s="255"/>
      <c r="M37" s="203">
        <f>IFERROR(VLOOKUP($H37,'[2]CODE 2'!$J:$K,2,FALSE)," ")</f>
        <v>19744</v>
      </c>
      <c r="N37" s="145">
        <f t="shared" si="1"/>
        <v>9872</v>
      </c>
      <c r="O37" s="145">
        <f t="shared" si="2"/>
        <v>897.4545454545455</v>
      </c>
      <c r="P37" s="145">
        <f t="shared" si="3"/>
        <v>112.18181818181819</v>
      </c>
      <c r="Q37" s="145">
        <f t="shared" si="4"/>
        <v>1.8696969696969699</v>
      </c>
      <c r="R37" s="191">
        <v>11</v>
      </c>
      <c r="S37" s="145">
        <f t="shared" si="5"/>
        <v>9872</v>
      </c>
      <c r="T37" s="252">
        <v>0</v>
      </c>
      <c r="U37" s="252">
        <v>0</v>
      </c>
      <c r="V37" s="252">
        <v>0</v>
      </c>
      <c r="W37" s="253">
        <f t="shared" si="22"/>
        <v>0</v>
      </c>
      <c r="X37" s="253">
        <f t="shared" si="7"/>
        <v>0</v>
      </c>
      <c r="Y37" s="253">
        <f t="shared" si="8"/>
        <v>0</v>
      </c>
      <c r="Z37" s="149"/>
      <c r="AA37" s="149"/>
      <c r="AB37" s="149"/>
      <c r="AC37" s="150">
        <f t="shared" si="9"/>
        <v>0</v>
      </c>
      <c r="AD37" s="150">
        <f t="shared" si="10"/>
        <v>0</v>
      </c>
      <c r="AE37" s="150">
        <f t="shared" si="11"/>
        <v>0</v>
      </c>
      <c r="AF37" s="193"/>
      <c r="AG37" s="193"/>
      <c r="AH37" s="193"/>
      <c r="AI37" s="214">
        <f t="shared" si="12"/>
        <v>0</v>
      </c>
      <c r="AJ37" s="214">
        <f t="shared" si="13"/>
        <v>0</v>
      </c>
      <c r="AK37" s="214">
        <f t="shared" si="14"/>
        <v>0</v>
      </c>
      <c r="AL37" s="154">
        <f t="shared" si="15"/>
        <v>0</v>
      </c>
      <c r="AM37" s="154">
        <f t="shared" si="16"/>
        <v>0</v>
      </c>
      <c r="AN37" s="154">
        <f t="shared" si="17"/>
        <v>0</v>
      </c>
      <c r="AO37" s="145">
        <f t="shared" si="18"/>
        <v>0</v>
      </c>
      <c r="AP37" s="155"/>
      <c r="AQ37" s="155"/>
      <c r="AR37" s="145">
        <f t="shared" si="19"/>
        <v>9872</v>
      </c>
      <c r="AS37" s="145"/>
      <c r="AT37" s="145"/>
      <c r="AU37" s="155"/>
      <c r="AV37" s="155"/>
      <c r="AW37" s="155"/>
      <c r="AX37" s="155"/>
      <c r="AY37" s="145">
        <f t="shared" si="20"/>
        <v>9872</v>
      </c>
      <c r="AZ37" s="145" t="s">
        <v>99</v>
      </c>
      <c r="BA37" s="145" t="s">
        <v>166</v>
      </c>
      <c r="BB37" s="190"/>
      <c r="BC37" s="190"/>
    </row>
    <row r="38" spans="1:55" ht="15.75" customHeight="1">
      <c r="A38" s="140">
        <f t="shared" si="0"/>
        <v>29</v>
      </c>
      <c r="B38" s="136" t="s">
        <v>249</v>
      </c>
      <c r="C38" s="162">
        <v>46035</v>
      </c>
      <c r="D38" s="138"/>
      <c r="E38" s="256" t="s">
        <v>193</v>
      </c>
      <c r="F38" s="257" t="s">
        <v>185</v>
      </c>
      <c r="G38" s="258" t="s">
        <v>17</v>
      </c>
      <c r="H38" s="259" t="str">
        <f>IF(AZ38="Payroll",VLOOKUP(E38,'[2]CODE 2'!$R:$S,2,FALSE),"0")</f>
        <v>0</v>
      </c>
      <c r="I38" s="260" t="s">
        <v>195</v>
      </c>
      <c r="J38" s="260" t="s">
        <v>174</v>
      </c>
      <c r="K38" s="261"/>
      <c r="L38" s="262"/>
      <c r="M38" s="263" t="str">
        <f>IFERROR(VLOOKUP($H38,'[2]CODE 2'!$J:$K,2,FALSE)," ")</f>
        <v xml:space="preserve"> </v>
      </c>
      <c r="N38" s="264" t="str">
        <f t="shared" si="1"/>
        <v/>
      </c>
      <c r="O38" s="264" t="str">
        <f t="shared" si="2"/>
        <v xml:space="preserve"> </v>
      </c>
      <c r="P38" s="264" t="str">
        <f t="shared" si="3"/>
        <v/>
      </c>
      <c r="Q38" s="264" t="str">
        <f t="shared" si="4"/>
        <v/>
      </c>
      <c r="R38" s="265">
        <v>11</v>
      </c>
      <c r="S38" s="264" t="str">
        <f t="shared" si="5"/>
        <v xml:space="preserve"> </v>
      </c>
      <c r="T38" s="252">
        <v>0</v>
      </c>
      <c r="U38" s="252">
        <v>0</v>
      </c>
      <c r="V38" s="252">
        <v>0</v>
      </c>
      <c r="W38" s="253" t="str">
        <f t="shared" si="22"/>
        <v xml:space="preserve"> </v>
      </c>
      <c r="X38" s="253" t="str">
        <f t="shared" si="7"/>
        <v/>
      </c>
      <c r="Y38" s="253" t="str">
        <f t="shared" si="8"/>
        <v/>
      </c>
      <c r="Z38" s="149"/>
      <c r="AA38" s="149"/>
      <c r="AB38" s="149"/>
      <c r="AC38" s="150" t="str">
        <f t="shared" si="9"/>
        <v xml:space="preserve"> </v>
      </c>
      <c r="AD38" s="150" t="str">
        <f t="shared" si="10"/>
        <v/>
      </c>
      <c r="AE38" s="150" t="str">
        <f t="shared" si="11"/>
        <v/>
      </c>
      <c r="AF38" s="193"/>
      <c r="AG38" s="193"/>
      <c r="AH38" s="193"/>
      <c r="AI38" s="214" t="str">
        <f t="shared" si="12"/>
        <v xml:space="preserve"> </v>
      </c>
      <c r="AJ38" s="214" t="str">
        <f t="shared" si="13"/>
        <v/>
      </c>
      <c r="AK38" s="214" t="str">
        <f t="shared" si="14"/>
        <v/>
      </c>
      <c r="AL38" s="154" t="str">
        <f t="shared" si="15"/>
        <v/>
      </c>
      <c r="AM38" s="154" t="str">
        <f t="shared" si="16"/>
        <v/>
      </c>
      <c r="AN38" s="154" t="str">
        <f t="shared" si="17"/>
        <v/>
      </c>
      <c r="AO38" s="145">
        <f t="shared" si="18"/>
        <v>0</v>
      </c>
      <c r="AP38" s="155"/>
      <c r="AQ38" s="155"/>
      <c r="AR38" s="145" t="str">
        <f>IFERROR(ROUND((S38-AO38+AP38),2),"")</f>
        <v/>
      </c>
      <c r="AS38" s="145"/>
      <c r="AT38" s="145"/>
      <c r="AU38" s="155"/>
      <c r="AV38" s="155"/>
      <c r="AW38" s="155"/>
      <c r="AX38" s="155"/>
      <c r="AY38" s="145" t="str">
        <f t="shared" si="20"/>
        <v/>
      </c>
      <c r="AZ38" s="145" t="s">
        <v>188</v>
      </c>
      <c r="BA38" s="145" t="s">
        <v>115</v>
      </c>
      <c r="BB38" s="190"/>
      <c r="BC38" s="190"/>
    </row>
    <row r="39" spans="1:55" ht="17.25" customHeight="1">
      <c r="A39" s="140">
        <f t="shared" si="0"/>
        <v>30</v>
      </c>
      <c r="B39" s="136" t="s">
        <v>277</v>
      </c>
      <c r="C39" s="162">
        <v>46036</v>
      </c>
      <c r="D39" s="138"/>
      <c r="E39" s="171" t="s">
        <v>113</v>
      </c>
      <c r="F39" s="140" t="s">
        <v>117</v>
      </c>
      <c r="G39" s="139" t="s">
        <v>17</v>
      </c>
      <c r="H39" s="141">
        <f>IF(AZ39="Payroll",VLOOKUP(E39,'[2]CODE 2'!$R:$S,2,FALSE),"0")</f>
        <v>8</v>
      </c>
      <c r="I39" s="142" t="s">
        <v>254</v>
      </c>
      <c r="J39" s="142" t="s">
        <v>174</v>
      </c>
      <c r="K39" s="254"/>
      <c r="L39" s="255"/>
      <c r="M39" s="204">
        <f>IFERROR(VLOOKUP($H39,'[2]CODE 2'!$J:$K,2,FALSE)," ")</f>
        <v>19744</v>
      </c>
      <c r="N39" s="145">
        <f t="shared" si="1"/>
        <v>9872</v>
      </c>
      <c r="O39" s="145">
        <f t="shared" si="2"/>
        <v>897.4545454545455</v>
      </c>
      <c r="P39" s="145">
        <f t="shared" si="3"/>
        <v>112.18181818181819</v>
      </c>
      <c r="Q39" s="145">
        <f t="shared" si="4"/>
        <v>1.8696969696969699</v>
      </c>
      <c r="R39" s="146" t="str">
        <f>IF(AZ39="Payroll","11","")</f>
        <v>11</v>
      </c>
      <c r="S39" s="145">
        <f t="shared" si="5"/>
        <v>9872</v>
      </c>
      <c r="T39" s="252">
        <v>0</v>
      </c>
      <c r="U39" s="252">
        <v>0</v>
      </c>
      <c r="V39" s="252">
        <v>0</v>
      </c>
      <c r="W39" s="253">
        <f t="shared" si="22"/>
        <v>0</v>
      </c>
      <c r="X39" s="253">
        <f t="shared" si="7"/>
        <v>0</v>
      </c>
      <c r="Y39" s="253">
        <f t="shared" si="8"/>
        <v>0</v>
      </c>
      <c r="Z39" s="149"/>
      <c r="AA39" s="149"/>
      <c r="AB39" s="149"/>
      <c r="AC39" s="150">
        <f t="shared" si="9"/>
        <v>0</v>
      </c>
      <c r="AD39" s="150">
        <f t="shared" si="10"/>
        <v>0</v>
      </c>
      <c r="AE39" s="150">
        <f t="shared" si="11"/>
        <v>0</v>
      </c>
      <c r="AF39" s="193"/>
      <c r="AG39" s="193"/>
      <c r="AH39" s="193"/>
      <c r="AI39" s="214">
        <f t="shared" si="12"/>
        <v>0</v>
      </c>
      <c r="AJ39" s="214">
        <f t="shared" si="13"/>
        <v>0</v>
      </c>
      <c r="AK39" s="214">
        <f t="shared" si="14"/>
        <v>0</v>
      </c>
      <c r="AL39" s="154">
        <f t="shared" si="15"/>
        <v>0</v>
      </c>
      <c r="AM39" s="154">
        <f t="shared" si="16"/>
        <v>0</v>
      </c>
      <c r="AN39" s="154">
        <f t="shared" si="17"/>
        <v>0</v>
      </c>
      <c r="AO39" s="145">
        <f t="shared" si="18"/>
        <v>0</v>
      </c>
      <c r="AP39" s="155"/>
      <c r="AQ39" s="155"/>
      <c r="AR39" s="145">
        <f>IFERROR(ROUND((S39-AO39-AP39),2),"")</f>
        <v>9872</v>
      </c>
      <c r="AS39" s="145"/>
      <c r="AT39" s="145"/>
      <c r="AU39" s="155"/>
      <c r="AV39" s="155"/>
      <c r="AW39" s="155"/>
      <c r="AX39" s="155"/>
      <c r="AY39" s="145">
        <f t="shared" si="20"/>
        <v>9872</v>
      </c>
      <c r="AZ39" s="145" t="s">
        <v>99</v>
      </c>
      <c r="BA39" s="145" t="s">
        <v>180</v>
      </c>
      <c r="BB39" s="190"/>
      <c r="BC39" s="190"/>
    </row>
    <row r="40" spans="1:55" ht="15.75" customHeight="1">
      <c r="A40" s="140">
        <f t="shared" si="0"/>
        <v>31</v>
      </c>
      <c r="B40" s="136" t="s">
        <v>278</v>
      </c>
      <c r="C40" s="162">
        <v>46036</v>
      </c>
      <c r="D40" s="138"/>
      <c r="E40" s="171" t="s">
        <v>163</v>
      </c>
      <c r="F40" s="140" t="s">
        <v>117</v>
      </c>
      <c r="G40" s="139" t="s">
        <v>17</v>
      </c>
      <c r="H40" s="141">
        <f>IF(AZ40="Payroll",VLOOKUP(E40,'[2]CODE 2'!$R:$S,2,FALSE),"0")</f>
        <v>8</v>
      </c>
      <c r="I40" s="142" t="s">
        <v>254</v>
      </c>
      <c r="J40" s="142" t="s">
        <v>174</v>
      </c>
      <c r="K40" s="254"/>
      <c r="L40" s="255"/>
      <c r="M40" s="204">
        <f>IFERROR(VLOOKUP($H40,'[2]CODE 2'!$J:$K,2,FALSE)," ")</f>
        <v>19744</v>
      </c>
      <c r="N40" s="145">
        <f t="shared" si="1"/>
        <v>9872</v>
      </c>
      <c r="O40" s="145">
        <f t="shared" si="2"/>
        <v>897.4545454545455</v>
      </c>
      <c r="P40" s="145">
        <f t="shared" si="3"/>
        <v>112.18181818181819</v>
      </c>
      <c r="Q40" s="145">
        <f t="shared" si="4"/>
        <v>1.8696969696969699</v>
      </c>
      <c r="R40" s="146">
        <v>11</v>
      </c>
      <c r="S40" s="145">
        <f t="shared" si="5"/>
        <v>9872</v>
      </c>
      <c r="T40" s="252">
        <v>0</v>
      </c>
      <c r="U40" s="252">
        <v>0</v>
      </c>
      <c r="V40" s="252">
        <v>0</v>
      </c>
      <c r="W40" s="253">
        <f t="shared" si="22"/>
        <v>0</v>
      </c>
      <c r="X40" s="253">
        <f t="shared" si="7"/>
        <v>0</v>
      </c>
      <c r="Y40" s="253">
        <f t="shared" si="8"/>
        <v>0</v>
      </c>
      <c r="Z40" s="149"/>
      <c r="AA40" s="149"/>
      <c r="AB40" s="149"/>
      <c r="AC40" s="150">
        <f t="shared" si="9"/>
        <v>0</v>
      </c>
      <c r="AD40" s="150">
        <f t="shared" si="10"/>
        <v>0</v>
      </c>
      <c r="AE40" s="150">
        <f t="shared" si="11"/>
        <v>0</v>
      </c>
      <c r="AF40" s="193"/>
      <c r="AG40" s="193"/>
      <c r="AH40" s="193"/>
      <c r="AI40" s="214">
        <f t="shared" si="12"/>
        <v>0</v>
      </c>
      <c r="AJ40" s="214">
        <f t="shared" si="13"/>
        <v>0</v>
      </c>
      <c r="AK40" s="214">
        <f t="shared" si="14"/>
        <v>0</v>
      </c>
      <c r="AL40" s="154">
        <f t="shared" si="15"/>
        <v>0</v>
      </c>
      <c r="AM40" s="154">
        <f t="shared" si="16"/>
        <v>0</v>
      </c>
      <c r="AN40" s="154">
        <f t="shared" si="17"/>
        <v>0</v>
      </c>
      <c r="AO40" s="145">
        <f t="shared" si="18"/>
        <v>0</v>
      </c>
      <c r="AP40" s="155"/>
      <c r="AQ40" s="155"/>
      <c r="AR40" s="145">
        <f t="shared" ref="AR40:AR41" si="23">IFERROR(ROUND((S40-AO40+AP40),2),"")</f>
        <v>9872</v>
      </c>
      <c r="AS40" s="145"/>
      <c r="AT40" s="145"/>
      <c r="AU40" s="155"/>
      <c r="AV40" s="155"/>
      <c r="AW40" s="155"/>
      <c r="AX40" s="155"/>
      <c r="AY40" s="145">
        <f t="shared" si="20"/>
        <v>9872</v>
      </c>
      <c r="AZ40" s="145" t="s">
        <v>99</v>
      </c>
      <c r="BA40" s="145" t="s">
        <v>21</v>
      </c>
      <c r="BB40" s="190"/>
      <c r="BC40" s="190"/>
    </row>
    <row r="41" spans="1:55" ht="14.25" customHeight="1">
      <c r="A41" s="140">
        <f t="shared" si="0"/>
        <v>32</v>
      </c>
      <c r="B41" s="136" t="s">
        <v>279</v>
      </c>
      <c r="C41" s="162">
        <v>46036</v>
      </c>
      <c r="D41" s="138"/>
      <c r="E41" s="171" t="s">
        <v>118</v>
      </c>
      <c r="F41" s="140" t="s">
        <v>119</v>
      </c>
      <c r="G41" s="139" t="s">
        <v>17</v>
      </c>
      <c r="H41" s="141">
        <f>IF(AZ41="Payroll",VLOOKUP(E41,'[2]CODE 2'!$R:$S,2,FALSE),"0")</f>
        <v>8</v>
      </c>
      <c r="I41" s="142" t="s">
        <v>254</v>
      </c>
      <c r="J41" s="142" t="s">
        <v>174</v>
      </c>
      <c r="K41" s="254"/>
      <c r="L41" s="255"/>
      <c r="M41" s="204">
        <f>IFERROR(VLOOKUP($H41,'[2]CODE 2'!$J:$K,2,FALSE)," ")</f>
        <v>19744</v>
      </c>
      <c r="N41" s="145">
        <f t="shared" si="1"/>
        <v>9872</v>
      </c>
      <c r="O41" s="145">
        <f t="shared" si="2"/>
        <v>897.4545454545455</v>
      </c>
      <c r="P41" s="145">
        <f t="shared" si="3"/>
        <v>112.18181818181819</v>
      </c>
      <c r="Q41" s="145">
        <f t="shared" si="4"/>
        <v>1.8696969696969699</v>
      </c>
      <c r="R41" s="146" t="str">
        <f t="shared" ref="R41:R61" si="24">IF(AZ41="Payroll","11","")</f>
        <v>11</v>
      </c>
      <c r="S41" s="145">
        <f t="shared" si="5"/>
        <v>9872</v>
      </c>
      <c r="T41" s="252">
        <v>0</v>
      </c>
      <c r="U41" s="252">
        <v>0</v>
      </c>
      <c r="V41" s="252">
        <v>0</v>
      </c>
      <c r="W41" s="253">
        <f t="shared" si="22"/>
        <v>0</v>
      </c>
      <c r="X41" s="253">
        <f t="shared" si="7"/>
        <v>0</v>
      </c>
      <c r="Y41" s="253">
        <f t="shared" si="8"/>
        <v>0</v>
      </c>
      <c r="Z41" s="149"/>
      <c r="AA41" s="149"/>
      <c r="AB41" s="149"/>
      <c r="AC41" s="150">
        <f t="shared" si="9"/>
        <v>0</v>
      </c>
      <c r="AD41" s="150">
        <f t="shared" si="10"/>
        <v>0</v>
      </c>
      <c r="AE41" s="150">
        <f t="shared" si="11"/>
        <v>0</v>
      </c>
      <c r="AF41" s="193"/>
      <c r="AG41" s="193"/>
      <c r="AH41" s="193"/>
      <c r="AI41" s="214">
        <f t="shared" si="12"/>
        <v>0</v>
      </c>
      <c r="AJ41" s="214">
        <f t="shared" si="13"/>
        <v>0</v>
      </c>
      <c r="AK41" s="214">
        <f t="shared" si="14"/>
        <v>0</v>
      </c>
      <c r="AL41" s="154">
        <f t="shared" si="15"/>
        <v>0</v>
      </c>
      <c r="AM41" s="154">
        <f t="shared" si="16"/>
        <v>0</v>
      </c>
      <c r="AN41" s="154">
        <f t="shared" si="17"/>
        <v>0</v>
      </c>
      <c r="AO41" s="145">
        <f t="shared" si="18"/>
        <v>0</v>
      </c>
      <c r="AP41" s="155"/>
      <c r="AQ41" s="155"/>
      <c r="AR41" s="145">
        <f t="shared" si="23"/>
        <v>9872</v>
      </c>
      <c r="AS41" s="145"/>
      <c r="AT41" s="145"/>
      <c r="AU41" s="155">
        <v>2000</v>
      </c>
      <c r="AV41" s="155">
        <v>461.39</v>
      </c>
      <c r="AW41" s="155"/>
      <c r="AX41" s="155"/>
      <c r="AY41" s="145">
        <f t="shared" si="20"/>
        <v>7410.61</v>
      </c>
      <c r="AZ41" s="145" t="s">
        <v>99</v>
      </c>
      <c r="BA41" s="145" t="s">
        <v>171</v>
      </c>
      <c r="BB41" s="190"/>
      <c r="BC41" s="190"/>
    </row>
    <row r="42" spans="1:55" ht="15.75" customHeight="1">
      <c r="A42" s="140">
        <f t="shared" si="0"/>
        <v>33</v>
      </c>
      <c r="B42" s="136" t="s">
        <v>280</v>
      </c>
      <c r="C42" s="162">
        <v>46036</v>
      </c>
      <c r="D42" s="138"/>
      <c r="E42" s="171" t="s">
        <v>115</v>
      </c>
      <c r="F42" s="140" t="s">
        <v>119</v>
      </c>
      <c r="G42" s="139" t="s">
        <v>17</v>
      </c>
      <c r="H42" s="141">
        <f>IF(AZ42="Payroll",VLOOKUP(E42,'[2]CODE 2'!$R:$S,2,FALSE),"0")</f>
        <v>8</v>
      </c>
      <c r="I42" s="142" t="s">
        <v>254</v>
      </c>
      <c r="J42" s="142" t="s">
        <v>174</v>
      </c>
      <c r="K42" s="254"/>
      <c r="L42" s="255"/>
      <c r="M42" s="204">
        <f>IFERROR(VLOOKUP($H42,'[2]CODE 2'!$J:$K,2,FALSE)," ")</f>
        <v>19744</v>
      </c>
      <c r="N42" s="145">
        <f t="shared" si="1"/>
        <v>9872</v>
      </c>
      <c r="O42" s="145">
        <f t="shared" si="2"/>
        <v>897.4545454545455</v>
      </c>
      <c r="P42" s="145">
        <f t="shared" si="3"/>
        <v>112.18181818181819</v>
      </c>
      <c r="Q42" s="145">
        <f t="shared" si="4"/>
        <v>1.8696969696969699</v>
      </c>
      <c r="R42" s="146" t="str">
        <f t="shared" si="24"/>
        <v>11</v>
      </c>
      <c r="S42" s="145">
        <f t="shared" si="5"/>
        <v>9872</v>
      </c>
      <c r="T42" s="252">
        <v>0</v>
      </c>
      <c r="U42" s="252">
        <v>4</v>
      </c>
      <c r="V42" s="252">
        <v>58</v>
      </c>
      <c r="W42" s="253">
        <f t="shared" si="22"/>
        <v>0</v>
      </c>
      <c r="X42" s="253">
        <f t="shared" si="7"/>
        <v>448.73</v>
      </c>
      <c r="Y42" s="253">
        <f t="shared" si="8"/>
        <v>108.44</v>
      </c>
      <c r="Z42" s="149"/>
      <c r="AA42" s="149"/>
      <c r="AB42" s="149"/>
      <c r="AC42" s="150">
        <f t="shared" si="9"/>
        <v>0</v>
      </c>
      <c r="AD42" s="150">
        <f t="shared" si="10"/>
        <v>0</v>
      </c>
      <c r="AE42" s="150">
        <f t="shared" si="11"/>
        <v>0</v>
      </c>
      <c r="AF42" s="193"/>
      <c r="AG42" s="193"/>
      <c r="AH42" s="193"/>
      <c r="AI42" s="214">
        <f t="shared" si="12"/>
        <v>0</v>
      </c>
      <c r="AJ42" s="214">
        <f t="shared" si="13"/>
        <v>0</v>
      </c>
      <c r="AK42" s="214">
        <f t="shared" si="14"/>
        <v>0</v>
      </c>
      <c r="AL42" s="154">
        <f t="shared" si="15"/>
        <v>0</v>
      </c>
      <c r="AM42" s="154">
        <f t="shared" si="16"/>
        <v>448.73</v>
      </c>
      <c r="AN42" s="154">
        <f t="shared" si="17"/>
        <v>108.44</v>
      </c>
      <c r="AO42" s="145">
        <f t="shared" si="18"/>
        <v>557.17000000000007</v>
      </c>
      <c r="AP42" s="155"/>
      <c r="AQ42" s="155"/>
      <c r="AR42" s="145">
        <f t="shared" ref="AR42:AR47" si="25">IFERROR(ROUND((S42-AO42-AP42),2),"")</f>
        <v>9314.83</v>
      </c>
      <c r="AS42" s="145"/>
      <c r="AT42" s="145"/>
      <c r="AU42" s="155"/>
      <c r="AV42" s="155"/>
      <c r="AW42" s="155"/>
      <c r="AX42" s="155"/>
      <c r="AY42" s="145">
        <f t="shared" si="20"/>
        <v>9314.83</v>
      </c>
      <c r="AZ42" s="145" t="s">
        <v>99</v>
      </c>
      <c r="BA42" s="145" t="s">
        <v>187</v>
      </c>
      <c r="BB42" s="190"/>
      <c r="BC42" s="190"/>
    </row>
    <row r="43" spans="1:55" ht="15.75" customHeight="1">
      <c r="A43" s="140">
        <f t="shared" si="0"/>
        <v>34</v>
      </c>
      <c r="B43" s="136" t="s">
        <v>281</v>
      </c>
      <c r="C43" s="162">
        <v>46036</v>
      </c>
      <c r="D43" s="288"/>
      <c r="E43" s="171" t="s">
        <v>120</v>
      </c>
      <c r="F43" s="140" t="s">
        <v>121</v>
      </c>
      <c r="G43" s="139" t="s">
        <v>122</v>
      </c>
      <c r="H43" s="141">
        <f>IF(AZ43="Payroll",VLOOKUP(E43,'[2]CODE 2'!$R:$S,2,FALSE),"0")</f>
        <v>7</v>
      </c>
      <c r="I43" s="142" t="s">
        <v>254</v>
      </c>
      <c r="J43" s="142" t="s">
        <v>174</v>
      </c>
      <c r="K43" s="254"/>
      <c r="L43" s="255"/>
      <c r="M43" s="204">
        <f>IFERROR(VLOOKUP($H43,'[2]CODE 2'!$J:$K,2,FALSE)," ")</f>
        <v>18620</v>
      </c>
      <c r="N43" s="145">
        <f t="shared" si="1"/>
        <v>9310</v>
      </c>
      <c r="O43" s="145">
        <f t="shared" si="2"/>
        <v>846.36363636363637</v>
      </c>
      <c r="P43" s="145">
        <f t="shared" si="3"/>
        <v>105.79545454545455</v>
      </c>
      <c r="Q43" s="145">
        <f t="shared" si="4"/>
        <v>1.7632575757575757</v>
      </c>
      <c r="R43" s="146" t="str">
        <f t="shared" si="24"/>
        <v>11</v>
      </c>
      <c r="S43" s="145">
        <f t="shared" si="5"/>
        <v>9310</v>
      </c>
      <c r="T43" s="252">
        <v>0</v>
      </c>
      <c r="U43" s="252">
        <v>0</v>
      </c>
      <c r="V43" s="252">
        <v>37</v>
      </c>
      <c r="W43" s="253">
        <f t="shared" si="22"/>
        <v>0</v>
      </c>
      <c r="X43" s="253">
        <f t="shared" si="7"/>
        <v>0</v>
      </c>
      <c r="Y43" s="253">
        <f t="shared" si="8"/>
        <v>65.239999999999995</v>
      </c>
      <c r="Z43" s="149"/>
      <c r="AA43" s="149"/>
      <c r="AB43" s="149"/>
      <c r="AC43" s="150">
        <f t="shared" si="9"/>
        <v>0</v>
      </c>
      <c r="AD43" s="150">
        <f t="shared" si="10"/>
        <v>0</v>
      </c>
      <c r="AE43" s="150">
        <f t="shared" si="11"/>
        <v>0</v>
      </c>
      <c r="AF43" s="193"/>
      <c r="AG43" s="193"/>
      <c r="AH43" s="193"/>
      <c r="AI43" s="214">
        <f t="shared" si="12"/>
        <v>0</v>
      </c>
      <c r="AJ43" s="214">
        <f t="shared" si="13"/>
        <v>0</v>
      </c>
      <c r="AK43" s="214">
        <f t="shared" si="14"/>
        <v>0</v>
      </c>
      <c r="AL43" s="154">
        <f t="shared" si="15"/>
        <v>0</v>
      </c>
      <c r="AM43" s="154">
        <f t="shared" si="16"/>
        <v>0</v>
      </c>
      <c r="AN43" s="154">
        <f t="shared" si="17"/>
        <v>65.239999999999995</v>
      </c>
      <c r="AO43" s="145">
        <f t="shared" si="18"/>
        <v>65.239999999999995</v>
      </c>
      <c r="AP43" s="155"/>
      <c r="AQ43" s="155"/>
      <c r="AR43" s="145">
        <f t="shared" si="25"/>
        <v>9244.76</v>
      </c>
      <c r="AS43" s="145"/>
      <c r="AT43" s="145"/>
      <c r="AU43" s="155"/>
      <c r="AV43" s="155"/>
      <c r="AW43" s="155"/>
      <c r="AX43" s="155"/>
      <c r="AY43" s="145">
        <f t="shared" si="20"/>
        <v>9244.76</v>
      </c>
      <c r="AZ43" s="145" t="s">
        <v>99</v>
      </c>
      <c r="BA43" s="145" t="s">
        <v>236</v>
      </c>
      <c r="BB43" s="269"/>
      <c r="BC43" s="269"/>
    </row>
    <row r="44" spans="1:55" ht="15.75" customHeight="1">
      <c r="A44" s="140">
        <f t="shared" si="0"/>
        <v>35</v>
      </c>
      <c r="B44" s="136" t="s">
        <v>282</v>
      </c>
      <c r="C44" s="162">
        <v>46036</v>
      </c>
      <c r="D44" s="289"/>
      <c r="E44" s="171" t="s">
        <v>123</v>
      </c>
      <c r="F44" s="140" t="s">
        <v>121</v>
      </c>
      <c r="G44" s="139" t="s">
        <v>17</v>
      </c>
      <c r="H44" s="141">
        <f>IF(AZ44="Payroll",VLOOKUP(E44,'[2]CODE 2'!$R:$S,2,FALSE),"0")</f>
        <v>8</v>
      </c>
      <c r="I44" s="142" t="s">
        <v>254</v>
      </c>
      <c r="J44" s="142" t="s">
        <v>174</v>
      </c>
      <c r="K44" s="254"/>
      <c r="L44" s="255"/>
      <c r="M44" s="204">
        <f>IFERROR(VLOOKUP($H44,'[2]CODE 2'!$J:$K,2,FALSE)," ")</f>
        <v>19744</v>
      </c>
      <c r="N44" s="145">
        <f t="shared" si="1"/>
        <v>9872</v>
      </c>
      <c r="O44" s="145">
        <f t="shared" si="2"/>
        <v>897.4545454545455</v>
      </c>
      <c r="P44" s="145">
        <f t="shared" si="3"/>
        <v>112.18181818181819</v>
      </c>
      <c r="Q44" s="145">
        <f t="shared" si="4"/>
        <v>1.8696969696969699</v>
      </c>
      <c r="R44" s="146" t="str">
        <f t="shared" si="24"/>
        <v>11</v>
      </c>
      <c r="S44" s="145">
        <f t="shared" si="5"/>
        <v>9872</v>
      </c>
      <c r="T44" s="252">
        <v>1</v>
      </c>
      <c r="U44" s="252">
        <v>0</v>
      </c>
      <c r="V44" s="252">
        <v>0</v>
      </c>
      <c r="W44" s="253">
        <f t="shared" si="22"/>
        <v>897.45</v>
      </c>
      <c r="X44" s="253">
        <f t="shared" si="7"/>
        <v>0</v>
      </c>
      <c r="Y44" s="253">
        <f t="shared" si="8"/>
        <v>0</v>
      </c>
      <c r="Z44" s="149"/>
      <c r="AA44" s="149"/>
      <c r="AB44" s="149"/>
      <c r="AC44" s="150">
        <f t="shared" si="9"/>
        <v>0</v>
      </c>
      <c r="AD44" s="150">
        <f t="shared" si="10"/>
        <v>0</v>
      </c>
      <c r="AE44" s="150">
        <f t="shared" si="11"/>
        <v>0</v>
      </c>
      <c r="AF44" s="193"/>
      <c r="AG44" s="193"/>
      <c r="AH44" s="193"/>
      <c r="AI44" s="214">
        <f t="shared" si="12"/>
        <v>0</v>
      </c>
      <c r="AJ44" s="214">
        <f t="shared" si="13"/>
        <v>0</v>
      </c>
      <c r="AK44" s="214">
        <f t="shared" si="14"/>
        <v>0</v>
      </c>
      <c r="AL44" s="154">
        <f t="shared" si="15"/>
        <v>897.45</v>
      </c>
      <c r="AM44" s="154">
        <f t="shared" si="16"/>
        <v>0</v>
      </c>
      <c r="AN44" s="154">
        <f t="shared" si="17"/>
        <v>0</v>
      </c>
      <c r="AO44" s="145">
        <f t="shared" si="18"/>
        <v>897.45</v>
      </c>
      <c r="AP44" s="155"/>
      <c r="AQ44" s="155"/>
      <c r="AR44" s="145">
        <f t="shared" si="25"/>
        <v>8974.5499999999993</v>
      </c>
      <c r="AS44" s="145"/>
      <c r="AT44" s="145"/>
      <c r="AU44" s="155"/>
      <c r="AV44" s="155"/>
      <c r="AW44" s="155"/>
      <c r="AX44" s="155"/>
      <c r="AY44" s="145">
        <f t="shared" si="20"/>
        <v>8974.5499999999993</v>
      </c>
      <c r="AZ44" s="145" t="s">
        <v>99</v>
      </c>
      <c r="BA44" s="145" t="s">
        <v>199</v>
      </c>
      <c r="BB44" s="190"/>
      <c r="BC44" s="190"/>
    </row>
    <row r="45" spans="1:55" ht="15.75" customHeight="1">
      <c r="A45" s="140">
        <f t="shared" si="0"/>
        <v>36</v>
      </c>
      <c r="B45" s="290" t="s">
        <v>283</v>
      </c>
      <c r="C45" s="291">
        <v>46036</v>
      </c>
      <c r="D45" s="292"/>
      <c r="E45" s="171" t="s">
        <v>124</v>
      </c>
      <c r="F45" s="293" t="s">
        <v>121</v>
      </c>
      <c r="G45" s="294" t="s">
        <v>122</v>
      </c>
      <c r="H45" s="295">
        <f>IF(AZ45="Payroll",VLOOKUP(E45,'[2]CODE 2'!$R:$S,2,FALSE),"0")</f>
        <v>7</v>
      </c>
      <c r="I45" s="296" t="s">
        <v>254</v>
      </c>
      <c r="J45" s="296"/>
      <c r="K45" s="254"/>
      <c r="L45" s="255"/>
      <c r="M45" s="204">
        <f>IFERROR(VLOOKUP($H45,'[2]CODE 2'!$J:$K,2,FALSE)," ")</f>
        <v>18620</v>
      </c>
      <c r="N45" s="145">
        <f t="shared" si="1"/>
        <v>9310</v>
      </c>
      <c r="O45" s="145">
        <f t="shared" si="2"/>
        <v>846.36363636363637</v>
      </c>
      <c r="P45" s="145">
        <f t="shared" si="3"/>
        <v>105.79545454545455</v>
      </c>
      <c r="Q45" s="145">
        <f t="shared" si="4"/>
        <v>1.7632575757575757</v>
      </c>
      <c r="R45" s="146" t="str">
        <f t="shared" si="24"/>
        <v>11</v>
      </c>
      <c r="S45" s="145">
        <f t="shared" si="5"/>
        <v>9310</v>
      </c>
      <c r="T45" s="252"/>
      <c r="U45" s="252"/>
      <c r="V45" s="252"/>
      <c r="W45" s="253">
        <f t="shared" si="22"/>
        <v>0</v>
      </c>
      <c r="X45" s="253">
        <f t="shared" si="7"/>
        <v>0</v>
      </c>
      <c r="Y45" s="253">
        <f t="shared" si="8"/>
        <v>0</v>
      </c>
      <c r="Z45" s="149"/>
      <c r="AA45" s="149"/>
      <c r="AB45" s="149"/>
      <c r="AC45" s="150">
        <f t="shared" si="9"/>
        <v>0</v>
      </c>
      <c r="AD45" s="150">
        <f t="shared" si="10"/>
        <v>0</v>
      </c>
      <c r="AE45" s="150">
        <f t="shared" si="11"/>
        <v>0</v>
      </c>
      <c r="AF45" s="193"/>
      <c r="AG45" s="193"/>
      <c r="AH45" s="193"/>
      <c r="AI45" s="214">
        <f t="shared" si="12"/>
        <v>0</v>
      </c>
      <c r="AJ45" s="214">
        <f t="shared" si="13"/>
        <v>0</v>
      </c>
      <c r="AK45" s="214">
        <f t="shared" si="14"/>
        <v>0</v>
      </c>
      <c r="AL45" s="154">
        <f t="shared" si="15"/>
        <v>0</v>
      </c>
      <c r="AM45" s="154">
        <f t="shared" si="16"/>
        <v>0</v>
      </c>
      <c r="AN45" s="154">
        <f t="shared" si="17"/>
        <v>0</v>
      </c>
      <c r="AO45" s="145">
        <f t="shared" si="18"/>
        <v>0</v>
      </c>
      <c r="AP45" s="155"/>
      <c r="AQ45" s="155"/>
      <c r="AR45" s="145">
        <f t="shared" si="25"/>
        <v>9310</v>
      </c>
      <c r="AS45" s="145"/>
      <c r="AT45" s="145"/>
      <c r="AU45" s="155"/>
      <c r="AV45" s="155"/>
      <c r="AW45" s="155"/>
      <c r="AX45" s="155"/>
      <c r="AY45" s="145">
        <f t="shared" si="20"/>
        <v>9310</v>
      </c>
      <c r="AZ45" s="145" t="s">
        <v>99</v>
      </c>
      <c r="BA45" s="145" t="s">
        <v>102</v>
      </c>
      <c r="BB45" s="190"/>
      <c r="BC45" s="190"/>
    </row>
    <row r="46" spans="1:55" ht="15.75" customHeight="1">
      <c r="A46" s="140">
        <f t="shared" si="0"/>
        <v>37</v>
      </c>
      <c r="B46" s="290" t="s">
        <v>284</v>
      </c>
      <c r="C46" s="297">
        <v>46036</v>
      </c>
      <c r="D46" s="292"/>
      <c r="E46" s="171" t="s">
        <v>125</v>
      </c>
      <c r="F46" s="293" t="s">
        <v>121</v>
      </c>
      <c r="G46" s="294" t="s">
        <v>122</v>
      </c>
      <c r="H46" s="295">
        <f>IF(AZ46="Payroll",VLOOKUP(E46,'[2]CODE 2'!$R:$S,2,FALSE),"0")</f>
        <v>7</v>
      </c>
      <c r="I46" s="296" t="s">
        <v>254</v>
      </c>
      <c r="J46" s="296"/>
      <c r="K46" s="254"/>
      <c r="L46" s="255"/>
      <c r="M46" s="204">
        <f>IFERROR(VLOOKUP($H46,'[2]CODE 2'!$J:$K,2,FALSE)," ")</f>
        <v>18620</v>
      </c>
      <c r="N46" s="145">
        <f t="shared" si="1"/>
        <v>9310</v>
      </c>
      <c r="O46" s="145">
        <f t="shared" si="2"/>
        <v>846.36363636363637</v>
      </c>
      <c r="P46" s="145">
        <f t="shared" si="3"/>
        <v>105.79545454545455</v>
      </c>
      <c r="Q46" s="145">
        <f t="shared" si="4"/>
        <v>1.7632575757575757</v>
      </c>
      <c r="R46" s="146" t="str">
        <f t="shared" si="24"/>
        <v>11</v>
      </c>
      <c r="S46" s="145">
        <f t="shared" si="5"/>
        <v>9310</v>
      </c>
      <c r="T46" s="252"/>
      <c r="U46" s="252"/>
      <c r="V46" s="252"/>
      <c r="W46" s="253">
        <f t="shared" si="22"/>
        <v>0</v>
      </c>
      <c r="X46" s="253">
        <f t="shared" si="7"/>
        <v>0</v>
      </c>
      <c r="Y46" s="253">
        <f t="shared" si="8"/>
        <v>0</v>
      </c>
      <c r="Z46" s="149"/>
      <c r="AA46" s="149"/>
      <c r="AB46" s="149"/>
      <c r="AC46" s="150">
        <f t="shared" si="9"/>
        <v>0</v>
      </c>
      <c r="AD46" s="150">
        <f t="shared" si="10"/>
        <v>0</v>
      </c>
      <c r="AE46" s="150">
        <f t="shared" si="11"/>
        <v>0</v>
      </c>
      <c r="AF46" s="193"/>
      <c r="AG46" s="193"/>
      <c r="AH46" s="193"/>
      <c r="AI46" s="214">
        <f t="shared" si="12"/>
        <v>0</v>
      </c>
      <c r="AJ46" s="214">
        <f t="shared" si="13"/>
        <v>0</v>
      </c>
      <c r="AK46" s="214">
        <f t="shared" si="14"/>
        <v>0</v>
      </c>
      <c r="AL46" s="154">
        <f t="shared" si="15"/>
        <v>0</v>
      </c>
      <c r="AM46" s="154">
        <f t="shared" si="16"/>
        <v>0</v>
      </c>
      <c r="AN46" s="154">
        <f t="shared" si="17"/>
        <v>0</v>
      </c>
      <c r="AO46" s="145">
        <f t="shared" si="18"/>
        <v>0</v>
      </c>
      <c r="AP46" s="155"/>
      <c r="AQ46" s="155"/>
      <c r="AR46" s="145">
        <f t="shared" si="25"/>
        <v>9310</v>
      </c>
      <c r="AS46" s="145"/>
      <c r="AT46" s="145"/>
      <c r="AU46" s="155"/>
      <c r="AV46" s="155"/>
      <c r="AW46" s="155"/>
      <c r="AX46" s="155"/>
      <c r="AY46" s="145">
        <f t="shared" si="20"/>
        <v>9310</v>
      </c>
      <c r="AZ46" s="145" t="s">
        <v>99</v>
      </c>
      <c r="BA46" s="145" t="s">
        <v>221</v>
      </c>
      <c r="BB46" s="190"/>
      <c r="BC46" s="190"/>
    </row>
    <row r="47" spans="1:55" ht="15.75" customHeight="1">
      <c r="A47" s="140">
        <f t="shared" si="0"/>
        <v>38</v>
      </c>
      <c r="B47" s="290" t="s">
        <v>285</v>
      </c>
      <c r="C47" s="297">
        <v>46036</v>
      </c>
      <c r="D47" s="292"/>
      <c r="E47" s="171" t="s">
        <v>187</v>
      </c>
      <c r="F47" s="293" t="s">
        <v>121</v>
      </c>
      <c r="G47" s="294" t="s">
        <v>122</v>
      </c>
      <c r="H47" s="295">
        <f>IF(AZ47="Payroll",VLOOKUP(E47,'[2]CODE 2'!$R:$S,2,FALSE),"0")</f>
        <v>7</v>
      </c>
      <c r="I47" s="296" t="s">
        <v>254</v>
      </c>
      <c r="J47" s="296"/>
      <c r="K47" s="254"/>
      <c r="L47" s="255"/>
      <c r="M47" s="204">
        <f>IFERROR(VLOOKUP($H47,'[2]CODE 2'!$J:$K,2,FALSE)," ")</f>
        <v>18620</v>
      </c>
      <c r="N47" s="145">
        <f t="shared" si="1"/>
        <v>9310</v>
      </c>
      <c r="O47" s="145">
        <f t="shared" si="2"/>
        <v>846.36363636363637</v>
      </c>
      <c r="P47" s="145">
        <f t="shared" si="3"/>
        <v>105.79545454545455</v>
      </c>
      <c r="Q47" s="145">
        <f t="shared" si="4"/>
        <v>1.7632575757575757</v>
      </c>
      <c r="R47" s="146" t="str">
        <f t="shared" si="24"/>
        <v>11</v>
      </c>
      <c r="S47" s="145">
        <f t="shared" si="5"/>
        <v>9310</v>
      </c>
      <c r="T47" s="252">
        <v>3</v>
      </c>
      <c r="U47" s="252">
        <v>0</v>
      </c>
      <c r="V47" s="252">
        <v>0</v>
      </c>
      <c r="W47" s="253">
        <f t="shared" si="22"/>
        <v>2539.09</v>
      </c>
      <c r="X47" s="253">
        <f t="shared" si="7"/>
        <v>0</v>
      </c>
      <c r="Y47" s="253">
        <f t="shared" si="8"/>
        <v>0</v>
      </c>
      <c r="Z47" s="149"/>
      <c r="AA47" s="149"/>
      <c r="AB47" s="149"/>
      <c r="AC47" s="150">
        <f t="shared" si="9"/>
        <v>0</v>
      </c>
      <c r="AD47" s="150">
        <f t="shared" si="10"/>
        <v>0</v>
      </c>
      <c r="AE47" s="150">
        <f t="shared" si="11"/>
        <v>0</v>
      </c>
      <c r="AF47" s="193"/>
      <c r="AG47" s="193"/>
      <c r="AH47" s="193"/>
      <c r="AI47" s="214">
        <f t="shared" si="12"/>
        <v>0</v>
      </c>
      <c r="AJ47" s="214">
        <f t="shared" si="13"/>
        <v>0</v>
      </c>
      <c r="AK47" s="214">
        <f t="shared" si="14"/>
        <v>0</v>
      </c>
      <c r="AL47" s="154">
        <f t="shared" si="15"/>
        <v>2539.09</v>
      </c>
      <c r="AM47" s="154">
        <f t="shared" si="16"/>
        <v>0</v>
      </c>
      <c r="AN47" s="154">
        <f t="shared" si="17"/>
        <v>0</v>
      </c>
      <c r="AO47" s="145">
        <f t="shared" si="18"/>
        <v>2539.09</v>
      </c>
      <c r="AP47" s="155"/>
      <c r="AQ47" s="155"/>
      <c r="AR47" s="145">
        <f t="shared" si="25"/>
        <v>6770.91</v>
      </c>
      <c r="AS47" s="145"/>
      <c r="AT47" s="145"/>
      <c r="AU47" s="155"/>
      <c r="AV47" s="155"/>
      <c r="AW47" s="155"/>
      <c r="AX47" s="155"/>
      <c r="AY47" s="145">
        <f t="shared" si="20"/>
        <v>6770.91</v>
      </c>
      <c r="AZ47" s="145" t="s">
        <v>99</v>
      </c>
      <c r="BA47" s="145" t="s">
        <v>196</v>
      </c>
      <c r="BB47" s="190"/>
      <c r="BC47" s="190"/>
    </row>
    <row r="48" spans="1:55" ht="15.75" customHeight="1">
      <c r="A48" s="140">
        <f t="shared" si="0"/>
        <v>39</v>
      </c>
      <c r="B48" s="290" t="s">
        <v>286</v>
      </c>
      <c r="C48" s="297">
        <v>46036</v>
      </c>
      <c r="D48" s="292"/>
      <c r="E48" s="171" t="s">
        <v>202</v>
      </c>
      <c r="F48" s="293" t="s">
        <v>121</v>
      </c>
      <c r="G48" s="294" t="s">
        <v>204</v>
      </c>
      <c r="H48" s="295">
        <f>IF(AZ48="Payroll",VLOOKUP(E48,'[2]CODE 2'!$R:$S,2,FALSE),"0")</f>
        <v>7</v>
      </c>
      <c r="I48" s="296" t="s">
        <v>254</v>
      </c>
      <c r="J48" s="296"/>
      <c r="K48" s="254"/>
      <c r="L48" s="255"/>
      <c r="M48" s="204">
        <f>IFERROR(VLOOKUP($H48,'[2]CODE 2'!$J:$K,2,FALSE)," ")</f>
        <v>18620</v>
      </c>
      <c r="N48" s="145">
        <f t="shared" si="1"/>
        <v>9310</v>
      </c>
      <c r="O48" s="145">
        <f t="shared" si="2"/>
        <v>846.36363636363637</v>
      </c>
      <c r="P48" s="145">
        <f t="shared" si="3"/>
        <v>105.79545454545455</v>
      </c>
      <c r="Q48" s="145">
        <f t="shared" si="4"/>
        <v>1.7632575757575757</v>
      </c>
      <c r="R48" s="146" t="str">
        <f t="shared" si="24"/>
        <v>11</v>
      </c>
      <c r="S48" s="145">
        <f t="shared" si="5"/>
        <v>9310</v>
      </c>
      <c r="T48" s="252">
        <v>0</v>
      </c>
      <c r="U48" s="252">
        <v>0</v>
      </c>
      <c r="V48" s="252">
        <v>0</v>
      </c>
      <c r="W48" s="253">
        <f t="shared" si="22"/>
        <v>0</v>
      </c>
      <c r="X48" s="253">
        <f t="shared" si="7"/>
        <v>0</v>
      </c>
      <c r="Y48" s="253">
        <f t="shared" si="8"/>
        <v>0</v>
      </c>
      <c r="Z48" s="149"/>
      <c r="AA48" s="149"/>
      <c r="AB48" s="149"/>
      <c r="AC48" s="150">
        <f t="shared" si="9"/>
        <v>0</v>
      </c>
      <c r="AD48" s="150">
        <f t="shared" si="10"/>
        <v>0</v>
      </c>
      <c r="AE48" s="150">
        <f t="shared" si="11"/>
        <v>0</v>
      </c>
      <c r="AF48" s="193"/>
      <c r="AG48" s="193"/>
      <c r="AH48" s="193"/>
      <c r="AI48" s="214">
        <f t="shared" si="12"/>
        <v>0</v>
      </c>
      <c r="AJ48" s="214">
        <f t="shared" si="13"/>
        <v>0</v>
      </c>
      <c r="AK48" s="214">
        <f t="shared" si="14"/>
        <v>0</v>
      </c>
      <c r="AL48" s="154">
        <f t="shared" si="15"/>
        <v>0</v>
      </c>
      <c r="AM48" s="154">
        <f t="shared" si="16"/>
        <v>0</v>
      </c>
      <c r="AN48" s="154">
        <f t="shared" si="17"/>
        <v>0</v>
      </c>
      <c r="AO48" s="145">
        <f t="shared" si="18"/>
        <v>0</v>
      </c>
      <c r="AP48" s="155"/>
      <c r="AQ48" s="155"/>
      <c r="AR48" s="145">
        <f>IFERROR(ROUND((S48-AO48+AP48),2),"")</f>
        <v>9310</v>
      </c>
      <c r="AS48" s="145"/>
      <c r="AT48" s="145"/>
      <c r="AU48" s="155"/>
      <c r="AV48" s="155"/>
      <c r="AW48" s="155"/>
      <c r="AX48" s="155"/>
      <c r="AY48" s="145">
        <f t="shared" si="20"/>
        <v>9310</v>
      </c>
      <c r="AZ48" s="145" t="s">
        <v>99</v>
      </c>
      <c r="BA48" s="145" t="s">
        <v>130</v>
      </c>
      <c r="BB48" s="190"/>
      <c r="BC48" s="190"/>
    </row>
    <row r="49" spans="1:55" ht="15.75" customHeight="1">
      <c r="A49" s="140">
        <f t="shared" si="0"/>
        <v>40</v>
      </c>
      <c r="B49" s="290" t="s">
        <v>287</v>
      </c>
      <c r="C49" s="291">
        <v>46036</v>
      </c>
      <c r="D49" s="292"/>
      <c r="E49" s="171" t="s">
        <v>205</v>
      </c>
      <c r="F49" s="293" t="s">
        <v>121</v>
      </c>
      <c r="G49" s="294" t="s">
        <v>204</v>
      </c>
      <c r="H49" s="295">
        <f>IF(AZ49="Payroll",VLOOKUP(E49,'[2]CODE 2'!$R:$S,2,FALSE),"0")</f>
        <v>7</v>
      </c>
      <c r="I49" s="296" t="s">
        <v>254</v>
      </c>
      <c r="J49" s="296"/>
      <c r="K49" s="254"/>
      <c r="L49" s="255"/>
      <c r="M49" s="204">
        <f>IFERROR(VLOOKUP($H49,'[2]CODE 2'!$J:$K,2,FALSE)," ")</f>
        <v>18620</v>
      </c>
      <c r="N49" s="145">
        <f t="shared" si="1"/>
        <v>9310</v>
      </c>
      <c r="O49" s="145">
        <f t="shared" si="2"/>
        <v>846.36363636363637</v>
      </c>
      <c r="P49" s="145">
        <f t="shared" si="3"/>
        <v>105.79545454545455</v>
      </c>
      <c r="Q49" s="145">
        <f t="shared" si="4"/>
        <v>1.7632575757575757</v>
      </c>
      <c r="R49" s="146" t="str">
        <f t="shared" si="24"/>
        <v>11</v>
      </c>
      <c r="S49" s="145">
        <f t="shared" si="5"/>
        <v>9310</v>
      </c>
      <c r="T49" s="252">
        <v>0</v>
      </c>
      <c r="U49" s="252">
        <v>0</v>
      </c>
      <c r="V49" s="252">
        <v>0</v>
      </c>
      <c r="W49" s="253">
        <f t="shared" si="22"/>
        <v>0</v>
      </c>
      <c r="X49" s="253">
        <f t="shared" si="7"/>
        <v>0</v>
      </c>
      <c r="Y49" s="253">
        <f t="shared" si="8"/>
        <v>0</v>
      </c>
      <c r="Z49" s="149"/>
      <c r="AA49" s="149"/>
      <c r="AB49" s="149"/>
      <c r="AC49" s="150">
        <f t="shared" si="9"/>
        <v>0</v>
      </c>
      <c r="AD49" s="150">
        <f t="shared" si="10"/>
        <v>0</v>
      </c>
      <c r="AE49" s="150">
        <f t="shared" si="11"/>
        <v>0</v>
      </c>
      <c r="AF49" s="193"/>
      <c r="AG49" s="193"/>
      <c r="AH49" s="193"/>
      <c r="AI49" s="214">
        <f t="shared" si="12"/>
        <v>0</v>
      </c>
      <c r="AJ49" s="214">
        <f t="shared" si="13"/>
        <v>0</v>
      </c>
      <c r="AK49" s="214">
        <f t="shared" si="14"/>
        <v>0</v>
      </c>
      <c r="AL49" s="154">
        <f t="shared" si="15"/>
        <v>0</v>
      </c>
      <c r="AM49" s="154">
        <f t="shared" si="16"/>
        <v>0</v>
      </c>
      <c r="AN49" s="154">
        <f t="shared" si="17"/>
        <v>0</v>
      </c>
      <c r="AO49" s="145">
        <f t="shared" si="18"/>
        <v>0</v>
      </c>
      <c r="AP49" s="155"/>
      <c r="AQ49" s="155"/>
      <c r="AR49" s="145">
        <f t="shared" ref="AR49:AR52" si="26">IFERROR(ROUND((S49-AO49-AP49),2),"")</f>
        <v>9310</v>
      </c>
      <c r="AS49" s="145"/>
      <c r="AT49" s="145"/>
      <c r="AU49" s="155"/>
      <c r="AV49" s="155"/>
      <c r="AW49" s="155"/>
      <c r="AX49" s="155"/>
      <c r="AY49" s="145">
        <f t="shared" si="20"/>
        <v>9310</v>
      </c>
      <c r="AZ49" s="145" t="s">
        <v>99</v>
      </c>
      <c r="BA49" s="145" t="s">
        <v>189</v>
      </c>
      <c r="BB49" s="190"/>
      <c r="BC49" s="190"/>
    </row>
    <row r="50" spans="1:55" ht="15.75" customHeight="1">
      <c r="A50" s="140">
        <f t="shared" si="0"/>
        <v>41</v>
      </c>
      <c r="B50" s="290" t="s">
        <v>288</v>
      </c>
      <c r="C50" s="291">
        <v>46036</v>
      </c>
      <c r="D50" s="292"/>
      <c r="E50" s="171" t="s">
        <v>236</v>
      </c>
      <c r="F50" s="293" t="s">
        <v>121</v>
      </c>
      <c r="G50" s="294" t="s">
        <v>204</v>
      </c>
      <c r="H50" s="295">
        <f>IF(AZ50="Payroll",VLOOKUP(E50,'[2]CODE 2'!$R:$S,2,FALSE),"0")</f>
        <v>7</v>
      </c>
      <c r="I50" s="296" t="s">
        <v>254</v>
      </c>
      <c r="J50" s="296"/>
      <c r="K50" s="254"/>
      <c r="L50" s="255"/>
      <c r="M50" s="204">
        <f>IFERROR(VLOOKUP($H50,'[2]CODE 2'!$J:$K,2,FALSE)," ")</f>
        <v>18620</v>
      </c>
      <c r="N50" s="145">
        <f t="shared" si="1"/>
        <v>9310</v>
      </c>
      <c r="O50" s="145">
        <f t="shared" si="2"/>
        <v>846.36363636363637</v>
      </c>
      <c r="P50" s="145">
        <f t="shared" si="3"/>
        <v>105.79545454545455</v>
      </c>
      <c r="Q50" s="145">
        <f t="shared" si="4"/>
        <v>1.7632575757575757</v>
      </c>
      <c r="R50" s="146" t="str">
        <f t="shared" si="24"/>
        <v>11</v>
      </c>
      <c r="S50" s="145">
        <f t="shared" si="5"/>
        <v>9310</v>
      </c>
      <c r="T50" s="252">
        <v>0</v>
      </c>
      <c r="U50" s="252">
        <v>0</v>
      </c>
      <c r="V50" s="252">
        <v>23</v>
      </c>
      <c r="W50" s="253">
        <f t="shared" si="22"/>
        <v>0</v>
      </c>
      <c r="X50" s="253">
        <f t="shared" si="7"/>
        <v>0</v>
      </c>
      <c r="Y50" s="253">
        <f t="shared" si="8"/>
        <v>40.549999999999997</v>
      </c>
      <c r="Z50" s="149"/>
      <c r="AA50" s="149"/>
      <c r="AB50" s="149"/>
      <c r="AC50" s="150">
        <f t="shared" si="9"/>
        <v>0</v>
      </c>
      <c r="AD50" s="150">
        <f t="shared" si="10"/>
        <v>0</v>
      </c>
      <c r="AE50" s="150">
        <f t="shared" si="11"/>
        <v>0</v>
      </c>
      <c r="AF50" s="193"/>
      <c r="AG50" s="193"/>
      <c r="AH50" s="193"/>
      <c r="AI50" s="214">
        <f t="shared" si="12"/>
        <v>0</v>
      </c>
      <c r="AJ50" s="214">
        <f t="shared" si="13"/>
        <v>0</v>
      </c>
      <c r="AK50" s="214">
        <f t="shared" si="14"/>
        <v>0</v>
      </c>
      <c r="AL50" s="154">
        <f t="shared" si="15"/>
        <v>0</v>
      </c>
      <c r="AM50" s="154">
        <f t="shared" si="16"/>
        <v>0</v>
      </c>
      <c r="AN50" s="154">
        <f t="shared" si="17"/>
        <v>40.549999999999997</v>
      </c>
      <c r="AO50" s="145">
        <f t="shared" si="18"/>
        <v>40.549999999999997</v>
      </c>
      <c r="AP50" s="155"/>
      <c r="AQ50" s="155"/>
      <c r="AR50" s="145">
        <f t="shared" si="26"/>
        <v>9269.4500000000007</v>
      </c>
      <c r="AS50" s="145"/>
      <c r="AT50" s="145"/>
      <c r="AU50" s="155"/>
      <c r="AV50" s="155"/>
      <c r="AW50" s="155"/>
      <c r="AX50" s="155"/>
      <c r="AY50" s="145">
        <f t="shared" si="20"/>
        <v>9269.4500000000007</v>
      </c>
      <c r="AZ50" s="145" t="s">
        <v>99</v>
      </c>
      <c r="BA50" s="145" t="s">
        <v>186</v>
      </c>
      <c r="BB50" s="190"/>
      <c r="BC50" s="190"/>
    </row>
    <row r="51" spans="1:55" ht="15.75" customHeight="1">
      <c r="A51" s="140">
        <f t="shared" si="0"/>
        <v>42</v>
      </c>
      <c r="B51" s="298" t="s">
        <v>289</v>
      </c>
      <c r="C51" s="291">
        <v>46036</v>
      </c>
      <c r="D51" s="299"/>
      <c r="E51" s="171" t="s">
        <v>126</v>
      </c>
      <c r="F51" s="293" t="s">
        <v>127</v>
      </c>
      <c r="G51" s="294" t="s">
        <v>128</v>
      </c>
      <c r="H51" s="295">
        <f>IF(AZ51="Payroll",VLOOKUP(E51,'[2]CODE 2'!$R:$S,2,FALSE),"0")</f>
        <v>16</v>
      </c>
      <c r="I51" s="296" t="s">
        <v>254</v>
      </c>
      <c r="J51" s="296"/>
      <c r="K51" s="254"/>
      <c r="L51" s="255"/>
      <c r="M51" s="204">
        <f>IFERROR(VLOOKUP($H51,'[2]CODE 2'!$J:$K,2,FALSE)," ")</f>
        <v>39672</v>
      </c>
      <c r="N51" s="145">
        <f t="shared" si="1"/>
        <v>19836</v>
      </c>
      <c r="O51" s="145">
        <f t="shared" si="2"/>
        <v>1803.2727272727273</v>
      </c>
      <c r="P51" s="145">
        <f t="shared" si="3"/>
        <v>225.40909090909091</v>
      </c>
      <c r="Q51" s="145">
        <f t="shared" si="4"/>
        <v>3.7568181818181818</v>
      </c>
      <c r="R51" s="146" t="str">
        <f t="shared" si="24"/>
        <v>11</v>
      </c>
      <c r="S51" s="145">
        <f t="shared" si="5"/>
        <v>19836</v>
      </c>
      <c r="T51" s="252">
        <v>0</v>
      </c>
      <c r="U51" s="252">
        <v>0</v>
      </c>
      <c r="V51" s="252">
        <v>0</v>
      </c>
      <c r="W51" s="253">
        <f t="shared" si="22"/>
        <v>0</v>
      </c>
      <c r="X51" s="253">
        <f t="shared" si="7"/>
        <v>0</v>
      </c>
      <c r="Y51" s="253">
        <f t="shared" si="8"/>
        <v>0</v>
      </c>
      <c r="Z51" s="149"/>
      <c r="AA51" s="149"/>
      <c r="AB51" s="149"/>
      <c r="AC51" s="150">
        <f t="shared" si="9"/>
        <v>0</v>
      </c>
      <c r="AD51" s="150">
        <f t="shared" si="10"/>
        <v>0</v>
      </c>
      <c r="AE51" s="150">
        <f t="shared" si="11"/>
        <v>0</v>
      </c>
      <c r="AF51" s="193"/>
      <c r="AG51" s="193"/>
      <c r="AH51" s="193"/>
      <c r="AI51" s="214">
        <f t="shared" si="12"/>
        <v>0</v>
      </c>
      <c r="AJ51" s="214">
        <f t="shared" si="13"/>
        <v>0</v>
      </c>
      <c r="AK51" s="214">
        <f t="shared" si="14"/>
        <v>0</v>
      </c>
      <c r="AL51" s="154">
        <f t="shared" si="15"/>
        <v>0</v>
      </c>
      <c r="AM51" s="154">
        <f t="shared" si="16"/>
        <v>0</v>
      </c>
      <c r="AN51" s="154">
        <f t="shared" si="17"/>
        <v>0</v>
      </c>
      <c r="AO51" s="145">
        <f t="shared" si="18"/>
        <v>0</v>
      </c>
      <c r="AP51" s="155"/>
      <c r="AQ51" s="155"/>
      <c r="AR51" s="145">
        <f t="shared" si="26"/>
        <v>19836</v>
      </c>
      <c r="AS51" s="145"/>
      <c r="AT51" s="145">
        <f>IFERROR(ROUND((AR51*$AT$8),2),"")</f>
        <v>1983.6</v>
      </c>
      <c r="AU51" s="155">
        <v>2000</v>
      </c>
      <c r="AV51" s="155">
        <v>922.78</v>
      </c>
      <c r="AW51" s="155"/>
      <c r="AX51" s="155"/>
      <c r="AY51" s="145">
        <f t="shared" si="20"/>
        <v>14929.62</v>
      </c>
      <c r="AZ51" s="145" t="s">
        <v>99</v>
      </c>
      <c r="BA51" s="145" t="s">
        <v>104</v>
      </c>
      <c r="BB51" s="190"/>
      <c r="BC51" s="190"/>
    </row>
    <row r="52" spans="1:55" ht="15.75" customHeight="1">
      <c r="A52" s="140">
        <f t="shared" si="0"/>
        <v>43</v>
      </c>
      <c r="B52" s="276" t="s">
        <v>250</v>
      </c>
      <c r="C52" s="300">
        <v>46036</v>
      </c>
      <c r="D52" s="301"/>
      <c r="E52" s="175" t="s">
        <v>129</v>
      </c>
      <c r="F52" s="176" t="s">
        <v>127</v>
      </c>
      <c r="G52" s="177" t="s">
        <v>206</v>
      </c>
      <c r="H52" s="280" t="str">
        <f>IF(AZ52="Payroll",VLOOKUP(E52,'[2]CODE 2'!$R:$S,2,FALSE),"0")</f>
        <v>0</v>
      </c>
      <c r="I52" s="179" t="s">
        <v>274</v>
      </c>
      <c r="J52" s="179" t="s">
        <v>174</v>
      </c>
      <c r="K52" s="281"/>
      <c r="L52" s="282"/>
      <c r="M52" s="283" t="str">
        <f>IFERROR(VLOOKUP($H52,'[2]CODE 2'!$J:$K,2,FALSE)," ")</f>
        <v xml:space="preserve"> </v>
      </c>
      <c r="N52" s="284" t="str">
        <f t="shared" si="1"/>
        <v/>
      </c>
      <c r="O52" s="284" t="str">
        <f t="shared" si="2"/>
        <v xml:space="preserve"> </v>
      </c>
      <c r="P52" s="284" t="str">
        <f t="shared" si="3"/>
        <v/>
      </c>
      <c r="Q52" s="284" t="str">
        <f t="shared" si="4"/>
        <v/>
      </c>
      <c r="R52" s="184" t="str">
        <f t="shared" si="24"/>
        <v/>
      </c>
      <c r="S52" s="284" t="str">
        <f t="shared" si="5"/>
        <v xml:space="preserve"> </v>
      </c>
      <c r="T52" s="252">
        <v>0</v>
      </c>
      <c r="U52" s="252">
        <v>0</v>
      </c>
      <c r="V52" s="252">
        <v>3</v>
      </c>
      <c r="W52" s="253" t="str">
        <f t="shared" si="22"/>
        <v xml:space="preserve"> </v>
      </c>
      <c r="X52" s="253" t="str">
        <f t="shared" si="7"/>
        <v/>
      </c>
      <c r="Y52" s="253" t="str">
        <f t="shared" si="8"/>
        <v/>
      </c>
      <c r="Z52" s="149"/>
      <c r="AA52" s="149"/>
      <c r="AB52" s="149"/>
      <c r="AC52" s="150" t="str">
        <f t="shared" si="9"/>
        <v xml:space="preserve"> </v>
      </c>
      <c r="AD52" s="150" t="str">
        <f t="shared" si="10"/>
        <v/>
      </c>
      <c r="AE52" s="150" t="str">
        <f t="shared" si="11"/>
        <v/>
      </c>
      <c r="AF52" s="193"/>
      <c r="AG52" s="193"/>
      <c r="AH52" s="193"/>
      <c r="AI52" s="214" t="str">
        <f t="shared" si="12"/>
        <v xml:space="preserve"> </v>
      </c>
      <c r="AJ52" s="214" t="str">
        <f t="shared" si="13"/>
        <v/>
      </c>
      <c r="AK52" s="214" t="str">
        <f t="shared" si="14"/>
        <v/>
      </c>
      <c r="AL52" s="154" t="str">
        <f t="shared" si="15"/>
        <v/>
      </c>
      <c r="AM52" s="154" t="str">
        <f t="shared" si="16"/>
        <v/>
      </c>
      <c r="AN52" s="154" t="str">
        <f t="shared" si="17"/>
        <v/>
      </c>
      <c r="AO52" s="145">
        <f t="shared" si="18"/>
        <v>0</v>
      </c>
      <c r="AP52" s="155"/>
      <c r="AQ52" s="155"/>
      <c r="AR52" s="145" t="str">
        <f t="shared" si="26"/>
        <v/>
      </c>
      <c r="AS52" s="145"/>
      <c r="AT52" s="145"/>
      <c r="AU52" s="155"/>
      <c r="AV52" s="155"/>
      <c r="AW52" s="155"/>
      <c r="AX52" s="155"/>
      <c r="AY52" s="145" t="str">
        <f t="shared" si="20"/>
        <v/>
      </c>
      <c r="AZ52" s="145" t="s">
        <v>188</v>
      </c>
      <c r="BA52" s="145" t="s">
        <v>179</v>
      </c>
      <c r="BB52" s="190"/>
      <c r="BC52" s="190"/>
    </row>
    <row r="53" spans="1:55" ht="15.75" customHeight="1">
      <c r="A53" s="140">
        <f t="shared" si="0"/>
        <v>44</v>
      </c>
      <c r="B53" s="298" t="s">
        <v>290</v>
      </c>
      <c r="C53" s="302">
        <v>46036</v>
      </c>
      <c r="D53" s="292"/>
      <c r="E53" s="171" t="s">
        <v>190</v>
      </c>
      <c r="F53" s="140" t="s">
        <v>127</v>
      </c>
      <c r="G53" s="139" t="s">
        <v>192</v>
      </c>
      <c r="H53" s="141">
        <f>IF(AZ53="Payroll",VLOOKUP(E53,'[2]CODE 2'!$R:$S,2,FALSE),"0")</f>
        <v>14</v>
      </c>
      <c r="I53" s="142" t="s">
        <v>254</v>
      </c>
      <c r="J53" s="142" t="s">
        <v>174</v>
      </c>
      <c r="K53" s="254"/>
      <c r="L53" s="255"/>
      <c r="M53" s="204">
        <f>IFERROR(VLOOKUP($H53,'[2]CODE 2'!$J:$K,2,FALSE)," ")</f>
        <v>33843</v>
      </c>
      <c r="N53" s="145">
        <f t="shared" si="1"/>
        <v>16921.5</v>
      </c>
      <c r="O53" s="145">
        <f t="shared" si="2"/>
        <v>1538.3181818181818</v>
      </c>
      <c r="P53" s="145">
        <f t="shared" si="3"/>
        <v>192.28977272727272</v>
      </c>
      <c r="Q53" s="145">
        <f t="shared" si="4"/>
        <v>3.2048295454545452</v>
      </c>
      <c r="R53" s="146" t="str">
        <f t="shared" si="24"/>
        <v>11</v>
      </c>
      <c r="S53" s="145">
        <f t="shared" si="5"/>
        <v>16921.5</v>
      </c>
      <c r="T53" s="252">
        <v>1</v>
      </c>
      <c r="U53" s="252">
        <v>2</v>
      </c>
      <c r="V53" s="252">
        <v>23</v>
      </c>
      <c r="W53" s="253">
        <f t="shared" si="22"/>
        <v>1538.32</v>
      </c>
      <c r="X53" s="253">
        <f t="shared" si="7"/>
        <v>384.58</v>
      </c>
      <c r="Y53" s="253">
        <f t="shared" si="8"/>
        <v>73.709999999999994</v>
      </c>
      <c r="Z53" s="149"/>
      <c r="AA53" s="149"/>
      <c r="AB53" s="149"/>
      <c r="AC53" s="150">
        <f t="shared" si="9"/>
        <v>0</v>
      </c>
      <c r="AD53" s="150">
        <f t="shared" si="10"/>
        <v>0</v>
      </c>
      <c r="AE53" s="150">
        <f t="shared" si="11"/>
        <v>0</v>
      </c>
      <c r="AF53" s="193"/>
      <c r="AG53" s="193"/>
      <c r="AH53" s="193"/>
      <c r="AI53" s="214">
        <f t="shared" si="12"/>
        <v>0</v>
      </c>
      <c r="AJ53" s="214">
        <f t="shared" si="13"/>
        <v>0</v>
      </c>
      <c r="AK53" s="214">
        <f t="shared" si="14"/>
        <v>0</v>
      </c>
      <c r="AL53" s="154">
        <f t="shared" si="15"/>
        <v>1538.32</v>
      </c>
      <c r="AM53" s="154">
        <f t="shared" si="16"/>
        <v>384.58</v>
      </c>
      <c r="AN53" s="154">
        <f t="shared" si="17"/>
        <v>73.709999999999994</v>
      </c>
      <c r="AO53" s="145">
        <f t="shared" si="18"/>
        <v>1996.61</v>
      </c>
      <c r="AP53" s="155">
        <v>0.03</v>
      </c>
      <c r="AQ53" s="155" t="s">
        <v>317</v>
      </c>
      <c r="AR53" s="145">
        <f>IFERROR(ROUND((S53-AO53+AP53),2),"")</f>
        <v>14924.92</v>
      </c>
      <c r="AS53" s="145"/>
      <c r="AT53" s="145">
        <f>IFERROR(ROUND((AR53*$AT$8),2),"")</f>
        <v>1492.49</v>
      </c>
      <c r="AU53" s="155"/>
      <c r="AV53" s="155"/>
      <c r="AW53" s="155"/>
      <c r="AX53" s="155"/>
      <c r="AY53" s="145">
        <f t="shared" si="20"/>
        <v>13432.43</v>
      </c>
      <c r="AZ53" s="145" t="s">
        <v>99</v>
      </c>
      <c r="BA53" s="145" t="s">
        <v>124</v>
      </c>
      <c r="BB53" s="190"/>
      <c r="BC53" s="190"/>
    </row>
    <row r="54" spans="1:55" ht="15.75" customHeight="1">
      <c r="A54" s="140">
        <f t="shared" si="0"/>
        <v>45</v>
      </c>
      <c r="B54" s="136" t="s">
        <v>291</v>
      </c>
      <c r="C54" s="161">
        <v>46036</v>
      </c>
      <c r="D54" s="288"/>
      <c r="E54" s="171" t="s">
        <v>130</v>
      </c>
      <c r="F54" s="140" t="s">
        <v>131</v>
      </c>
      <c r="G54" s="139" t="s">
        <v>17</v>
      </c>
      <c r="H54" s="141">
        <f>IF(AZ54="Payroll",VLOOKUP(E54,'[2]CODE 2'!$R:$S,2,FALSE),"0")</f>
        <v>8</v>
      </c>
      <c r="I54" s="142" t="s">
        <v>254</v>
      </c>
      <c r="J54" s="142" t="s">
        <v>174</v>
      </c>
      <c r="K54" s="254"/>
      <c r="L54" s="255"/>
      <c r="M54" s="204">
        <f>IFERROR(VLOOKUP($H54,'[2]CODE 2'!$J:$K,2,FALSE)," ")</f>
        <v>19744</v>
      </c>
      <c r="N54" s="145">
        <f t="shared" si="1"/>
        <v>9872</v>
      </c>
      <c r="O54" s="145">
        <f t="shared" si="2"/>
        <v>897.4545454545455</v>
      </c>
      <c r="P54" s="145">
        <f t="shared" si="3"/>
        <v>112.18181818181819</v>
      </c>
      <c r="Q54" s="145">
        <f t="shared" si="4"/>
        <v>1.8696969696969699</v>
      </c>
      <c r="R54" s="146" t="str">
        <f t="shared" si="24"/>
        <v>11</v>
      </c>
      <c r="S54" s="145">
        <f t="shared" si="5"/>
        <v>9872</v>
      </c>
      <c r="T54" s="252">
        <v>0</v>
      </c>
      <c r="U54" s="252">
        <v>0</v>
      </c>
      <c r="V54" s="252">
        <v>0</v>
      </c>
      <c r="W54" s="253">
        <f t="shared" si="22"/>
        <v>0</v>
      </c>
      <c r="X54" s="253">
        <f t="shared" si="7"/>
        <v>0</v>
      </c>
      <c r="Y54" s="253">
        <f t="shared" si="8"/>
        <v>0</v>
      </c>
      <c r="Z54" s="149"/>
      <c r="AA54" s="149"/>
      <c r="AB54" s="149"/>
      <c r="AC54" s="150">
        <f t="shared" si="9"/>
        <v>0</v>
      </c>
      <c r="AD54" s="150">
        <f t="shared" si="10"/>
        <v>0</v>
      </c>
      <c r="AE54" s="150">
        <f t="shared" si="11"/>
        <v>0</v>
      </c>
      <c r="AF54" s="193"/>
      <c r="AG54" s="193"/>
      <c r="AH54" s="193"/>
      <c r="AI54" s="214">
        <f t="shared" si="12"/>
        <v>0</v>
      </c>
      <c r="AJ54" s="214">
        <f t="shared" si="13"/>
        <v>0</v>
      </c>
      <c r="AK54" s="214">
        <f t="shared" si="14"/>
        <v>0</v>
      </c>
      <c r="AL54" s="154">
        <f t="shared" si="15"/>
        <v>0</v>
      </c>
      <c r="AM54" s="154">
        <f t="shared" si="16"/>
        <v>0</v>
      </c>
      <c r="AN54" s="154">
        <f t="shared" si="17"/>
        <v>0</v>
      </c>
      <c r="AO54" s="145">
        <f t="shared" si="18"/>
        <v>0</v>
      </c>
      <c r="AP54" s="155"/>
      <c r="AQ54" s="155"/>
      <c r="AR54" s="145">
        <f t="shared" ref="AR54:AR75" si="27">IFERROR(ROUND((S54-AO54-AP54),2),"")</f>
        <v>9872</v>
      </c>
      <c r="AS54" s="145"/>
      <c r="AT54" s="145"/>
      <c r="AU54" s="155"/>
      <c r="AV54" s="155"/>
      <c r="AW54" s="155"/>
      <c r="AX54" s="155"/>
      <c r="AY54" s="145">
        <f t="shared" si="20"/>
        <v>9872</v>
      </c>
      <c r="AZ54" s="145" t="s">
        <v>99</v>
      </c>
      <c r="BA54" s="145" t="s">
        <v>178</v>
      </c>
      <c r="BB54" s="190"/>
      <c r="BC54" s="190"/>
    </row>
    <row r="55" spans="1:55" ht="15.75" customHeight="1">
      <c r="A55" s="140">
        <f t="shared" si="0"/>
        <v>46</v>
      </c>
      <c r="B55" s="136" t="s">
        <v>292</v>
      </c>
      <c r="C55" s="161">
        <v>46036</v>
      </c>
      <c r="D55" s="289"/>
      <c r="E55" s="171" t="s">
        <v>199</v>
      </c>
      <c r="F55" s="140" t="s">
        <v>131</v>
      </c>
      <c r="G55" s="139" t="s">
        <v>17</v>
      </c>
      <c r="H55" s="141">
        <f>IF(AZ55="Payroll",VLOOKUP(E55,'[2]CODE 2'!$R:$S,2,FALSE),"0")</f>
        <v>8</v>
      </c>
      <c r="I55" s="142" t="s">
        <v>254</v>
      </c>
      <c r="J55" s="142" t="s">
        <v>174</v>
      </c>
      <c r="K55" s="254"/>
      <c r="L55" s="255"/>
      <c r="M55" s="204">
        <f>IFERROR(VLOOKUP($H55,'[2]CODE 2'!$J:$K,2,FALSE)," ")</f>
        <v>19744</v>
      </c>
      <c r="N55" s="145">
        <f t="shared" si="1"/>
        <v>9872</v>
      </c>
      <c r="O55" s="145">
        <f t="shared" si="2"/>
        <v>897.4545454545455</v>
      </c>
      <c r="P55" s="145">
        <f t="shared" si="3"/>
        <v>112.18181818181819</v>
      </c>
      <c r="Q55" s="145">
        <f t="shared" si="4"/>
        <v>1.8696969696969699</v>
      </c>
      <c r="R55" s="146" t="str">
        <f t="shared" si="24"/>
        <v>11</v>
      </c>
      <c r="S55" s="145">
        <f t="shared" si="5"/>
        <v>9872</v>
      </c>
      <c r="T55" s="252">
        <v>0</v>
      </c>
      <c r="U55" s="252">
        <v>1</v>
      </c>
      <c r="V55" s="252">
        <v>7</v>
      </c>
      <c r="W55" s="253">
        <f t="shared" si="22"/>
        <v>0</v>
      </c>
      <c r="X55" s="253">
        <f t="shared" si="7"/>
        <v>112.18</v>
      </c>
      <c r="Y55" s="253">
        <f t="shared" si="8"/>
        <v>13.09</v>
      </c>
      <c r="Z55" s="149"/>
      <c r="AA55" s="149"/>
      <c r="AB55" s="149"/>
      <c r="AC55" s="150">
        <f t="shared" si="9"/>
        <v>0</v>
      </c>
      <c r="AD55" s="150">
        <f t="shared" si="10"/>
        <v>0</v>
      </c>
      <c r="AE55" s="150">
        <f t="shared" si="11"/>
        <v>0</v>
      </c>
      <c r="AF55" s="193"/>
      <c r="AG55" s="193"/>
      <c r="AH55" s="193"/>
      <c r="AI55" s="214">
        <f t="shared" si="12"/>
        <v>0</v>
      </c>
      <c r="AJ55" s="214">
        <f t="shared" si="13"/>
        <v>0</v>
      </c>
      <c r="AK55" s="214">
        <f t="shared" si="14"/>
        <v>0</v>
      </c>
      <c r="AL55" s="154">
        <f t="shared" si="15"/>
        <v>0</v>
      </c>
      <c r="AM55" s="154">
        <f t="shared" si="16"/>
        <v>112.18</v>
      </c>
      <c r="AN55" s="154">
        <f t="shared" si="17"/>
        <v>13.09</v>
      </c>
      <c r="AO55" s="145">
        <f t="shared" si="18"/>
        <v>125.27000000000001</v>
      </c>
      <c r="AP55" s="155"/>
      <c r="AQ55" s="155"/>
      <c r="AR55" s="145">
        <f t="shared" si="27"/>
        <v>9746.73</v>
      </c>
      <c r="AS55" s="145"/>
      <c r="AT55" s="145"/>
      <c r="AU55" s="155"/>
      <c r="AV55" s="155"/>
      <c r="AW55" s="155"/>
      <c r="AX55" s="155"/>
      <c r="AY55" s="145">
        <f t="shared" si="20"/>
        <v>9746.73</v>
      </c>
      <c r="AZ55" s="145" t="s">
        <v>99</v>
      </c>
      <c r="BA55" s="145" t="s">
        <v>163</v>
      </c>
      <c r="BB55" s="190"/>
      <c r="BC55" s="190"/>
    </row>
    <row r="56" spans="1:55" ht="15.75" customHeight="1">
      <c r="A56" s="140">
        <f t="shared" si="0"/>
        <v>47</v>
      </c>
      <c r="B56" s="136" t="s">
        <v>293</v>
      </c>
      <c r="C56" s="161">
        <v>46036</v>
      </c>
      <c r="D56" s="289"/>
      <c r="E56" s="171" t="s">
        <v>201</v>
      </c>
      <c r="F56" s="140" t="s">
        <v>131</v>
      </c>
      <c r="G56" s="139" t="s">
        <v>122</v>
      </c>
      <c r="H56" s="141">
        <f>IF(AZ56="Payroll",VLOOKUP(E56,'[2]CODE 2'!$R:$S,2,FALSE),"0")</f>
        <v>7</v>
      </c>
      <c r="I56" s="142" t="s">
        <v>254</v>
      </c>
      <c r="J56" s="142" t="s">
        <v>174</v>
      </c>
      <c r="K56" s="254"/>
      <c r="L56" s="255"/>
      <c r="M56" s="204">
        <f>IFERROR(VLOOKUP($H56,'[2]CODE 2'!$J:$K,2,FALSE)," ")</f>
        <v>18620</v>
      </c>
      <c r="N56" s="145">
        <f t="shared" si="1"/>
        <v>9310</v>
      </c>
      <c r="O56" s="145">
        <f t="shared" si="2"/>
        <v>846.36363636363637</v>
      </c>
      <c r="P56" s="145">
        <f t="shared" si="3"/>
        <v>105.79545454545455</v>
      </c>
      <c r="Q56" s="145">
        <f t="shared" si="4"/>
        <v>1.7632575757575757</v>
      </c>
      <c r="R56" s="146" t="str">
        <f t="shared" si="24"/>
        <v>11</v>
      </c>
      <c r="S56" s="145">
        <f t="shared" si="5"/>
        <v>9310</v>
      </c>
      <c r="T56" s="252">
        <v>0</v>
      </c>
      <c r="U56" s="252">
        <v>0</v>
      </c>
      <c r="V56" s="252">
        <v>1</v>
      </c>
      <c r="W56" s="253">
        <f t="shared" si="22"/>
        <v>0</v>
      </c>
      <c r="X56" s="253">
        <f t="shared" si="7"/>
        <v>0</v>
      </c>
      <c r="Y56" s="253">
        <f t="shared" si="8"/>
        <v>1.76</v>
      </c>
      <c r="Z56" s="149"/>
      <c r="AA56" s="149"/>
      <c r="AB56" s="149"/>
      <c r="AC56" s="150">
        <f t="shared" si="9"/>
        <v>0</v>
      </c>
      <c r="AD56" s="150">
        <f t="shared" si="10"/>
        <v>0</v>
      </c>
      <c r="AE56" s="150">
        <f t="shared" si="11"/>
        <v>0</v>
      </c>
      <c r="AF56" s="193"/>
      <c r="AG56" s="193"/>
      <c r="AH56" s="193"/>
      <c r="AI56" s="214">
        <f t="shared" si="12"/>
        <v>0</v>
      </c>
      <c r="AJ56" s="214">
        <f t="shared" si="13"/>
        <v>0</v>
      </c>
      <c r="AK56" s="214">
        <f t="shared" si="14"/>
        <v>0</v>
      </c>
      <c r="AL56" s="154">
        <f t="shared" si="15"/>
        <v>0</v>
      </c>
      <c r="AM56" s="154">
        <f t="shared" si="16"/>
        <v>0</v>
      </c>
      <c r="AN56" s="154">
        <f t="shared" si="17"/>
        <v>1.76</v>
      </c>
      <c r="AO56" s="145">
        <f t="shared" si="18"/>
        <v>1.76</v>
      </c>
      <c r="AP56" s="155"/>
      <c r="AQ56" s="155"/>
      <c r="AR56" s="145">
        <f t="shared" si="27"/>
        <v>9308.24</v>
      </c>
      <c r="AS56" s="145"/>
      <c r="AT56" s="145"/>
      <c r="AU56" s="155"/>
      <c r="AV56" s="155"/>
      <c r="AW56" s="155"/>
      <c r="AX56" s="155"/>
      <c r="AY56" s="145">
        <f t="shared" si="20"/>
        <v>9308.24</v>
      </c>
      <c r="AZ56" s="145" t="s">
        <v>99</v>
      </c>
      <c r="BA56" s="145" t="s">
        <v>205</v>
      </c>
      <c r="BB56" s="190"/>
      <c r="BC56" s="190"/>
    </row>
    <row r="57" spans="1:55" ht="15.75" customHeight="1">
      <c r="A57" s="140">
        <f t="shared" si="0"/>
        <v>48</v>
      </c>
      <c r="B57" s="136" t="s">
        <v>294</v>
      </c>
      <c r="C57" s="161">
        <v>46036</v>
      </c>
      <c r="D57" s="289"/>
      <c r="E57" s="171" t="s">
        <v>220</v>
      </c>
      <c r="F57" s="140" t="s">
        <v>131</v>
      </c>
      <c r="G57" s="139" t="s">
        <v>122</v>
      </c>
      <c r="H57" s="141">
        <f>IF(AZ57="Payroll",VLOOKUP(E57,'[2]CODE 2'!$R:$S,2,FALSE),"0")</f>
        <v>7</v>
      </c>
      <c r="I57" s="142" t="s">
        <v>254</v>
      </c>
      <c r="J57" s="142" t="s">
        <v>174</v>
      </c>
      <c r="K57" s="254"/>
      <c r="L57" s="255"/>
      <c r="M57" s="204">
        <f>IFERROR(VLOOKUP($H57,'[2]CODE 2'!$J:$K,2,FALSE)," ")</f>
        <v>18620</v>
      </c>
      <c r="N57" s="145">
        <f t="shared" si="1"/>
        <v>9310</v>
      </c>
      <c r="O57" s="145">
        <f t="shared" si="2"/>
        <v>846.36363636363637</v>
      </c>
      <c r="P57" s="145">
        <f t="shared" si="3"/>
        <v>105.79545454545455</v>
      </c>
      <c r="Q57" s="145">
        <f t="shared" si="4"/>
        <v>1.7632575757575757</v>
      </c>
      <c r="R57" s="146" t="str">
        <f t="shared" si="24"/>
        <v>11</v>
      </c>
      <c r="S57" s="145">
        <f t="shared" si="5"/>
        <v>9310</v>
      </c>
      <c r="T57" s="252">
        <v>0</v>
      </c>
      <c r="U57" s="252">
        <v>0</v>
      </c>
      <c r="V57" s="252">
        <v>0</v>
      </c>
      <c r="W57" s="253">
        <f t="shared" si="22"/>
        <v>0</v>
      </c>
      <c r="X57" s="253">
        <f t="shared" si="7"/>
        <v>0</v>
      </c>
      <c r="Y57" s="253">
        <f t="shared" si="8"/>
        <v>0</v>
      </c>
      <c r="Z57" s="149"/>
      <c r="AA57" s="149"/>
      <c r="AB57" s="149"/>
      <c r="AC57" s="150">
        <f t="shared" si="9"/>
        <v>0</v>
      </c>
      <c r="AD57" s="150">
        <f t="shared" si="10"/>
        <v>0</v>
      </c>
      <c r="AE57" s="150">
        <f t="shared" si="11"/>
        <v>0</v>
      </c>
      <c r="AF57" s="193"/>
      <c r="AG57" s="193"/>
      <c r="AH57" s="193"/>
      <c r="AI57" s="214">
        <f t="shared" si="12"/>
        <v>0</v>
      </c>
      <c r="AJ57" s="214">
        <f t="shared" si="13"/>
        <v>0</v>
      </c>
      <c r="AK57" s="214">
        <f t="shared" si="14"/>
        <v>0</v>
      </c>
      <c r="AL57" s="154">
        <f t="shared" si="15"/>
        <v>0</v>
      </c>
      <c r="AM57" s="154">
        <f t="shared" si="16"/>
        <v>0</v>
      </c>
      <c r="AN57" s="154">
        <f t="shared" si="17"/>
        <v>0</v>
      </c>
      <c r="AO57" s="145">
        <f t="shared" si="18"/>
        <v>0</v>
      </c>
      <c r="AP57" s="155"/>
      <c r="AQ57" s="155"/>
      <c r="AR57" s="145">
        <f t="shared" si="27"/>
        <v>9310</v>
      </c>
      <c r="AS57" s="145"/>
      <c r="AT57" s="145"/>
      <c r="AU57" s="155"/>
      <c r="AV57" s="155"/>
      <c r="AW57" s="155"/>
      <c r="AX57" s="155"/>
      <c r="AY57" s="145">
        <f t="shared" si="20"/>
        <v>9310</v>
      </c>
      <c r="AZ57" s="145" t="s">
        <v>99</v>
      </c>
      <c r="BA57" s="145" t="s">
        <v>218</v>
      </c>
      <c r="BB57" s="190"/>
      <c r="BC57" s="190"/>
    </row>
    <row r="58" spans="1:55" ht="15.75" customHeight="1">
      <c r="A58" s="140">
        <f t="shared" si="0"/>
        <v>49</v>
      </c>
      <c r="B58" s="136" t="s">
        <v>295</v>
      </c>
      <c r="C58" s="137">
        <v>46036</v>
      </c>
      <c r="D58" s="138"/>
      <c r="E58" s="171" t="s">
        <v>21</v>
      </c>
      <c r="F58" s="140" t="s">
        <v>132</v>
      </c>
      <c r="G58" s="139" t="s">
        <v>17</v>
      </c>
      <c r="H58" s="141">
        <f>IF(AZ58="Payroll",VLOOKUP(E58,'[2]CODE 2'!$R:$S,2,FALSE),"0")</f>
        <v>8</v>
      </c>
      <c r="I58" s="142" t="s">
        <v>254</v>
      </c>
      <c r="J58" s="142" t="s">
        <v>174</v>
      </c>
      <c r="K58" s="254"/>
      <c r="L58" s="255"/>
      <c r="M58" s="204">
        <f>IFERROR(VLOOKUP($H58,'[2]CODE 2'!$J:$K,2,FALSE)," ")</f>
        <v>19744</v>
      </c>
      <c r="N58" s="145">
        <f t="shared" si="1"/>
        <v>9872</v>
      </c>
      <c r="O58" s="145">
        <f t="shared" si="2"/>
        <v>897.4545454545455</v>
      </c>
      <c r="P58" s="145">
        <f t="shared" si="3"/>
        <v>112.18181818181819</v>
      </c>
      <c r="Q58" s="145">
        <f t="shared" si="4"/>
        <v>1.8696969696969699</v>
      </c>
      <c r="R58" s="146" t="str">
        <f t="shared" si="24"/>
        <v>11</v>
      </c>
      <c r="S58" s="145">
        <f t="shared" si="5"/>
        <v>9872</v>
      </c>
      <c r="T58" s="252">
        <v>0</v>
      </c>
      <c r="U58" s="252">
        <v>1</v>
      </c>
      <c r="V58" s="252">
        <v>6</v>
      </c>
      <c r="W58" s="253">
        <f t="shared" si="22"/>
        <v>0</v>
      </c>
      <c r="X58" s="253">
        <f t="shared" si="7"/>
        <v>112.18</v>
      </c>
      <c r="Y58" s="253">
        <f t="shared" si="8"/>
        <v>11.22</v>
      </c>
      <c r="Z58" s="149"/>
      <c r="AA58" s="149"/>
      <c r="AB58" s="149"/>
      <c r="AC58" s="150">
        <f t="shared" si="9"/>
        <v>0</v>
      </c>
      <c r="AD58" s="150">
        <f t="shared" si="10"/>
        <v>0</v>
      </c>
      <c r="AE58" s="150">
        <f t="shared" si="11"/>
        <v>0</v>
      </c>
      <c r="AF58" s="193"/>
      <c r="AG58" s="193"/>
      <c r="AH58" s="193"/>
      <c r="AI58" s="214">
        <f t="shared" si="12"/>
        <v>0</v>
      </c>
      <c r="AJ58" s="214">
        <f t="shared" si="13"/>
        <v>0</v>
      </c>
      <c r="AK58" s="214">
        <f t="shared" si="14"/>
        <v>0</v>
      </c>
      <c r="AL58" s="154">
        <f t="shared" si="15"/>
        <v>0</v>
      </c>
      <c r="AM58" s="154">
        <f t="shared" si="16"/>
        <v>112.18</v>
      </c>
      <c r="AN58" s="154">
        <f t="shared" si="17"/>
        <v>11.22</v>
      </c>
      <c r="AO58" s="145">
        <f t="shared" si="18"/>
        <v>123.4</v>
      </c>
      <c r="AP58" s="155"/>
      <c r="AQ58" s="155"/>
      <c r="AR58" s="145">
        <f t="shared" si="27"/>
        <v>9748.6</v>
      </c>
      <c r="AS58" s="145"/>
      <c r="AT58" s="145"/>
      <c r="AU58" s="155"/>
      <c r="AV58" s="155"/>
      <c r="AW58" s="155"/>
      <c r="AX58" s="155"/>
      <c r="AY58" s="145">
        <f t="shared" si="20"/>
        <v>9748.6</v>
      </c>
      <c r="AZ58" s="145" t="s">
        <v>99</v>
      </c>
      <c r="BA58" s="145" t="s">
        <v>238</v>
      </c>
      <c r="BB58" s="190"/>
      <c r="BC58" s="190"/>
    </row>
    <row r="59" spans="1:55" ht="15.75" customHeight="1">
      <c r="A59" s="140">
        <f t="shared" si="0"/>
        <v>50</v>
      </c>
      <c r="B59" s="136" t="s">
        <v>296</v>
      </c>
      <c r="C59" s="137">
        <v>46036</v>
      </c>
      <c r="D59" s="138"/>
      <c r="E59" s="139" t="s">
        <v>207</v>
      </c>
      <c r="F59" s="140" t="s">
        <v>132</v>
      </c>
      <c r="G59" s="139" t="s">
        <v>17</v>
      </c>
      <c r="H59" s="141">
        <f>IF(AZ59="Payroll",VLOOKUP(E59,'[2]CODE 2'!$R:$S,2,FALSE),"0")</f>
        <v>8</v>
      </c>
      <c r="I59" s="142" t="s">
        <v>254</v>
      </c>
      <c r="J59" s="142" t="s">
        <v>174</v>
      </c>
      <c r="K59" s="254"/>
      <c r="L59" s="255"/>
      <c r="M59" s="204">
        <f>IFERROR(VLOOKUP($H59,'[2]CODE 2'!$J:$K,2,FALSE)," ")</f>
        <v>19744</v>
      </c>
      <c r="N59" s="145">
        <f t="shared" si="1"/>
        <v>9872</v>
      </c>
      <c r="O59" s="145">
        <f t="shared" si="2"/>
        <v>897.4545454545455</v>
      </c>
      <c r="P59" s="145">
        <f t="shared" si="3"/>
        <v>112.18181818181819</v>
      </c>
      <c r="Q59" s="145">
        <f t="shared" si="4"/>
        <v>1.8696969696969699</v>
      </c>
      <c r="R59" s="146" t="str">
        <f t="shared" si="24"/>
        <v>11</v>
      </c>
      <c r="S59" s="145">
        <f t="shared" si="5"/>
        <v>9872</v>
      </c>
      <c r="T59" s="252">
        <v>0</v>
      </c>
      <c r="U59" s="252">
        <v>0</v>
      </c>
      <c r="V59" s="252">
        <v>9</v>
      </c>
      <c r="W59" s="253">
        <f t="shared" si="22"/>
        <v>0</v>
      </c>
      <c r="X59" s="253">
        <f t="shared" si="7"/>
        <v>0</v>
      </c>
      <c r="Y59" s="253">
        <f t="shared" si="8"/>
        <v>16.829999999999998</v>
      </c>
      <c r="Z59" s="149"/>
      <c r="AA59" s="149"/>
      <c r="AB59" s="149"/>
      <c r="AC59" s="150">
        <f t="shared" si="9"/>
        <v>0</v>
      </c>
      <c r="AD59" s="150">
        <f t="shared" si="10"/>
        <v>0</v>
      </c>
      <c r="AE59" s="150">
        <f t="shared" si="11"/>
        <v>0</v>
      </c>
      <c r="AF59" s="193"/>
      <c r="AG59" s="193"/>
      <c r="AH59" s="193"/>
      <c r="AI59" s="214">
        <f t="shared" si="12"/>
        <v>0</v>
      </c>
      <c r="AJ59" s="214">
        <f t="shared" si="13"/>
        <v>0</v>
      </c>
      <c r="AK59" s="214">
        <f t="shared" si="14"/>
        <v>0</v>
      </c>
      <c r="AL59" s="154">
        <f t="shared" si="15"/>
        <v>0</v>
      </c>
      <c r="AM59" s="154">
        <f t="shared" si="16"/>
        <v>0</v>
      </c>
      <c r="AN59" s="154">
        <f t="shared" si="17"/>
        <v>16.829999999999998</v>
      </c>
      <c r="AO59" s="145">
        <f t="shared" si="18"/>
        <v>16.829999999999998</v>
      </c>
      <c r="AP59" s="155"/>
      <c r="AQ59" s="155"/>
      <c r="AR59" s="145">
        <f t="shared" si="27"/>
        <v>9855.17</v>
      </c>
      <c r="AS59" s="145"/>
      <c r="AT59" s="145"/>
      <c r="AU59" s="155"/>
      <c r="AV59" s="155"/>
      <c r="AW59" s="155"/>
      <c r="AX59" s="155"/>
      <c r="AY59" s="145">
        <f t="shared" si="20"/>
        <v>9855.17</v>
      </c>
      <c r="AZ59" s="145" t="s">
        <v>99</v>
      </c>
      <c r="BA59" s="145" t="s">
        <v>197</v>
      </c>
      <c r="BB59" s="269"/>
      <c r="BC59" s="269"/>
    </row>
    <row r="60" spans="1:55" ht="15.75" customHeight="1">
      <c r="A60" s="140">
        <f t="shared" si="0"/>
        <v>51</v>
      </c>
      <c r="B60" s="136" t="s">
        <v>297</v>
      </c>
      <c r="C60" s="267">
        <v>46036</v>
      </c>
      <c r="D60" s="138"/>
      <c r="E60" s="171" t="s">
        <v>133</v>
      </c>
      <c r="F60" s="140" t="s">
        <v>134</v>
      </c>
      <c r="G60" s="160" t="s">
        <v>208</v>
      </c>
      <c r="H60" s="141">
        <v>10</v>
      </c>
      <c r="I60" s="142" t="s">
        <v>254</v>
      </c>
      <c r="J60" s="142" t="s">
        <v>174</v>
      </c>
      <c r="K60" s="254"/>
      <c r="L60" s="255"/>
      <c r="M60" s="204">
        <f>IFERROR(VLOOKUP($H60,'[2]CODE 2'!$J:$K,2,FALSE)," ")</f>
        <v>23176</v>
      </c>
      <c r="N60" s="145">
        <f t="shared" si="1"/>
        <v>11588</v>
      </c>
      <c r="O60" s="145">
        <f t="shared" si="2"/>
        <v>1053.4545454545455</v>
      </c>
      <c r="P60" s="145">
        <f t="shared" si="3"/>
        <v>131.68181818181819</v>
      </c>
      <c r="Q60" s="145">
        <f t="shared" si="4"/>
        <v>2.1946969696969698</v>
      </c>
      <c r="R60" s="146" t="str">
        <f t="shared" si="24"/>
        <v>11</v>
      </c>
      <c r="S60" s="145">
        <f t="shared" si="5"/>
        <v>11588</v>
      </c>
      <c r="T60" s="252">
        <v>0</v>
      </c>
      <c r="U60" s="252">
        <v>0</v>
      </c>
      <c r="V60" s="252">
        <v>0</v>
      </c>
      <c r="W60" s="253">
        <f t="shared" si="22"/>
        <v>0</v>
      </c>
      <c r="X60" s="253">
        <f t="shared" si="7"/>
        <v>0</v>
      </c>
      <c r="Y60" s="253">
        <f t="shared" si="8"/>
        <v>0</v>
      </c>
      <c r="Z60" s="149"/>
      <c r="AA60" s="149"/>
      <c r="AB60" s="149"/>
      <c r="AC60" s="150">
        <f t="shared" si="9"/>
        <v>0</v>
      </c>
      <c r="AD60" s="150">
        <f t="shared" si="10"/>
        <v>0</v>
      </c>
      <c r="AE60" s="150">
        <f t="shared" si="11"/>
        <v>0</v>
      </c>
      <c r="AF60" s="193"/>
      <c r="AG60" s="193"/>
      <c r="AH60" s="193"/>
      <c r="AI60" s="214">
        <f t="shared" si="12"/>
        <v>0</v>
      </c>
      <c r="AJ60" s="214">
        <f t="shared" si="13"/>
        <v>0</v>
      </c>
      <c r="AK60" s="214">
        <f t="shared" si="14"/>
        <v>0</v>
      </c>
      <c r="AL60" s="154">
        <f t="shared" si="15"/>
        <v>0</v>
      </c>
      <c r="AM60" s="154">
        <f t="shared" si="16"/>
        <v>0</v>
      </c>
      <c r="AN60" s="154">
        <f t="shared" si="17"/>
        <v>0</v>
      </c>
      <c r="AO60" s="145">
        <f t="shared" si="18"/>
        <v>0</v>
      </c>
      <c r="AP60" s="155"/>
      <c r="AQ60" s="155"/>
      <c r="AR60" s="145">
        <f t="shared" si="27"/>
        <v>11588</v>
      </c>
      <c r="AS60" s="145"/>
      <c r="AT60" s="145"/>
      <c r="AU60" s="155"/>
      <c r="AV60" s="155"/>
      <c r="AW60" s="155"/>
      <c r="AX60" s="155"/>
      <c r="AY60" s="145">
        <f t="shared" si="20"/>
        <v>11588</v>
      </c>
      <c r="AZ60" s="145" t="s">
        <v>99</v>
      </c>
      <c r="BA60" s="145" t="s">
        <v>233</v>
      </c>
      <c r="BB60" s="190"/>
      <c r="BC60" s="190"/>
    </row>
    <row r="61" spans="1:55" ht="15.75" customHeight="1">
      <c r="A61" s="140">
        <f t="shared" si="0"/>
        <v>52</v>
      </c>
      <c r="B61" s="136" t="s">
        <v>298</v>
      </c>
      <c r="C61" s="267">
        <v>46036</v>
      </c>
      <c r="D61" s="138"/>
      <c r="E61" s="171" t="s">
        <v>196</v>
      </c>
      <c r="F61" s="140" t="s">
        <v>134</v>
      </c>
      <c r="G61" s="139" t="s">
        <v>17</v>
      </c>
      <c r="H61" s="141">
        <v>8</v>
      </c>
      <c r="I61" s="142" t="s">
        <v>254</v>
      </c>
      <c r="J61" s="142" t="s">
        <v>174</v>
      </c>
      <c r="K61" s="254"/>
      <c r="L61" s="255"/>
      <c r="M61" s="204">
        <f>IFERROR(VLOOKUP($H61,'[2]CODE 2'!$J:$K,2,FALSE)," ")</f>
        <v>19744</v>
      </c>
      <c r="N61" s="145">
        <f t="shared" si="1"/>
        <v>9872</v>
      </c>
      <c r="O61" s="145">
        <f t="shared" si="2"/>
        <v>897.4545454545455</v>
      </c>
      <c r="P61" s="145">
        <f t="shared" si="3"/>
        <v>112.18181818181819</v>
      </c>
      <c r="Q61" s="145">
        <f t="shared" si="4"/>
        <v>1.8696969696969699</v>
      </c>
      <c r="R61" s="146" t="str">
        <f t="shared" si="24"/>
        <v>11</v>
      </c>
      <c r="S61" s="145">
        <f t="shared" si="5"/>
        <v>9872</v>
      </c>
      <c r="T61" s="252">
        <v>0</v>
      </c>
      <c r="U61" s="252">
        <v>0</v>
      </c>
      <c r="V61" s="252">
        <v>5</v>
      </c>
      <c r="W61" s="253">
        <f t="shared" si="22"/>
        <v>0</v>
      </c>
      <c r="X61" s="253">
        <f t="shared" si="7"/>
        <v>0</v>
      </c>
      <c r="Y61" s="253">
        <f t="shared" si="8"/>
        <v>9.35</v>
      </c>
      <c r="Z61" s="149"/>
      <c r="AA61" s="149"/>
      <c r="AB61" s="149"/>
      <c r="AC61" s="150">
        <f t="shared" si="9"/>
        <v>0</v>
      </c>
      <c r="AD61" s="150">
        <f t="shared" si="10"/>
        <v>0</v>
      </c>
      <c r="AE61" s="150">
        <f t="shared" si="11"/>
        <v>0</v>
      </c>
      <c r="AF61" s="193"/>
      <c r="AG61" s="193"/>
      <c r="AH61" s="193"/>
      <c r="AI61" s="214">
        <f t="shared" si="12"/>
        <v>0</v>
      </c>
      <c r="AJ61" s="214">
        <f t="shared" si="13"/>
        <v>0</v>
      </c>
      <c r="AK61" s="214">
        <f t="shared" si="14"/>
        <v>0</v>
      </c>
      <c r="AL61" s="154">
        <f t="shared" si="15"/>
        <v>0</v>
      </c>
      <c r="AM61" s="154">
        <f t="shared" si="16"/>
        <v>0</v>
      </c>
      <c r="AN61" s="154">
        <f t="shared" si="17"/>
        <v>9.35</v>
      </c>
      <c r="AO61" s="145">
        <f t="shared" si="18"/>
        <v>9.35</v>
      </c>
      <c r="AP61" s="155"/>
      <c r="AQ61" s="155"/>
      <c r="AR61" s="145">
        <f t="shared" si="27"/>
        <v>9862.65</v>
      </c>
      <c r="AS61" s="145"/>
      <c r="AT61" s="145"/>
      <c r="AU61" s="155"/>
      <c r="AV61" s="155"/>
      <c r="AW61" s="155"/>
      <c r="AX61" s="155"/>
      <c r="AY61" s="145">
        <f t="shared" si="20"/>
        <v>9862.65</v>
      </c>
      <c r="AZ61" s="145" t="s">
        <v>99</v>
      </c>
      <c r="BA61" s="145" t="s">
        <v>176</v>
      </c>
      <c r="BB61" s="190"/>
      <c r="BC61" s="190"/>
    </row>
    <row r="62" spans="1:55" ht="15.75" customHeight="1">
      <c r="A62" s="140">
        <f t="shared" si="0"/>
        <v>53</v>
      </c>
      <c r="B62" s="298" t="s">
        <v>299</v>
      </c>
      <c r="C62" s="297">
        <v>46036</v>
      </c>
      <c r="D62" s="303"/>
      <c r="E62" s="171" t="s">
        <v>135</v>
      </c>
      <c r="F62" s="293" t="s">
        <v>136</v>
      </c>
      <c r="G62" s="294" t="s">
        <v>17</v>
      </c>
      <c r="H62" s="295">
        <f>IF(AZ62="Payroll",VLOOKUP(E62,'[2]CODE 2'!$R:$S,2,FALSE),"0")</f>
        <v>8</v>
      </c>
      <c r="I62" s="296" t="s">
        <v>269</v>
      </c>
      <c r="J62" s="296"/>
      <c r="K62" s="254"/>
      <c r="L62" s="255"/>
      <c r="M62" s="204">
        <f>IFERROR(VLOOKUP($H62,'[2]CODE 2'!$J:$K,2,FALSE)," ")</f>
        <v>19744</v>
      </c>
      <c r="N62" s="145">
        <f t="shared" si="1"/>
        <v>9872</v>
      </c>
      <c r="O62" s="145">
        <f t="shared" si="2"/>
        <v>897.4545454545455</v>
      </c>
      <c r="P62" s="145">
        <f t="shared" si="3"/>
        <v>112.18181818181819</v>
      </c>
      <c r="Q62" s="145">
        <f t="shared" si="4"/>
        <v>1.8696969696969699</v>
      </c>
      <c r="R62" s="146">
        <v>11</v>
      </c>
      <c r="S62" s="145">
        <f t="shared" si="5"/>
        <v>9872</v>
      </c>
      <c r="T62" s="252">
        <v>0</v>
      </c>
      <c r="U62" s="252">
        <v>4</v>
      </c>
      <c r="V62" s="252">
        <v>22</v>
      </c>
      <c r="W62" s="253">
        <f t="shared" si="22"/>
        <v>0</v>
      </c>
      <c r="X62" s="253">
        <f t="shared" si="7"/>
        <v>448.73</v>
      </c>
      <c r="Y62" s="253">
        <f t="shared" si="8"/>
        <v>41.13</v>
      </c>
      <c r="Z62" s="149"/>
      <c r="AA62" s="149"/>
      <c r="AB62" s="149"/>
      <c r="AC62" s="150">
        <f t="shared" si="9"/>
        <v>0</v>
      </c>
      <c r="AD62" s="150">
        <f t="shared" si="10"/>
        <v>0</v>
      </c>
      <c r="AE62" s="150">
        <f t="shared" si="11"/>
        <v>0</v>
      </c>
      <c r="AF62" s="193"/>
      <c r="AG62" s="193"/>
      <c r="AH62" s="193"/>
      <c r="AI62" s="214">
        <f t="shared" si="12"/>
        <v>0</v>
      </c>
      <c r="AJ62" s="214">
        <f t="shared" si="13"/>
        <v>0</v>
      </c>
      <c r="AK62" s="214">
        <f t="shared" si="14"/>
        <v>0</v>
      </c>
      <c r="AL62" s="154">
        <f t="shared" si="15"/>
        <v>0</v>
      </c>
      <c r="AM62" s="154">
        <f t="shared" si="16"/>
        <v>448.73</v>
      </c>
      <c r="AN62" s="154">
        <f t="shared" si="17"/>
        <v>41.13</v>
      </c>
      <c r="AO62" s="145">
        <f t="shared" si="18"/>
        <v>489.86</v>
      </c>
      <c r="AP62" s="155"/>
      <c r="AQ62" s="155"/>
      <c r="AR62" s="145">
        <f t="shared" si="27"/>
        <v>9382.14</v>
      </c>
      <c r="AS62" s="145"/>
      <c r="AT62" s="145"/>
      <c r="AU62" s="155"/>
      <c r="AV62" s="155"/>
      <c r="AW62" s="155"/>
      <c r="AX62" s="155"/>
      <c r="AY62" s="145">
        <f t="shared" si="20"/>
        <v>9382.14</v>
      </c>
      <c r="AZ62" s="145" t="s">
        <v>99</v>
      </c>
      <c r="BA62" s="145" t="s">
        <v>190</v>
      </c>
      <c r="BB62" s="190"/>
      <c r="BC62" s="190"/>
    </row>
    <row r="63" spans="1:55" ht="15.75" customHeight="1">
      <c r="A63" s="140">
        <f t="shared" si="0"/>
        <v>54</v>
      </c>
      <c r="B63" s="136" t="s">
        <v>300</v>
      </c>
      <c r="C63" s="304">
        <v>46036</v>
      </c>
      <c r="D63" s="138"/>
      <c r="E63" s="171" t="s">
        <v>137</v>
      </c>
      <c r="F63" s="140" t="s">
        <v>138</v>
      </c>
      <c r="G63" s="139" t="s">
        <v>17</v>
      </c>
      <c r="H63" s="141">
        <f>IF(AZ63="Payroll",VLOOKUP(E63,'[2]CODE 2'!$R:$S,2,FALSE),"0")</f>
        <v>8</v>
      </c>
      <c r="I63" s="142" t="s">
        <v>261</v>
      </c>
      <c r="J63" s="142" t="s">
        <v>174</v>
      </c>
      <c r="K63" s="254"/>
      <c r="L63" s="255"/>
      <c r="M63" s="204">
        <f>IFERROR(VLOOKUP($H63,'[2]CODE 2'!$J:$K,2,FALSE)," ")</f>
        <v>19744</v>
      </c>
      <c r="N63" s="145">
        <f t="shared" si="1"/>
        <v>9872</v>
      </c>
      <c r="O63" s="145">
        <f t="shared" si="2"/>
        <v>897.4545454545455</v>
      </c>
      <c r="P63" s="145">
        <f t="shared" si="3"/>
        <v>112.18181818181819</v>
      </c>
      <c r="Q63" s="145">
        <f t="shared" si="4"/>
        <v>1.8696969696969699</v>
      </c>
      <c r="R63" s="146" t="str">
        <f t="shared" ref="R63:R70" si="28">IF(AZ63="Payroll","11","")</f>
        <v>11</v>
      </c>
      <c r="S63" s="145">
        <f t="shared" si="5"/>
        <v>9872</v>
      </c>
      <c r="T63" s="252">
        <v>0</v>
      </c>
      <c r="U63" s="252">
        <v>4</v>
      </c>
      <c r="V63" s="252">
        <v>31</v>
      </c>
      <c r="W63" s="253">
        <f t="shared" si="22"/>
        <v>0</v>
      </c>
      <c r="X63" s="253">
        <f t="shared" si="7"/>
        <v>448.73</v>
      </c>
      <c r="Y63" s="253">
        <f t="shared" si="8"/>
        <v>57.96</v>
      </c>
      <c r="Z63" s="149"/>
      <c r="AA63" s="149"/>
      <c r="AB63" s="149"/>
      <c r="AC63" s="150">
        <f t="shared" si="9"/>
        <v>0</v>
      </c>
      <c r="AD63" s="150">
        <f t="shared" si="10"/>
        <v>0</v>
      </c>
      <c r="AE63" s="150">
        <f t="shared" si="11"/>
        <v>0</v>
      </c>
      <c r="AF63" s="193"/>
      <c r="AG63" s="193"/>
      <c r="AH63" s="193"/>
      <c r="AI63" s="214">
        <f t="shared" si="12"/>
        <v>0</v>
      </c>
      <c r="AJ63" s="214">
        <f t="shared" si="13"/>
        <v>0</v>
      </c>
      <c r="AK63" s="214">
        <f t="shared" si="14"/>
        <v>0</v>
      </c>
      <c r="AL63" s="154">
        <f t="shared" si="15"/>
        <v>0</v>
      </c>
      <c r="AM63" s="154">
        <f t="shared" si="16"/>
        <v>448.73</v>
      </c>
      <c r="AN63" s="154">
        <f t="shared" si="17"/>
        <v>57.96</v>
      </c>
      <c r="AO63" s="145">
        <f t="shared" si="18"/>
        <v>506.69</v>
      </c>
      <c r="AP63" s="155"/>
      <c r="AQ63" s="155"/>
      <c r="AR63" s="145">
        <f t="shared" si="27"/>
        <v>9365.31</v>
      </c>
      <c r="AS63" s="145"/>
      <c r="AT63" s="145"/>
      <c r="AU63" s="155"/>
      <c r="AV63" s="155"/>
      <c r="AW63" s="155"/>
      <c r="AX63" s="155"/>
      <c r="AY63" s="145">
        <f t="shared" si="20"/>
        <v>9365.31</v>
      </c>
      <c r="AZ63" s="145" t="s">
        <v>99</v>
      </c>
      <c r="BA63" s="145" t="s">
        <v>126</v>
      </c>
      <c r="BB63" s="190"/>
      <c r="BC63" s="190"/>
    </row>
    <row r="64" spans="1:55" ht="15.75" customHeight="1">
      <c r="A64" s="140">
        <f t="shared" si="0"/>
        <v>55</v>
      </c>
      <c r="B64" s="136" t="s">
        <v>301</v>
      </c>
      <c r="C64" s="304">
        <v>46036</v>
      </c>
      <c r="D64" s="138"/>
      <c r="E64" s="171" t="s">
        <v>142</v>
      </c>
      <c r="F64" s="140" t="s">
        <v>138</v>
      </c>
      <c r="G64" s="139" t="s">
        <v>140</v>
      </c>
      <c r="H64" s="141">
        <f>IF(AZ64="Payroll",VLOOKUP(E64,'[2]CODE 2'!$R:$S,2,FALSE),"0")</f>
        <v>6</v>
      </c>
      <c r="I64" s="142" t="s">
        <v>302</v>
      </c>
      <c r="J64" s="142" t="s">
        <v>174</v>
      </c>
      <c r="K64" s="254"/>
      <c r="L64" s="255"/>
      <c r="M64" s="204">
        <f>IFERROR(VLOOKUP($H64,'[2]CODE 2'!$J:$K,2,FALSE)," ")</f>
        <v>17553</v>
      </c>
      <c r="N64" s="145">
        <f t="shared" si="1"/>
        <v>8776.5</v>
      </c>
      <c r="O64" s="145">
        <f t="shared" si="2"/>
        <v>797.86363636363637</v>
      </c>
      <c r="P64" s="145">
        <f t="shared" si="3"/>
        <v>99.732954545454547</v>
      </c>
      <c r="Q64" s="145">
        <f t="shared" si="4"/>
        <v>1.6622159090909092</v>
      </c>
      <c r="R64" s="146" t="str">
        <f t="shared" si="28"/>
        <v>11</v>
      </c>
      <c r="S64" s="145">
        <f t="shared" si="5"/>
        <v>8776.5</v>
      </c>
      <c r="T64" s="252">
        <v>0</v>
      </c>
      <c r="U64" s="252">
        <v>0</v>
      </c>
      <c r="V64" s="252">
        <v>0</v>
      </c>
      <c r="W64" s="253">
        <f t="shared" si="22"/>
        <v>0</v>
      </c>
      <c r="X64" s="253">
        <f t="shared" si="7"/>
        <v>0</v>
      </c>
      <c r="Y64" s="253">
        <f t="shared" si="8"/>
        <v>0</v>
      </c>
      <c r="Z64" s="149"/>
      <c r="AA64" s="149"/>
      <c r="AB64" s="149"/>
      <c r="AC64" s="150">
        <f t="shared" si="9"/>
        <v>0</v>
      </c>
      <c r="AD64" s="150">
        <f t="shared" si="10"/>
        <v>0</v>
      </c>
      <c r="AE64" s="150">
        <f t="shared" si="11"/>
        <v>0</v>
      </c>
      <c r="AF64" s="193"/>
      <c r="AG64" s="193"/>
      <c r="AH64" s="193"/>
      <c r="AI64" s="214">
        <f t="shared" si="12"/>
        <v>0</v>
      </c>
      <c r="AJ64" s="214">
        <f t="shared" si="13"/>
        <v>0</v>
      </c>
      <c r="AK64" s="214">
        <f t="shared" si="14"/>
        <v>0</v>
      </c>
      <c r="AL64" s="154">
        <f t="shared" si="15"/>
        <v>0</v>
      </c>
      <c r="AM64" s="154">
        <f t="shared" si="16"/>
        <v>0</v>
      </c>
      <c r="AN64" s="154">
        <f t="shared" si="17"/>
        <v>0</v>
      </c>
      <c r="AO64" s="145">
        <f t="shared" si="18"/>
        <v>0</v>
      </c>
      <c r="AP64" s="155"/>
      <c r="AQ64" s="155"/>
      <c r="AR64" s="145">
        <f t="shared" si="27"/>
        <v>8776.5</v>
      </c>
      <c r="AS64" s="145"/>
      <c r="AT64" s="145"/>
      <c r="AU64" s="155"/>
      <c r="AV64" s="155"/>
      <c r="AW64" s="155"/>
      <c r="AX64" s="155"/>
      <c r="AY64" s="145">
        <f t="shared" si="20"/>
        <v>8776.5</v>
      </c>
      <c r="AZ64" s="145" t="s">
        <v>99</v>
      </c>
      <c r="BA64" s="145" t="s">
        <v>106</v>
      </c>
      <c r="BB64" s="190"/>
      <c r="BC64" s="190"/>
    </row>
    <row r="65" spans="1:55" ht="15.75" customHeight="1">
      <c r="A65" s="140">
        <f t="shared" si="0"/>
        <v>56</v>
      </c>
      <c r="B65" s="136" t="s">
        <v>303</v>
      </c>
      <c r="C65" s="304">
        <v>46036</v>
      </c>
      <c r="D65" s="138"/>
      <c r="E65" s="171" t="s">
        <v>143</v>
      </c>
      <c r="F65" s="140" t="s">
        <v>138</v>
      </c>
      <c r="G65" s="139" t="s">
        <v>140</v>
      </c>
      <c r="H65" s="141">
        <f>IF(AZ65="Payroll",VLOOKUP(E65,'[2]CODE 2'!$R:$S,2,FALSE),"0")</f>
        <v>6</v>
      </c>
      <c r="I65" s="142" t="s">
        <v>302</v>
      </c>
      <c r="J65" s="142" t="s">
        <v>174</v>
      </c>
      <c r="K65" s="254"/>
      <c r="L65" s="255"/>
      <c r="M65" s="204">
        <f>IFERROR(VLOOKUP($H65,'[2]CODE 2'!$J:$K,2,FALSE)," ")</f>
        <v>17553</v>
      </c>
      <c r="N65" s="145">
        <f t="shared" si="1"/>
        <v>8776.5</v>
      </c>
      <c r="O65" s="145">
        <f t="shared" si="2"/>
        <v>797.86363636363637</v>
      </c>
      <c r="P65" s="145">
        <f t="shared" si="3"/>
        <v>99.732954545454547</v>
      </c>
      <c r="Q65" s="145">
        <f t="shared" si="4"/>
        <v>1.6622159090909092</v>
      </c>
      <c r="R65" s="146" t="str">
        <f t="shared" si="28"/>
        <v>11</v>
      </c>
      <c r="S65" s="145">
        <f t="shared" si="5"/>
        <v>8776.5</v>
      </c>
      <c r="T65" s="252">
        <v>0</v>
      </c>
      <c r="U65" s="252">
        <v>0</v>
      </c>
      <c r="V65" s="252">
        <v>0</v>
      </c>
      <c r="W65" s="253">
        <f t="shared" si="22"/>
        <v>0</v>
      </c>
      <c r="X65" s="253">
        <f t="shared" si="7"/>
        <v>0</v>
      </c>
      <c r="Y65" s="253">
        <f t="shared" si="8"/>
        <v>0</v>
      </c>
      <c r="Z65" s="149"/>
      <c r="AA65" s="149"/>
      <c r="AB65" s="149"/>
      <c r="AC65" s="150">
        <f t="shared" si="9"/>
        <v>0</v>
      </c>
      <c r="AD65" s="150">
        <f t="shared" si="10"/>
        <v>0</v>
      </c>
      <c r="AE65" s="150">
        <f t="shared" si="11"/>
        <v>0</v>
      </c>
      <c r="AF65" s="193"/>
      <c r="AG65" s="193"/>
      <c r="AH65" s="193"/>
      <c r="AI65" s="214">
        <f t="shared" si="12"/>
        <v>0</v>
      </c>
      <c r="AJ65" s="214">
        <f t="shared" si="13"/>
        <v>0</v>
      </c>
      <c r="AK65" s="214">
        <f t="shared" si="14"/>
        <v>0</v>
      </c>
      <c r="AL65" s="154">
        <f t="shared" si="15"/>
        <v>0</v>
      </c>
      <c r="AM65" s="154">
        <f t="shared" si="16"/>
        <v>0</v>
      </c>
      <c r="AN65" s="154">
        <f t="shared" si="17"/>
        <v>0</v>
      </c>
      <c r="AO65" s="145">
        <f t="shared" si="18"/>
        <v>0</v>
      </c>
      <c r="AP65" s="155"/>
      <c r="AQ65" s="155"/>
      <c r="AR65" s="145">
        <f t="shared" si="27"/>
        <v>8776.5</v>
      </c>
      <c r="AS65" s="145"/>
      <c r="AT65" s="145"/>
      <c r="AU65" s="155"/>
      <c r="AV65" s="155"/>
      <c r="AW65" s="155"/>
      <c r="AX65" s="155"/>
      <c r="AY65" s="145">
        <f t="shared" si="20"/>
        <v>8776.5</v>
      </c>
      <c r="AZ65" s="145" t="s">
        <v>99</v>
      </c>
      <c r="BA65" s="145" t="s">
        <v>129</v>
      </c>
      <c r="BB65" s="190"/>
      <c r="BC65" s="190"/>
    </row>
    <row r="66" spans="1:55" ht="15.75" customHeight="1">
      <c r="A66" s="140">
        <f t="shared" si="0"/>
        <v>57</v>
      </c>
      <c r="B66" s="136" t="s">
        <v>304</v>
      </c>
      <c r="C66" s="304">
        <v>46036</v>
      </c>
      <c r="D66" s="138"/>
      <c r="E66" s="171" t="s">
        <v>154</v>
      </c>
      <c r="F66" s="140" t="s">
        <v>138</v>
      </c>
      <c r="G66" s="199" t="s">
        <v>144</v>
      </c>
      <c r="H66" s="201">
        <f>IF(AZ66="Payroll",VLOOKUP(E66,'[2]CODE 2'!$R:$S,2,FALSE),"0")</f>
        <v>11</v>
      </c>
      <c r="I66" s="142" t="s">
        <v>302</v>
      </c>
      <c r="J66" s="142" t="s">
        <v>174</v>
      </c>
      <c r="K66" s="254"/>
      <c r="L66" s="255"/>
      <c r="M66" s="204">
        <f>IFERROR(VLOOKUP($H66,'[2]CODE 2'!$J:$K,2,FALSE)," ")</f>
        <v>27000</v>
      </c>
      <c r="N66" s="203">
        <f t="shared" si="1"/>
        <v>13500</v>
      </c>
      <c r="O66" s="203">
        <f t="shared" si="2"/>
        <v>1227.2727272727273</v>
      </c>
      <c r="P66" s="203">
        <f t="shared" si="3"/>
        <v>153.40909090909091</v>
      </c>
      <c r="Q66" s="203">
        <f t="shared" si="4"/>
        <v>2.5568181818181817</v>
      </c>
      <c r="R66" s="146" t="str">
        <f t="shared" si="28"/>
        <v>11</v>
      </c>
      <c r="S66" s="203">
        <f t="shared" si="5"/>
        <v>13500</v>
      </c>
      <c r="T66" s="252">
        <v>0</v>
      </c>
      <c r="U66" s="252">
        <v>0</v>
      </c>
      <c r="V66" s="252">
        <v>0</v>
      </c>
      <c r="W66" s="253">
        <f t="shared" si="22"/>
        <v>0</v>
      </c>
      <c r="X66" s="253">
        <f t="shared" si="7"/>
        <v>0</v>
      </c>
      <c r="Y66" s="253">
        <f t="shared" si="8"/>
        <v>0</v>
      </c>
      <c r="Z66" s="149"/>
      <c r="AA66" s="149"/>
      <c r="AB66" s="149"/>
      <c r="AC66" s="150">
        <f t="shared" si="9"/>
        <v>0</v>
      </c>
      <c r="AD66" s="150">
        <f t="shared" si="10"/>
        <v>0</v>
      </c>
      <c r="AE66" s="150">
        <f t="shared" si="11"/>
        <v>0</v>
      </c>
      <c r="AF66" s="193"/>
      <c r="AG66" s="193"/>
      <c r="AH66" s="193"/>
      <c r="AI66" s="214">
        <f t="shared" si="12"/>
        <v>0</v>
      </c>
      <c r="AJ66" s="214">
        <f t="shared" si="13"/>
        <v>0</v>
      </c>
      <c r="AK66" s="214">
        <f t="shared" si="14"/>
        <v>0</v>
      </c>
      <c r="AL66" s="154">
        <f t="shared" si="15"/>
        <v>0</v>
      </c>
      <c r="AM66" s="154">
        <f t="shared" si="16"/>
        <v>0</v>
      </c>
      <c r="AN66" s="154">
        <f t="shared" si="17"/>
        <v>0</v>
      </c>
      <c r="AO66" s="145">
        <f t="shared" si="18"/>
        <v>0</v>
      </c>
      <c r="AP66" s="155"/>
      <c r="AQ66" s="155"/>
      <c r="AR66" s="145">
        <f t="shared" si="27"/>
        <v>13500</v>
      </c>
      <c r="AS66" s="145"/>
      <c r="AT66" s="145"/>
      <c r="AU66" s="155"/>
      <c r="AV66" s="155"/>
      <c r="AW66" s="155"/>
      <c r="AX66" s="155"/>
      <c r="AY66" s="145">
        <f t="shared" si="20"/>
        <v>13500</v>
      </c>
      <c r="AZ66" s="145" t="s">
        <v>99</v>
      </c>
      <c r="BA66" s="145" t="s">
        <v>212</v>
      </c>
      <c r="BB66" s="269"/>
      <c r="BC66" s="269"/>
    </row>
    <row r="67" spans="1:55" ht="15.75" customHeight="1">
      <c r="A67" s="140">
        <f t="shared" si="0"/>
        <v>58</v>
      </c>
      <c r="B67" s="212" t="s">
        <v>305</v>
      </c>
      <c r="C67" s="304">
        <v>46036</v>
      </c>
      <c r="D67" s="138"/>
      <c r="E67" s="171" t="s">
        <v>179</v>
      </c>
      <c r="F67" s="140" t="s">
        <v>138</v>
      </c>
      <c r="G67" s="139" t="s">
        <v>177</v>
      </c>
      <c r="H67" s="201">
        <f>IF(AZ67="Payroll",VLOOKUP(E67,'[2]CODE 2'!$R:$S,2,FALSE),"0")</f>
        <v>11</v>
      </c>
      <c r="I67" s="142" t="s">
        <v>254</v>
      </c>
      <c r="J67" s="142" t="s">
        <v>174</v>
      </c>
      <c r="K67" s="254"/>
      <c r="L67" s="255"/>
      <c r="M67" s="204">
        <f>IFERROR(VLOOKUP($H67,'[2]CODE 2'!$J:$K,2,FALSE)," ")</f>
        <v>27000</v>
      </c>
      <c r="N67" s="203">
        <f t="shared" si="1"/>
        <v>13500</v>
      </c>
      <c r="O67" s="203">
        <f t="shared" si="2"/>
        <v>1227.2727272727273</v>
      </c>
      <c r="P67" s="203">
        <f t="shared" si="3"/>
        <v>153.40909090909091</v>
      </c>
      <c r="Q67" s="203">
        <f t="shared" si="4"/>
        <v>2.5568181818181817</v>
      </c>
      <c r="R67" s="146" t="str">
        <f t="shared" si="28"/>
        <v>11</v>
      </c>
      <c r="S67" s="203">
        <f t="shared" si="5"/>
        <v>13500</v>
      </c>
      <c r="T67" s="252">
        <v>0</v>
      </c>
      <c r="U67" s="252">
        <v>0</v>
      </c>
      <c r="V67" s="252">
        <v>38</v>
      </c>
      <c r="W67" s="253">
        <f t="shared" si="22"/>
        <v>0</v>
      </c>
      <c r="X67" s="253">
        <f t="shared" si="7"/>
        <v>0</v>
      </c>
      <c r="Y67" s="253">
        <f t="shared" si="8"/>
        <v>97.16</v>
      </c>
      <c r="Z67" s="149"/>
      <c r="AA67" s="149"/>
      <c r="AB67" s="149"/>
      <c r="AC67" s="150">
        <f t="shared" si="9"/>
        <v>0</v>
      </c>
      <c r="AD67" s="150">
        <f t="shared" si="10"/>
        <v>0</v>
      </c>
      <c r="AE67" s="150">
        <f t="shared" si="11"/>
        <v>0</v>
      </c>
      <c r="AF67" s="193"/>
      <c r="AG67" s="193"/>
      <c r="AH67" s="193"/>
      <c r="AI67" s="214">
        <f t="shared" si="12"/>
        <v>0</v>
      </c>
      <c r="AJ67" s="214">
        <f t="shared" si="13"/>
        <v>0</v>
      </c>
      <c r="AK67" s="214">
        <f t="shared" si="14"/>
        <v>0</v>
      </c>
      <c r="AL67" s="154">
        <f t="shared" si="15"/>
        <v>0</v>
      </c>
      <c r="AM67" s="154">
        <f t="shared" si="16"/>
        <v>0</v>
      </c>
      <c r="AN67" s="154">
        <f t="shared" si="17"/>
        <v>97.16</v>
      </c>
      <c r="AO67" s="145">
        <f t="shared" si="18"/>
        <v>97.16</v>
      </c>
      <c r="AP67" s="155"/>
      <c r="AQ67" s="155"/>
      <c r="AR67" s="145">
        <f t="shared" si="27"/>
        <v>13402.84</v>
      </c>
      <c r="AS67" s="145"/>
      <c r="AT67" s="145"/>
      <c r="AU67" s="155"/>
      <c r="AV67" s="155"/>
      <c r="AW67" s="155"/>
      <c r="AX67" s="155"/>
      <c r="AY67" s="145">
        <f t="shared" si="20"/>
        <v>13402.84</v>
      </c>
      <c r="AZ67" s="145" t="s">
        <v>99</v>
      </c>
      <c r="BA67" s="145" t="s">
        <v>112</v>
      </c>
      <c r="BB67" s="269"/>
      <c r="BC67" s="269"/>
    </row>
    <row r="68" spans="1:55" ht="15.75" customHeight="1">
      <c r="A68" s="140">
        <f t="shared" si="0"/>
        <v>59</v>
      </c>
      <c r="B68" s="212" t="s">
        <v>306</v>
      </c>
      <c r="C68" s="304">
        <v>46036</v>
      </c>
      <c r="D68" s="138"/>
      <c r="E68" s="171" t="s">
        <v>180</v>
      </c>
      <c r="F68" s="140" t="s">
        <v>138</v>
      </c>
      <c r="G68" s="139" t="s">
        <v>141</v>
      </c>
      <c r="H68" s="201">
        <f>IF(AZ68="Payroll",VLOOKUP(E68,'[2]CODE 2'!$R:$S,2,FALSE),"0")</f>
        <v>15</v>
      </c>
      <c r="I68" s="142" t="s">
        <v>254</v>
      </c>
      <c r="J68" s="142" t="s">
        <v>174</v>
      </c>
      <c r="K68" s="254"/>
      <c r="L68" s="255"/>
      <c r="M68" s="204">
        <f>IFERROR(VLOOKUP($H68,'[2]CODE 2'!$J:$K,2,FALSE)," ")</f>
        <v>36619</v>
      </c>
      <c r="N68" s="203">
        <f t="shared" si="1"/>
        <v>18309.5</v>
      </c>
      <c r="O68" s="203">
        <f t="shared" si="2"/>
        <v>1664.5</v>
      </c>
      <c r="P68" s="203">
        <f t="shared" si="3"/>
        <v>208.0625</v>
      </c>
      <c r="Q68" s="203">
        <f t="shared" si="4"/>
        <v>3.4677083333333334</v>
      </c>
      <c r="R68" s="146" t="str">
        <f t="shared" si="28"/>
        <v>11</v>
      </c>
      <c r="S68" s="203">
        <f t="shared" si="5"/>
        <v>18309.5</v>
      </c>
      <c r="T68" s="252">
        <v>0</v>
      </c>
      <c r="U68" s="252">
        <v>0</v>
      </c>
      <c r="V68" s="252">
        <v>0</v>
      </c>
      <c r="W68" s="253">
        <f t="shared" si="22"/>
        <v>0</v>
      </c>
      <c r="X68" s="253">
        <f t="shared" si="7"/>
        <v>0</v>
      </c>
      <c r="Y68" s="253">
        <f t="shared" si="8"/>
        <v>0</v>
      </c>
      <c r="Z68" s="149"/>
      <c r="AA68" s="149"/>
      <c r="AB68" s="149"/>
      <c r="AC68" s="150">
        <f t="shared" si="9"/>
        <v>0</v>
      </c>
      <c r="AD68" s="150">
        <f t="shared" si="10"/>
        <v>0</v>
      </c>
      <c r="AE68" s="150">
        <f t="shared" si="11"/>
        <v>0</v>
      </c>
      <c r="AF68" s="193"/>
      <c r="AG68" s="193"/>
      <c r="AH68" s="193"/>
      <c r="AI68" s="214">
        <f t="shared" si="12"/>
        <v>0</v>
      </c>
      <c r="AJ68" s="214">
        <f t="shared" si="13"/>
        <v>0</v>
      </c>
      <c r="AK68" s="214">
        <f t="shared" si="14"/>
        <v>0</v>
      </c>
      <c r="AL68" s="154">
        <f t="shared" si="15"/>
        <v>0</v>
      </c>
      <c r="AM68" s="154">
        <f t="shared" si="16"/>
        <v>0</v>
      </c>
      <c r="AN68" s="154">
        <f t="shared" si="17"/>
        <v>0</v>
      </c>
      <c r="AO68" s="145">
        <f t="shared" si="18"/>
        <v>0</v>
      </c>
      <c r="AP68" s="155"/>
      <c r="AQ68" s="155"/>
      <c r="AR68" s="145">
        <f t="shared" si="27"/>
        <v>18309.5</v>
      </c>
      <c r="AS68" s="145"/>
      <c r="AT68" s="145"/>
      <c r="AU68" s="155"/>
      <c r="AV68" s="155"/>
      <c r="AW68" s="155"/>
      <c r="AX68" s="155"/>
      <c r="AY68" s="145">
        <f t="shared" si="20"/>
        <v>18309.5</v>
      </c>
      <c r="AZ68" s="145" t="s">
        <v>99</v>
      </c>
      <c r="BA68" s="145" t="s">
        <v>116</v>
      </c>
      <c r="BB68" s="269"/>
      <c r="BC68" s="269"/>
    </row>
    <row r="69" spans="1:55" ht="15.75" customHeight="1">
      <c r="A69" s="140">
        <f t="shared" si="0"/>
        <v>60</v>
      </c>
      <c r="B69" s="136" t="s">
        <v>307</v>
      </c>
      <c r="C69" s="304">
        <v>46036</v>
      </c>
      <c r="D69" s="138"/>
      <c r="E69" s="171" t="s">
        <v>181</v>
      </c>
      <c r="F69" s="140" t="s">
        <v>138</v>
      </c>
      <c r="G69" s="139" t="s">
        <v>141</v>
      </c>
      <c r="H69" s="201">
        <f>IF(AZ69="Payroll",VLOOKUP(E69,'[2]CODE 2'!$R:$S,2,FALSE),"0")</f>
        <v>15</v>
      </c>
      <c r="I69" s="142" t="s">
        <v>254</v>
      </c>
      <c r="J69" s="142" t="s">
        <v>174</v>
      </c>
      <c r="K69" s="254"/>
      <c r="L69" s="255"/>
      <c r="M69" s="204">
        <f>IFERROR(VLOOKUP($H69,'[2]CODE 2'!$J:$K,2,FALSE)," ")</f>
        <v>36619</v>
      </c>
      <c r="N69" s="203">
        <f t="shared" si="1"/>
        <v>18309.5</v>
      </c>
      <c r="O69" s="203">
        <f t="shared" si="2"/>
        <v>1664.5</v>
      </c>
      <c r="P69" s="203">
        <f t="shared" si="3"/>
        <v>208.0625</v>
      </c>
      <c r="Q69" s="203">
        <f t="shared" si="4"/>
        <v>3.4677083333333334</v>
      </c>
      <c r="R69" s="146" t="str">
        <f t="shared" si="28"/>
        <v>11</v>
      </c>
      <c r="S69" s="203">
        <f t="shared" si="5"/>
        <v>18309.5</v>
      </c>
      <c r="T69" s="252">
        <v>0</v>
      </c>
      <c r="U69" s="252">
        <v>0</v>
      </c>
      <c r="V69" s="252">
        <v>2</v>
      </c>
      <c r="W69" s="253">
        <f t="shared" si="22"/>
        <v>0</v>
      </c>
      <c r="X69" s="253">
        <f t="shared" si="7"/>
        <v>0</v>
      </c>
      <c r="Y69" s="253">
        <f t="shared" si="8"/>
        <v>6.94</v>
      </c>
      <c r="Z69" s="149"/>
      <c r="AA69" s="149"/>
      <c r="AB69" s="149"/>
      <c r="AC69" s="150">
        <f t="shared" si="9"/>
        <v>0</v>
      </c>
      <c r="AD69" s="150">
        <f t="shared" si="10"/>
        <v>0</v>
      </c>
      <c r="AE69" s="150">
        <f t="shared" si="11"/>
        <v>0</v>
      </c>
      <c r="AF69" s="193"/>
      <c r="AG69" s="193"/>
      <c r="AH69" s="193"/>
      <c r="AI69" s="214">
        <f t="shared" si="12"/>
        <v>0</v>
      </c>
      <c r="AJ69" s="214">
        <f t="shared" si="13"/>
        <v>0</v>
      </c>
      <c r="AK69" s="214">
        <f t="shared" si="14"/>
        <v>0</v>
      </c>
      <c r="AL69" s="154">
        <f t="shared" si="15"/>
        <v>0</v>
      </c>
      <c r="AM69" s="154">
        <f t="shared" si="16"/>
        <v>0</v>
      </c>
      <c r="AN69" s="154">
        <f t="shared" si="17"/>
        <v>6.94</v>
      </c>
      <c r="AO69" s="145">
        <f t="shared" si="18"/>
        <v>6.94</v>
      </c>
      <c r="AP69" s="155"/>
      <c r="AQ69" s="155"/>
      <c r="AR69" s="145">
        <f t="shared" si="27"/>
        <v>18302.560000000001</v>
      </c>
      <c r="AS69" s="145"/>
      <c r="AT69" s="145"/>
      <c r="AU69" s="155"/>
      <c r="AV69" s="155"/>
      <c r="AW69" s="155"/>
      <c r="AX69" s="155"/>
      <c r="AY69" s="145">
        <f t="shared" si="20"/>
        <v>18302.560000000001</v>
      </c>
      <c r="AZ69" s="145" t="s">
        <v>99</v>
      </c>
      <c r="BA69" s="145" t="s">
        <v>210</v>
      </c>
      <c r="BB69" s="269"/>
      <c r="BC69" s="269"/>
    </row>
    <row r="70" spans="1:55" ht="15.75" customHeight="1">
      <c r="A70" s="140">
        <f t="shared" si="0"/>
        <v>61</v>
      </c>
      <c r="B70" s="212" t="s">
        <v>308</v>
      </c>
      <c r="C70" s="305">
        <v>46036</v>
      </c>
      <c r="D70" s="138"/>
      <c r="E70" s="171" t="s">
        <v>191</v>
      </c>
      <c r="F70" s="140" t="s">
        <v>138</v>
      </c>
      <c r="G70" s="139" t="s">
        <v>234</v>
      </c>
      <c r="H70" s="201">
        <f>IF(AZ70="Payroll",VLOOKUP(E70,'[2]CODE 2'!$R:$S,2,FALSE),"0")</f>
        <v>6</v>
      </c>
      <c r="I70" s="142" t="s">
        <v>309</v>
      </c>
      <c r="J70" s="142" t="s">
        <v>174</v>
      </c>
      <c r="K70" s="254"/>
      <c r="L70" s="255"/>
      <c r="M70" s="204">
        <f>IFERROR(VLOOKUP($H70,'[2]CODE 2'!$J:$K,2,FALSE)," ")</f>
        <v>17553</v>
      </c>
      <c r="N70" s="203">
        <f t="shared" si="1"/>
        <v>8776.5</v>
      </c>
      <c r="O70" s="203">
        <f t="shared" si="2"/>
        <v>797.86363636363637</v>
      </c>
      <c r="P70" s="203">
        <f t="shared" si="3"/>
        <v>99.732954545454547</v>
      </c>
      <c r="Q70" s="203">
        <f t="shared" si="4"/>
        <v>1.6622159090909092</v>
      </c>
      <c r="R70" s="146" t="str">
        <f t="shared" si="28"/>
        <v>11</v>
      </c>
      <c r="S70" s="203">
        <f t="shared" si="5"/>
        <v>8776.5</v>
      </c>
      <c r="T70" s="252">
        <v>0</v>
      </c>
      <c r="U70" s="252">
        <v>0</v>
      </c>
      <c r="V70" s="252">
        <v>0</v>
      </c>
      <c r="W70" s="253">
        <f t="shared" si="22"/>
        <v>0</v>
      </c>
      <c r="X70" s="253">
        <f t="shared" si="7"/>
        <v>0</v>
      </c>
      <c r="Y70" s="253">
        <f t="shared" si="8"/>
        <v>0</v>
      </c>
      <c r="Z70" s="149"/>
      <c r="AA70" s="149"/>
      <c r="AB70" s="149"/>
      <c r="AC70" s="150">
        <f t="shared" si="9"/>
        <v>0</v>
      </c>
      <c r="AD70" s="150">
        <f t="shared" si="10"/>
        <v>0</v>
      </c>
      <c r="AE70" s="150">
        <f t="shared" si="11"/>
        <v>0</v>
      </c>
      <c r="AF70" s="193"/>
      <c r="AG70" s="193"/>
      <c r="AH70" s="193"/>
      <c r="AI70" s="214">
        <f t="shared" si="12"/>
        <v>0</v>
      </c>
      <c r="AJ70" s="214">
        <f t="shared" si="13"/>
        <v>0</v>
      </c>
      <c r="AK70" s="214">
        <f t="shared" si="14"/>
        <v>0</v>
      </c>
      <c r="AL70" s="154">
        <f t="shared" si="15"/>
        <v>0</v>
      </c>
      <c r="AM70" s="154">
        <f t="shared" si="16"/>
        <v>0</v>
      </c>
      <c r="AN70" s="154">
        <f t="shared" si="17"/>
        <v>0</v>
      </c>
      <c r="AO70" s="145">
        <f t="shared" si="18"/>
        <v>0</v>
      </c>
      <c r="AP70" s="155"/>
      <c r="AQ70" s="155"/>
      <c r="AR70" s="145">
        <f t="shared" si="27"/>
        <v>8776.5</v>
      </c>
      <c r="AS70" s="145"/>
      <c r="AT70" s="145"/>
      <c r="AU70" s="155"/>
      <c r="AV70" s="155"/>
      <c r="AW70" s="155"/>
      <c r="AX70" s="155"/>
      <c r="AY70" s="145">
        <f t="shared" si="20"/>
        <v>8776.5</v>
      </c>
      <c r="AZ70" s="145" t="s">
        <v>99</v>
      </c>
      <c r="BA70" s="145" t="s">
        <v>201</v>
      </c>
      <c r="BB70" s="269"/>
      <c r="BC70" s="269"/>
    </row>
    <row r="71" spans="1:55" ht="15.75" customHeight="1">
      <c r="A71" s="140">
        <f t="shared" si="0"/>
        <v>62</v>
      </c>
      <c r="B71" s="212" t="s">
        <v>310</v>
      </c>
      <c r="C71" s="305">
        <v>46036</v>
      </c>
      <c r="D71" s="138"/>
      <c r="E71" s="171" t="s">
        <v>216</v>
      </c>
      <c r="F71" s="140" t="s">
        <v>138</v>
      </c>
      <c r="G71" s="199" t="s">
        <v>144</v>
      </c>
      <c r="H71" s="201">
        <f>IF(AZ71="Payroll",VLOOKUP(E71,'[2]CODE 2'!$R:$S,2,FALSE),"0")</f>
        <v>11</v>
      </c>
      <c r="I71" s="142" t="s">
        <v>261</v>
      </c>
      <c r="J71" s="142" t="s">
        <v>174</v>
      </c>
      <c r="K71" s="254"/>
      <c r="L71" s="255"/>
      <c r="M71" s="204">
        <f>IFERROR(VLOOKUP($H71,'[2]CODE 2'!$J:$K,2,FALSE)," ")</f>
        <v>27000</v>
      </c>
      <c r="N71" s="203">
        <f t="shared" si="1"/>
        <v>13500</v>
      </c>
      <c r="O71" s="203">
        <f t="shared" si="2"/>
        <v>1227.2727272727273</v>
      </c>
      <c r="P71" s="203">
        <f t="shared" si="3"/>
        <v>153.40909090909091</v>
      </c>
      <c r="Q71" s="203">
        <f t="shared" si="4"/>
        <v>2.5568181818181817</v>
      </c>
      <c r="R71" s="191">
        <v>11</v>
      </c>
      <c r="S71" s="203">
        <f t="shared" si="5"/>
        <v>13500</v>
      </c>
      <c r="T71" s="252">
        <v>0</v>
      </c>
      <c r="U71" s="252">
        <v>0</v>
      </c>
      <c r="V71" s="252">
        <v>25</v>
      </c>
      <c r="W71" s="253">
        <f t="shared" si="22"/>
        <v>0</v>
      </c>
      <c r="X71" s="253">
        <f t="shared" si="7"/>
        <v>0</v>
      </c>
      <c r="Y71" s="253">
        <f t="shared" si="8"/>
        <v>63.92</v>
      </c>
      <c r="Z71" s="149"/>
      <c r="AA71" s="149"/>
      <c r="AB71" s="149"/>
      <c r="AC71" s="150">
        <f t="shared" si="9"/>
        <v>0</v>
      </c>
      <c r="AD71" s="150">
        <f t="shared" si="10"/>
        <v>0</v>
      </c>
      <c r="AE71" s="150">
        <f t="shared" si="11"/>
        <v>0</v>
      </c>
      <c r="AF71" s="193"/>
      <c r="AG71" s="193"/>
      <c r="AH71" s="193"/>
      <c r="AI71" s="214">
        <f t="shared" si="12"/>
        <v>0</v>
      </c>
      <c r="AJ71" s="214">
        <f t="shared" si="13"/>
        <v>0</v>
      </c>
      <c r="AK71" s="214">
        <f t="shared" si="14"/>
        <v>0</v>
      </c>
      <c r="AL71" s="154">
        <f t="shared" si="15"/>
        <v>0</v>
      </c>
      <c r="AM71" s="154">
        <f t="shared" si="16"/>
        <v>0</v>
      </c>
      <c r="AN71" s="154">
        <f t="shared" si="17"/>
        <v>63.92</v>
      </c>
      <c r="AO71" s="145">
        <f t="shared" si="18"/>
        <v>63.92</v>
      </c>
      <c r="AP71" s="155"/>
      <c r="AQ71" s="155"/>
      <c r="AR71" s="145">
        <f t="shared" si="27"/>
        <v>13436.08</v>
      </c>
      <c r="AS71" s="145"/>
      <c r="AT71" s="145"/>
      <c r="AU71" s="155"/>
      <c r="AV71" s="155"/>
      <c r="AW71" s="155"/>
      <c r="AX71" s="155"/>
      <c r="AY71" s="145">
        <f t="shared" si="20"/>
        <v>13436.08</v>
      </c>
      <c r="AZ71" s="145" t="s">
        <v>99</v>
      </c>
      <c r="BA71" s="145" t="s">
        <v>125</v>
      </c>
      <c r="BB71" s="269"/>
      <c r="BC71" s="269"/>
    </row>
    <row r="72" spans="1:55" ht="15.75" customHeight="1">
      <c r="A72" s="140">
        <f t="shared" si="0"/>
        <v>63</v>
      </c>
      <c r="B72" s="212" t="s">
        <v>311</v>
      </c>
      <c r="C72" s="304">
        <v>46036</v>
      </c>
      <c r="D72" s="138"/>
      <c r="E72" s="171" t="s">
        <v>217</v>
      </c>
      <c r="F72" s="140" t="s">
        <v>138</v>
      </c>
      <c r="G72" s="199" t="s">
        <v>144</v>
      </c>
      <c r="H72" s="201">
        <f>IF(AZ72="Payroll",VLOOKUP(E72,'[2]CODE 2'!$R:$S,2,FALSE),"0")</f>
        <v>11</v>
      </c>
      <c r="I72" s="142" t="s">
        <v>302</v>
      </c>
      <c r="J72" s="142" t="s">
        <v>174</v>
      </c>
      <c r="K72" s="254"/>
      <c r="L72" s="255"/>
      <c r="M72" s="204">
        <f>IFERROR(VLOOKUP($H72,'[2]CODE 2'!$J:$K,2,FALSE)," ")</f>
        <v>27000</v>
      </c>
      <c r="N72" s="203">
        <f t="shared" si="1"/>
        <v>13500</v>
      </c>
      <c r="O72" s="203">
        <f t="shared" si="2"/>
        <v>1227.2727272727273</v>
      </c>
      <c r="P72" s="203">
        <f t="shared" si="3"/>
        <v>153.40909090909091</v>
      </c>
      <c r="Q72" s="203">
        <f t="shared" si="4"/>
        <v>2.5568181818181817</v>
      </c>
      <c r="R72" s="191">
        <v>11</v>
      </c>
      <c r="S72" s="203">
        <f t="shared" si="5"/>
        <v>13500</v>
      </c>
      <c r="T72" s="252">
        <v>0</v>
      </c>
      <c r="U72" s="252">
        <v>0</v>
      </c>
      <c r="V72" s="252">
        <v>0</v>
      </c>
      <c r="W72" s="253">
        <f t="shared" si="22"/>
        <v>0</v>
      </c>
      <c r="X72" s="253">
        <f t="shared" si="7"/>
        <v>0</v>
      </c>
      <c r="Y72" s="253">
        <f t="shared" si="8"/>
        <v>0</v>
      </c>
      <c r="Z72" s="149"/>
      <c r="AA72" s="149"/>
      <c r="AB72" s="149"/>
      <c r="AC72" s="150">
        <f t="shared" si="9"/>
        <v>0</v>
      </c>
      <c r="AD72" s="150">
        <f t="shared" si="10"/>
        <v>0</v>
      </c>
      <c r="AE72" s="150">
        <f t="shared" si="11"/>
        <v>0</v>
      </c>
      <c r="AF72" s="193"/>
      <c r="AG72" s="193"/>
      <c r="AH72" s="193"/>
      <c r="AI72" s="214">
        <f t="shared" si="12"/>
        <v>0</v>
      </c>
      <c r="AJ72" s="214">
        <f t="shared" si="13"/>
        <v>0</v>
      </c>
      <c r="AK72" s="214">
        <f t="shared" si="14"/>
        <v>0</v>
      </c>
      <c r="AL72" s="154">
        <f t="shared" si="15"/>
        <v>0</v>
      </c>
      <c r="AM72" s="154">
        <f t="shared" si="16"/>
        <v>0</v>
      </c>
      <c r="AN72" s="154">
        <f t="shared" si="17"/>
        <v>0</v>
      </c>
      <c r="AO72" s="145">
        <f t="shared" si="18"/>
        <v>0</v>
      </c>
      <c r="AP72" s="155"/>
      <c r="AQ72" s="155"/>
      <c r="AR72" s="145">
        <f t="shared" si="27"/>
        <v>13500</v>
      </c>
      <c r="AS72" s="145"/>
      <c r="AT72" s="145"/>
      <c r="AU72" s="155"/>
      <c r="AV72" s="155"/>
      <c r="AW72" s="155"/>
      <c r="AX72" s="155"/>
      <c r="AY72" s="145">
        <f t="shared" si="20"/>
        <v>13500</v>
      </c>
      <c r="AZ72" s="145" t="s">
        <v>99</v>
      </c>
      <c r="BA72" s="145" t="s">
        <v>202</v>
      </c>
      <c r="BB72" s="269"/>
      <c r="BC72" s="269"/>
    </row>
    <row r="73" spans="1:55" ht="15.75" customHeight="1">
      <c r="A73" s="140">
        <f t="shared" si="0"/>
        <v>64</v>
      </c>
      <c r="B73" s="159" t="s">
        <v>312</v>
      </c>
      <c r="C73" s="267">
        <v>46036</v>
      </c>
      <c r="D73" s="138"/>
      <c r="E73" s="171" t="s">
        <v>194</v>
      </c>
      <c r="F73" s="140" t="s">
        <v>200</v>
      </c>
      <c r="G73" s="139" t="s">
        <v>17</v>
      </c>
      <c r="H73" s="141">
        <f>IF(AZ73="Payroll",VLOOKUP(E73,'[2]CODE 2'!$R:$S,2,FALSE),"0")</f>
        <v>8</v>
      </c>
      <c r="I73" s="142" t="s">
        <v>254</v>
      </c>
      <c r="J73" s="142" t="s">
        <v>174</v>
      </c>
      <c r="K73" s="145"/>
      <c r="L73" s="145"/>
      <c r="M73" s="204">
        <f>IFERROR(VLOOKUP($H73,'[2]CODE 2'!$J:$K,2,FALSE)," ")</f>
        <v>19744</v>
      </c>
      <c r="N73" s="203">
        <f t="shared" si="1"/>
        <v>9872</v>
      </c>
      <c r="O73" s="145">
        <f t="shared" si="2"/>
        <v>897.4545454545455</v>
      </c>
      <c r="P73" s="145">
        <f t="shared" si="3"/>
        <v>112.18181818181819</v>
      </c>
      <c r="Q73" s="145">
        <f t="shared" si="4"/>
        <v>1.8696969696969699</v>
      </c>
      <c r="R73" s="146" t="str">
        <f t="shared" ref="R73:R75" si="29">IF(AZ73="Payroll","11","")</f>
        <v>11</v>
      </c>
      <c r="S73" s="145">
        <f t="shared" si="5"/>
        <v>9872</v>
      </c>
      <c r="T73" s="252">
        <v>0</v>
      </c>
      <c r="U73" s="252">
        <v>4</v>
      </c>
      <c r="V73" s="252">
        <v>0</v>
      </c>
      <c r="W73" s="253">
        <f t="shared" si="22"/>
        <v>0</v>
      </c>
      <c r="X73" s="253">
        <f t="shared" si="7"/>
        <v>448.73</v>
      </c>
      <c r="Y73" s="253">
        <f t="shared" si="8"/>
        <v>0</v>
      </c>
      <c r="Z73" s="149"/>
      <c r="AA73" s="149"/>
      <c r="AB73" s="149"/>
      <c r="AC73" s="150">
        <f t="shared" si="9"/>
        <v>0</v>
      </c>
      <c r="AD73" s="150">
        <f t="shared" si="10"/>
        <v>0</v>
      </c>
      <c r="AE73" s="150">
        <f t="shared" si="11"/>
        <v>0</v>
      </c>
      <c r="AF73" s="193"/>
      <c r="AG73" s="193"/>
      <c r="AH73" s="193"/>
      <c r="AI73" s="214">
        <f t="shared" si="12"/>
        <v>0</v>
      </c>
      <c r="AJ73" s="214">
        <f t="shared" si="13"/>
        <v>0</v>
      </c>
      <c r="AK73" s="214">
        <f t="shared" si="14"/>
        <v>0</v>
      </c>
      <c r="AL73" s="154">
        <f t="shared" si="15"/>
        <v>0</v>
      </c>
      <c r="AM73" s="154">
        <f t="shared" si="16"/>
        <v>448.73</v>
      </c>
      <c r="AN73" s="154">
        <f t="shared" si="17"/>
        <v>0</v>
      </c>
      <c r="AO73" s="145">
        <f t="shared" si="18"/>
        <v>448.73</v>
      </c>
      <c r="AP73" s="155"/>
      <c r="AQ73" s="155"/>
      <c r="AR73" s="145">
        <f t="shared" si="27"/>
        <v>9423.27</v>
      </c>
      <c r="AS73" s="145"/>
      <c r="AT73" s="145"/>
      <c r="AU73" s="155"/>
      <c r="AV73" s="155"/>
      <c r="AW73" s="155"/>
      <c r="AX73" s="155"/>
      <c r="AY73" s="145">
        <f t="shared" si="20"/>
        <v>9423.27</v>
      </c>
      <c r="AZ73" s="145" t="s">
        <v>99</v>
      </c>
      <c r="BA73" s="145" t="s">
        <v>223</v>
      </c>
      <c r="BB73" s="145"/>
      <c r="BC73" s="145"/>
    </row>
    <row r="74" spans="1:55" ht="15.75" customHeight="1">
      <c r="A74" s="140">
        <f t="shared" si="0"/>
        <v>65</v>
      </c>
      <c r="B74" s="159" t="s">
        <v>313</v>
      </c>
      <c r="C74" s="267">
        <v>46036</v>
      </c>
      <c r="D74" s="138"/>
      <c r="E74" s="306" t="s">
        <v>222</v>
      </c>
      <c r="F74" s="140" t="s">
        <v>200</v>
      </c>
      <c r="G74" s="139" t="s">
        <v>175</v>
      </c>
      <c r="H74" s="141">
        <f>IF(AZ74="Payroll",VLOOKUP(E74,'[2]CODE 2'!$R:$S,2,FALSE),"0")</f>
        <v>15</v>
      </c>
      <c r="I74" s="307" t="s">
        <v>254</v>
      </c>
      <c r="J74" s="142" t="s">
        <v>174</v>
      </c>
      <c r="K74" s="145"/>
      <c r="L74" s="145"/>
      <c r="M74" s="204">
        <f>IFERROR(VLOOKUP($H74,'[2]CODE 2'!$J:$K,2,FALSE)," ")</f>
        <v>36619</v>
      </c>
      <c r="N74" s="203">
        <f t="shared" si="1"/>
        <v>18309.5</v>
      </c>
      <c r="O74" s="145">
        <f t="shared" si="2"/>
        <v>1664.5</v>
      </c>
      <c r="P74" s="145">
        <f t="shared" si="3"/>
        <v>208.0625</v>
      </c>
      <c r="Q74" s="145">
        <f t="shared" si="4"/>
        <v>3.4677083333333334</v>
      </c>
      <c r="R74" s="146" t="str">
        <f t="shared" si="29"/>
        <v>11</v>
      </c>
      <c r="S74" s="145">
        <f t="shared" si="5"/>
        <v>18309.5</v>
      </c>
      <c r="T74" s="252">
        <v>0</v>
      </c>
      <c r="U74" s="252">
        <v>0</v>
      </c>
      <c r="V74" s="252">
        <v>0</v>
      </c>
      <c r="W74" s="253">
        <f t="shared" si="22"/>
        <v>0</v>
      </c>
      <c r="X74" s="253">
        <f t="shared" si="7"/>
        <v>0</v>
      </c>
      <c r="Y74" s="253">
        <f t="shared" si="8"/>
        <v>0</v>
      </c>
      <c r="Z74" s="149"/>
      <c r="AA74" s="149"/>
      <c r="AB74" s="149"/>
      <c r="AC74" s="150">
        <f t="shared" si="9"/>
        <v>0</v>
      </c>
      <c r="AD74" s="150">
        <f t="shared" si="10"/>
        <v>0</v>
      </c>
      <c r="AE74" s="150">
        <f t="shared" si="11"/>
        <v>0</v>
      </c>
      <c r="AF74" s="193"/>
      <c r="AG74" s="193"/>
      <c r="AH74" s="193"/>
      <c r="AI74" s="214">
        <f t="shared" si="12"/>
        <v>0</v>
      </c>
      <c r="AJ74" s="214">
        <f t="shared" si="13"/>
        <v>0</v>
      </c>
      <c r="AK74" s="214">
        <f t="shared" si="14"/>
        <v>0</v>
      </c>
      <c r="AL74" s="154">
        <f t="shared" si="15"/>
        <v>0</v>
      </c>
      <c r="AM74" s="154">
        <f t="shared" si="16"/>
        <v>0</v>
      </c>
      <c r="AN74" s="154">
        <f t="shared" si="17"/>
        <v>0</v>
      </c>
      <c r="AO74" s="145">
        <f t="shared" si="18"/>
        <v>0</v>
      </c>
      <c r="AP74" s="155"/>
      <c r="AQ74" s="155"/>
      <c r="AR74" s="145">
        <f t="shared" si="27"/>
        <v>18309.5</v>
      </c>
      <c r="AS74" s="145"/>
      <c r="AT74" s="145"/>
      <c r="AU74" s="155"/>
      <c r="AV74" s="155"/>
      <c r="AW74" s="155"/>
      <c r="AX74" s="155"/>
      <c r="AY74" s="145">
        <f t="shared" si="20"/>
        <v>18309.5</v>
      </c>
      <c r="AZ74" s="145" t="s">
        <v>99</v>
      </c>
      <c r="BA74" s="145" t="s">
        <v>207</v>
      </c>
      <c r="BB74" s="145"/>
      <c r="BC74" s="145"/>
    </row>
    <row r="75" spans="1:55" ht="15.75" customHeight="1">
      <c r="A75" s="140">
        <f t="shared" si="0"/>
        <v>66</v>
      </c>
      <c r="B75" s="212" t="s">
        <v>314</v>
      </c>
      <c r="C75" s="308">
        <v>46036</v>
      </c>
      <c r="D75" s="198"/>
      <c r="E75" s="139" t="s">
        <v>238</v>
      </c>
      <c r="F75" s="140" t="s">
        <v>200</v>
      </c>
      <c r="G75" s="139" t="s">
        <v>175</v>
      </c>
      <c r="H75" s="141">
        <f>IF(AZ75="Payroll",VLOOKUP(E75,'[2]CODE 2'!$R:$S,2,FALSE),"0")</f>
        <v>15</v>
      </c>
      <c r="I75" s="309" t="s">
        <v>254</v>
      </c>
      <c r="J75" s="142" t="s">
        <v>174</v>
      </c>
      <c r="K75" s="145"/>
      <c r="L75" s="145"/>
      <c r="M75" s="204">
        <f>IFERROR(VLOOKUP($H75,'[2]CODE 2'!$J:$K,2,FALSE)," ")</f>
        <v>36619</v>
      </c>
      <c r="N75" s="203">
        <f t="shared" si="1"/>
        <v>18309.5</v>
      </c>
      <c r="O75" s="145">
        <f t="shared" si="2"/>
        <v>1664.5</v>
      </c>
      <c r="P75" s="145">
        <f t="shared" si="3"/>
        <v>208.0625</v>
      </c>
      <c r="Q75" s="145">
        <f t="shared" si="4"/>
        <v>3.4677083333333334</v>
      </c>
      <c r="R75" s="146" t="str">
        <f t="shared" si="29"/>
        <v>11</v>
      </c>
      <c r="S75" s="145">
        <f t="shared" si="5"/>
        <v>18309.5</v>
      </c>
      <c r="T75" s="252">
        <v>0</v>
      </c>
      <c r="U75" s="252">
        <v>0</v>
      </c>
      <c r="V75" s="252">
        <v>0</v>
      </c>
      <c r="W75" s="253">
        <f t="shared" si="22"/>
        <v>0</v>
      </c>
      <c r="X75" s="253">
        <f t="shared" si="7"/>
        <v>0</v>
      </c>
      <c r="Y75" s="253">
        <f t="shared" si="8"/>
        <v>0</v>
      </c>
      <c r="Z75" s="149"/>
      <c r="AA75" s="149"/>
      <c r="AB75" s="149"/>
      <c r="AC75" s="150">
        <f t="shared" si="9"/>
        <v>0</v>
      </c>
      <c r="AD75" s="150">
        <f t="shared" si="10"/>
        <v>0</v>
      </c>
      <c r="AE75" s="150">
        <f t="shared" si="11"/>
        <v>0</v>
      </c>
      <c r="AF75" s="193"/>
      <c r="AG75" s="193"/>
      <c r="AH75" s="193"/>
      <c r="AI75" s="214">
        <f t="shared" si="12"/>
        <v>0</v>
      </c>
      <c r="AJ75" s="214">
        <f t="shared" si="13"/>
        <v>0</v>
      </c>
      <c r="AK75" s="214">
        <f t="shared" si="14"/>
        <v>0</v>
      </c>
      <c r="AL75" s="154">
        <f t="shared" si="15"/>
        <v>0</v>
      </c>
      <c r="AM75" s="154">
        <f t="shared" si="16"/>
        <v>0</v>
      </c>
      <c r="AN75" s="154">
        <f t="shared" si="17"/>
        <v>0</v>
      </c>
      <c r="AO75" s="145">
        <f t="shared" si="18"/>
        <v>0</v>
      </c>
      <c r="AP75" s="155"/>
      <c r="AQ75" s="155"/>
      <c r="AR75" s="145">
        <f t="shared" si="27"/>
        <v>18309.5</v>
      </c>
      <c r="AS75" s="145"/>
      <c r="AT75" s="145"/>
      <c r="AU75" s="155"/>
      <c r="AV75" s="155"/>
      <c r="AW75" s="155"/>
      <c r="AX75" s="155"/>
      <c r="AY75" s="145">
        <f t="shared" si="20"/>
        <v>18309.5</v>
      </c>
      <c r="AZ75" s="145" t="s">
        <v>99</v>
      </c>
      <c r="BA75" s="145" t="s">
        <v>214</v>
      </c>
      <c r="BB75" s="203"/>
      <c r="BC75" s="203"/>
    </row>
    <row r="76" spans="1:55" ht="15.75" customHeight="1" thickBot="1">
      <c r="A76" s="140"/>
      <c r="B76" s="212"/>
      <c r="C76" s="213"/>
      <c r="D76" s="198"/>
      <c r="E76" s="310"/>
      <c r="F76" s="200"/>
      <c r="G76" s="199"/>
      <c r="H76" s="201"/>
      <c r="I76" s="202"/>
      <c r="J76" s="202"/>
      <c r="K76" s="203"/>
      <c r="L76" s="145"/>
      <c r="M76" s="204"/>
      <c r="N76" s="203"/>
      <c r="O76" s="203"/>
      <c r="P76" s="203"/>
      <c r="Q76" s="203"/>
      <c r="R76" s="191"/>
      <c r="S76" s="203"/>
      <c r="T76" s="252"/>
      <c r="U76" s="252"/>
      <c r="V76" s="252"/>
      <c r="W76" s="253">
        <f t="shared" si="22"/>
        <v>0</v>
      </c>
      <c r="X76" s="253">
        <f t="shared" si="7"/>
        <v>0</v>
      </c>
      <c r="Y76" s="253">
        <f t="shared" si="8"/>
        <v>0</v>
      </c>
      <c r="Z76" s="206"/>
      <c r="AA76" s="206"/>
      <c r="AB76" s="206"/>
      <c r="AC76" s="150"/>
      <c r="AD76" s="150"/>
      <c r="AE76" s="150"/>
      <c r="AF76" s="193"/>
      <c r="AG76" s="193"/>
      <c r="AH76" s="193"/>
      <c r="AI76" s="214">
        <f t="shared" si="12"/>
        <v>0</v>
      </c>
      <c r="AJ76" s="214">
        <f t="shared" si="13"/>
        <v>0</v>
      </c>
      <c r="AK76" s="214">
        <f t="shared" si="14"/>
        <v>0</v>
      </c>
      <c r="AL76" s="154">
        <f t="shared" si="15"/>
        <v>0</v>
      </c>
      <c r="AM76" s="154">
        <f t="shared" si="16"/>
        <v>0</v>
      </c>
      <c r="AN76" s="154">
        <f t="shared" si="17"/>
        <v>0</v>
      </c>
      <c r="AO76" s="145">
        <f t="shared" si="18"/>
        <v>0</v>
      </c>
      <c r="AP76" s="155"/>
      <c r="AQ76" s="155"/>
      <c r="AR76" s="145"/>
      <c r="AS76" s="145"/>
      <c r="AT76" s="145"/>
      <c r="AU76" s="155"/>
      <c r="AV76" s="155"/>
      <c r="AW76" s="155"/>
      <c r="AX76" s="155"/>
      <c r="AY76" s="145"/>
      <c r="AZ76" s="145"/>
      <c r="BA76" s="145"/>
      <c r="BB76" s="203"/>
      <c r="BC76" s="203"/>
    </row>
    <row r="77" spans="1:55" ht="15.75" customHeight="1" thickBot="1">
      <c r="A77" s="215" t="s">
        <v>43</v>
      </c>
      <c r="B77" s="216"/>
      <c r="C77" s="217"/>
      <c r="D77" s="218"/>
      <c r="E77" s="311"/>
      <c r="F77" s="220"/>
      <c r="G77" s="219"/>
      <c r="H77" s="221"/>
      <c r="I77" s="221"/>
      <c r="J77" s="221"/>
      <c r="K77" s="221"/>
      <c r="L77" s="221"/>
      <c r="M77" s="221"/>
      <c r="N77" s="223">
        <v>0</v>
      </c>
      <c r="O77" s="221"/>
      <c r="P77" s="221"/>
      <c r="Q77" s="221"/>
      <c r="R77" s="222"/>
      <c r="S77" s="223">
        <f>SUM(S10:S75)</f>
        <v>675458</v>
      </c>
      <c r="T77" s="312"/>
      <c r="U77" s="312"/>
      <c r="V77" s="312"/>
      <c r="W77" s="313"/>
      <c r="X77" s="313"/>
      <c r="Y77" s="313"/>
      <c r="Z77" s="226"/>
      <c r="AA77" s="226"/>
      <c r="AB77" s="226"/>
      <c r="AC77" s="227"/>
      <c r="AD77" s="227"/>
      <c r="AE77" s="227"/>
      <c r="AF77" s="229"/>
      <c r="AG77" s="229"/>
      <c r="AH77" s="229"/>
      <c r="AI77" s="229">
        <f t="shared" ref="AI77:AK77" si="30">SUM(AI10:AI76)</f>
        <v>0</v>
      </c>
      <c r="AJ77" s="229">
        <f t="shared" si="30"/>
        <v>0</v>
      </c>
      <c r="AK77" s="229">
        <f t="shared" si="30"/>
        <v>0</v>
      </c>
      <c r="AL77" s="223">
        <f t="shared" ref="AL77:AO77" si="31">SUM(AL10:AL75)</f>
        <v>17705.990000000002</v>
      </c>
      <c r="AM77" s="223">
        <f t="shared" si="31"/>
        <v>2691.4600000000005</v>
      </c>
      <c r="AN77" s="223">
        <f t="shared" si="31"/>
        <v>906.48000000000013</v>
      </c>
      <c r="AO77" s="223">
        <f t="shared" si="31"/>
        <v>21303.929999999997</v>
      </c>
      <c r="AP77" s="223">
        <f>SUM(AP10:AP74)</f>
        <v>0.03</v>
      </c>
      <c r="AQ77" s="230"/>
      <c r="AR77" s="223">
        <f t="shared" ref="AR77:AY77" si="32">SUM(AR10:AR75)</f>
        <v>654154.1</v>
      </c>
      <c r="AS77" s="223">
        <f t="shared" si="32"/>
        <v>0</v>
      </c>
      <c r="AT77" s="223">
        <f t="shared" si="32"/>
        <v>3476.09</v>
      </c>
      <c r="AU77" s="223">
        <f t="shared" si="32"/>
        <v>8000</v>
      </c>
      <c r="AV77" s="223">
        <f t="shared" si="32"/>
        <v>1779.65</v>
      </c>
      <c r="AW77" s="223">
        <f t="shared" si="32"/>
        <v>0</v>
      </c>
      <c r="AX77" s="223">
        <f t="shared" si="32"/>
        <v>0</v>
      </c>
      <c r="AY77" s="223">
        <f t="shared" si="32"/>
        <v>640898.36</v>
      </c>
      <c r="AZ77" s="223">
        <f>SUM(AZ10:AZ73)</f>
        <v>0</v>
      </c>
      <c r="BA77" s="223"/>
      <c r="BB77" s="314"/>
      <c r="BC77" s="315"/>
    </row>
    <row r="78" spans="1:55" ht="15.75" customHeight="1">
      <c r="B78" s="93"/>
      <c r="C78" s="94"/>
      <c r="D78" s="95"/>
      <c r="E78" s="234"/>
      <c r="F78" s="96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8"/>
      <c r="S78" s="97"/>
      <c r="T78" s="99"/>
      <c r="U78" s="99"/>
      <c r="V78" s="99"/>
      <c r="W78" s="97"/>
      <c r="X78" s="97"/>
      <c r="Y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</row>
    <row r="79" spans="1:55" ht="15.75" customHeight="1">
      <c r="B79" s="316"/>
      <c r="C79" s="93" t="s">
        <v>182</v>
      </c>
      <c r="D79" s="95"/>
      <c r="E79" s="317"/>
      <c r="F79" s="96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8"/>
      <c r="S79" s="97"/>
      <c r="T79" s="99"/>
      <c r="U79" s="99"/>
      <c r="V79" s="99"/>
      <c r="W79" s="97"/>
      <c r="X79" s="97"/>
      <c r="Y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</row>
    <row r="80" spans="1:55" ht="15.75" customHeight="1">
      <c r="B80" s="318"/>
      <c r="C80" s="93" t="s">
        <v>183</v>
      </c>
      <c r="D80" s="95"/>
      <c r="E80" s="234"/>
      <c r="F80" s="96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8"/>
      <c r="S80" s="97"/>
      <c r="T80" s="99"/>
      <c r="U80" s="99"/>
      <c r="V80" s="99"/>
      <c r="W80" s="97" t="s">
        <v>157</v>
      </c>
      <c r="X80" s="97"/>
      <c r="Y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97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</row>
    <row r="81" spans="2:55" ht="15.75" customHeight="1">
      <c r="B81" s="93"/>
      <c r="C81" s="93"/>
      <c r="D81" s="95"/>
      <c r="E81" s="234"/>
      <c r="F81" s="96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8"/>
      <c r="S81" s="97"/>
      <c r="T81" s="99"/>
      <c r="U81" s="99"/>
      <c r="V81" s="99"/>
      <c r="W81" s="97"/>
      <c r="X81" s="97"/>
      <c r="Y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N81" s="97"/>
      <c r="AO81" s="97"/>
      <c r="AP81" s="97"/>
      <c r="AQ81" s="97"/>
      <c r="AR81" s="97"/>
      <c r="AS81" s="97"/>
      <c r="AT81" s="97"/>
      <c r="AU81" s="97"/>
      <c r="AV81" s="97"/>
      <c r="AW81" s="97"/>
      <c r="AX81" s="97"/>
      <c r="AY81" s="97"/>
      <c r="AZ81" s="97"/>
      <c r="BA81" s="97"/>
    </row>
    <row r="82" spans="2:55" ht="66.75" customHeight="1">
      <c r="B82" s="319"/>
      <c r="C82" s="93" t="s">
        <v>209</v>
      </c>
      <c r="D82" s="95"/>
      <c r="E82" s="234"/>
      <c r="F82" s="96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8"/>
      <c r="S82" s="97"/>
      <c r="T82" s="99"/>
      <c r="U82" s="99"/>
      <c r="V82" s="99"/>
      <c r="W82" s="97"/>
      <c r="X82" s="97"/>
      <c r="Y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7"/>
      <c r="AU82" s="97"/>
      <c r="AV82" s="97"/>
      <c r="AW82" s="97"/>
      <c r="AX82" s="97"/>
      <c r="AY82" s="97"/>
      <c r="AZ82" s="97"/>
      <c r="BA82" s="97"/>
    </row>
    <row r="83" spans="2:55" ht="15.75" customHeight="1">
      <c r="B83" s="320"/>
      <c r="C83" s="93" t="s">
        <v>203</v>
      </c>
      <c r="D83" s="95"/>
      <c r="E83" s="234"/>
      <c r="F83" s="96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8"/>
      <c r="S83" s="97"/>
      <c r="T83" s="99"/>
      <c r="U83" s="99"/>
      <c r="V83" s="99"/>
      <c r="W83" s="97"/>
      <c r="X83" s="97"/>
      <c r="Y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</row>
    <row r="84" spans="2:55" ht="15.75" customHeight="1">
      <c r="B84" s="321"/>
      <c r="C84" s="93" t="s">
        <v>315</v>
      </c>
      <c r="D84" s="95"/>
      <c r="E84" s="234"/>
      <c r="F84" s="96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8"/>
      <c r="S84" s="97"/>
      <c r="T84" s="99"/>
      <c r="U84" s="99"/>
      <c r="V84" s="99"/>
      <c r="W84" s="97"/>
      <c r="X84" s="97"/>
      <c r="Y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</row>
    <row r="85" spans="2:55" ht="15.75" customHeight="1">
      <c r="B85" s="93"/>
      <c r="C85" s="94"/>
      <c r="D85" s="95"/>
      <c r="E85" s="234"/>
      <c r="F85" s="96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8"/>
      <c r="S85" s="97"/>
      <c r="T85" s="99"/>
      <c r="U85" s="99"/>
      <c r="V85" s="99"/>
      <c r="W85" s="97"/>
      <c r="X85" s="97"/>
      <c r="Y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</row>
    <row r="86" spans="2:55" ht="15.75" customHeight="1">
      <c r="B86" s="93"/>
      <c r="C86" s="94"/>
      <c r="D86" s="95"/>
      <c r="E86" s="234"/>
      <c r="F86" s="96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8"/>
      <c r="S86" s="97"/>
      <c r="T86" s="99"/>
      <c r="U86" s="99"/>
      <c r="V86" s="99"/>
      <c r="W86" s="97"/>
      <c r="X86" s="97"/>
      <c r="Y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</row>
    <row r="87" spans="2:55" ht="15.75" customHeight="1">
      <c r="B87" s="93"/>
      <c r="C87" s="94"/>
      <c r="D87" s="95"/>
      <c r="E87" s="234"/>
      <c r="F87" s="96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8"/>
      <c r="S87" s="97"/>
      <c r="T87" s="99"/>
      <c r="U87" s="99"/>
      <c r="V87" s="99"/>
      <c r="W87" s="97"/>
      <c r="X87" s="97"/>
      <c r="Y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  <c r="AN87" s="97"/>
      <c r="AO87" s="97"/>
      <c r="AP87" s="97"/>
      <c r="AQ87" s="97"/>
      <c r="AR87" s="97"/>
      <c r="AS87" s="97"/>
      <c r="AT87" s="97"/>
      <c r="AU87" s="233"/>
      <c r="AV87" s="233"/>
      <c r="AW87" s="97"/>
      <c r="AX87" s="97"/>
      <c r="AY87" s="97"/>
      <c r="AZ87" s="97"/>
      <c r="BA87" s="97"/>
      <c r="BB87" s="97"/>
      <c r="BC87" s="97"/>
    </row>
    <row r="88" spans="2:55" ht="15.75" customHeight="1">
      <c r="B88" s="93"/>
      <c r="C88" s="94"/>
      <c r="D88" s="95"/>
      <c r="E88" s="234"/>
      <c r="F88" s="96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8"/>
      <c r="S88" s="97"/>
      <c r="T88" s="99"/>
      <c r="U88" s="99"/>
      <c r="V88" s="99"/>
      <c r="W88" s="97"/>
      <c r="X88" s="97"/>
      <c r="Y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</row>
    <row r="89" spans="2:55" ht="15.75" customHeight="1">
      <c r="B89" s="93"/>
      <c r="C89" s="94"/>
      <c r="D89" s="95"/>
      <c r="E89" s="234"/>
      <c r="F89" s="96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8"/>
      <c r="S89" s="97"/>
      <c r="T89" s="99"/>
      <c r="U89" s="99"/>
      <c r="V89" s="99"/>
      <c r="W89" s="97"/>
      <c r="X89" s="97"/>
      <c r="Y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</row>
    <row r="90" spans="2:55" ht="15.75" customHeight="1">
      <c r="B90" s="93"/>
      <c r="C90" s="94"/>
      <c r="D90" s="95"/>
      <c r="E90" s="234"/>
      <c r="F90" s="96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8"/>
      <c r="S90" s="97"/>
      <c r="T90" s="99"/>
      <c r="U90" s="99"/>
      <c r="V90" s="99"/>
      <c r="W90" s="97"/>
      <c r="X90" s="97"/>
      <c r="Y90" s="97"/>
      <c r="AC90" s="97"/>
      <c r="AD90" s="97"/>
      <c r="AE90" s="97"/>
      <c r="AF90" s="97"/>
      <c r="AG90" s="97"/>
      <c r="AH90" s="97"/>
      <c r="AI90" s="97"/>
      <c r="AJ90" s="97"/>
      <c r="AK90" s="97"/>
      <c r="AL90" s="97"/>
      <c r="AM90" s="97"/>
      <c r="AN90" s="97"/>
      <c r="AO90" s="97"/>
      <c r="AP90" s="97"/>
      <c r="AQ90" s="97"/>
      <c r="AR90" s="97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</row>
    <row r="91" spans="2:55" ht="15.75" customHeight="1">
      <c r="B91" s="93"/>
      <c r="C91" s="94"/>
      <c r="D91" s="95"/>
      <c r="E91" s="234"/>
      <c r="F91" s="96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8"/>
      <c r="S91" s="97"/>
      <c r="T91" s="99"/>
      <c r="U91" s="99"/>
      <c r="V91" s="99"/>
      <c r="W91" s="97"/>
      <c r="X91" s="97"/>
      <c r="Y91" s="97"/>
      <c r="AC91" s="97"/>
      <c r="AD91" s="97"/>
      <c r="AE91" s="97"/>
      <c r="AF91" s="97"/>
      <c r="AG91" s="97"/>
      <c r="AH91" s="97"/>
      <c r="AI91" s="97"/>
      <c r="AJ91" s="97"/>
      <c r="AK91" s="97"/>
      <c r="AL91" s="97"/>
      <c r="AM91" s="97"/>
      <c r="AN91" s="97"/>
      <c r="AO91" s="97"/>
      <c r="AP91" s="97"/>
      <c r="AQ91" s="97"/>
      <c r="AR91" s="97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</row>
    <row r="92" spans="2:55" ht="15.75" customHeight="1">
      <c r="B92" s="93"/>
      <c r="C92" s="94"/>
      <c r="D92" s="95"/>
      <c r="E92" s="234"/>
      <c r="F92" s="96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8"/>
      <c r="S92" s="97"/>
      <c r="T92" s="99"/>
      <c r="U92" s="99"/>
      <c r="V92" s="99"/>
      <c r="W92" s="97"/>
      <c r="X92" s="97"/>
      <c r="Y92" s="97"/>
      <c r="AC92" s="97"/>
      <c r="AD92" s="97"/>
      <c r="AE92" s="97"/>
      <c r="AF92" s="97"/>
      <c r="AG92" s="97"/>
      <c r="AH92" s="97"/>
      <c r="AI92" s="97"/>
      <c r="AJ92" s="97"/>
      <c r="AK92" s="97"/>
      <c r="AL92" s="97"/>
      <c r="AM92" s="97"/>
      <c r="AN92" s="97"/>
      <c r="AO92" s="97"/>
      <c r="AP92" s="97"/>
      <c r="AQ92" s="97"/>
      <c r="AR92" s="97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</row>
    <row r="93" spans="2:55" ht="15.75" customHeight="1">
      <c r="B93" s="93"/>
      <c r="C93" s="94"/>
      <c r="D93" s="95"/>
      <c r="E93" s="234"/>
      <c r="F93" s="96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8"/>
      <c r="S93" s="97"/>
      <c r="T93" s="99"/>
      <c r="U93" s="99"/>
      <c r="V93" s="99"/>
      <c r="W93" s="97"/>
      <c r="X93" s="97"/>
      <c r="Y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97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</row>
    <row r="94" spans="2:55" ht="15.75" customHeight="1">
      <c r="B94" s="93"/>
      <c r="C94" s="94"/>
      <c r="D94" s="95"/>
      <c r="E94" s="234"/>
      <c r="F94" s="96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8"/>
      <c r="S94" s="97"/>
      <c r="T94" s="99"/>
      <c r="U94" s="99"/>
      <c r="V94" s="99"/>
      <c r="W94" s="97"/>
      <c r="X94" s="97"/>
      <c r="Y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</row>
    <row r="95" spans="2:55" ht="15.75" customHeight="1">
      <c r="B95" s="93"/>
      <c r="C95" s="94"/>
      <c r="D95" s="95"/>
      <c r="E95" s="234"/>
      <c r="F95" s="96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8"/>
      <c r="S95" s="97"/>
      <c r="T95" s="99"/>
      <c r="U95" s="99"/>
      <c r="V95" s="99"/>
      <c r="W95" s="97"/>
      <c r="X95" s="97"/>
      <c r="Y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  <c r="AM95" s="97"/>
      <c r="AN95" s="97"/>
      <c r="AO95" s="97"/>
      <c r="AP95" s="97"/>
      <c r="AQ95" s="97"/>
      <c r="AR95" s="97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</row>
    <row r="96" spans="2:55" ht="15.75" customHeight="1">
      <c r="B96" s="93"/>
      <c r="C96" s="94"/>
      <c r="D96" s="95"/>
      <c r="E96" s="234"/>
      <c r="F96" s="96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8"/>
      <c r="S96" s="97"/>
      <c r="T96" s="99"/>
      <c r="U96" s="99"/>
      <c r="V96" s="99"/>
      <c r="W96" s="97"/>
      <c r="X96" s="97"/>
      <c r="Y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  <c r="AO96" s="97"/>
      <c r="AP96" s="97"/>
      <c r="AQ96" s="97"/>
      <c r="AR96" s="97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</row>
    <row r="97" spans="2:55" ht="15.75" customHeight="1">
      <c r="B97" s="93"/>
      <c r="C97" s="94"/>
      <c r="D97" s="95"/>
      <c r="E97" s="234"/>
      <c r="F97" s="96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8"/>
      <c r="S97" s="97"/>
      <c r="T97" s="99"/>
      <c r="U97" s="99"/>
      <c r="V97" s="99"/>
      <c r="W97" s="97"/>
      <c r="X97" s="97"/>
      <c r="Y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</row>
    <row r="98" spans="2:55" ht="15.75" customHeight="1">
      <c r="B98" s="93"/>
      <c r="C98" s="94"/>
      <c r="D98" s="95"/>
      <c r="E98" s="234"/>
      <c r="F98" s="96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8"/>
      <c r="S98" s="97"/>
      <c r="T98" s="99"/>
      <c r="U98" s="99"/>
      <c r="V98" s="99"/>
      <c r="W98" s="97"/>
      <c r="X98" s="97"/>
      <c r="Y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</row>
    <row r="99" spans="2:55" ht="15.75" customHeight="1">
      <c r="B99" s="93"/>
      <c r="C99" s="94"/>
      <c r="D99" s="95"/>
      <c r="E99" s="234"/>
      <c r="F99" s="96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8"/>
      <c r="S99" s="97"/>
      <c r="T99" s="99"/>
      <c r="U99" s="99"/>
      <c r="V99" s="99"/>
      <c r="W99" s="97"/>
      <c r="X99" s="97"/>
      <c r="Y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</row>
    <row r="100" spans="2:55" ht="15.75" customHeight="1">
      <c r="B100" s="93"/>
      <c r="C100" s="94"/>
      <c r="D100" s="95"/>
      <c r="E100" s="234"/>
      <c r="F100" s="96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8"/>
      <c r="S100" s="97"/>
      <c r="T100" s="99"/>
      <c r="U100" s="99"/>
      <c r="V100" s="99"/>
      <c r="W100" s="97"/>
      <c r="X100" s="97"/>
      <c r="Y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/>
      <c r="AP100" s="97"/>
      <c r="AQ100" s="97"/>
      <c r="AR100" s="97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</row>
    <row r="101" spans="2:55" ht="15.75" customHeight="1">
      <c r="B101" s="93"/>
      <c r="C101" s="94"/>
      <c r="D101" s="95"/>
      <c r="E101" s="234"/>
      <c r="F101" s="96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8"/>
      <c r="S101" s="97"/>
      <c r="T101" s="99"/>
      <c r="U101" s="99"/>
      <c r="V101" s="99"/>
      <c r="W101" s="97"/>
      <c r="X101" s="97"/>
      <c r="Y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</row>
    <row r="102" spans="2:55" ht="15.75" customHeight="1">
      <c r="B102" s="93"/>
      <c r="C102" s="94"/>
      <c r="D102" s="95"/>
      <c r="E102" s="234"/>
      <c r="F102" s="96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8"/>
      <c r="S102" s="97"/>
      <c r="T102" s="99"/>
      <c r="U102" s="99"/>
      <c r="V102" s="99"/>
      <c r="W102" s="97"/>
      <c r="X102" s="97"/>
      <c r="Y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  <c r="AR102" s="97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</row>
    <row r="103" spans="2:55" ht="15.75" customHeight="1">
      <c r="B103" s="93"/>
      <c r="C103" s="94"/>
      <c r="D103" s="95"/>
      <c r="E103" s="234"/>
      <c r="F103" s="96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8"/>
      <c r="S103" s="97"/>
      <c r="T103" s="99"/>
      <c r="U103" s="99"/>
      <c r="V103" s="99"/>
      <c r="W103" s="97"/>
      <c r="X103" s="97"/>
      <c r="Y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97"/>
      <c r="AN103" s="97"/>
      <c r="AO103" s="97"/>
      <c r="AP103" s="97"/>
      <c r="AQ103" s="97"/>
      <c r="AR103" s="97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</row>
    <row r="104" spans="2:55" ht="15.75" customHeight="1">
      <c r="B104" s="93"/>
      <c r="C104" s="94"/>
      <c r="D104" s="95"/>
      <c r="E104" s="234"/>
      <c r="F104" s="96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8"/>
      <c r="S104" s="97"/>
      <c r="T104" s="99"/>
      <c r="U104" s="99"/>
      <c r="V104" s="99"/>
      <c r="W104" s="97"/>
      <c r="X104" s="97"/>
      <c r="Y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7"/>
      <c r="AN104" s="97"/>
      <c r="AO104" s="97"/>
      <c r="AP104" s="97"/>
      <c r="AQ104" s="97"/>
      <c r="AR104" s="97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</row>
    <row r="105" spans="2:55" ht="15.75" customHeight="1">
      <c r="B105" s="93"/>
      <c r="C105" s="94"/>
      <c r="D105" s="95"/>
      <c r="E105" s="234"/>
      <c r="F105" s="96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8"/>
      <c r="S105" s="97"/>
      <c r="T105" s="99"/>
      <c r="U105" s="99"/>
      <c r="V105" s="99"/>
      <c r="W105" s="97"/>
      <c r="X105" s="97"/>
      <c r="Y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  <c r="AN105" s="97"/>
      <c r="AO105" s="97"/>
      <c r="AP105" s="97"/>
      <c r="AQ105" s="97"/>
      <c r="AR105" s="97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</row>
    <row r="106" spans="2:55" ht="15.75" customHeight="1">
      <c r="B106" s="93"/>
      <c r="C106" s="94"/>
      <c r="D106" s="95"/>
      <c r="E106" s="234"/>
      <c r="F106" s="96"/>
      <c r="H106" s="97"/>
      <c r="I106" s="97"/>
      <c r="J106" s="97" t="s">
        <v>157</v>
      </c>
      <c r="K106" s="97"/>
      <c r="L106" s="97"/>
      <c r="M106" s="97"/>
      <c r="N106" s="97"/>
      <c r="O106" s="97"/>
      <c r="P106" s="97"/>
      <c r="Q106" s="97"/>
      <c r="R106" s="98"/>
      <c r="S106" s="97"/>
      <c r="T106" s="99"/>
      <c r="U106" s="99"/>
      <c r="V106" s="99"/>
      <c r="W106" s="97"/>
      <c r="X106" s="97"/>
      <c r="Y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</row>
    <row r="107" spans="2:55" ht="15.75" customHeight="1">
      <c r="B107" s="93"/>
      <c r="C107" s="94"/>
      <c r="D107" s="95"/>
      <c r="E107" s="234"/>
      <c r="F107" s="96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8"/>
      <c r="S107" s="97"/>
      <c r="T107" s="99"/>
      <c r="U107" s="99"/>
      <c r="V107" s="99"/>
      <c r="W107" s="97"/>
      <c r="X107" s="97"/>
      <c r="Y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</row>
    <row r="108" spans="2:55" ht="15.75" customHeight="1">
      <c r="B108" s="93"/>
      <c r="C108" s="94"/>
      <c r="D108" s="95"/>
      <c r="E108" s="234"/>
      <c r="F108" s="96"/>
      <c r="H108" s="97"/>
      <c r="I108" s="97"/>
      <c r="J108" s="97" t="s">
        <v>167</v>
      </c>
      <c r="K108" s="97"/>
      <c r="L108" s="97"/>
      <c r="M108" s="97"/>
      <c r="N108" s="97"/>
      <c r="O108" s="97"/>
      <c r="P108" s="97"/>
      <c r="Q108" s="97"/>
      <c r="R108" s="98"/>
      <c r="S108" s="97"/>
      <c r="T108" s="99"/>
      <c r="U108" s="99"/>
      <c r="V108" s="99"/>
      <c r="W108" s="97"/>
      <c r="X108" s="97"/>
      <c r="Y108" s="97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  <c r="AM108" s="97"/>
      <c r="AN108" s="97"/>
      <c r="AO108" s="97"/>
      <c r="AP108" s="97"/>
      <c r="AQ108" s="97"/>
      <c r="AR108" s="97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</row>
    <row r="109" spans="2:55" ht="15.75" customHeight="1">
      <c r="B109" s="93"/>
      <c r="C109" s="94"/>
      <c r="D109" s="95"/>
      <c r="E109" s="234"/>
      <c r="F109" s="96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8"/>
      <c r="S109" s="97"/>
      <c r="T109" s="99"/>
      <c r="U109" s="99"/>
      <c r="V109" s="99"/>
      <c r="W109" s="97"/>
      <c r="X109" s="97"/>
      <c r="Y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</row>
    <row r="110" spans="2:55" ht="15.75" customHeight="1">
      <c r="B110" s="93"/>
      <c r="C110" s="94"/>
      <c r="D110" s="95"/>
      <c r="E110" s="234"/>
      <c r="F110" s="96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8"/>
      <c r="S110" s="97"/>
      <c r="T110" s="99"/>
      <c r="U110" s="99"/>
      <c r="V110" s="99"/>
      <c r="W110" s="97"/>
      <c r="X110" s="97"/>
      <c r="Y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97"/>
      <c r="AN110" s="97"/>
      <c r="AO110" s="97"/>
      <c r="AP110" s="97"/>
      <c r="AQ110" s="97"/>
      <c r="AR110" s="97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</row>
    <row r="111" spans="2:55" ht="15.75" customHeight="1">
      <c r="B111" s="93"/>
      <c r="C111" s="94"/>
      <c r="D111" s="95"/>
      <c r="E111" s="234"/>
      <c r="F111" s="96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8"/>
      <c r="S111" s="97"/>
      <c r="T111" s="99"/>
      <c r="U111" s="99"/>
      <c r="V111" s="99"/>
      <c r="W111" s="97"/>
      <c r="X111" s="97"/>
      <c r="Y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</row>
    <row r="112" spans="2:55" ht="15.75" customHeight="1">
      <c r="B112" s="93"/>
      <c r="C112" s="94"/>
      <c r="D112" s="95"/>
      <c r="E112" s="234"/>
      <c r="F112" s="96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8"/>
      <c r="S112" s="97"/>
      <c r="T112" s="99"/>
      <c r="U112" s="99"/>
      <c r="V112" s="99"/>
      <c r="W112" s="97"/>
      <c r="X112" s="97"/>
      <c r="Y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S112" s="97"/>
      <c r="AT112" s="97"/>
      <c r="AU112" s="97"/>
      <c r="AV112" s="97"/>
      <c r="AW112" s="97"/>
      <c r="AX112" s="97"/>
      <c r="AY112" s="97"/>
      <c r="AZ112" s="97"/>
      <c r="BA112" s="97"/>
      <c r="BB112" s="97"/>
      <c r="BC112" s="97"/>
    </row>
    <row r="113" spans="2:55" ht="15.75" customHeight="1">
      <c r="B113" s="93"/>
      <c r="C113" s="94"/>
      <c r="D113" s="95"/>
      <c r="E113" s="234"/>
      <c r="F113" s="96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8"/>
      <c r="S113" s="97"/>
      <c r="T113" s="99"/>
      <c r="U113" s="99"/>
      <c r="V113" s="99"/>
      <c r="W113" s="97"/>
      <c r="X113" s="97"/>
      <c r="Y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  <c r="AN113" s="97"/>
      <c r="AO113" s="97"/>
      <c r="AP113" s="97"/>
      <c r="AQ113" s="97"/>
      <c r="AR113" s="97"/>
      <c r="AS113" s="97"/>
      <c r="AT113" s="97"/>
      <c r="AU113" s="97"/>
      <c r="AV113" s="97"/>
      <c r="AW113" s="97"/>
      <c r="AX113" s="97"/>
      <c r="AY113" s="97"/>
      <c r="AZ113" s="97"/>
      <c r="BA113" s="97"/>
      <c r="BB113" s="97"/>
      <c r="BC113" s="97"/>
    </row>
    <row r="114" spans="2:55" ht="15.75" customHeight="1">
      <c r="B114" s="93"/>
      <c r="C114" s="94"/>
      <c r="D114" s="95"/>
      <c r="E114" s="234"/>
      <c r="F114" s="96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8"/>
      <c r="S114" s="97"/>
      <c r="T114" s="99"/>
      <c r="U114" s="99"/>
      <c r="V114" s="99"/>
      <c r="W114" s="97"/>
      <c r="X114" s="97"/>
      <c r="Y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  <c r="AT114" s="97"/>
      <c r="AU114" s="97"/>
      <c r="AV114" s="97"/>
      <c r="AW114" s="97"/>
      <c r="AX114" s="97"/>
      <c r="AY114" s="97"/>
      <c r="AZ114" s="97"/>
      <c r="BA114" s="97"/>
      <c r="BB114" s="97"/>
      <c r="BC114" s="97"/>
    </row>
    <row r="115" spans="2:55" ht="15.75" customHeight="1">
      <c r="B115" s="93"/>
      <c r="C115" s="94"/>
      <c r="D115" s="95"/>
      <c r="E115" s="234"/>
      <c r="F115" s="96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8"/>
      <c r="S115" s="97"/>
      <c r="T115" s="99"/>
      <c r="U115" s="99"/>
      <c r="V115" s="99"/>
      <c r="W115" s="97"/>
      <c r="X115" s="97"/>
      <c r="Y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97"/>
      <c r="AO115" s="97"/>
      <c r="AP115" s="97"/>
      <c r="AQ115" s="97"/>
      <c r="AR115" s="97"/>
      <c r="AS115" s="97"/>
      <c r="AT115" s="97"/>
      <c r="AU115" s="97"/>
      <c r="AV115" s="97"/>
      <c r="AW115" s="97"/>
      <c r="AX115" s="97"/>
      <c r="AY115" s="97"/>
      <c r="AZ115" s="97"/>
      <c r="BA115" s="97"/>
      <c r="BB115" s="97"/>
      <c r="BC115" s="97"/>
    </row>
    <row r="116" spans="2:55" ht="15.75" customHeight="1">
      <c r="B116" s="93"/>
      <c r="C116" s="94"/>
      <c r="D116" s="95"/>
      <c r="E116" s="234"/>
      <c r="F116" s="96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8"/>
      <c r="S116" s="97"/>
      <c r="T116" s="99"/>
      <c r="U116" s="99"/>
      <c r="V116" s="99"/>
      <c r="W116" s="97"/>
      <c r="X116" s="97"/>
      <c r="Y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  <c r="AT116" s="97"/>
      <c r="AU116" s="97"/>
      <c r="AV116" s="97"/>
      <c r="AW116" s="97"/>
      <c r="AX116" s="97"/>
      <c r="AY116" s="97"/>
      <c r="AZ116" s="97"/>
      <c r="BA116" s="97"/>
      <c r="BB116" s="97"/>
      <c r="BC116" s="97"/>
    </row>
    <row r="117" spans="2:55" ht="15.75" customHeight="1">
      <c r="B117" s="93"/>
      <c r="C117" s="94"/>
      <c r="D117" s="95"/>
      <c r="E117" s="234"/>
      <c r="F117" s="96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8"/>
      <c r="S117" s="97"/>
      <c r="T117" s="99"/>
      <c r="U117" s="99"/>
      <c r="V117" s="99"/>
      <c r="W117" s="97"/>
      <c r="X117" s="97"/>
      <c r="Y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  <c r="AT117" s="97"/>
      <c r="AU117" s="97"/>
      <c r="AV117" s="97"/>
      <c r="AW117" s="97"/>
      <c r="AX117" s="97"/>
      <c r="AY117" s="97"/>
      <c r="AZ117" s="97"/>
      <c r="BA117" s="97"/>
      <c r="BB117" s="97"/>
      <c r="BC117" s="97"/>
    </row>
    <row r="118" spans="2:55" ht="15.75" customHeight="1">
      <c r="B118" s="93"/>
      <c r="C118" s="94"/>
      <c r="D118" s="95"/>
      <c r="E118" s="234"/>
      <c r="F118" s="96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8"/>
      <c r="S118" s="97"/>
      <c r="T118" s="99"/>
      <c r="U118" s="99"/>
      <c r="V118" s="99"/>
      <c r="W118" s="97"/>
      <c r="X118" s="97"/>
      <c r="Y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7"/>
      <c r="AN118" s="97"/>
      <c r="AO118" s="97"/>
      <c r="AP118" s="97"/>
      <c r="AQ118" s="97"/>
      <c r="AR118" s="97"/>
      <c r="AS118" s="97"/>
      <c r="AT118" s="97"/>
      <c r="AU118" s="97"/>
      <c r="AV118" s="97"/>
      <c r="AW118" s="97"/>
      <c r="AX118" s="97"/>
      <c r="AY118" s="97"/>
      <c r="AZ118" s="97"/>
      <c r="BA118" s="97"/>
      <c r="BB118" s="97"/>
      <c r="BC118" s="97"/>
    </row>
    <row r="119" spans="2:55" ht="15.75" customHeight="1">
      <c r="B119" s="93"/>
      <c r="C119" s="94"/>
      <c r="D119" s="95"/>
      <c r="E119" s="234"/>
      <c r="F119" s="96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8"/>
      <c r="S119" s="97"/>
      <c r="T119" s="99"/>
      <c r="U119" s="99"/>
      <c r="V119" s="99"/>
      <c r="W119" s="97"/>
      <c r="X119" s="97"/>
      <c r="Y119" s="97"/>
      <c r="AC119" s="97"/>
      <c r="AD119" s="97"/>
      <c r="AE119" s="97"/>
      <c r="AF119" s="97"/>
      <c r="AG119" s="97"/>
      <c r="AH119" s="97"/>
      <c r="AI119" s="97"/>
      <c r="AJ119" s="97"/>
      <c r="AK119" s="97"/>
      <c r="AL119" s="97"/>
      <c r="AM119" s="97"/>
      <c r="AN119" s="97"/>
      <c r="AO119" s="97"/>
      <c r="AP119" s="97"/>
      <c r="AQ119" s="97"/>
      <c r="AR119" s="97"/>
      <c r="AS119" s="97"/>
      <c r="AT119" s="97"/>
      <c r="AU119" s="97"/>
      <c r="AV119" s="97"/>
      <c r="AW119" s="97"/>
      <c r="AX119" s="97"/>
      <c r="AY119" s="97"/>
      <c r="AZ119" s="97"/>
      <c r="BA119" s="97"/>
      <c r="BB119" s="97"/>
      <c r="BC119" s="97"/>
    </row>
    <row r="120" spans="2:55" ht="15.75" customHeight="1">
      <c r="B120" s="93"/>
      <c r="C120" s="94"/>
      <c r="D120" s="95"/>
      <c r="E120" s="234"/>
      <c r="F120" s="96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8"/>
      <c r="S120" s="97"/>
      <c r="T120" s="99"/>
      <c r="U120" s="99"/>
      <c r="V120" s="99"/>
      <c r="W120" s="97"/>
      <c r="X120" s="97"/>
      <c r="Y120" s="97"/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  <c r="AM120" s="97"/>
      <c r="AN120" s="97"/>
      <c r="AO120" s="97"/>
      <c r="AP120" s="97"/>
      <c r="AQ120" s="97"/>
      <c r="AR120" s="97"/>
      <c r="AS120" s="97"/>
      <c r="AT120" s="97"/>
      <c r="AU120" s="97"/>
      <c r="AV120" s="97"/>
      <c r="AW120" s="97"/>
      <c r="AX120" s="97"/>
      <c r="AY120" s="97"/>
      <c r="AZ120" s="97"/>
      <c r="BA120" s="97"/>
      <c r="BB120" s="97"/>
      <c r="BC120" s="97"/>
    </row>
    <row r="121" spans="2:55" ht="15.75" customHeight="1">
      <c r="B121" s="93"/>
      <c r="C121" s="94"/>
      <c r="D121" s="95"/>
      <c r="E121" s="234"/>
      <c r="F121" s="96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8"/>
      <c r="S121" s="97"/>
      <c r="T121" s="99"/>
      <c r="U121" s="99"/>
      <c r="V121" s="99"/>
      <c r="W121" s="97"/>
      <c r="X121" s="97"/>
      <c r="Y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  <c r="AM121" s="97"/>
      <c r="AN121" s="97"/>
      <c r="AO121" s="97"/>
      <c r="AP121" s="97"/>
      <c r="AQ121" s="97"/>
      <c r="AR121" s="97"/>
      <c r="AS121" s="97"/>
      <c r="AT121" s="97"/>
      <c r="AU121" s="97"/>
      <c r="AV121" s="97"/>
      <c r="AW121" s="97"/>
      <c r="AX121" s="97"/>
      <c r="AY121" s="97"/>
      <c r="AZ121" s="97"/>
      <c r="BA121" s="97"/>
      <c r="BB121" s="97"/>
      <c r="BC121" s="97"/>
    </row>
    <row r="122" spans="2:55" ht="15.75" customHeight="1">
      <c r="B122" s="93"/>
      <c r="C122" s="94"/>
      <c r="D122" s="95"/>
      <c r="E122" s="234"/>
      <c r="F122" s="96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8"/>
      <c r="S122" s="97"/>
      <c r="T122" s="99"/>
      <c r="U122" s="99"/>
      <c r="V122" s="99"/>
      <c r="W122" s="97"/>
      <c r="X122" s="97"/>
      <c r="Y122" s="97"/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  <c r="AM122" s="97"/>
      <c r="AN122" s="97"/>
      <c r="AO122" s="97"/>
      <c r="AP122" s="97"/>
      <c r="AQ122" s="97"/>
      <c r="AR122" s="97"/>
      <c r="AS122" s="97"/>
      <c r="AT122" s="97"/>
      <c r="AU122" s="97"/>
      <c r="AV122" s="97"/>
      <c r="AW122" s="97"/>
      <c r="AX122" s="97"/>
      <c r="AY122" s="97"/>
      <c r="AZ122" s="97"/>
      <c r="BA122" s="97"/>
      <c r="BB122" s="97"/>
      <c r="BC122" s="97"/>
    </row>
    <row r="123" spans="2:55" ht="15.75" customHeight="1">
      <c r="B123" s="93"/>
      <c r="C123" s="94"/>
      <c r="D123" s="95"/>
      <c r="E123" s="234"/>
      <c r="F123" s="96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8"/>
      <c r="S123" s="97"/>
      <c r="T123" s="99"/>
      <c r="U123" s="99"/>
      <c r="V123" s="99"/>
      <c r="W123" s="97"/>
      <c r="X123" s="97"/>
      <c r="Y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  <c r="AW123" s="97"/>
      <c r="AX123" s="97"/>
      <c r="AY123" s="97"/>
      <c r="AZ123" s="97"/>
      <c r="BA123" s="97"/>
      <c r="BB123" s="97"/>
      <c r="BC123" s="97"/>
    </row>
    <row r="124" spans="2:55" ht="15.75" customHeight="1">
      <c r="B124" s="93"/>
      <c r="C124" s="94"/>
      <c r="D124" s="95"/>
      <c r="E124" s="234"/>
      <c r="F124" s="96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8"/>
      <c r="S124" s="97"/>
      <c r="T124" s="99"/>
      <c r="U124" s="99"/>
      <c r="V124" s="99"/>
      <c r="W124" s="97"/>
      <c r="X124" s="97"/>
      <c r="Y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/>
      <c r="AP124" s="97"/>
      <c r="AQ124" s="97"/>
      <c r="AR124" s="97"/>
      <c r="AS124" s="97"/>
      <c r="AT124" s="97"/>
      <c r="AU124" s="97"/>
      <c r="AV124" s="97"/>
      <c r="AW124" s="97"/>
      <c r="AX124" s="97"/>
      <c r="AY124" s="97"/>
      <c r="AZ124" s="97"/>
      <c r="BA124" s="97"/>
      <c r="BB124" s="97"/>
      <c r="BC124" s="97"/>
    </row>
    <row r="125" spans="2:55" ht="15.75" customHeight="1">
      <c r="B125" s="93"/>
      <c r="C125" s="94"/>
      <c r="D125" s="95"/>
      <c r="E125" s="234"/>
      <c r="F125" s="96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8"/>
      <c r="S125" s="97"/>
      <c r="T125" s="99"/>
      <c r="U125" s="99"/>
      <c r="V125" s="99"/>
      <c r="W125" s="97"/>
      <c r="X125" s="97"/>
      <c r="Y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/>
      <c r="AP125" s="97"/>
      <c r="AQ125" s="97"/>
      <c r="AR125" s="97"/>
      <c r="AS125" s="97"/>
      <c r="AT125" s="97"/>
      <c r="AU125" s="97"/>
      <c r="AV125" s="97"/>
      <c r="AW125" s="97"/>
      <c r="AX125" s="97"/>
      <c r="AY125" s="97"/>
      <c r="AZ125" s="97"/>
      <c r="BA125" s="97"/>
      <c r="BB125" s="97"/>
      <c r="BC125" s="97"/>
    </row>
    <row r="126" spans="2:55" ht="15.75" customHeight="1">
      <c r="B126" s="93"/>
      <c r="C126" s="94"/>
      <c r="D126" s="95"/>
      <c r="E126" s="234"/>
      <c r="F126" s="96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8"/>
      <c r="S126" s="97"/>
      <c r="T126" s="99"/>
      <c r="U126" s="99"/>
      <c r="V126" s="99"/>
      <c r="W126" s="97"/>
      <c r="X126" s="97"/>
      <c r="Y126" s="97"/>
      <c r="AC126" s="97"/>
      <c r="AD126" s="97"/>
      <c r="AE126" s="97"/>
      <c r="AF126" s="97"/>
      <c r="AG126" s="97"/>
      <c r="AH126" s="97"/>
      <c r="AI126" s="97"/>
      <c r="AJ126" s="97"/>
      <c r="AK126" s="97"/>
      <c r="AL126" s="97"/>
      <c r="AM126" s="97"/>
      <c r="AN126" s="97"/>
      <c r="AO126" s="97"/>
      <c r="AP126" s="97"/>
      <c r="AQ126" s="97"/>
      <c r="AR126" s="97"/>
      <c r="AS126" s="97"/>
      <c r="AT126" s="97"/>
      <c r="AU126" s="97"/>
      <c r="AV126" s="97"/>
      <c r="AW126" s="97"/>
      <c r="AX126" s="97"/>
      <c r="AY126" s="97"/>
      <c r="AZ126" s="97"/>
      <c r="BA126" s="97"/>
      <c r="BB126" s="97"/>
      <c r="BC126" s="97"/>
    </row>
    <row r="127" spans="2:55" ht="15.75" customHeight="1">
      <c r="B127" s="93"/>
      <c r="C127" s="94"/>
      <c r="D127" s="95"/>
      <c r="E127" s="234"/>
      <c r="F127" s="96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8"/>
      <c r="S127" s="97"/>
      <c r="T127" s="99"/>
      <c r="U127" s="99"/>
      <c r="V127" s="99"/>
      <c r="W127" s="97"/>
      <c r="X127" s="97"/>
      <c r="Y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  <c r="AT127" s="97"/>
      <c r="AU127" s="97"/>
      <c r="AV127" s="97"/>
      <c r="AW127" s="97"/>
      <c r="AX127" s="97"/>
      <c r="AY127" s="97"/>
      <c r="AZ127" s="97"/>
      <c r="BA127" s="97"/>
      <c r="BB127" s="97"/>
      <c r="BC127" s="97"/>
    </row>
    <row r="128" spans="2:55" ht="15.75" customHeight="1">
      <c r="B128" s="93"/>
      <c r="C128" s="94"/>
      <c r="D128" s="95"/>
      <c r="E128" s="234"/>
      <c r="F128" s="96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8"/>
      <c r="S128" s="97"/>
      <c r="T128" s="99"/>
      <c r="U128" s="99"/>
      <c r="V128" s="99"/>
      <c r="W128" s="97"/>
      <c r="X128" s="97"/>
      <c r="Y128" s="97"/>
      <c r="AC128" s="97"/>
      <c r="AD128" s="97"/>
      <c r="AE128" s="97"/>
      <c r="AF128" s="97"/>
      <c r="AG128" s="97"/>
      <c r="AH128" s="97"/>
      <c r="AI128" s="97"/>
      <c r="AJ128" s="97"/>
      <c r="AK128" s="97"/>
      <c r="AL128" s="97"/>
      <c r="AM128" s="97"/>
      <c r="AN128" s="97"/>
      <c r="AO128" s="97"/>
      <c r="AP128" s="97"/>
      <c r="AQ128" s="97"/>
      <c r="AR128" s="97"/>
      <c r="AS128" s="97"/>
      <c r="AT128" s="97"/>
      <c r="AU128" s="97"/>
      <c r="AV128" s="97"/>
      <c r="AW128" s="97"/>
      <c r="AX128" s="97"/>
      <c r="AY128" s="97"/>
      <c r="AZ128" s="97"/>
      <c r="BA128" s="97"/>
      <c r="BB128" s="97"/>
      <c r="BC128" s="97"/>
    </row>
    <row r="129" spans="2:55" ht="15.75" customHeight="1">
      <c r="B129" s="93"/>
      <c r="C129" s="94"/>
      <c r="D129" s="95"/>
      <c r="E129" s="234"/>
      <c r="F129" s="96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8"/>
      <c r="S129" s="97"/>
      <c r="T129" s="99"/>
      <c r="U129" s="99"/>
      <c r="V129" s="99"/>
      <c r="W129" s="97"/>
      <c r="X129" s="97"/>
      <c r="Y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  <c r="AP129" s="97"/>
      <c r="AQ129" s="97"/>
      <c r="AR129" s="97"/>
      <c r="AS129" s="97"/>
      <c r="AT129" s="97"/>
      <c r="AU129" s="97"/>
      <c r="AV129" s="97"/>
      <c r="AW129" s="97"/>
      <c r="AX129" s="97"/>
      <c r="AY129" s="97"/>
      <c r="AZ129" s="97"/>
      <c r="BA129" s="97"/>
      <c r="BB129" s="97"/>
      <c r="BC129" s="97"/>
    </row>
    <row r="130" spans="2:55" ht="15.75" customHeight="1">
      <c r="B130" s="93"/>
      <c r="C130" s="94"/>
      <c r="D130" s="95"/>
      <c r="E130" s="234"/>
      <c r="F130" s="96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8"/>
      <c r="S130" s="97"/>
      <c r="T130" s="99"/>
      <c r="U130" s="99"/>
      <c r="V130" s="99"/>
      <c r="W130" s="97"/>
      <c r="X130" s="97"/>
      <c r="Y130" s="97"/>
      <c r="AC130" s="97"/>
      <c r="AD130" s="97"/>
      <c r="AE130" s="97"/>
      <c r="AF130" s="97"/>
      <c r="AG130" s="97"/>
      <c r="AH130" s="97"/>
      <c r="AI130" s="97"/>
      <c r="AJ130" s="97"/>
      <c r="AK130" s="97"/>
      <c r="AL130" s="97"/>
      <c r="AM130" s="97"/>
      <c r="AN130" s="97"/>
      <c r="AO130" s="97"/>
      <c r="AP130" s="97"/>
      <c r="AQ130" s="97"/>
      <c r="AR130" s="97"/>
      <c r="AS130" s="97"/>
      <c r="AT130" s="97"/>
      <c r="AU130" s="97"/>
      <c r="AV130" s="97"/>
      <c r="AW130" s="97"/>
      <c r="AX130" s="97"/>
      <c r="AY130" s="97"/>
      <c r="AZ130" s="97"/>
      <c r="BA130" s="97"/>
      <c r="BB130" s="97"/>
      <c r="BC130" s="97"/>
    </row>
    <row r="131" spans="2:55" ht="15.75" customHeight="1">
      <c r="B131" s="93"/>
      <c r="C131" s="94"/>
      <c r="D131" s="95"/>
      <c r="E131" s="234"/>
      <c r="F131" s="96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8"/>
      <c r="S131" s="97"/>
      <c r="T131" s="99"/>
      <c r="U131" s="99"/>
      <c r="V131" s="99"/>
      <c r="W131" s="97"/>
      <c r="X131" s="97"/>
      <c r="Y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  <c r="AO131" s="97"/>
      <c r="AP131" s="97"/>
      <c r="AQ131" s="97"/>
      <c r="AR131" s="97"/>
      <c r="AS131" s="97"/>
      <c r="AT131" s="97"/>
      <c r="AU131" s="97"/>
      <c r="AV131" s="97"/>
      <c r="AW131" s="97"/>
      <c r="AX131" s="97"/>
      <c r="AY131" s="97"/>
      <c r="AZ131" s="97"/>
      <c r="BA131" s="97"/>
      <c r="BB131" s="97"/>
      <c r="BC131" s="97"/>
    </row>
    <row r="132" spans="2:55" ht="15.75" customHeight="1">
      <c r="B132" s="93"/>
      <c r="C132" s="94"/>
      <c r="D132" s="95"/>
      <c r="E132" s="234"/>
      <c r="F132" s="96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8"/>
      <c r="S132" s="97"/>
      <c r="T132" s="99"/>
      <c r="U132" s="99"/>
      <c r="V132" s="99"/>
      <c r="W132" s="97"/>
      <c r="X132" s="97"/>
      <c r="Y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97"/>
      <c r="AV132" s="97"/>
      <c r="AW132" s="97"/>
      <c r="AX132" s="97"/>
      <c r="AY132" s="97"/>
      <c r="AZ132" s="97"/>
      <c r="BA132" s="97"/>
      <c r="BB132" s="97"/>
      <c r="BC132" s="97"/>
    </row>
    <row r="133" spans="2:55" ht="15.75" customHeight="1">
      <c r="B133" s="93"/>
      <c r="C133" s="94"/>
      <c r="D133" s="95"/>
      <c r="E133" s="234"/>
      <c r="F133" s="96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8"/>
      <c r="S133" s="97"/>
      <c r="T133" s="99"/>
      <c r="U133" s="99"/>
      <c r="V133" s="99"/>
      <c r="W133" s="97"/>
      <c r="X133" s="97"/>
      <c r="Y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97"/>
      <c r="AV133" s="97"/>
      <c r="AW133" s="97"/>
      <c r="AX133" s="97"/>
      <c r="AY133" s="97"/>
      <c r="AZ133" s="97"/>
      <c r="BA133" s="97"/>
      <c r="BB133" s="97"/>
      <c r="BC133" s="97"/>
    </row>
    <row r="134" spans="2:55" ht="15.75" customHeight="1">
      <c r="B134" s="93"/>
      <c r="C134" s="94"/>
      <c r="D134" s="95"/>
      <c r="E134" s="234"/>
      <c r="F134" s="96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8"/>
      <c r="S134" s="97"/>
      <c r="T134" s="99"/>
      <c r="U134" s="99"/>
      <c r="V134" s="99"/>
      <c r="W134" s="97"/>
      <c r="X134" s="97"/>
      <c r="Y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97"/>
      <c r="AV134" s="97"/>
      <c r="AW134" s="97"/>
      <c r="AX134" s="97"/>
      <c r="AY134" s="97"/>
      <c r="AZ134" s="97"/>
      <c r="BA134" s="97"/>
      <c r="BB134" s="97"/>
      <c r="BC134" s="97"/>
    </row>
    <row r="135" spans="2:55" ht="15.75" customHeight="1">
      <c r="B135" s="93"/>
      <c r="C135" s="94"/>
      <c r="D135" s="95"/>
      <c r="E135" s="234"/>
      <c r="F135" s="96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8"/>
      <c r="S135" s="97"/>
      <c r="T135" s="99"/>
      <c r="U135" s="99"/>
      <c r="V135" s="99"/>
      <c r="W135" s="97"/>
      <c r="X135" s="97"/>
      <c r="Y135" s="97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  <c r="AM135" s="97"/>
      <c r="AN135" s="97"/>
      <c r="AO135" s="97"/>
      <c r="AP135" s="97"/>
      <c r="AQ135" s="97"/>
      <c r="AR135" s="97"/>
      <c r="AS135" s="97"/>
      <c r="AT135" s="97"/>
      <c r="AU135" s="97"/>
      <c r="AV135" s="97"/>
      <c r="AW135" s="97"/>
      <c r="AX135" s="97"/>
      <c r="AY135" s="97"/>
      <c r="AZ135" s="97"/>
      <c r="BA135" s="97"/>
      <c r="BB135" s="97"/>
      <c r="BC135" s="97"/>
    </row>
    <row r="136" spans="2:55" ht="15.75" customHeight="1">
      <c r="B136" s="93"/>
      <c r="C136" s="94"/>
      <c r="D136" s="95"/>
      <c r="E136" s="234"/>
      <c r="F136" s="96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8"/>
      <c r="S136" s="97"/>
      <c r="T136" s="99"/>
      <c r="U136" s="99"/>
      <c r="V136" s="99"/>
      <c r="W136" s="97"/>
      <c r="X136" s="97"/>
      <c r="Y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  <c r="AQ136" s="97"/>
      <c r="AR136" s="97"/>
      <c r="AS136" s="97"/>
      <c r="AT136" s="97"/>
      <c r="AU136" s="97"/>
      <c r="AV136" s="97"/>
      <c r="AW136" s="97"/>
      <c r="AX136" s="97"/>
      <c r="AY136" s="97"/>
      <c r="AZ136" s="97"/>
      <c r="BA136" s="97"/>
      <c r="BB136" s="97"/>
      <c r="BC136" s="97"/>
    </row>
    <row r="137" spans="2:55" ht="15.75" customHeight="1">
      <c r="B137" s="93"/>
      <c r="C137" s="94"/>
      <c r="D137" s="95"/>
      <c r="E137" s="234"/>
      <c r="F137" s="96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8"/>
      <c r="S137" s="97"/>
      <c r="T137" s="99"/>
      <c r="U137" s="99"/>
      <c r="V137" s="99"/>
      <c r="W137" s="97"/>
      <c r="X137" s="97"/>
      <c r="Y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/>
      <c r="AP137" s="97"/>
      <c r="AQ137" s="97"/>
      <c r="AR137" s="97"/>
      <c r="AS137" s="97"/>
      <c r="AT137" s="97"/>
      <c r="AU137" s="97"/>
      <c r="AV137" s="97"/>
      <c r="AW137" s="97"/>
      <c r="AX137" s="97"/>
      <c r="AY137" s="97"/>
      <c r="AZ137" s="97"/>
      <c r="BA137" s="97"/>
      <c r="BB137" s="97"/>
      <c r="BC137" s="97"/>
    </row>
    <row r="138" spans="2:55" ht="15.75" customHeight="1">
      <c r="B138" s="93"/>
      <c r="C138" s="94"/>
      <c r="D138" s="95"/>
      <c r="E138" s="234"/>
      <c r="F138" s="96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8"/>
      <c r="S138" s="97"/>
      <c r="T138" s="99"/>
      <c r="U138" s="99"/>
      <c r="V138" s="99"/>
      <c r="W138" s="97"/>
      <c r="X138" s="97"/>
      <c r="Y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97"/>
      <c r="AO138" s="97"/>
      <c r="AP138" s="97"/>
      <c r="AQ138" s="97"/>
      <c r="AR138" s="97"/>
      <c r="AS138" s="97"/>
      <c r="AT138" s="97"/>
      <c r="AU138" s="97"/>
      <c r="AV138" s="97"/>
      <c r="AW138" s="97"/>
      <c r="AX138" s="97"/>
      <c r="AY138" s="97"/>
      <c r="AZ138" s="97"/>
      <c r="BA138" s="97"/>
      <c r="BB138" s="97"/>
      <c r="BC138" s="97"/>
    </row>
    <row r="139" spans="2:55" ht="15.75" customHeight="1">
      <c r="B139" s="93"/>
      <c r="C139" s="94"/>
      <c r="D139" s="95"/>
      <c r="E139" s="234"/>
      <c r="F139" s="96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8"/>
      <c r="S139" s="97"/>
      <c r="T139" s="99"/>
      <c r="U139" s="99"/>
      <c r="V139" s="99"/>
      <c r="W139" s="97"/>
      <c r="X139" s="97"/>
      <c r="Y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  <c r="AQ139" s="97"/>
      <c r="AR139" s="97"/>
      <c r="AS139" s="97"/>
      <c r="AT139" s="97"/>
      <c r="AU139" s="97"/>
      <c r="AV139" s="97"/>
      <c r="AW139" s="97"/>
      <c r="AX139" s="97"/>
      <c r="AY139" s="97"/>
      <c r="AZ139" s="97"/>
      <c r="BA139" s="97"/>
      <c r="BB139" s="97"/>
      <c r="BC139" s="97"/>
    </row>
    <row r="140" spans="2:55" ht="15.75" customHeight="1">
      <c r="B140" s="93"/>
      <c r="C140" s="94"/>
      <c r="D140" s="95"/>
      <c r="E140" s="234"/>
      <c r="F140" s="96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8"/>
      <c r="S140" s="97"/>
      <c r="T140" s="99"/>
      <c r="U140" s="99"/>
      <c r="V140" s="99"/>
      <c r="W140" s="97"/>
      <c r="X140" s="97"/>
      <c r="Y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  <c r="AQ140" s="97"/>
      <c r="AR140" s="97"/>
      <c r="AS140" s="97"/>
      <c r="AT140" s="97"/>
      <c r="AU140" s="97"/>
      <c r="AV140" s="97"/>
      <c r="AW140" s="97"/>
      <c r="AX140" s="97"/>
      <c r="AY140" s="97"/>
      <c r="AZ140" s="97"/>
      <c r="BA140" s="97"/>
      <c r="BB140" s="97"/>
      <c r="BC140" s="97"/>
    </row>
    <row r="141" spans="2:55" ht="15.75" customHeight="1">
      <c r="B141" s="93"/>
      <c r="C141" s="94"/>
      <c r="D141" s="95"/>
      <c r="E141" s="234"/>
      <c r="F141" s="96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8"/>
      <c r="S141" s="97"/>
      <c r="T141" s="99"/>
      <c r="U141" s="99"/>
      <c r="V141" s="99"/>
      <c r="W141" s="97"/>
      <c r="X141" s="97"/>
      <c r="Y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  <c r="AN141" s="97"/>
      <c r="AO141" s="97"/>
      <c r="AP141" s="97"/>
      <c r="AQ141" s="97"/>
      <c r="AR141" s="97"/>
      <c r="AS141" s="97"/>
      <c r="AT141" s="97"/>
      <c r="AU141" s="97"/>
      <c r="AV141" s="97"/>
      <c r="AW141" s="97"/>
      <c r="AX141" s="97"/>
      <c r="AY141" s="97"/>
      <c r="AZ141" s="97"/>
      <c r="BA141" s="97"/>
      <c r="BB141" s="97"/>
      <c r="BC141" s="97"/>
    </row>
    <row r="142" spans="2:55" ht="15.75" customHeight="1">
      <c r="B142" s="93"/>
      <c r="C142" s="94"/>
      <c r="D142" s="95"/>
      <c r="E142" s="234"/>
      <c r="F142" s="96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8"/>
      <c r="S142" s="97"/>
      <c r="T142" s="99"/>
      <c r="U142" s="99"/>
      <c r="V142" s="99"/>
      <c r="W142" s="97"/>
      <c r="X142" s="97"/>
      <c r="Y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  <c r="AR142" s="97"/>
      <c r="AS142" s="97"/>
      <c r="AT142" s="97"/>
      <c r="AU142" s="97"/>
      <c r="AV142" s="97"/>
      <c r="AW142" s="97"/>
      <c r="AX142" s="97"/>
      <c r="AY142" s="97"/>
      <c r="AZ142" s="97"/>
      <c r="BA142" s="97"/>
      <c r="BB142" s="97"/>
      <c r="BC142" s="97"/>
    </row>
    <row r="143" spans="2:55" ht="15.75" customHeight="1">
      <c r="B143" s="93"/>
      <c r="C143" s="94"/>
      <c r="D143" s="95"/>
      <c r="E143" s="234"/>
      <c r="F143" s="96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8"/>
      <c r="S143" s="97"/>
      <c r="T143" s="99"/>
      <c r="U143" s="99"/>
      <c r="V143" s="99"/>
      <c r="W143" s="97"/>
      <c r="X143" s="97"/>
      <c r="Y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97"/>
      <c r="AM143" s="97"/>
      <c r="AN143" s="97"/>
      <c r="AO143" s="97"/>
      <c r="AP143" s="97"/>
      <c r="AQ143" s="97"/>
      <c r="AR143" s="97"/>
      <c r="AS143" s="97"/>
      <c r="AT143" s="97"/>
      <c r="AU143" s="97"/>
      <c r="AV143" s="97"/>
      <c r="AW143" s="97"/>
      <c r="AX143" s="97"/>
      <c r="AY143" s="97"/>
      <c r="AZ143" s="97"/>
      <c r="BA143" s="97"/>
      <c r="BB143" s="97"/>
      <c r="BC143" s="97"/>
    </row>
    <row r="144" spans="2:55" ht="15.75" customHeight="1">
      <c r="B144" s="93"/>
      <c r="C144" s="94"/>
      <c r="D144" s="95"/>
      <c r="E144" s="234"/>
      <c r="F144" s="96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8"/>
      <c r="S144" s="97"/>
      <c r="T144" s="99"/>
      <c r="U144" s="99"/>
      <c r="V144" s="99"/>
      <c r="W144" s="97"/>
      <c r="X144" s="97"/>
      <c r="Y144" s="97"/>
      <c r="AC144" s="97"/>
      <c r="AD144" s="97"/>
      <c r="AE144" s="97"/>
      <c r="AF144" s="97"/>
      <c r="AG144" s="97"/>
      <c r="AH144" s="97"/>
      <c r="AI144" s="97"/>
      <c r="AJ144" s="97"/>
      <c r="AK144" s="97"/>
      <c r="AL144" s="97"/>
      <c r="AM144" s="97"/>
      <c r="AN144" s="97"/>
      <c r="AO144" s="97"/>
      <c r="AP144" s="97"/>
      <c r="AQ144" s="97"/>
      <c r="AR144" s="97"/>
      <c r="AS144" s="97"/>
      <c r="AT144" s="97"/>
      <c r="AU144" s="97"/>
      <c r="AV144" s="97"/>
      <c r="AW144" s="97"/>
      <c r="AX144" s="97"/>
      <c r="AY144" s="97"/>
      <c r="AZ144" s="97"/>
      <c r="BA144" s="97"/>
      <c r="BB144" s="97"/>
      <c r="BC144" s="97"/>
    </row>
    <row r="145" spans="2:55" ht="15.75" customHeight="1">
      <c r="B145" s="93"/>
      <c r="C145" s="94"/>
      <c r="D145" s="95"/>
      <c r="E145" s="234"/>
      <c r="F145" s="96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8"/>
      <c r="S145" s="97"/>
      <c r="T145" s="99"/>
      <c r="U145" s="99"/>
      <c r="V145" s="99"/>
      <c r="W145" s="97"/>
      <c r="X145" s="97"/>
      <c r="Y145" s="97"/>
      <c r="AC145" s="97"/>
      <c r="AD145" s="97"/>
      <c r="AE145" s="97"/>
      <c r="AF145" s="97"/>
      <c r="AG145" s="97"/>
      <c r="AH145" s="97"/>
      <c r="AI145" s="97"/>
      <c r="AJ145" s="97"/>
      <c r="AK145" s="97"/>
      <c r="AL145" s="97"/>
      <c r="AM145" s="97"/>
      <c r="AN145" s="97"/>
      <c r="AO145" s="97"/>
      <c r="AP145" s="97"/>
      <c r="AQ145" s="97"/>
      <c r="AR145" s="97"/>
      <c r="AS145" s="97"/>
      <c r="AT145" s="97"/>
      <c r="AU145" s="97"/>
      <c r="AV145" s="97"/>
      <c r="AW145" s="97"/>
      <c r="AX145" s="97"/>
      <c r="AY145" s="97"/>
      <c r="AZ145" s="97"/>
      <c r="BA145" s="97"/>
      <c r="BB145" s="97"/>
      <c r="BC145" s="97"/>
    </row>
    <row r="146" spans="2:55" ht="15.75" customHeight="1">
      <c r="B146" s="93"/>
      <c r="C146" s="94"/>
      <c r="D146" s="95"/>
      <c r="E146" s="234"/>
      <c r="F146" s="96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8"/>
      <c r="S146" s="97"/>
      <c r="T146" s="99"/>
      <c r="U146" s="99"/>
      <c r="V146" s="99"/>
      <c r="W146" s="97"/>
      <c r="X146" s="97"/>
      <c r="Y146" s="97"/>
      <c r="AC146" s="97"/>
      <c r="AD146" s="97"/>
      <c r="AE146" s="97"/>
      <c r="AF146" s="97"/>
      <c r="AG146" s="97"/>
      <c r="AH146" s="97"/>
      <c r="AI146" s="97"/>
      <c r="AJ146" s="97"/>
      <c r="AK146" s="97"/>
      <c r="AL146" s="97"/>
      <c r="AM146" s="97"/>
      <c r="AN146" s="97"/>
      <c r="AO146" s="97"/>
      <c r="AP146" s="97"/>
      <c r="AQ146" s="97"/>
      <c r="AR146" s="97"/>
      <c r="AS146" s="97"/>
      <c r="AT146" s="97"/>
      <c r="AU146" s="97"/>
      <c r="AV146" s="97"/>
      <c r="AW146" s="97"/>
      <c r="AX146" s="97"/>
      <c r="AY146" s="97"/>
      <c r="AZ146" s="97"/>
      <c r="BA146" s="97"/>
      <c r="BB146" s="97"/>
      <c r="BC146" s="97"/>
    </row>
    <row r="147" spans="2:55" ht="15.75" customHeight="1">
      <c r="B147" s="93"/>
      <c r="C147" s="94"/>
      <c r="D147" s="95"/>
      <c r="E147" s="234"/>
      <c r="F147" s="96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8"/>
      <c r="S147" s="97"/>
      <c r="T147" s="99"/>
      <c r="U147" s="99"/>
      <c r="V147" s="99"/>
      <c r="W147" s="97"/>
      <c r="X147" s="97"/>
      <c r="Y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  <c r="AT147" s="97"/>
      <c r="AU147" s="97"/>
      <c r="AV147" s="97"/>
      <c r="AW147" s="97"/>
      <c r="AX147" s="97"/>
      <c r="AY147" s="97"/>
      <c r="AZ147" s="97"/>
      <c r="BA147" s="97"/>
      <c r="BB147" s="97"/>
      <c r="BC147" s="97"/>
    </row>
    <row r="148" spans="2:55" ht="15.75" customHeight="1">
      <c r="B148" s="93"/>
      <c r="C148" s="94"/>
      <c r="D148" s="95"/>
      <c r="E148" s="234"/>
      <c r="F148" s="96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8"/>
      <c r="S148" s="97"/>
      <c r="T148" s="99"/>
      <c r="U148" s="99"/>
      <c r="V148" s="99"/>
      <c r="W148" s="97"/>
      <c r="X148" s="97"/>
      <c r="Y148" s="97"/>
      <c r="AC148" s="97"/>
      <c r="AD148" s="97"/>
      <c r="AE148" s="97"/>
      <c r="AF148" s="97"/>
      <c r="AG148" s="97"/>
      <c r="AH148" s="97"/>
      <c r="AI148" s="97"/>
      <c r="AJ148" s="97"/>
      <c r="AK148" s="97"/>
      <c r="AL148" s="97"/>
      <c r="AM148" s="97"/>
      <c r="AN148" s="97"/>
      <c r="AO148" s="97"/>
      <c r="AP148" s="97"/>
      <c r="AQ148" s="97"/>
      <c r="AR148" s="97"/>
      <c r="AS148" s="97"/>
      <c r="AT148" s="97"/>
      <c r="AU148" s="97"/>
      <c r="AV148" s="97"/>
      <c r="AW148" s="97"/>
      <c r="AX148" s="97"/>
      <c r="AY148" s="97"/>
      <c r="AZ148" s="97"/>
      <c r="BA148" s="97"/>
      <c r="BB148" s="97"/>
      <c r="BC148" s="97"/>
    </row>
    <row r="149" spans="2:55" ht="15.75" customHeight="1">
      <c r="B149" s="93"/>
      <c r="C149" s="94"/>
      <c r="D149" s="95"/>
      <c r="E149" s="234"/>
      <c r="F149" s="96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8"/>
      <c r="S149" s="97"/>
      <c r="T149" s="99"/>
      <c r="U149" s="99"/>
      <c r="V149" s="99"/>
      <c r="W149" s="97"/>
      <c r="X149" s="97"/>
      <c r="Y149" s="97"/>
      <c r="AC149" s="97"/>
      <c r="AD149" s="97"/>
      <c r="AE149" s="97"/>
      <c r="AF149" s="97"/>
      <c r="AG149" s="97"/>
      <c r="AH149" s="97"/>
      <c r="AI149" s="97"/>
      <c r="AJ149" s="97"/>
      <c r="AK149" s="97"/>
      <c r="AL149" s="97"/>
      <c r="AM149" s="97"/>
      <c r="AN149" s="97"/>
      <c r="AO149" s="97"/>
      <c r="AP149" s="97"/>
      <c r="AQ149" s="97"/>
      <c r="AR149" s="97"/>
      <c r="AS149" s="97"/>
      <c r="AT149" s="97"/>
      <c r="AU149" s="97"/>
      <c r="AV149" s="97"/>
      <c r="AW149" s="97"/>
      <c r="AX149" s="97"/>
      <c r="AY149" s="97"/>
      <c r="AZ149" s="97"/>
      <c r="BA149" s="97"/>
      <c r="BB149" s="97"/>
      <c r="BC149" s="97"/>
    </row>
    <row r="150" spans="2:55" ht="15.75" customHeight="1">
      <c r="B150" s="93"/>
      <c r="C150" s="94"/>
      <c r="D150" s="95"/>
      <c r="E150" s="234"/>
      <c r="F150" s="96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8"/>
      <c r="S150" s="97"/>
      <c r="T150" s="99"/>
      <c r="U150" s="99"/>
      <c r="V150" s="99"/>
      <c r="W150" s="97"/>
      <c r="X150" s="97"/>
      <c r="Y150" s="97"/>
      <c r="AC150" s="97"/>
      <c r="AD150" s="97"/>
      <c r="AE150" s="97"/>
      <c r="AF150" s="97"/>
      <c r="AG150" s="97"/>
      <c r="AH150" s="97"/>
      <c r="AI150" s="97"/>
      <c r="AJ150" s="97"/>
      <c r="AK150" s="97"/>
      <c r="AL150" s="97"/>
      <c r="AM150" s="97"/>
      <c r="AN150" s="97"/>
      <c r="AO150" s="97"/>
      <c r="AP150" s="97"/>
      <c r="AQ150" s="97"/>
      <c r="AR150" s="97"/>
      <c r="AS150" s="97"/>
      <c r="AT150" s="97"/>
      <c r="AU150" s="97"/>
      <c r="AV150" s="97"/>
      <c r="AW150" s="97"/>
      <c r="AX150" s="97"/>
      <c r="AY150" s="97"/>
      <c r="AZ150" s="97"/>
      <c r="BA150" s="97"/>
      <c r="BB150" s="97"/>
      <c r="BC150" s="97"/>
    </row>
    <row r="151" spans="2:55" ht="15.75" customHeight="1">
      <c r="B151" s="93"/>
      <c r="C151" s="94"/>
      <c r="D151" s="95"/>
      <c r="E151" s="234"/>
      <c r="F151" s="96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8"/>
      <c r="S151" s="97"/>
      <c r="T151" s="99"/>
      <c r="U151" s="99"/>
      <c r="V151" s="99"/>
      <c r="W151" s="97"/>
      <c r="X151" s="97"/>
      <c r="Y151" s="97"/>
      <c r="AC151" s="97"/>
      <c r="AD151" s="97"/>
      <c r="AE151" s="97"/>
      <c r="AF151" s="97"/>
      <c r="AG151" s="97"/>
      <c r="AH151" s="97"/>
      <c r="AI151" s="97"/>
      <c r="AJ151" s="97"/>
      <c r="AK151" s="97"/>
      <c r="AL151" s="97"/>
      <c r="AM151" s="97"/>
      <c r="AN151" s="97"/>
      <c r="AO151" s="97"/>
      <c r="AP151" s="97"/>
      <c r="AQ151" s="97"/>
      <c r="AR151" s="97"/>
      <c r="AS151" s="97"/>
      <c r="AT151" s="97"/>
      <c r="AU151" s="97"/>
      <c r="AV151" s="97"/>
      <c r="AW151" s="97"/>
      <c r="AX151" s="97"/>
      <c r="AY151" s="97"/>
      <c r="AZ151" s="97"/>
      <c r="BA151" s="97"/>
      <c r="BB151" s="97"/>
      <c r="BC151" s="97"/>
    </row>
    <row r="152" spans="2:55" ht="15.75" customHeight="1">
      <c r="B152" s="93"/>
      <c r="C152" s="94"/>
      <c r="D152" s="95"/>
      <c r="E152" s="234"/>
      <c r="F152" s="96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8"/>
      <c r="S152" s="97"/>
      <c r="T152" s="99"/>
      <c r="U152" s="99"/>
      <c r="V152" s="99"/>
      <c r="W152" s="97"/>
      <c r="X152" s="97"/>
      <c r="Y152" s="97"/>
      <c r="AC152" s="97"/>
      <c r="AD152" s="97"/>
      <c r="AE152" s="97"/>
      <c r="AF152" s="97"/>
      <c r="AG152" s="97"/>
      <c r="AH152" s="97"/>
      <c r="AI152" s="97"/>
      <c r="AJ152" s="97"/>
      <c r="AK152" s="97"/>
      <c r="AL152" s="97"/>
      <c r="AM152" s="97"/>
      <c r="AN152" s="97"/>
      <c r="AO152" s="97"/>
      <c r="AP152" s="97"/>
      <c r="AQ152" s="97"/>
      <c r="AR152" s="97"/>
      <c r="AS152" s="97"/>
      <c r="AT152" s="97"/>
      <c r="AU152" s="97"/>
      <c r="AV152" s="97"/>
      <c r="AW152" s="97"/>
      <c r="AX152" s="97"/>
      <c r="AY152" s="97"/>
      <c r="AZ152" s="97"/>
      <c r="BA152" s="97"/>
      <c r="BB152" s="97"/>
      <c r="BC152" s="97"/>
    </row>
    <row r="153" spans="2:55" ht="15.75" customHeight="1">
      <c r="B153" s="93"/>
      <c r="C153" s="94"/>
      <c r="D153" s="95"/>
      <c r="E153" s="234"/>
      <c r="F153" s="96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8"/>
      <c r="S153" s="97"/>
      <c r="T153" s="99"/>
      <c r="U153" s="99"/>
      <c r="V153" s="99"/>
      <c r="W153" s="97"/>
      <c r="X153" s="97"/>
      <c r="Y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  <c r="AR153" s="97"/>
      <c r="AS153" s="97"/>
      <c r="AT153" s="97"/>
      <c r="AU153" s="97"/>
      <c r="AV153" s="97"/>
      <c r="AW153" s="97"/>
      <c r="AX153" s="97"/>
      <c r="AY153" s="97"/>
      <c r="AZ153" s="97"/>
      <c r="BA153" s="97"/>
      <c r="BB153" s="97"/>
      <c r="BC153" s="97"/>
    </row>
    <row r="154" spans="2:55" ht="15.75" customHeight="1">
      <c r="B154" s="93"/>
      <c r="C154" s="94"/>
      <c r="D154" s="95"/>
      <c r="E154" s="234"/>
      <c r="F154" s="96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8"/>
      <c r="S154" s="97"/>
      <c r="T154" s="99"/>
      <c r="U154" s="99"/>
      <c r="V154" s="99"/>
      <c r="W154" s="97"/>
      <c r="X154" s="97"/>
      <c r="Y154" s="97"/>
      <c r="AC154" s="97"/>
      <c r="AD154" s="97"/>
      <c r="AE154" s="97"/>
      <c r="AF154" s="97"/>
      <c r="AG154" s="97"/>
      <c r="AH154" s="97"/>
      <c r="AI154" s="97"/>
      <c r="AJ154" s="97"/>
      <c r="AK154" s="97"/>
      <c r="AL154" s="97"/>
      <c r="AM154" s="97"/>
      <c r="AN154" s="97"/>
      <c r="AO154" s="97"/>
      <c r="AP154" s="97"/>
      <c r="AQ154" s="97"/>
      <c r="AR154" s="97"/>
      <c r="AS154" s="97"/>
      <c r="AT154" s="97"/>
      <c r="AU154" s="97"/>
      <c r="AV154" s="97"/>
      <c r="AW154" s="97"/>
      <c r="AX154" s="97"/>
      <c r="AY154" s="97"/>
      <c r="AZ154" s="97"/>
      <c r="BA154" s="97"/>
      <c r="BB154" s="97"/>
      <c r="BC154" s="97"/>
    </row>
    <row r="155" spans="2:55" ht="15.75" customHeight="1">
      <c r="B155" s="93"/>
      <c r="C155" s="94"/>
      <c r="D155" s="95"/>
      <c r="E155" s="234"/>
      <c r="F155" s="96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8"/>
      <c r="S155" s="97"/>
      <c r="T155" s="99"/>
      <c r="U155" s="99"/>
      <c r="V155" s="99"/>
      <c r="W155" s="97"/>
      <c r="X155" s="97"/>
      <c r="Y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  <c r="AM155" s="97"/>
      <c r="AN155" s="97"/>
      <c r="AO155" s="97"/>
      <c r="AP155" s="97"/>
      <c r="AQ155" s="97"/>
      <c r="AR155" s="97"/>
      <c r="AS155" s="97"/>
      <c r="AT155" s="97"/>
      <c r="AU155" s="97"/>
      <c r="AV155" s="97"/>
      <c r="AW155" s="97"/>
      <c r="AX155" s="97"/>
      <c r="AY155" s="97"/>
      <c r="AZ155" s="97"/>
      <c r="BA155" s="97"/>
      <c r="BB155" s="97"/>
      <c r="BC155" s="97"/>
    </row>
    <row r="156" spans="2:55" ht="15.75" customHeight="1">
      <c r="B156" s="93"/>
      <c r="C156" s="94"/>
      <c r="D156" s="95"/>
      <c r="E156" s="234"/>
      <c r="F156" s="96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8"/>
      <c r="S156" s="97"/>
      <c r="T156" s="99"/>
      <c r="U156" s="99"/>
      <c r="V156" s="99"/>
      <c r="W156" s="97"/>
      <c r="X156" s="97"/>
      <c r="Y156" s="97"/>
      <c r="AC156" s="97"/>
      <c r="AD156" s="97"/>
      <c r="AE156" s="97"/>
      <c r="AF156" s="97"/>
      <c r="AG156" s="97"/>
      <c r="AH156" s="97"/>
      <c r="AI156" s="97"/>
      <c r="AJ156" s="97"/>
      <c r="AK156" s="97"/>
      <c r="AL156" s="97"/>
      <c r="AM156" s="97"/>
      <c r="AN156" s="97"/>
      <c r="AO156" s="97"/>
      <c r="AP156" s="97"/>
      <c r="AQ156" s="97"/>
      <c r="AR156" s="97"/>
      <c r="AS156" s="97"/>
      <c r="AT156" s="97"/>
      <c r="AU156" s="97"/>
      <c r="AV156" s="97"/>
      <c r="AW156" s="97"/>
      <c r="AX156" s="97"/>
      <c r="AY156" s="97"/>
      <c r="AZ156" s="97"/>
      <c r="BA156" s="97"/>
      <c r="BB156" s="97"/>
      <c r="BC156" s="97"/>
    </row>
    <row r="157" spans="2:55" ht="15.75" customHeight="1">
      <c r="B157" s="93"/>
      <c r="C157" s="94"/>
      <c r="D157" s="95"/>
      <c r="E157" s="234"/>
      <c r="F157" s="96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8"/>
      <c r="S157" s="97"/>
      <c r="T157" s="99"/>
      <c r="U157" s="99"/>
      <c r="V157" s="99"/>
      <c r="W157" s="97"/>
      <c r="X157" s="97"/>
      <c r="Y157" s="97"/>
      <c r="AC157" s="97"/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7"/>
      <c r="AQ157" s="97"/>
      <c r="AR157" s="97"/>
      <c r="AS157" s="97"/>
      <c r="AT157" s="97"/>
      <c r="AU157" s="97"/>
      <c r="AV157" s="97"/>
      <c r="AW157" s="97"/>
      <c r="AX157" s="97"/>
      <c r="AY157" s="97"/>
      <c r="AZ157" s="97"/>
      <c r="BA157" s="97"/>
      <c r="BB157" s="97"/>
      <c r="BC157" s="97"/>
    </row>
    <row r="158" spans="2:55" ht="15.75" customHeight="1">
      <c r="B158" s="93"/>
      <c r="C158" s="94"/>
      <c r="D158" s="95"/>
      <c r="E158" s="234"/>
      <c r="F158" s="96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8"/>
      <c r="S158" s="97"/>
      <c r="T158" s="99"/>
      <c r="U158" s="99"/>
      <c r="V158" s="99"/>
      <c r="W158" s="97"/>
      <c r="X158" s="97"/>
      <c r="Y158" s="97"/>
      <c r="AC158" s="97"/>
      <c r="AD158" s="97"/>
      <c r="AE158" s="97"/>
      <c r="AF158" s="97"/>
      <c r="AG158" s="97"/>
      <c r="AH158" s="97"/>
      <c r="AI158" s="97"/>
      <c r="AJ158" s="97"/>
      <c r="AK158" s="97"/>
      <c r="AL158" s="97"/>
      <c r="AM158" s="97"/>
      <c r="AN158" s="97"/>
      <c r="AO158" s="97"/>
      <c r="AP158" s="97"/>
      <c r="AQ158" s="97"/>
      <c r="AR158" s="97"/>
      <c r="AS158" s="97"/>
      <c r="AT158" s="97"/>
      <c r="AU158" s="97"/>
      <c r="AV158" s="97"/>
      <c r="AW158" s="97"/>
      <c r="AX158" s="97"/>
      <c r="AY158" s="97"/>
      <c r="AZ158" s="97"/>
      <c r="BA158" s="97"/>
      <c r="BB158" s="97"/>
      <c r="BC158" s="97"/>
    </row>
    <row r="159" spans="2:55" ht="15.75" customHeight="1">
      <c r="B159" s="93"/>
      <c r="C159" s="94"/>
      <c r="D159" s="95"/>
      <c r="E159" s="234"/>
      <c r="F159" s="96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8"/>
      <c r="S159" s="97"/>
      <c r="T159" s="99"/>
      <c r="U159" s="99"/>
      <c r="V159" s="99"/>
      <c r="W159" s="97"/>
      <c r="X159" s="97"/>
      <c r="Y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/>
      <c r="AP159" s="97"/>
      <c r="AQ159" s="97"/>
      <c r="AR159" s="97"/>
      <c r="AS159" s="97"/>
      <c r="AT159" s="97"/>
      <c r="AU159" s="97"/>
      <c r="AV159" s="97"/>
      <c r="AW159" s="97"/>
      <c r="AX159" s="97"/>
      <c r="AY159" s="97"/>
      <c r="AZ159" s="97"/>
      <c r="BA159" s="97"/>
      <c r="BB159" s="97"/>
      <c r="BC159" s="97"/>
    </row>
    <row r="160" spans="2:55" ht="15.75" customHeight="1">
      <c r="B160" s="93"/>
      <c r="C160" s="94"/>
      <c r="D160" s="95"/>
      <c r="E160" s="234"/>
      <c r="F160" s="96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8"/>
      <c r="S160" s="97"/>
      <c r="T160" s="99"/>
      <c r="U160" s="99"/>
      <c r="V160" s="99"/>
      <c r="W160" s="97"/>
      <c r="X160" s="97"/>
      <c r="Y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  <c r="AM160" s="97"/>
      <c r="AN160" s="97"/>
      <c r="AO160" s="97"/>
      <c r="AP160" s="97"/>
      <c r="AQ160" s="97"/>
      <c r="AR160" s="97"/>
      <c r="AS160" s="97"/>
      <c r="AT160" s="97"/>
      <c r="AU160" s="97"/>
      <c r="AV160" s="97"/>
      <c r="AW160" s="97"/>
      <c r="AX160" s="97"/>
      <c r="AY160" s="97"/>
      <c r="AZ160" s="97"/>
      <c r="BA160" s="97"/>
      <c r="BB160" s="97"/>
      <c r="BC160" s="97"/>
    </row>
    <row r="161" spans="2:55" ht="15.75" customHeight="1">
      <c r="B161" s="93"/>
      <c r="C161" s="94"/>
      <c r="D161" s="95"/>
      <c r="E161" s="234"/>
      <c r="F161" s="96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8"/>
      <c r="S161" s="97"/>
      <c r="T161" s="99"/>
      <c r="U161" s="99"/>
      <c r="V161" s="99"/>
      <c r="W161" s="97"/>
      <c r="X161" s="97"/>
      <c r="Y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97"/>
      <c r="AO161" s="97"/>
      <c r="AP161" s="97"/>
      <c r="AQ161" s="97"/>
      <c r="AR161" s="97"/>
      <c r="AS161" s="97"/>
      <c r="AT161" s="97"/>
      <c r="AU161" s="97"/>
      <c r="AV161" s="97"/>
      <c r="AW161" s="97"/>
      <c r="AX161" s="97"/>
      <c r="AY161" s="97"/>
      <c r="AZ161" s="97"/>
      <c r="BA161" s="97"/>
      <c r="BB161" s="97"/>
      <c r="BC161" s="97"/>
    </row>
    <row r="162" spans="2:55" ht="15.75" customHeight="1">
      <c r="B162" s="93"/>
      <c r="C162" s="94"/>
      <c r="D162" s="95"/>
      <c r="E162" s="234"/>
      <c r="F162" s="96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8"/>
      <c r="S162" s="97"/>
      <c r="T162" s="99"/>
      <c r="U162" s="99"/>
      <c r="V162" s="99"/>
      <c r="W162" s="97"/>
      <c r="X162" s="97"/>
      <c r="Y162" s="97"/>
      <c r="AC162" s="97"/>
      <c r="AD162" s="97"/>
      <c r="AE162" s="97"/>
      <c r="AF162" s="97"/>
      <c r="AG162" s="97"/>
      <c r="AH162" s="97"/>
      <c r="AI162" s="97"/>
      <c r="AJ162" s="97"/>
      <c r="AK162" s="97"/>
      <c r="AL162" s="97"/>
      <c r="AM162" s="97"/>
      <c r="AN162" s="97"/>
      <c r="AO162" s="97"/>
      <c r="AP162" s="97"/>
      <c r="AQ162" s="97"/>
      <c r="AR162" s="97"/>
      <c r="AS162" s="97"/>
      <c r="AT162" s="97"/>
      <c r="AU162" s="97"/>
      <c r="AV162" s="97"/>
      <c r="AW162" s="97"/>
      <c r="AX162" s="97"/>
      <c r="AY162" s="97"/>
      <c r="AZ162" s="97"/>
      <c r="BA162" s="97"/>
      <c r="BB162" s="97"/>
      <c r="BC162" s="97"/>
    </row>
    <row r="163" spans="2:55" ht="15.75" customHeight="1">
      <c r="B163" s="93"/>
      <c r="C163" s="94"/>
      <c r="D163" s="95"/>
      <c r="E163" s="234"/>
      <c r="F163" s="96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8"/>
      <c r="S163" s="97"/>
      <c r="T163" s="99"/>
      <c r="U163" s="99"/>
      <c r="V163" s="99"/>
      <c r="W163" s="97"/>
      <c r="X163" s="97"/>
      <c r="Y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  <c r="AT163" s="97"/>
      <c r="AU163" s="97"/>
      <c r="AV163" s="97"/>
      <c r="AW163" s="97"/>
      <c r="AX163" s="97"/>
      <c r="AY163" s="97"/>
      <c r="AZ163" s="97"/>
      <c r="BA163" s="97"/>
      <c r="BB163" s="97"/>
      <c r="BC163" s="97"/>
    </row>
    <row r="164" spans="2:55" ht="15.75" customHeight="1">
      <c r="B164" s="93"/>
      <c r="C164" s="94"/>
      <c r="D164" s="95"/>
      <c r="E164" s="234"/>
      <c r="F164" s="96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8"/>
      <c r="S164" s="97"/>
      <c r="T164" s="99"/>
      <c r="U164" s="99"/>
      <c r="V164" s="99"/>
      <c r="W164" s="97"/>
      <c r="X164" s="97"/>
      <c r="Y164" s="97"/>
      <c r="AC164" s="97"/>
      <c r="AD164" s="97"/>
      <c r="AE164" s="97"/>
      <c r="AF164" s="97"/>
      <c r="AG164" s="97"/>
      <c r="AH164" s="97"/>
      <c r="AI164" s="97"/>
      <c r="AJ164" s="97"/>
      <c r="AK164" s="97"/>
      <c r="AL164" s="97"/>
      <c r="AM164" s="97"/>
      <c r="AN164" s="97"/>
      <c r="AO164" s="97"/>
      <c r="AP164" s="97"/>
      <c r="AQ164" s="97"/>
      <c r="AR164" s="97"/>
      <c r="AS164" s="97"/>
      <c r="AT164" s="97"/>
      <c r="AU164" s="97"/>
      <c r="AV164" s="97"/>
      <c r="AW164" s="97"/>
      <c r="AX164" s="97"/>
      <c r="AY164" s="97"/>
      <c r="AZ164" s="97"/>
      <c r="BA164" s="97"/>
      <c r="BB164" s="97"/>
      <c r="BC164" s="97"/>
    </row>
    <row r="165" spans="2:55" ht="15.75" customHeight="1">
      <c r="B165" s="93"/>
      <c r="C165" s="94"/>
      <c r="D165" s="95"/>
      <c r="E165" s="234"/>
      <c r="F165" s="96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8"/>
      <c r="S165" s="97"/>
      <c r="T165" s="99"/>
      <c r="U165" s="99"/>
      <c r="V165" s="99"/>
      <c r="W165" s="97"/>
      <c r="X165" s="97"/>
      <c r="Y165" s="97"/>
      <c r="AC165" s="97"/>
      <c r="AD165" s="97"/>
      <c r="AE165" s="97"/>
      <c r="AF165" s="97"/>
      <c r="AG165" s="97"/>
      <c r="AH165" s="97"/>
      <c r="AI165" s="97"/>
      <c r="AJ165" s="97"/>
      <c r="AK165" s="97"/>
      <c r="AL165" s="97"/>
      <c r="AM165" s="97"/>
      <c r="AN165" s="97"/>
      <c r="AO165" s="97"/>
      <c r="AP165" s="97"/>
      <c r="AQ165" s="97"/>
      <c r="AR165" s="97"/>
      <c r="AS165" s="97"/>
      <c r="AT165" s="97"/>
      <c r="AU165" s="97"/>
      <c r="AV165" s="97"/>
      <c r="AW165" s="97"/>
      <c r="AX165" s="97"/>
      <c r="AY165" s="97"/>
      <c r="AZ165" s="97"/>
      <c r="BA165" s="97"/>
      <c r="BB165" s="97"/>
      <c r="BC165" s="97"/>
    </row>
    <row r="166" spans="2:55" ht="15.75" customHeight="1">
      <c r="B166" s="93"/>
      <c r="C166" s="94"/>
      <c r="D166" s="95"/>
      <c r="E166" s="234"/>
      <c r="F166" s="96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8"/>
      <c r="S166" s="97"/>
      <c r="T166" s="99"/>
      <c r="U166" s="99"/>
      <c r="V166" s="99"/>
      <c r="W166" s="97"/>
      <c r="X166" s="97"/>
      <c r="Y166" s="97"/>
      <c r="AC166" s="97"/>
      <c r="AD166" s="97"/>
      <c r="AE166" s="97"/>
      <c r="AF166" s="97"/>
      <c r="AG166" s="97"/>
      <c r="AH166" s="97"/>
      <c r="AI166" s="97"/>
      <c r="AJ166" s="97"/>
      <c r="AK166" s="97"/>
      <c r="AL166" s="97"/>
      <c r="AM166" s="97"/>
      <c r="AN166" s="97"/>
      <c r="AO166" s="97"/>
      <c r="AP166" s="97"/>
      <c r="AQ166" s="97"/>
      <c r="AR166" s="97"/>
      <c r="AS166" s="97"/>
      <c r="AT166" s="97"/>
      <c r="AU166" s="97"/>
      <c r="AV166" s="97"/>
      <c r="AW166" s="97"/>
      <c r="AX166" s="97"/>
      <c r="AY166" s="97"/>
      <c r="AZ166" s="97"/>
      <c r="BA166" s="97"/>
      <c r="BB166" s="97"/>
      <c r="BC166" s="97"/>
    </row>
    <row r="167" spans="2:55" ht="15.75" customHeight="1">
      <c r="B167" s="93"/>
      <c r="C167" s="94"/>
      <c r="D167" s="95"/>
      <c r="E167" s="234"/>
      <c r="F167" s="96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8"/>
      <c r="S167" s="97"/>
      <c r="T167" s="99"/>
      <c r="U167" s="99"/>
      <c r="V167" s="99"/>
      <c r="W167" s="97"/>
      <c r="X167" s="97"/>
      <c r="Y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7"/>
      <c r="AN167" s="97"/>
      <c r="AO167" s="97"/>
      <c r="AP167" s="97"/>
      <c r="AQ167" s="97"/>
      <c r="AR167" s="97"/>
      <c r="AS167" s="97"/>
      <c r="AT167" s="97"/>
      <c r="AU167" s="97"/>
      <c r="AV167" s="97"/>
      <c r="AW167" s="97"/>
      <c r="AX167" s="97"/>
      <c r="AY167" s="97"/>
      <c r="AZ167" s="97"/>
      <c r="BA167" s="97"/>
      <c r="BB167" s="97"/>
      <c r="BC167" s="97"/>
    </row>
    <row r="168" spans="2:55" ht="15.75" customHeight="1">
      <c r="B168" s="93"/>
      <c r="C168" s="94"/>
      <c r="D168" s="95"/>
      <c r="E168" s="234"/>
      <c r="F168" s="96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8"/>
      <c r="S168" s="97"/>
      <c r="T168" s="99"/>
      <c r="U168" s="99"/>
      <c r="V168" s="99"/>
      <c r="W168" s="97"/>
      <c r="X168" s="97"/>
      <c r="Y168" s="97"/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  <c r="AM168" s="97"/>
      <c r="AN168" s="97"/>
      <c r="AO168" s="97"/>
      <c r="AP168" s="97"/>
      <c r="AQ168" s="97"/>
      <c r="AR168" s="97"/>
      <c r="AS168" s="97"/>
      <c r="AT168" s="97"/>
      <c r="AU168" s="97"/>
      <c r="AV168" s="97"/>
      <c r="AW168" s="97"/>
      <c r="AX168" s="97"/>
      <c r="AY168" s="97"/>
      <c r="AZ168" s="97"/>
      <c r="BA168" s="97"/>
      <c r="BB168" s="97"/>
      <c r="BC168" s="97"/>
    </row>
    <row r="169" spans="2:55" ht="15.75" customHeight="1">
      <c r="B169" s="93"/>
      <c r="C169" s="94"/>
      <c r="D169" s="95"/>
      <c r="E169" s="234"/>
      <c r="F169" s="96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8"/>
      <c r="S169" s="97"/>
      <c r="T169" s="99"/>
      <c r="U169" s="99"/>
      <c r="V169" s="99"/>
      <c r="W169" s="97"/>
      <c r="X169" s="97"/>
      <c r="Y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97"/>
      <c r="AT169" s="97"/>
      <c r="AU169" s="97"/>
      <c r="AV169" s="97"/>
      <c r="AW169" s="97"/>
      <c r="AX169" s="97"/>
      <c r="AY169" s="97"/>
      <c r="AZ169" s="97"/>
      <c r="BA169" s="97"/>
      <c r="BB169" s="97"/>
      <c r="BC169" s="97"/>
    </row>
    <row r="170" spans="2:55" ht="15.75" customHeight="1">
      <c r="B170" s="93"/>
      <c r="C170" s="94"/>
      <c r="D170" s="95"/>
      <c r="E170" s="234"/>
      <c r="F170" s="96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8"/>
      <c r="S170" s="97"/>
      <c r="T170" s="99"/>
      <c r="U170" s="99"/>
      <c r="V170" s="99"/>
      <c r="W170" s="97"/>
      <c r="X170" s="97"/>
      <c r="Y170" s="97"/>
      <c r="AC170" s="97"/>
      <c r="AD170" s="97"/>
      <c r="AE170" s="97"/>
      <c r="AF170" s="97"/>
      <c r="AG170" s="97"/>
      <c r="AH170" s="97"/>
      <c r="AI170" s="97"/>
      <c r="AJ170" s="97"/>
      <c r="AK170" s="97"/>
      <c r="AL170" s="97"/>
      <c r="AM170" s="97"/>
      <c r="AN170" s="97"/>
      <c r="AO170" s="97"/>
      <c r="AP170" s="97"/>
      <c r="AQ170" s="97"/>
      <c r="AR170" s="97"/>
      <c r="AS170" s="97"/>
      <c r="AT170" s="97"/>
      <c r="AU170" s="97"/>
      <c r="AV170" s="97"/>
      <c r="AW170" s="97"/>
      <c r="AX170" s="97"/>
      <c r="AY170" s="97"/>
      <c r="AZ170" s="97"/>
      <c r="BA170" s="97"/>
      <c r="BB170" s="97"/>
      <c r="BC170" s="97"/>
    </row>
    <row r="171" spans="2:55" ht="15.75" customHeight="1">
      <c r="B171" s="93"/>
      <c r="C171" s="94"/>
      <c r="D171" s="95"/>
      <c r="E171" s="234"/>
      <c r="F171" s="96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8"/>
      <c r="S171" s="97"/>
      <c r="T171" s="99"/>
      <c r="U171" s="99"/>
      <c r="V171" s="99"/>
      <c r="W171" s="97"/>
      <c r="X171" s="97"/>
      <c r="Y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  <c r="AM171" s="97"/>
      <c r="AN171" s="97"/>
      <c r="AO171" s="97"/>
      <c r="AP171" s="97"/>
      <c r="AQ171" s="97"/>
      <c r="AR171" s="97"/>
      <c r="AS171" s="97"/>
      <c r="AT171" s="97"/>
      <c r="AU171" s="97"/>
      <c r="AV171" s="97"/>
      <c r="AW171" s="97"/>
      <c r="AX171" s="97"/>
      <c r="AY171" s="97"/>
      <c r="AZ171" s="97"/>
      <c r="BA171" s="97"/>
      <c r="BB171" s="97"/>
      <c r="BC171" s="97"/>
    </row>
    <row r="172" spans="2:55" ht="15.75" customHeight="1">
      <c r="B172" s="93"/>
      <c r="C172" s="94"/>
      <c r="D172" s="95"/>
      <c r="E172" s="234"/>
      <c r="F172" s="96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8"/>
      <c r="S172" s="97"/>
      <c r="T172" s="99"/>
      <c r="U172" s="99"/>
      <c r="V172" s="99"/>
      <c r="W172" s="97"/>
      <c r="X172" s="97"/>
      <c r="Y172" s="97"/>
      <c r="AC172" s="97"/>
      <c r="AD172" s="97"/>
      <c r="AE172" s="97"/>
      <c r="AF172" s="97"/>
      <c r="AG172" s="97"/>
      <c r="AH172" s="97"/>
      <c r="AI172" s="97"/>
      <c r="AJ172" s="97"/>
      <c r="AK172" s="97"/>
      <c r="AL172" s="97"/>
      <c r="AM172" s="97"/>
      <c r="AN172" s="97"/>
      <c r="AO172" s="97"/>
      <c r="AP172" s="97"/>
      <c r="AQ172" s="97"/>
      <c r="AR172" s="97"/>
      <c r="AS172" s="97"/>
      <c r="AT172" s="97"/>
      <c r="AU172" s="97"/>
      <c r="AV172" s="97"/>
      <c r="AW172" s="97"/>
      <c r="AX172" s="97"/>
      <c r="AY172" s="97"/>
      <c r="AZ172" s="97"/>
      <c r="BA172" s="97"/>
      <c r="BB172" s="97"/>
      <c r="BC172" s="97"/>
    </row>
    <row r="173" spans="2:55" ht="15.75" customHeight="1">
      <c r="B173" s="93"/>
      <c r="C173" s="94"/>
      <c r="D173" s="95"/>
      <c r="E173" s="234"/>
      <c r="F173" s="96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8"/>
      <c r="S173" s="97"/>
      <c r="T173" s="99"/>
      <c r="U173" s="99"/>
      <c r="V173" s="99"/>
      <c r="W173" s="97"/>
      <c r="X173" s="97"/>
      <c r="Y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  <c r="AN173" s="97"/>
      <c r="AO173" s="97"/>
      <c r="AP173" s="97"/>
      <c r="AQ173" s="97"/>
      <c r="AR173" s="97"/>
      <c r="AS173" s="97"/>
      <c r="AT173" s="97"/>
      <c r="AU173" s="97"/>
      <c r="AV173" s="97"/>
      <c r="AW173" s="97"/>
      <c r="AX173" s="97"/>
      <c r="AY173" s="97"/>
      <c r="AZ173" s="97"/>
      <c r="BA173" s="97"/>
      <c r="BB173" s="97"/>
      <c r="BC173" s="97"/>
    </row>
    <row r="174" spans="2:55" ht="15.75" customHeight="1">
      <c r="B174" s="93"/>
      <c r="C174" s="94"/>
      <c r="D174" s="95"/>
      <c r="E174" s="234"/>
      <c r="F174" s="96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8"/>
      <c r="S174" s="97"/>
      <c r="T174" s="99"/>
      <c r="U174" s="99"/>
      <c r="V174" s="99"/>
      <c r="W174" s="97"/>
      <c r="X174" s="97"/>
      <c r="Y174" s="97"/>
      <c r="AC174" s="97"/>
      <c r="AD174" s="97"/>
      <c r="AE174" s="97"/>
      <c r="AF174" s="97"/>
      <c r="AG174" s="97"/>
      <c r="AH174" s="97"/>
      <c r="AI174" s="97"/>
      <c r="AJ174" s="97"/>
      <c r="AK174" s="97"/>
      <c r="AL174" s="97"/>
      <c r="AM174" s="97"/>
      <c r="AN174" s="97"/>
      <c r="AO174" s="97"/>
      <c r="AP174" s="97"/>
      <c r="AQ174" s="97"/>
      <c r="AR174" s="97"/>
      <c r="AS174" s="97"/>
      <c r="AT174" s="97"/>
      <c r="AU174" s="97"/>
      <c r="AV174" s="97"/>
      <c r="AW174" s="97"/>
      <c r="AX174" s="97"/>
      <c r="AY174" s="97"/>
      <c r="AZ174" s="97"/>
      <c r="BA174" s="97"/>
      <c r="BB174" s="97"/>
      <c r="BC174" s="97"/>
    </row>
    <row r="175" spans="2:55" ht="15.75" customHeight="1">
      <c r="B175" s="93"/>
      <c r="C175" s="94"/>
      <c r="D175" s="95"/>
      <c r="E175" s="234"/>
      <c r="F175" s="96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8"/>
      <c r="S175" s="97"/>
      <c r="T175" s="99"/>
      <c r="U175" s="99"/>
      <c r="V175" s="99"/>
      <c r="W175" s="97"/>
      <c r="X175" s="97"/>
      <c r="Y175" s="97"/>
      <c r="AC175" s="97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/>
      <c r="AO175" s="97"/>
      <c r="AP175" s="97"/>
      <c r="AQ175" s="97"/>
      <c r="AR175" s="97"/>
      <c r="AS175" s="97"/>
      <c r="AT175" s="97"/>
      <c r="AU175" s="97"/>
      <c r="AV175" s="97"/>
      <c r="AW175" s="97"/>
      <c r="AX175" s="97"/>
      <c r="AY175" s="97"/>
      <c r="AZ175" s="97"/>
      <c r="BA175" s="97"/>
      <c r="BB175" s="97"/>
      <c r="BC175" s="97"/>
    </row>
    <row r="176" spans="2:55" ht="15.75" customHeight="1">
      <c r="B176" s="93"/>
      <c r="C176" s="94"/>
      <c r="D176" s="95"/>
      <c r="E176" s="234"/>
      <c r="F176" s="96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8"/>
      <c r="S176" s="97"/>
      <c r="T176" s="99"/>
      <c r="U176" s="99"/>
      <c r="V176" s="99"/>
      <c r="W176" s="97"/>
      <c r="X176" s="97"/>
      <c r="Y176" s="97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  <c r="AM176" s="97"/>
      <c r="AN176" s="97"/>
      <c r="AO176" s="97"/>
      <c r="AP176" s="97"/>
      <c r="AQ176" s="97"/>
      <c r="AR176" s="97"/>
      <c r="AS176" s="97"/>
      <c r="AT176" s="97"/>
      <c r="AU176" s="97"/>
      <c r="AV176" s="97"/>
      <c r="AW176" s="97"/>
      <c r="AX176" s="97"/>
      <c r="AY176" s="97"/>
      <c r="AZ176" s="97"/>
      <c r="BA176" s="97"/>
      <c r="BB176" s="97"/>
      <c r="BC176" s="97"/>
    </row>
    <row r="177" spans="2:55" ht="15.75" customHeight="1">
      <c r="B177" s="93"/>
      <c r="C177" s="94"/>
      <c r="D177" s="95"/>
      <c r="E177" s="234"/>
      <c r="F177" s="96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8"/>
      <c r="S177" s="97"/>
      <c r="T177" s="99"/>
      <c r="U177" s="99"/>
      <c r="V177" s="99"/>
      <c r="W177" s="97"/>
      <c r="X177" s="97"/>
      <c r="Y177" s="97"/>
      <c r="AC177" s="97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  <c r="AQ177" s="97"/>
      <c r="AR177" s="97"/>
      <c r="AS177" s="97"/>
      <c r="AT177" s="97"/>
      <c r="AU177" s="97"/>
      <c r="AV177" s="97"/>
      <c r="AW177" s="97"/>
      <c r="AX177" s="97"/>
      <c r="AY177" s="97"/>
      <c r="AZ177" s="97"/>
      <c r="BA177" s="97"/>
      <c r="BB177" s="97"/>
      <c r="BC177" s="97"/>
    </row>
    <row r="178" spans="2:55" ht="15.75" customHeight="1">
      <c r="B178" s="93"/>
      <c r="C178" s="94"/>
      <c r="D178" s="95"/>
      <c r="E178" s="234"/>
      <c r="F178" s="96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8"/>
      <c r="S178" s="97"/>
      <c r="T178" s="99"/>
      <c r="U178" s="99"/>
      <c r="V178" s="99"/>
      <c r="W178" s="97"/>
      <c r="X178" s="97"/>
      <c r="Y178" s="97"/>
      <c r="AC178" s="97"/>
      <c r="AD178" s="97"/>
      <c r="AE178" s="97"/>
      <c r="AF178" s="97"/>
      <c r="AG178" s="97"/>
      <c r="AH178" s="97"/>
      <c r="AI178" s="97"/>
      <c r="AJ178" s="97"/>
      <c r="AK178" s="97"/>
      <c r="AL178" s="97"/>
      <c r="AM178" s="97"/>
      <c r="AN178" s="97"/>
      <c r="AO178" s="97"/>
      <c r="AP178" s="97"/>
      <c r="AQ178" s="97"/>
      <c r="AR178" s="97"/>
      <c r="AS178" s="97"/>
      <c r="AT178" s="97"/>
      <c r="AU178" s="97"/>
      <c r="AV178" s="97"/>
      <c r="AW178" s="97"/>
      <c r="AX178" s="97"/>
      <c r="AY178" s="97"/>
      <c r="AZ178" s="97"/>
      <c r="BA178" s="97"/>
      <c r="BB178" s="97"/>
      <c r="BC178" s="97"/>
    </row>
    <row r="179" spans="2:55" ht="15.75" customHeight="1">
      <c r="B179" s="93"/>
      <c r="C179" s="94"/>
      <c r="D179" s="95"/>
      <c r="E179" s="234"/>
      <c r="F179" s="96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8"/>
      <c r="S179" s="97"/>
      <c r="T179" s="99"/>
      <c r="U179" s="99"/>
      <c r="V179" s="99"/>
      <c r="W179" s="97"/>
      <c r="X179" s="97"/>
      <c r="Y179" s="97"/>
      <c r="AC179" s="97"/>
      <c r="AD179" s="97"/>
      <c r="AE179" s="97"/>
      <c r="AF179" s="97"/>
      <c r="AG179" s="97"/>
      <c r="AH179" s="97"/>
      <c r="AI179" s="97"/>
      <c r="AJ179" s="97"/>
      <c r="AK179" s="97"/>
      <c r="AL179" s="97"/>
      <c r="AM179" s="97"/>
      <c r="AN179" s="97"/>
      <c r="AO179" s="97"/>
      <c r="AP179" s="97"/>
      <c r="AQ179" s="97"/>
      <c r="AR179" s="97"/>
      <c r="AS179" s="97"/>
      <c r="AT179" s="97"/>
      <c r="AU179" s="97"/>
      <c r="AV179" s="97"/>
      <c r="AW179" s="97"/>
      <c r="AX179" s="97"/>
      <c r="AY179" s="97"/>
      <c r="AZ179" s="97"/>
      <c r="BA179" s="97"/>
      <c r="BB179" s="97"/>
      <c r="BC179" s="97"/>
    </row>
    <row r="180" spans="2:55" ht="15.75" customHeight="1">
      <c r="B180" s="93"/>
      <c r="C180" s="94"/>
      <c r="D180" s="95"/>
      <c r="E180" s="234"/>
      <c r="F180" s="96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8"/>
      <c r="S180" s="97"/>
      <c r="T180" s="99"/>
      <c r="U180" s="99"/>
      <c r="V180" s="99"/>
      <c r="W180" s="97"/>
      <c r="X180" s="97"/>
      <c r="Y180" s="97"/>
      <c r="AC180" s="97"/>
      <c r="AD180" s="97"/>
      <c r="AE180" s="97"/>
      <c r="AF180" s="97"/>
      <c r="AG180" s="97"/>
      <c r="AH180" s="97"/>
      <c r="AI180" s="97"/>
      <c r="AJ180" s="97"/>
      <c r="AK180" s="97"/>
      <c r="AL180" s="97"/>
      <c r="AM180" s="97"/>
      <c r="AN180" s="97"/>
      <c r="AO180" s="97"/>
      <c r="AP180" s="97"/>
      <c r="AQ180" s="97"/>
      <c r="AR180" s="97"/>
      <c r="AS180" s="97"/>
      <c r="AT180" s="97"/>
      <c r="AU180" s="97"/>
      <c r="AV180" s="97"/>
      <c r="AW180" s="97"/>
      <c r="AX180" s="97"/>
      <c r="AY180" s="97"/>
      <c r="AZ180" s="97"/>
      <c r="BA180" s="97"/>
      <c r="BB180" s="97"/>
      <c r="BC180" s="97"/>
    </row>
    <row r="181" spans="2:55" ht="15.75" customHeight="1">
      <c r="B181" s="93"/>
      <c r="C181" s="94"/>
      <c r="D181" s="95"/>
      <c r="E181" s="234"/>
      <c r="F181" s="96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8"/>
      <c r="S181" s="97"/>
      <c r="T181" s="99"/>
      <c r="U181" s="99"/>
      <c r="V181" s="99"/>
      <c r="W181" s="97"/>
      <c r="X181" s="97"/>
      <c r="Y181" s="97"/>
      <c r="AC181" s="97"/>
      <c r="AD181" s="97"/>
      <c r="AE181" s="97"/>
      <c r="AF181" s="97"/>
      <c r="AG181" s="97"/>
      <c r="AH181" s="97"/>
      <c r="AI181" s="97"/>
      <c r="AJ181" s="97"/>
      <c r="AK181" s="97"/>
      <c r="AL181" s="97"/>
      <c r="AM181" s="97"/>
      <c r="AN181" s="97"/>
      <c r="AO181" s="97"/>
      <c r="AP181" s="97"/>
      <c r="AQ181" s="97"/>
      <c r="AR181" s="97"/>
      <c r="AS181" s="97"/>
      <c r="AT181" s="97"/>
      <c r="AU181" s="97"/>
      <c r="AV181" s="97"/>
      <c r="AW181" s="97"/>
      <c r="AX181" s="97"/>
      <c r="AY181" s="97"/>
      <c r="AZ181" s="97"/>
      <c r="BA181" s="97"/>
      <c r="BB181" s="97"/>
      <c r="BC181" s="97"/>
    </row>
    <row r="182" spans="2:55" ht="15.75" customHeight="1">
      <c r="B182" s="93"/>
      <c r="C182" s="94"/>
      <c r="D182" s="95"/>
      <c r="E182" s="234"/>
      <c r="F182" s="96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8"/>
      <c r="S182" s="97"/>
      <c r="T182" s="99"/>
      <c r="U182" s="99"/>
      <c r="V182" s="99"/>
      <c r="W182" s="97"/>
      <c r="X182" s="97"/>
      <c r="Y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  <c r="AO182" s="97"/>
      <c r="AP182" s="97"/>
      <c r="AQ182" s="97"/>
      <c r="AR182" s="97"/>
      <c r="AS182" s="97"/>
      <c r="AT182" s="97"/>
      <c r="AU182" s="97"/>
      <c r="AV182" s="97"/>
      <c r="AW182" s="97"/>
      <c r="AX182" s="97"/>
      <c r="AY182" s="97"/>
      <c r="AZ182" s="97"/>
      <c r="BA182" s="97"/>
      <c r="BB182" s="97"/>
      <c r="BC182" s="97"/>
    </row>
    <row r="183" spans="2:55" ht="15.75" customHeight="1">
      <c r="B183" s="93"/>
      <c r="C183" s="94"/>
      <c r="D183" s="95"/>
      <c r="E183" s="234"/>
      <c r="F183" s="96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8"/>
      <c r="S183" s="97"/>
      <c r="T183" s="99"/>
      <c r="U183" s="99"/>
      <c r="V183" s="99"/>
      <c r="W183" s="97"/>
      <c r="X183" s="97"/>
      <c r="Y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  <c r="AU183" s="97"/>
      <c r="AV183" s="97"/>
      <c r="AW183" s="97"/>
      <c r="AX183" s="97"/>
      <c r="AY183" s="97"/>
      <c r="AZ183" s="97"/>
      <c r="BA183" s="97"/>
      <c r="BB183" s="97"/>
      <c r="BC183" s="97"/>
    </row>
    <row r="184" spans="2:55" ht="15.75" customHeight="1">
      <c r="B184" s="93"/>
      <c r="C184" s="94"/>
      <c r="D184" s="95"/>
      <c r="E184" s="234"/>
      <c r="F184" s="96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8"/>
      <c r="S184" s="97"/>
      <c r="T184" s="99"/>
      <c r="U184" s="99"/>
      <c r="V184" s="99"/>
      <c r="W184" s="97"/>
      <c r="X184" s="97"/>
      <c r="Y184" s="97"/>
      <c r="AC184" s="97"/>
      <c r="AD184" s="97"/>
      <c r="AE184" s="97"/>
      <c r="AF184" s="97"/>
      <c r="AG184" s="97"/>
      <c r="AH184" s="97"/>
      <c r="AI184" s="97"/>
      <c r="AJ184" s="97"/>
      <c r="AK184" s="97"/>
      <c r="AL184" s="97"/>
      <c r="AM184" s="97"/>
      <c r="AN184" s="97"/>
      <c r="AO184" s="97"/>
      <c r="AP184" s="97"/>
      <c r="AQ184" s="97"/>
      <c r="AR184" s="97"/>
      <c r="AS184" s="97"/>
      <c r="AT184" s="97"/>
      <c r="AU184" s="97"/>
      <c r="AV184" s="97"/>
      <c r="AW184" s="97"/>
      <c r="AX184" s="97"/>
      <c r="AY184" s="97"/>
      <c r="AZ184" s="97"/>
      <c r="BA184" s="97"/>
      <c r="BB184" s="97"/>
      <c r="BC184" s="97"/>
    </row>
    <row r="185" spans="2:55" ht="15.75" customHeight="1">
      <c r="B185" s="93"/>
      <c r="C185" s="94"/>
      <c r="D185" s="95"/>
      <c r="E185" s="234"/>
      <c r="F185" s="96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8"/>
      <c r="S185" s="97"/>
      <c r="T185" s="99"/>
      <c r="U185" s="99"/>
      <c r="V185" s="99"/>
      <c r="W185" s="97"/>
      <c r="X185" s="97"/>
      <c r="Y185" s="97"/>
      <c r="AC185" s="97"/>
      <c r="AD185" s="97"/>
      <c r="AE185" s="97"/>
      <c r="AF185" s="97"/>
      <c r="AG185" s="97"/>
      <c r="AH185" s="97"/>
      <c r="AI185" s="97"/>
      <c r="AJ185" s="97"/>
      <c r="AK185" s="97"/>
      <c r="AL185" s="97"/>
      <c r="AM185" s="97"/>
      <c r="AN185" s="97"/>
      <c r="AO185" s="97"/>
      <c r="AP185" s="97"/>
      <c r="AQ185" s="97"/>
      <c r="AR185" s="97"/>
      <c r="AS185" s="97"/>
      <c r="AT185" s="97"/>
      <c r="AU185" s="97"/>
      <c r="AV185" s="97"/>
      <c r="AW185" s="97"/>
      <c r="AX185" s="97"/>
      <c r="AY185" s="97"/>
      <c r="AZ185" s="97"/>
      <c r="BA185" s="97"/>
      <c r="BB185" s="97"/>
      <c r="BC185" s="97"/>
    </row>
    <row r="186" spans="2:55" ht="15.75" customHeight="1">
      <c r="B186" s="93"/>
      <c r="C186" s="94"/>
      <c r="D186" s="95"/>
      <c r="E186" s="234"/>
      <c r="F186" s="96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8"/>
      <c r="S186" s="97"/>
      <c r="T186" s="99"/>
      <c r="U186" s="99"/>
      <c r="V186" s="99"/>
      <c r="W186" s="97"/>
      <c r="X186" s="97"/>
      <c r="Y186" s="97"/>
      <c r="AC186" s="97"/>
      <c r="AD186" s="97"/>
      <c r="AE186" s="97"/>
      <c r="AF186" s="97"/>
      <c r="AG186" s="97"/>
      <c r="AH186" s="97"/>
      <c r="AI186" s="97"/>
      <c r="AJ186" s="97"/>
      <c r="AK186" s="97"/>
      <c r="AL186" s="97"/>
      <c r="AM186" s="97"/>
      <c r="AN186" s="97"/>
      <c r="AO186" s="97"/>
      <c r="AP186" s="97"/>
      <c r="AQ186" s="97"/>
      <c r="AR186" s="97"/>
      <c r="AS186" s="97"/>
      <c r="AT186" s="97"/>
      <c r="AU186" s="97"/>
      <c r="AV186" s="97"/>
      <c r="AW186" s="97"/>
      <c r="AX186" s="97"/>
      <c r="AY186" s="97"/>
      <c r="AZ186" s="97"/>
      <c r="BA186" s="97"/>
      <c r="BB186" s="97"/>
      <c r="BC186" s="97"/>
    </row>
    <row r="187" spans="2:55" ht="15.75" customHeight="1">
      <c r="B187" s="93"/>
      <c r="C187" s="94"/>
      <c r="D187" s="95"/>
      <c r="E187" s="234"/>
      <c r="F187" s="96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8"/>
      <c r="S187" s="97"/>
      <c r="T187" s="99"/>
      <c r="U187" s="99"/>
      <c r="V187" s="99"/>
      <c r="W187" s="97"/>
      <c r="X187" s="97"/>
      <c r="Y187" s="97"/>
      <c r="AC187" s="97"/>
      <c r="AD187" s="97"/>
      <c r="AE187" s="97"/>
      <c r="AF187" s="97"/>
      <c r="AG187" s="97"/>
      <c r="AH187" s="97"/>
      <c r="AI187" s="97"/>
      <c r="AJ187" s="97"/>
      <c r="AK187" s="97"/>
      <c r="AL187" s="97"/>
      <c r="AM187" s="97"/>
      <c r="AN187" s="97"/>
      <c r="AO187" s="97"/>
      <c r="AP187" s="97"/>
      <c r="AQ187" s="97"/>
      <c r="AR187" s="97"/>
      <c r="AS187" s="97"/>
      <c r="AT187" s="97"/>
      <c r="AU187" s="97"/>
      <c r="AV187" s="97"/>
      <c r="AW187" s="97"/>
      <c r="AX187" s="97"/>
      <c r="AY187" s="97"/>
      <c r="AZ187" s="97"/>
      <c r="BA187" s="97"/>
      <c r="BB187" s="97"/>
      <c r="BC187" s="97"/>
    </row>
    <row r="188" spans="2:55" ht="15.75" customHeight="1">
      <c r="B188" s="93"/>
      <c r="C188" s="94"/>
      <c r="D188" s="95"/>
      <c r="E188" s="234"/>
      <c r="F188" s="96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8"/>
      <c r="S188" s="97"/>
      <c r="T188" s="99"/>
      <c r="U188" s="99"/>
      <c r="V188" s="99"/>
      <c r="W188" s="97"/>
      <c r="X188" s="97"/>
      <c r="Y188" s="97"/>
      <c r="AC188" s="97"/>
      <c r="AD188" s="97"/>
      <c r="AE188" s="97"/>
      <c r="AF188" s="97"/>
      <c r="AG188" s="97"/>
      <c r="AH188" s="97"/>
      <c r="AI188" s="97"/>
      <c r="AJ188" s="97"/>
      <c r="AK188" s="97"/>
      <c r="AL188" s="97"/>
      <c r="AM188" s="97"/>
      <c r="AN188" s="97"/>
      <c r="AO188" s="97"/>
      <c r="AP188" s="97"/>
      <c r="AQ188" s="97"/>
      <c r="AR188" s="97"/>
      <c r="AS188" s="97"/>
      <c r="AT188" s="97"/>
      <c r="AU188" s="97"/>
      <c r="AV188" s="97"/>
      <c r="AW188" s="97"/>
      <c r="AX188" s="97"/>
      <c r="AY188" s="97"/>
      <c r="AZ188" s="97"/>
      <c r="BA188" s="97"/>
      <c r="BB188" s="97"/>
      <c r="BC188" s="97"/>
    </row>
    <row r="189" spans="2:55" ht="15.75" customHeight="1">
      <c r="B189" s="93"/>
      <c r="C189" s="94"/>
      <c r="D189" s="95"/>
      <c r="E189" s="234"/>
      <c r="F189" s="96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8"/>
      <c r="S189" s="97"/>
      <c r="T189" s="99"/>
      <c r="U189" s="99"/>
      <c r="V189" s="99"/>
      <c r="W189" s="97"/>
      <c r="X189" s="97"/>
      <c r="Y189" s="97"/>
      <c r="AC189" s="97"/>
      <c r="AD189" s="97"/>
      <c r="AE189" s="97"/>
      <c r="AF189" s="97"/>
      <c r="AG189" s="97"/>
      <c r="AH189" s="97"/>
      <c r="AI189" s="97"/>
      <c r="AJ189" s="97"/>
      <c r="AK189" s="97"/>
      <c r="AL189" s="97"/>
      <c r="AM189" s="97"/>
      <c r="AN189" s="97"/>
      <c r="AO189" s="97"/>
      <c r="AP189" s="97"/>
      <c r="AQ189" s="97"/>
      <c r="AR189" s="97"/>
      <c r="AS189" s="97"/>
      <c r="AT189" s="97"/>
      <c r="AU189" s="97"/>
      <c r="AV189" s="97"/>
      <c r="AW189" s="97"/>
      <c r="AX189" s="97"/>
      <c r="AY189" s="97"/>
      <c r="AZ189" s="97"/>
      <c r="BA189" s="97"/>
      <c r="BB189" s="97"/>
      <c r="BC189" s="97"/>
    </row>
    <row r="190" spans="2:55" ht="15.75" customHeight="1">
      <c r="B190" s="93"/>
      <c r="C190" s="94"/>
      <c r="D190" s="95"/>
      <c r="E190" s="234"/>
      <c r="F190" s="96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8"/>
      <c r="S190" s="97"/>
      <c r="T190" s="99"/>
      <c r="U190" s="99"/>
      <c r="V190" s="99"/>
      <c r="W190" s="97"/>
      <c r="X190" s="97"/>
      <c r="Y190" s="97"/>
      <c r="AC190" s="97"/>
      <c r="AD190" s="97"/>
      <c r="AE190" s="97"/>
      <c r="AF190" s="97"/>
      <c r="AG190" s="97"/>
      <c r="AH190" s="97"/>
      <c r="AI190" s="97"/>
      <c r="AJ190" s="97"/>
      <c r="AK190" s="97"/>
      <c r="AL190" s="97"/>
      <c r="AM190" s="97"/>
      <c r="AN190" s="97"/>
      <c r="AO190" s="97"/>
      <c r="AP190" s="97"/>
      <c r="AQ190" s="97"/>
      <c r="AR190" s="97"/>
      <c r="AS190" s="97"/>
      <c r="AT190" s="97"/>
      <c r="AU190" s="97"/>
      <c r="AV190" s="97"/>
      <c r="AW190" s="97"/>
      <c r="AX190" s="97"/>
      <c r="AY190" s="97"/>
      <c r="AZ190" s="97"/>
      <c r="BA190" s="97"/>
      <c r="BB190" s="97"/>
      <c r="BC190" s="97"/>
    </row>
    <row r="191" spans="2:55" ht="15.75" customHeight="1">
      <c r="B191" s="93"/>
      <c r="C191" s="94"/>
      <c r="D191" s="95"/>
      <c r="E191" s="234"/>
      <c r="F191" s="96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8"/>
      <c r="S191" s="97"/>
      <c r="T191" s="99"/>
      <c r="U191" s="99"/>
      <c r="V191" s="99"/>
      <c r="W191" s="97"/>
      <c r="X191" s="97"/>
      <c r="Y191" s="97"/>
      <c r="AC191" s="97"/>
      <c r="AD191" s="97"/>
      <c r="AE191" s="97"/>
      <c r="AF191" s="97"/>
      <c r="AG191" s="97"/>
      <c r="AH191" s="97"/>
      <c r="AI191" s="97"/>
      <c r="AJ191" s="97"/>
      <c r="AK191" s="97"/>
      <c r="AL191" s="97"/>
      <c r="AM191" s="97"/>
      <c r="AN191" s="97"/>
      <c r="AO191" s="97"/>
      <c r="AP191" s="97"/>
      <c r="AQ191" s="97"/>
      <c r="AR191" s="97"/>
      <c r="AS191" s="97"/>
      <c r="AT191" s="97"/>
      <c r="AU191" s="97"/>
      <c r="AV191" s="97"/>
      <c r="AW191" s="97"/>
      <c r="AX191" s="97"/>
      <c r="AY191" s="97"/>
      <c r="AZ191" s="97"/>
      <c r="BA191" s="97"/>
      <c r="BB191" s="97"/>
      <c r="BC191" s="97"/>
    </row>
    <row r="192" spans="2:55" ht="15.75" customHeight="1">
      <c r="B192" s="93"/>
      <c r="C192" s="94"/>
      <c r="D192" s="95"/>
      <c r="E192" s="234"/>
      <c r="F192" s="96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8"/>
      <c r="S192" s="97"/>
      <c r="T192" s="99"/>
      <c r="U192" s="99"/>
      <c r="V192" s="99"/>
      <c r="W192" s="97"/>
      <c r="X192" s="97"/>
      <c r="Y192" s="97"/>
      <c r="AC192" s="97"/>
      <c r="AD192" s="97"/>
      <c r="AE192" s="97"/>
      <c r="AF192" s="97"/>
      <c r="AG192" s="97"/>
      <c r="AH192" s="97"/>
      <c r="AI192" s="97"/>
      <c r="AJ192" s="97"/>
      <c r="AK192" s="97"/>
      <c r="AL192" s="97"/>
      <c r="AM192" s="97"/>
      <c r="AN192" s="97"/>
      <c r="AO192" s="97"/>
      <c r="AP192" s="97"/>
      <c r="AQ192" s="97"/>
      <c r="AR192" s="97"/>
      <c r="AS192" s="97"/>
      <c r="AT192" s="97"/>
      <c r="AU192" s="97"/>
      <c r="AV192" s="97"/>
      <c r="AW192" s="97"/>
      <c r="AX192" s="97"/>
      <c r="AY192" s="97"/>
      <c r="AZ192" s="97"/>
      <c r="BA192" s="97"/>
      <c r="BB192" s="97"/>
      <c r="BC192" s="97"/>
    </row>
    <row r="193" spans="2:55" ht="15.75" customHeight="1">
      <c r="B193" s="93"/>
      <c r="C193" s="94"/>
      <c r="D193" s="95"/>
      <c r="E193" s="234"/>
      <c r="F193" s="96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8"/>
      <c r="S193" s="97"/>
      <c r="T193" s="99"/>
      <c r="U193" s="99"/>
      <c r="V193" s="99"/>
      <c r="W193" s="97"/>
      <c r="X193" s="97"/>
      <c r="Y193" s="97"/>
      <c r="AC193" s="97"/>
      <c r="AD193" s="97"/>
      <c r="AE193" s="97"/>
      <c r="AF193" s="97"/>
      <c r="AG193" s="97"/>
      <c r="AH193" s="97"/>
      <c r="AI193" s="97"/>
      <c r="AJ193" s="97"/>
      <c r="AK193" s="97"/>
      <c r="AL193" s="97"/>
      <c r="AM193" s="97"/>
      <c r="AN193" s="97"/>
      <c r="AO193" s="97"/>
      <c r="AP193" s="97"/>
      <c r="AQ193" s="97"/>
      <c r="AR193" s="97"/>
      <c r="AS193" s="97"/>
      <c r="AT193" s="97"/>
      <c r="AU193" s="97"/>
      <c r="AV193" s="97"/>
      <c r="AW193" s="97"/>
      <c r="AX193" s="97"/>
      <c r="AY193" s="97"/>
      <c r="AZ193" s="97"/>
      <c r="BA193" s="97"/>
      <c r="BB193" s="97"/>
      <c r="BC193" s="97"/>
    </row>
    <row r="194" spans="2:55" ht="15.75" customHeight="1">
      <c r="B194" s="93"/>
      <c r="C194" s="94"/>
      <c r="D194" s="95"/>
      <c r="E194" s="234"/>
      <c r="F194" s="96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8"/>
      <c r="S194" s="97"/>
      <c r="T194" s="99"/>
      <c r="U194" s="99"/>
      <c r="V194" s="99"/>
      <c r="W194" s="97"/>
      <c r="X194" s="97"/>
      <c r="Y194" s="97"/>
      <c r="AC194" s="97"/>
      <c r="AD194" s="97"/>
      <c r="AE194" s="97"/>
      <c r="AF194" s="97"/>
      <c r="AG194" s="97"/>
      <c r="AH194" s="97"/>
      <c r="AI194" s="97"/>
      <c r="AJ194" s="97"/>
      <c r="AK194" s="97"/>
      <c r="AL194" s="97"/>
      <c r="AM194" s="97"/>
      <c r="AN194" s="97"/>
      <c r="AO194" s="97"/>
      <c r="AP194" s="97"/>
      <c r="AQ194" s="97"/>
      <c r="AR194" s="97"/>
      <c r="AS194" s="97"/>
      <c r="AT194" s="97"/>
      <c r="AU194" s="97"/>
      <c r="AV194" s="97"/>
      <c r="AW194" s="97"/>
      <c r="AX194" s="97"/>
      <c r="AY194" s="97"/>
      <c r="AZ194" s="97"/>
      <c r="BA194" s="97"/>
      <c r="BB194" s="97"/>
      <c r="BC194" s="97"/>
    </row>
    <row r="195" spans="2:55" ht="15.75" customHeight="1">
      <c r="B195" s="93"/>
      <c r="C195" s="94"/>
      <c r="D195" s="95"/>
      <c r="E195" s="234"/>
      <c r="F195" s="96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8"/>
      <c r="S195" s="97"/>
      <c r="T195" s="99"/>
      <c r="U195" s="99"/>
      <c r="V195" s="99"/>
      <c r="W195" s="97"/>
      <c r="X195" s="97"/>
      <c r="Y195" s="97"/>
      <c r="AC195" s="97"/>
      <c r="AD195" s="97"/>
      <c r="AE195" s="97"/>
      <c r="AF195" s="97"/>
      <c r="AG195" s="97"/>
      <c r="AH195" s="97"/>
      <c r="AI195" s="97"/>
      <c r="AJ195" s="97"/>
      <c r="AK195" s="97"/>
      <c r="AL195" s="97"/>
      <c r="AM195" s="97"/>
      <c r="AN195" s="97"/>
      <c r="AO195" s="97"/>
      <c r="AP195" s="97"/>
      <c r="AQ195" s="97"/>
      <c r="AR195" s="97"/>
      <c r="AS195" s="97"/>
      <c r="AT195" s="97"/>
      <c r="AU195" s="97"/>
      <c r="AV195" s="97"/>
      <c r="AW195" s="97"/>
      <c r="AX195" s="97"/>
      <c r="AY195" s="97"/>
      <c r="AZ195" s="97"/>
      <c r="BA195" s="97"/>
      <c r="BB195" s="97"/>
      <c r="BC195" s="97"/>
    </row>
    <row r="196" spans="2:55" ht="15.75" customHeight="1">
      <c r="B196" s="93"/>
      <c r="C196" s="94"/>
      <c r="D196" s="95"/>
      <c r="E196" s="234"/>
      <c r="F196" s="96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8"/>
      <c r="S196" s="97"/>
      <c r="T196" s="99"/>
      <c r="U196" s="99"/>
      <c r="V196" s="99"/>
      <c r="W196" s="97"/>
      <c r="X196" s="97"/>
      <c r="Y196" s="97"/>
      <c r="AC196" s="97"/>
      <c r="AD196" s="97"/>
      <c r="AE196" s="97"/>
      <c r="AF196" s="97"/>
      <c r="AG196" s="97"/>
      <c r="AH196" s="97"/>
      <c r="AI196" s="97"/>
      <c r="AJ196" s="97"/>
      <c r="AK196" s="97"/>
      <c r="AL196" s="97"/>
      <c r="AM196" s="97"/>
      <c r="AN196" s="97"/>
      <c r="AO196" s="97"/>
      <c r="AP196" s="97"/>
      <c r="AQ196" s="97"/>
      <c r="AR196" s="97"/>
      <c r="AS196" s="97"/>
      <c r="AT196" s="97"/>
      <c r="AU196" s="97"/>
      <c r="AV196" s="97"/>
      <c r="AW196" s="97"/>
      <c r="AX196" s="97"/>
      <c r="AY196" s="97"/>
      <c r="AZ196" s="97"/>
      <c r="BA196" s="97"/>
      <c r="BB196" s="97"/>
      <c r="BC196" s="97"/>
    </row>
    <row r="197" spans="2:55" ht="15.75" customHeight="1">
      <c r="B197" s="93"/>
      <c r="C197" s="94"/>
      <c r="D197" s="95"/>
      <c r="E197" s="234"/>
      <c r="F197" s="96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8"/>
      <c r="S197" s="97"/>
      <c r="T197" s="99"/>
      <c r="U197" s="99"/>
      <c r="V197" s="99"/>
      <c r="W197" s="97"/>
      <c r="X197" s="97"/>
      <c r="Y197" s="97"/>
      <c r="AC197" s="97"/>
      <c r="AD197" s="97"/>
      <c r="AE197" s="97"/>
      <c r="AF197" s="97"/>
      <c r="AG197" s="97"/>
      <c r="AH197" s="97"/>
      <c r="AI197" s="97"/>
      <c r="AJ197" s="97"/>
      <c r="AK197" s="97"/>
      <c r="AL197" s="97"/>
      <c r="AM197" s="97"/>
      <c r="AN197" s="97"/>
      <c r="AO197" s="97"/>
      <c r="AP197" s="97"/>
      <c r="AQ197" s="97"/>
      <c r="AR197" s="97"/>
      <c r="AS197" s="97"/>
      <c r="AT197" s="97"/>
      <c r="AU197" s="97"/>
      <c r="AV197" s="97"/>
      <c r="AW197" s="97"/>
      <c r="AX197" s="97"/>
      <c r="AY197" s="97"/>
      <c r="AZ197" s="97"/>
      <c r="BA197" s="97"/>
      <c r="BB197" s="97"/>
      <c r="BC197" s="97"/>
    </row>
    <row r="198" spans="2:55" ht="15.75" customHeight="1">
      <c r="B198" s="93"/>
      <c r="C198" s="94"/>
      <c r="D198" s="95"/>
      <c r="E198" s="234"/>
      <c r="F198" s="96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8"/>
      <c r="S198" s="97"/>
      <c r="T198" s="99"/>
      <c r="U198" s="99"/>
      <c r="V198" s="99"/>
      <c r="W198" s="97"/>
      <c r="X198" s="97"/>
      <c r="Y198" s="97"/>
      <c r="AC198" s="97"/>
      <c r="AD198" s="97"/>
      <c r="AE198" s="97"/>
      <c r="AF198" s="97"/>
      <c r="AG198" s="97"/>
      <c r="AH198" s="97"/>
      <c r="AI198" s="97"/>
      <c r="AJ198" s="97"/>
      <c r="AK198" s="97"/>
      <c r="AL198" s="97"/>
      <c r="AM198" s="97"/>
      <c r="AN198" s="97"/>
      <c r="AO198" s="97"/>
      <c r="AP198" s="97"/>
      <c r="AQ198" s="97"/>
      <c r="AR198" s="97"/>
      <c r="AS198" s="97"/>
      <c r="AT198" s="97"/>
      <c r="AU198" s="97"/>
      <c r="AV198" s="97"/>
      <c r="AW198" s="97"/>
      <c r="AX198" s="97"/>
      <c r="AY198" s="97"/>
      <c r="AZ198" s="97"/>
      <c r="BA198" s="97"/>
      <c r="BB198" s="97"/>
      <c r="BC198" s="97"/>
    </row>
    <row r="199" spans="2:55" ht="15.75" customHeight="1">
      <c r="B199" s="93"/>
      <c r="C199" s="94"/>
      <c r="D199" s="95"/>
      <c r="E199" s="234"/>
      <c r="F199" s="96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8"/>
      <c r="S199" s="97"/>
      <c r="T199" s="99"/>
      <c r="U199" s="99"/>
      <c r="V199" s="99"/>
      <c r="W199" s="97"/>
      <c r="X199" s="97"/>
      <c r="Y199" s="97"/>
      <c r="AC199" s="97"/>
      <c r="AD199" s="97"/>
      <c r="AE199" s="97"/>
      <c r="AF199" s="97"/>
      <c r="AG199" s="97"/>
      <c r="AH199" s="97"/>
      <c r="AI199" s="97"/>
      <c r="AJ199" s="97"/>
      <c r="AK199" s="97"/>
      <c r="AL199" s="97"/>
      <c r="AM199" s="97"/>
      <c r="AN199" s="97"/>
      <c r="AO199" s="97"/>
      <c r="AP199" s="97"/>
      <c r="AQ199" s="97"/>
      <c r="AR199" s="97"/>
      <c r="AS199" s="97"/>
      <c r="AT199" s="97"/>
      <c r="AU199" s="97"/>
      <c r="AV199" s="97"/>
      <c r="AW199" s="97"/>
      <c r="AX199" s="97"/>
      <c r="AY199" s="97"/>
      <c r="AZ199" s="97"/>
      <c r="BA199" s="97"/>
      <c r="BB199" s="97"/>
      <c r="BC199" s="97"/>
    </row>
    <row r="200" spans="2:55" ht="15.75" customHeight="1">
      <c r="B200" s="93"/>
      <c r="C200" s="94"/>
      <c r="D200" s="95"/>
      <c r="E200" s="234"/>
      <c r="F200" s="96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8"/>
      <c r="S200" s="97"/>
      <c r="T200" s="99"/>
      <c r="U200" s="99"/>
      <c r="V200" s="99"/>
      <c r="W200" s="97"/>
      <c r="X200" s="97"/>
      <c r="Y200" s="97"/>
      <c r="AC200" s="97"/>
      <c r="AD200" s="97"/>
      <c r="AE200" s="97"/>
      <c r="AF200" s="97"/>
      <c r="AG200" s="97"/>
      <c r="AH200" s="97"/>
      <c r="AI200" s="97"/>
      <c r="AJ200" s="97"/>
      <c r="AK200" s="97"/>
      <c r="AL200" s="97"/>
      <c r="AM200" s="97"/>
      <c r="AN200" s="97"/>
      <c r="AO200" s="97"/>
      <c r="AP200" s="97"/>
      <c r="AQ200" s="97"/>
      <c r="AR200" s="97"/>
      <c r="AS200" s="97"/>
      <c r="AT200" s="97"/>
      <c r="AU200" s="97"/>
      <c r="AV200" s="97"/>
      <c r="AW200" s="97"/>
      <c r="AX200" s="97"/>
      <c r="AY200" s="97"/>
      <c r="AZ200" s="97"/>
      <c r="BA200" s="97"/>
      <c r="BB200" s="97"/>
      <c r="BC200" s="97"/>
    </row>
    <row r="201" spans="2:55" ht="15.75" customHeight="1">
      <c r="B201" s="93"/>
      <c r="C201" s="94"/>
      <c r="D201" s="95"/>
      <c r="E201" s="234"/>
      <c r="F201" s="96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8"/>
      <c r="S201" s="97"/>
      <c r="T201" s="99"/>
      <c r="U201" s="99"/>
      <c r="V201" s="99"/>
      <c r="W201" s="97"/>
      <c r="X201" s="97"/>
      <c r="Y201" s="97"/>
      <c r="AC201" s="97"/>
      <c r="AD201" s="97"/>
      <c r="AE201" s="97"/>
      <c r="AF201" s="97"/>
      <c r="AG201" s="97"/>
      <c r="AH201" s="97"/>
      <c r="AI201" s="97"/>
      <c r="AJ201" s="97"/>
      <c r="AK201" s="97"/>
      <c r="AL201" s="97"/>
      <c r="AM201" s="97"/>
      <c r="AN201" s="97"/>
      <c r="AO201" s="97"/>
      <c r="AP201" s="97"/>
      <c r="AQ201" s="97"/>
      <c r="AR201" s="97"/>
      <c r="AS201" s="97"/>
      <c r="AT201" s="97"/>
      <c r="AU201" s="97"/>
      <c r="AV201" s="97"/>
      <c r="AW201" s="97"/>
      <c r="AX201" s="97"/>
      <c r="AY201" s="97"/>
      <c r="AZ201" s="97"/>
      <c r="BA201" s="97"/>
      <c r="BB201" s="97"/>
      <c r="BC201" s="97"/>
    </row>
    <row r="202" spans="2:55" ht="15.75" customHeight="1">
      <c r="B202" s="93"/>
      <c r="C202" s="94"/>
      <c r="D202" s="95"/>
      <c r="E202" s="234"/>
      <c r="F202" s="96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8"/>
      <c r="S202" s="97"/>
      <c r="T202" s="99"/>
      <c r="U202" s="99"/>
      <c r="V202" s="99"/>
      <c r="W202" s="97"/>
      <c r="X202" s="97"/>
      <c r="Y202" s="97"/>
      <c r="AC202" s="97"/>
      <c r="AD202" s="97"/>
      <c r="AE202" s="97"/>
      <c r="AF202" s="97"/>
      <c r="AG202" s="97"/>
      <c r="AH202" s="97"/>
      <c r="AI202" s="97"/>
      <c r="AJ202" s="97"/>
      <c r="AK202" s="97"/>
      <c r="AL202" s="97"/>
      <c r="AM202" s="97"/>
      <c r="AN202" s="97"/>
      <c r="AO202" s="97"/>
      <c r="AP202" s="97"/>
      <c r="AQ202" s="97"/>
      <c r="AR202" s="97"/>
      <c r="AS202" s="97"/>
      <c r="AT202" s="97"/>
      <c r="AU202" s="97"/>
      <c r="AV202" s="97"/>
      <c r="AW202" s="97"/>
      <c r="AX202" s="97"/>
      <c r="AY202" s="97"/>
      <c r="AZ202" s="97"/>
      <c r="BA202" s="97"/>
      <c r="BB202" s="97"/>
      <c r="BC202" s="97"/>
    </row>
    <row r="203" spans="2:55" ht="15.75" customHeight="1">
      <c r="B203" s="93"/>
      <c r="C203" s="94"/>
      <c r="D203" s="95"/>
      <c r="E203" s="234"/>
      <c r="F203" s="96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8"/>
      <c r="S203" s="97"/>
      <c r="T203" s="99"/>
      <c r="U203" s="99"/>
      <c r="V203" s="99"/>
      <c r="W203" s="97"/>
      <c r="X203" s="97"/>
      <c r="Y203" s="97"/>
      <c r="AC203" s="97"/>
      <c r="AD203" s="97"/>
      <c r="AE203" s="97"/>
      <c r="AF203" s="97"/>
      <c r="AG203" s="97"/>
      <c r="AH203" s="97"/>
      <c r="AI203" s="97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  <c r="AT203" s="97"/>
      <c r="AU203" s="97"/>
      <c r="AV203" s="97"/>
      <c r="AW203" s="97"/>
      <c r="AX203" s="97"/>
      <c r="AY203" s="97"/>
      <c r="AZ203" s="97"/>
      <c r="BA203" s="97"/>
      <c r="BB203" s="97"/>
      <c r="BC203" s="97"/>
    </row>
    <row r="204" spans="2:55" ht="15.75" customHeight="1">
      <c r="B204" s="93"/>
      <c r="C204" s="94"/>
      <c r="D204" s="95"/>
      <c r="E204" s="234"/>
      <c r="F204" s="96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8"/>
      <c r="S204" s="97"/>
      <c r="T204" s="99"/>
      <c r="U204" s="99"/>
      <c r="V204" s="99"/>
      <c r="W204" s="97"/>
      <c r="X204" s="97"/>
      <c r="Y204" s="97"/>
      <c r="AC204" s="97"/>
      <c r="AD204" s="97"/>
      <c r="AE204" s="97"/>
      <c r="AF204" s="97"/>
      <c r="AG204" s="97"/>
      <c r="AH204" s="97"/>
      <c r="AI204" s="97"/>
      <c r="AJ204" s="97"/>
      <c r="AK204" s="97"/>
      <c r="AL204" s="97"/>
      <c r="AM204" s="97"/>
      <c r="AN204" s="97"/>
      <c r="AO204" s="97"/>
      <c r="AP204" s="97"/>
      <c r="AQ204" s="97"/>
      <c r="AR204" s="97"/>
      <c r="AS204" s="97"/>
      <c r="AT204" s="97"/>
      <c r="AU204" s="97"/>
      <c r="AV204" s="97"/>
      <c r="AW204" s="97"/>
      <c r="AX204" s="97"/>
      <c r="AY204" s="97"/>
      <c r="AZ204" s="97"/>
      <c r="BA204" s="97"/>
      <c r="BB204" s="97"/>
      <c r="BC204" s="97"/>
    </row>
    <row r="205" spans="2:55" ht="15.75" customHeight="1">
      <c r="B205" s="93"/>
      <c r="C205" s="94"/>
      <c r="D205" s="95"/>
      <c r="E205" s="234"/>
      <c r="F205" s="96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8"/>
      <c r="S205" s="97"/>
      <c r="T205" s="99"/>
      <c r="U205" s="99"/>
      <c r="V205" s="99"/>
      <c r="W205" s="97"/>
      <c r="X205" s="97"/>
      <c r="Y205" s="97"/>
      <c r="AC205" s="97"/>
      <c r="AD205" s="97"/>
      <c r="AE205" s="97"/>
      <c r="AF205" s="97"/>
      <c r="AG205" s="97"/>
      <c r="AH205" s="97"/>
      <c r="AI205" s="97"/>
      <c r="AJ205" s="97"/>
      <c r="AK205" s="97"/>
      <c r="AL205" s="97"/>
      <c r="AM205" s="97"/>
      <c r="AN205" s="97"/>
      <c r="AO205" s="97"/>
      <c r="AP205" s="97"/>
      <c r="AQ205" s="97"/>
      <c r="AR205" s="97"/>
      <c r="AS205" s="97"/>
      <c r="AT205" s="97"/>
      <c r="AU205" s="97"/>
      <c r="AV205" s="97"/>
      <c r="AW205" s="97"/>
      <c r="AX205" s="97"/>
      <c r="AY205" s="97"/>
      <c r="AZ205" s="97"/>
      <c r="BA205" s="97"/>
      <c r="BB205" s="97"/>
      <c r="BC205" s="97"/>
    </row>
    <row r="206" spans="2:55" ht="15.75" customHeight="1">
      <c r="B206" s="93"/>
      <c r="C206" s="94"/>
      <c r="D206" s="95"/>
      <c r="E206" s="234"/>
      <c r="F206" s="96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8"/>
      <c r="S206" s="97"/>
      <c r="T206" s="99"/>
      <c r="U206" s="99"/>
      <c r="V206" s="99"/>
      <c r="W206" s="97"/>
      <c r="X206" s="97"/>
      <c r="Y206" s="97"/>
      <c r="AC206" s="97"/>
      <c r="AD206" s="97"/>
      <c r="AE206" s="97"/>
      <c r="AF206" s="97"/>
      <c r="AG206" s="97"/>
      <c r="AH206" s="97"/>
      <c r="AI206" s="97"/>
      <c r="AJ206" s="97"/>
      <c r="AK206" s="97"/>
      <c r="AL206" s="97"/>
      <c r="AM206" s="97"/>
      <c r="AN206" s="97"/>
      <c r="AO206" s="97"/>
      <c r="AP206" s="97"/>
      <c r="AQ206" s="97"/>
      <c r="AR206" s="97"/>
      <c r="AS206" s="97"/>
      <c r="AT206" s="97"/>
      <c r="AU206" s="97"/>
      <c r="AV206" s="97"/>
      <c r="AW206" s="97"/>
      <c r="AX206" s="97"/>
      <c r="AY206" s="97"/>
      <c r="AZ206" s="97"/>
      <c r="BA206" s="97"/>
      <c r="BB206" s="97"/>
      <c r="BC206" s="97"/>
    </row>
    <row r="207" spans="2:55" ht="15.75" customHeight="1">
      <c r="B207" s="93"/>
      <c r="C207" s="94"/>
      <c r="D207" s="95"/>
      <c r="E207" s="234"/>
      <c r="F207" s="96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8"/>
      <c r="S207" s="97"/>
      <c r="T207" s="99"/>
      <c r="U207" s="99"/>
      <c r="V207" s="99"/>
      <c r="W207" s="97"/>
      <c r="X207" s="97"/>
      <c r="Y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97"/>
      <c r="AO207" s="97"/>
      <c r="AP207" s="97"/>
      <c r="AQ207" s="97"/>
      <c r="AR207" s="97"/>
      <c r="AS207" s="97"/>
      <c r="AT207" s="97"/>
      <c r="AU207" s="97"/>
      <c r="AV207" s="97"/>
      <c r="AW207" s="97"/>
      <c r="AX207" s="97"/>
      <c r="AY207" s="97"/>
      <c r="AZ207" s="97"/>
      <c r="BA207" s="97"/>
      <c r="BB207" s="97"/>
      <c r="BC207" s="97"/>
    </row>
    <row r="208" spans="2:55" ht="15.75" customHeight="1">
      <c r="B208" s="93"/>
      <c r="C208" s="94"/>
      <c r="D208" s="95"/>
      <c r="E208" s="234"/>
      <c r="F208" s="96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8"/>
      <c r="S208" s="97"/>
      <c r="T208" s="99"/>
      <c r="U208" s="99"/>
      <c r="V208" s="99"/>
      <c r="W208" s="97"/>
      <c r="X208" s="97"/>
      <c r="Y208" s="97"/>
      <c r="AC208" s="97"/>
      <c r="AD208" s="97"/>
      <c r="AE208" s="97"/>
      <c r="AF208" s="97"/>
      <c r="AG208" s="97"/>
      <c r="AH208" s="97"/>
      <c r="AI208" s="97"/>
      <c r="AJ208" s="97"/>
      <c r="AK208" s="97"/>
      <c r="AL208" s="97"/>
      <c r="AM208" s="97"/>
      <c r="AN208" s="97"/>
      <c r="AO208" s="97"/>
      <c r="AP208" s="97"/>
      <c r="AQ208" s="97"/>
      <c r="AR208" s="97"/>
      <c r="AS208" s="97"/>
      <c r="AT208" s="97"/>
      <c r="AU208" s="97"/>
      <c r="AV208" s="97"/>
      <c r="AW208" s="97"/>
      <c r="AX208" s="97"/>
      <c r="AY208" s="97"/>
      <c r="AZ208" s="97"/>
      <c r="BA208" s="97"/>
      <c r="BB208" s="97"/>
      <c r="BC208" s="97"/>
    </row>
    <row r="209" spans="2:55" ht="15.75" customHeight="1">
      <c r="B209" s="93"/>
      <c r="C209" s="94"/>
      <c r="D209" s="95"/>
      <c r="E209" s="234"/>
      <c r="F209" s="96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8"/>
      <c r="S209" s="97"/>
      <c r="T209" s="99"/>
      <c r="U209" s="99"/>
      <c r="V209" s="99"/>
      <c r="W209" s="97"/>
      <c r="X209" s="97"/>
      <c r="Y209" s="97"/>
      <c r="AC209" s="97"/>
      <c r="AD209" s="97"/>
      <c r="AE209" s="97"/>
      <c r="AF209" s="97"/>
      <c r="AG209" s="97"/>
      <c r="AH209" s="97"/>
      <c r="AI209" s="97"/>
      <c r="AJ209" s="97"/>
      <c r="AK209" s="97"/>
      <c r="AL209" s="97"/>
      <c r="AM209" s="97"/>
      <c r="AN209" s="97"/>
      <c r="AO209" s="97"/>
      <c r="AP209" s="97"/>
      <c r="AQ209" s="97"/>
      <c r="AR209" s="97"/>
      <c r="AS209" s="97"/>
      <c r="AT209" s="97"/>
      <c r="AU209" s="97"/>
      <c r="AV209" s="97"/>
      <c r="AW209" s="97"/>
      <c r="AX209" s="97"/>
      <c r="AY209" s="97"/>
      <c r="AZ209" s="97"/>
      <c r="BA209" s="97"/>
      <c r="BB209" s="97"/>
      <c r="BC209" s="97"/>
    </row>
    <row r="210" spans="2:55" ht="15.75" customHeight="1">
      <c r="B210" s="93"/>
      <c r="C210" s="94"/>
      <c r="D210" s="95"/>
      <c r="E210" s="234"/>
      <c r="F210" s="96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8"/>
      <c r="S210" s="97"/>
      <c r="T210" s="99"/>
      <c r="U210" s="99"/>
      <c r="V210" s="99"/>
      <c r="W210" s="97"/>
      <c r="X210" s="97"/>
      <c r="Y210" s="97"/>
      <c r="AC210" s="97"/>
      <c r="AD210" s="97"/>
      <c r="AE210" s="97"/>
      <c r="AF210" s="97"/>
      <c r="AG210" s="97"/>
      <c r="AH210" s="97"/>
      <c r="AI210" s="97"/>
      <c r="AJ210" s="97"/>
      <c r="AK210" s="97"/>
      <c r="AL210" s="97"/>
      <c r="AM210" s="97"/>
      <c r="AN210" s="97"/>
      <c r="AO210" s="97"/>
      <c r="AP210" s="97"/>
      <c r="AQ210" s="97"/>
      <c r="AR210" s="97"/>
      <c r="AS210" s="97"/>
      <c r="AT210" s="97"/>
      <c r="AU210" s="97"/>
      <c r="AV210" s="97"/>
      <c r="AW210" s="97"/>
      <c r="AX210" s="97"/>
      <c r="AY210" s="97"/>
      <c r="AZ210" s="97"/>
      <c r="BA210" s="97"/>
      <c r="BB210" s="97"/>
      <c r="BC210" s="97"/>
    </row>
    <row r="211" spans="2:55" ht="15.75" customHeight="1">
      <c r="B211" s="93"/>
      <c r="C211" s="94"/>
      <c r="D211" s="95"/>
      <c r="E211" s="234"/>
      <c r="F211" s="96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8"/>
      <c r="S211" s="97"/>
      <c r="T211" s="99"/>
      <c r="U211" s="99"/>
      <c r="V211" s="99"/>
      <c r="W211" s="97"/>
      <c r="X211" s="97"/>
      <c r="Y211" s="97"/>
      <c r="AC211" s="97"/>
      <c r="AD211" s="97"/>
      <c r="AE211" s="97"/>
      <c r="AF211" s="97"/>
      <c r="AG211" s="97"/>
      <c r="AH211" s="97"/>
      <c r="AI211" s="97"/>
      <c r="AJ211" s="97"/>
      <c r="AK211" s="97"/>
      <c r="AL211" s="97"/>
      <c r="AM211" s="97"/>
      <c r="AN211" s="97"/>
      <c r="AO211" s="97"/>
      <c r="AP211" s="97"/>
      <c r="AQ211" s="97"/>
      <c r="AR211" s="97"/>
      <c r="AS211" s="97"/>
      <c r="AT211" s="97"/>
      <c r="AU211" s="97"/>
      <c r="AV211" s="97"/>
      <c r="AW211" s="97"/>
      <c r="AX211" s="97"/>
      <c r="AY211" s="97"/>
      <c r="AZ211" s="97"/>
      <c r="BA211" s="97"/>
      <c r="BB211" s="97"/>
      <c r="BC211" s="97"/>
    </row>
    <row r="212" spans="2:55" ht="15.75" customHeight="1">
      <c r="B212" s="93"/>
      <c r="C212" s="94"/>
      <c r="D212" s="95"/>
      <c r="E212" s="234"/>
      <c r="F212" s="96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8"/>
      <c r="S212" s="97"/>
      <c r="T212" s="99"/>
      <c r="U212" s="99"/>
      <c r="V212" s="99"/>
      <c r="W212" s="97"/>
      <c r="X212" s="97"/>
      <c r="Y212" s="97"/>
      <c r="AC212" s="97"/>
      <c r="AD212" s="97"/>
      <c r="AE212" s="97"/>
      <c r="AF212" s="97"/>
      <c r="AG212" s="97"/>
      <c r="AH212" s="97"/>
      <c r="AI212" s="97"/>
      <c r="AJ212" s="97"/>
      <c r="AK212" s="97"/>
      <c r="AL212" s="97"/>
      <c r="AM212" s="97"/>
      <c r="AN212" s="97"/>
      <c r="AO212" s="97"/>
      <c r="AP212" s="97"/>
      <c r="AQ212" s="97"/>
      <c r="AR212" s="97"/>
      <c r="AS212" s="97"/>
      <c r="AT212" s="97"/>
      <c r="AU212" s="97"/>
      <c r="AV212" s="97"/>
      <c r="AW212" s="97"/>
      <c r="AX212" s="97"/>
      <c r="AY212" s="97"/>
      <c r="AZ212" s="97"/>
      <c r="BA212" s="97"/>
      <c r="BB212" s="97"/>
      <c r="BC212" s="97"/>
    </row>
    <row r="213" spans="2:55" ht="15.75" customHeight="1">
      <c r="B213" s="93"/>
      <c r="C213" s="94"/>
      <c r="D213" s="95"/>
      <c r="E213" s="234"/>
      <c r="F213" s="96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8"/>
      <c r="S213" s="97"/>
      <c r="T213" s="99"/>
      <c r="U213" s="99"/>
      <c r="V213" s="99"/>
      <c r="W213" s="97"/>
      <c r="X213" s="97"/>
      <c r="Y213" s="97"/>
      <c r="AC213" s="97"/>
      <c r="AD213" s="97"/>
      <c r="AE213" s="97"/>
      <c r="AF213" s="97"/>
      <c r="AG213" s="97"/>
      <c r="AH213" s="97"/>
      <c r="AI213" s="97"/>
      <c r="AJ213" s="97"/>
      <c r="AK213" s="97"/>
      <c r="AL213" s="97"/>
      <c r="AM213" s="97"/>
      <c r="AN213" s="97"/>
      <c r="AO213" s="97"/>
      <c r="AP213" s="97"/>
      <c r="AQ213" s="97"/>
      <c r="AR213" s="97"/>
      <c r="AS213" s="97"/>
      <c r="AT213" s="97"/>
      <c r="AU213" s="97"/>
      <c r="AV213" s="97"/>
      <c r="AW213" s="97"/>
      <c r="AX213" s="97"/>
      <c r="AY213" s="97"/>
      <c r="AZ213" s="97"/>
      <c r="BA213" s="97"/>
      <c r="BB213" s="97"/>
      <c r="BC213" s="97"/>
    </row>
    <row r="214" spans="2:55" ht="15.75" customHeight="1">
      <c r="B214" s="93"/>
      <c r="C214" s="94"/>
      <c r="D214" s="95"/>
      <c r="E214" s="234"/>
      <c r="F214" s="96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8"/>
      <c r="S214" s="97"/>
      <c r="T214" s="99"/>
      <c r="U214" s="99"/>
      <c r="V214" s="99"/>
      <c r="W214" s="97"/>
      <c r="X214" s="97"/>
      <c r="Y214" s="97"/>
      <c r="AC214" s="97"/>
      <c r="AD214" s="97"/>
      <c r="AE214" s="97"/>
      <c r="AF214" s="97"/>
      <c r="AG214" s="97"/>
      <c r="AH214" s="97"/>
      <c r="AI214" s="97"/>
      <c r="AJ214" s="97"/>
      <c r="AK214" s="97"/>
      <c r="AL214" s="97"/>
      <c r="AM214" s="97"/>
      <c r="AN214" s="97"/>
      <c r="AO214" s="97"/>
      <c r="AP214" s="97"/>
      <c r="AQ214" s="97"/>
      <c r="AR214" s="97"/>
      <c r="AS214" s="97"/>
      <c r="AT214" s="97"/>
      <c r="AU214" s="97"/>
      <c r="AV214" s="97"/>
      <c r="AW214" s="97"/>
      <c r="AX214" s="97"/>
      <c r="AY214" s="97"/>
      <c r="AZ214" s="97"/>
      <c r="BA214" s="97"/>
      <c r="BB214" s="97"/>
      <c r="BC214" s="97"/>
    </row>
    <row r="215" spans="2:55" ht="15.75" customHeight="1">
      <c r="B215" s="93"/>
      <c r="C215" s="94"/>
      <c r="D215" s="95"/>
      <c r="E215" s="234"/>
      <c r="F215" s="96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8"/>
      <c r="S215" s="97"/>
      <c r="T215" s="99"/>
      <c r="U215" s="99"/>
      <c r="V215" s="99"/>
      <c r="W215" s="97"/>
      <c r="X215" s="97"/>
      <c r="Y215" s="97"/>
      <c r="AC215" s="97"/>
      <c r="AD215" s="97"/>
      <c r="AE215" s="97"/>
      <c r="AF215" s="97"/>
      <c r="AG215" s="97"/>
      <c r="AH215" s="97"/>
      <c r="AI215" s="97"/>
      <c r="AJ215" s="97"/>
      <c r="AK215" s="97"/>
      <c r="AL215" s="97"/>
      <c r="AM215" s="97"/>
      <c r="AN215" s="97"/>
      <c r="AO215" s="97"/>
      <c r="AP215" s="97"/>
      <c r="AQ215" s="97"/>
      <c r="AR215" s="97"/>
      <c r="AS215" s="97"/>
      <c r="AT215" s="97"/>
      <c r="AU215" s="97"/>
      <c r="AV215" s="97"/>
      <c r="AW215" s="97"/>
      <c r="AX215" s="97"/>
      <c r="AY215" s="97"/>
      <c r="AZ215" s="97"/>
      <c r="BA215" s="97"/>
      <c r="BB215" s="97"/>
      <c r="BC215" s="97"/>
    </row>
    <row r="216" spans="2:55" ht="15.75" customHeight="1">
      <c r="B216" s="93"/>
      <c r="C216" s="94"/>
      <c r="D216" s="95"/>
      <c r="E216" s="234"/>
      <c r="F216" s="96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8"/>
      <c r="S216" s="97"/>
      <c r="T216" s="99"/>
      <c r="U216" s="99"/>
      <c r="V216" s="99"/>
      <c r="W216" s="97"/>
      <c r="X216" s="97"/>
      <c r="Y216" s="97"/>
      <c r="AC216" s="97"/>
      <c r="AD216" s="97"/>
      <c r="AE216" s="97"/>
      <c r="AF216" s="97"/>
      <c r="AG216" s="97"/>
      <c r="AH216" s="97"/>
      <c r="AI216" s="97"/>
      <c r="AJ216" s="97"/>
      <c r="AK216" s="97"/>
      <c r="AL216" s="97"/>
      <c r="AM216" s="97"/>
      <c r="AN216" s="97"/>
      <c r="AO216" s="97"/>
      <c r="AP216" s="97"/>
      <c r="AQ216" s="97"/>
      <c r="AR216" s="97"/>
      <c r="AS216" s="97"/>
      <c r="AT216" s="97"/>
      <c r="AU216" s="97"/>
      <c r="AV216" s="97"/>
      <c r="AW216" s="97"/>
      <c r="AX216" s="97"/>
      <c r="AY216" s="97"/>
      <c r="AZ216" s="97"/>
      <c r="BA216" s="97"/>
      <c r="BB216" s="97"/>
      <c r="BC216" s="97"/>
    </row>
    <row r="217" spans="2:55" ht="15.75" customHeight="1">
      <c r="B217" s="93"/>
      <c r="C217" s="94"/>
      <c r="D217" s="95"/>
      <c r="E217" s="234"/>
      <c r="F217" s="96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8"/>
      <c r="S217" s="97"/>
      <c r="T217" s="99"/>
      <c r="U217" s="99"/>
      <c r="V217" s="99"/>
      <c r="W217" s="97"/>
      <c r="X217" s="97"/>
      <c r="Y217" s="97"/>
      <c r="AC217" s="97"/>
      <c r="AD217" s="97"/>
      <c r="AE217" s="97"/>
      <c r="AF217" s="97"/>
      <c r="AG217" s="97"/>
      <c r="AH217" s="97"/>
      <c r="AI217" s="97"/>
      <c r="AJ217" s="97"/>
      <c r="AK217" s="97"/>
      <c r="AL217" s="97"/>
      <c r="AM217" s="97"/>
      <c r="AN217" s="97"/>
      <c r="AO217" s="97"/>
      <c r="AP217" s="97"/>
      <c r="AQ217" s="97"/>
      <c r="AR217" s="97"/>
      <c r="AS217" s="97"/>
      <c r="AT217" s="97"/>
      <c r="AU217" s="97"/>
      <c r="AV217" s="97"/>
      <c r="AW217" s="97"/>
      <c r="AX217" s="97"/>
      <c r="AY217" s="97"/>
      <c r="AZ217" s="97"/>
      <c r="BA217" s="97"/>
      <c r="BB217" s="97"/>
      <c r="BC217" s="97"/>
    </row>
    <row r="218" spans="2:55" ht="15.75" customHeight="1">
      <c r="B218" s="93"/>
      <c r="C218" s="94"/>
      <c r="D218" s="95"/>
      <c r="E218" s="234"/>
      <c r="F218" s="96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8"/>
      <c r="S218" s="97"/>
      <c r="T218" s="99"/>
      <c r="U218" s="99"/>
      <c r="V218" s="99"/>
      <c r="W218" s="97"/>
      <c r="X218" s="97"/>
      <c r="Y218" s="97"/>
      <c r="AC218" s="97"/>
      <c r="AD218" s="97"/>
      <c r="AE218" s="97"/>
      <c r="AF218" s="97"/>
      <c r="AG218" s="97"/>
      <c r="AH218" s="97"/>
      <c r="AI218" s="97"/>
      <c r="AJ218" s="97"/>
      <c r="AK218" s="97"/>
      <c r="AL218" s="97"/>
      <c r="AM218" s="97"/>
      <c r="AN218" s="97"/>
      <c r="AO218" s="97"/>
      <c r="AP218" s="97"/>
      <c r="AQ218" s="97"/>
      <c r="AR218" s="97"/>
      <c r="AS218" s="97"/>
      <c r="AT218" s="97"/>
      <c r="AU218" s="97"/>
      <c r="AV218" s="97"/>
      <c r="AW218" s="97"/>
      <c r="AX218" s="97"/>
      <c r="AY218" s="97"/>
      <c r="AZ218" s="97"/>
      <c r="BA218" s="97"/>
      <c r="BB218" s="97"/>
      <c r="BC218" s="97"/>
    </row>
    <row r="219" spans="2:55" ht="15.75" customHeight="1">
      <c r="B219" s="93"/>
      <c r="C219" s="94"/>
      <c r="D219" s="95"/>
      <c r="E219" s="234"/>
      <c r="F219" s="96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8"/>
      <c r="S219" s="97"/>
      <c r="T219" s="99"/>
      <c r="U219" s="99"/>
      <c r="V219" s="99"/>
      <c r="W219" s="97"/>
      <c r="X219" s="97"/>
      <c r="Y219" s="97"/>
      <c r="AC219" s="97"/>
      <c r="AD219" s="97"/>
      <c r="AE219" s="97"/>
      <c r="AF219" s="97"/>
      <c r="AG219" s="97"/>
      <c r="AH219" s="97"/>
      <c r="AI219" s="97"/>
      <c r="AJ219" s="97"/>
      <c r="AK219" s="97"/>
      <c r="AL219" s="97"/>
      <c r="AM219" s="97"/>
      <c r="AN219" s="97"/>
      <c r="AO219" s="97"/>
      <c r="AP219" s="97"/>
      <c r="AQ219" s="97"/>
      <c r="AR219" s="97"/>
      <c r="AS219" s="97"/>
      <c r="AT219" s="97"/>
      <c r="AU219" s="97"/>
      <c r="AV219" s="97"/>
      <c r="AW219" s="97"/>
      <c r="AX219" s="97"/>
      <c r="AY219" s="97"/>
      <c r="AZ219" s="97"/>
      <c r="BA219" s="97"/>
      <c r="BB219" s="97"/>
      <c r="BC219" s="97"/>
    </row>
    <row r="220" spans="2:55" ht="15.75" customHeight="1">
      <c r="B220" s="93"/>
      <c r="C220" s="94"/>
      <c r="D220" s="95"/>
      <c r="E220" s="234"/>
      <c r="F220" s="96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8"/>
      <c r="S220" s="97"/>
      <c r="T220" s="99"/>
      <c r="U220" s="99"/>
      <c r="V220" s="99"/>
      <c r="W220" s="97"/>
      <c r="X220" s="97"/>
      <c r="Y220" s="97"/>
      <c r="AC220" s="97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  <c r="AQ220" s="97"/>
      <c r="AR220" s="97"/>
      <c r="AS220" s="97"/>
      <c r="AT220" s="97"/>
      <c r="AU220" s="97"/>
      <c r="AV220" s="97"/>
      <c r="AW220" s="97"/>
      <c r="AX220" s="97"/>
      <c r="AY220" s="97"/>
      <c r="AZ220" s="97"/>
      <c r="BA220" s="97"/>
      <c r="BB220" s="97"/>
      <c r="BC220" s="97"/>
    </row>
    <row r="221" spans="2:55" ht="15.75" customHeight="1">
      <c r="B221" s="93"/>
      <c r="C221" s="94"/>
      <c r="D221" s="95"/>
      <c r="E221" s="234"/>
      <c r="F221" s="96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8"/>
      <c r="S221" s="97"/>
      <c r="T221" s="99"/>
      <c r="U221" s="99"/>
      <c r="V221" s="99"/>
      <c r="W221" s="97"/>
      <c r="X221" s="97"/>
      <c r="Y221" s="97"/>
      <c r="AC221" s="97"/>
      <c r="AD221" s="97"/>
      <c r="AE221" s="97"/>
      <c r="AF221" s="97"/>
      <c r="AG221" s="97"/>
      <c r="AH221" s="97"/>
      <c r="AI221" s="97"/>
      <c r="AJ221" s="97"/>
      <c r="AK221" s="97"/>
      <c r="AL221" s="97"/>
      <c r="AM221" s="97"/>
      <c r="AN221" s="97"/>
      <c r="AO221" s="97"/>
      <c r="AP221" s="97"/>
      <c r="AQ221" s="97"/>
      <c r="AR221" s="97"/>
      <c r="AS221" s="97"/>
      <c r="AT221" s="97"/>
      <c r="AU221" s="97"/>
      <c r="AV221" s="97"/>
      <c r="AW221" s="97"/>
      <c r="AX221" s="97"/>
      <c r="AY221" s="97"/>
      <c r="AZ221" s="97"/>
      <c r="BA221" s="97"/>
      <c r="BB221" s="97"/>
      <c r="BC221" s="97"/>
    </row>
    <row r="222" spans="2:55" ht="15.75" customHeight="1">
      <c r="B222" s="93"/>
      <c r="C222" s="94"/>
      <c r="D222" s="95"/>
      <c r="E222" s="234"/>
      <c r="F222" s="96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8"/>
      <c r="S222" s="97"/>
      <c r="T222" s="99"/>
      <c r="U222" s="99"/>
      <c r="V222" s="99"/>
      <c r="W222" s="97"/>
      <c r="X222" s="97"/>
      <c r="Y222" s="97"/>
      <c r="AC222" s="97"/>
      <c r="AD222" s="97"/>
      <c r="AE222" s="97"/>
      <c r="AF222" s="97"/>
      <c r="AG222" s="97"/>
      <c r="AH222" s="97"/>
      <c r="AI222" s="97"/>
      <c r="AJ222" s="97"/>
      <c r="AK222" s="97"/>
      <c r="AL222" s="97"/>
      <c r="AM222" s="97"/>
      <c r="AN222" s="97"/>
      <c r="AO222" s="97"/>
      <c r="AP222" s="97"/>
      <c r="AQ222" s="97"/>
      <c r="AR222" s="97"/>
      <c r="AS222" s="97"/>
      <c r="AT222" s="97"/>
      <c r="AU222" s="97"/>
      <c r="AV222" s="97"/>
      <c r="AW222" s="97"/>
      <c r="AX222" s="97"/>
      <c r="AY222" s="97"/>
      <c r="AZ222" s="97"/>
      <c r="BA222" s="97"/>
      <c r="BB222" s="97"/>
      <c r="BC222" s="97"/>
    </row>
    <row r="223" spans="2:55" ht="15.75" customHeight="1">
      <c r="B223" s="93"/>
      <c r="C223" s="94"/>
      <c r="D223" s="95"/>
      <c r="E223" s="234"/>
      <c r="F223" s="96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8"/>
      <c r="S223" s="97"/>
      <c r="T223" s="99"/>
      <c r="U223" s="99"/>
      <c r="V223" s="99"/>
      <c r="W223" s="97"/>
      <c r="X223" s="97"/>
      <c r="Y223" s="97"/>
      <c r="AC223" s="97"/>
      <c r="AD223" s="97"/>
      <c r="AE223" s="97"/>
      <c r="AF223" s="97"/>
      <c r="AG223" s="97"/>
      <c r="AH223" s="97"/>
      <c r="AI223" s="97"/>
      <c r="AJ223" s="97"/>
      <c r="AK223" s="97"/>
      <c r="AL223" s="97"/>
      <c r="AM223" s="97"/>
      <c r="AN223" s="97"/>
      <c r="AO223" s="97"/>
      <c r="AP223" s="97"/>
      <c r="AQ223" s="97"/>
      <c r="AR223" s="97"/>
      <c r="AS223" s="97"/>
      <c r="AT223" s="97"/>
      <c r="AU223" s="97"/>
      <c r="AV223" s="97"/>
      <c r="AW223" s="97"/>
      <c r="AX223" s="97"/>
      <c r="AY223" s="97"/>
      <c r="AZ223" s="97"/>
      <c r="BA223" s="97"/>
      <c r="BB223" s="97"/>
      <c r="BC223" s="97"/>
    </row>
    <row r="224" spans="2:55" ht="15.75" customHeight="1">
      <c r="B224" s="93"/>
      <c r="C224" s="94"/>
      <c r="D224" s="95"/>
      <c r="E224" s="234"/>
      <c r="F224" s="96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8"/>
      <c r="S224" s="97"/>
      <c r="T224" s="99"/>
      <c r="U224" s="99"/>
      <c r="V224" s="99"/>
      <c r="W224" s="97"/>
      <c r="X224" s="97"/>
      <c r="Y224" s="97"/>
      <c r="AC224" s="97"/>
      <c r="AD224" s="97"/>
      <c r="AE224" s="97"/>
      <c r="AF224" s="97"/>
      <c r="AG224" s="97"/>
      <c r="AH224" s="97"/>
      <c r="AI224" s="97"/>
      <c r="AJ224" s="97"/>
      <c r="AK224" s="97"/>
      <c r="AL224" s="97"/>
      <c r="AM224" s="97"/>
      <c r="AN224" s="97"/>
      <c r="AO224" s="97"/>
      <c r="AP224" s="97"/>
      <c r="AQ224" s="97"/>
      <c r="AR224" s="97"/>
      <c r="AS224" s="97"/>
      <c r="AT224" s="97"/>
      <c r="AU224" s="97"/>
      <c r="AV224" s="97"/>
      <c r="AW224" s="97"/>
      <c r="AX224" s="97"/>
      <c r="AY224" s="97"/>
      <c r="AZ224" s="97"/>
      <c r="BA224" s="97"/>
      <c r="BB224" s="97"/>
      <c r="BC224" s="97"/>
    </row>
    <row r="225" spans="2:55" ht="15.75" customHeight="1">
      <c r="B225" s="93"/>
      <c r="C225" s="94"/>
      <c r="D225" s="95"/>
      <c r="E225" s="234"/>
      <c r="F225" s="96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8"/>
      <c r="S225" s="97"/>
      <c r="T225" s="99"/>
      <c r="U225" s="99"/>
      <c r="V225" s="99"/>
      <c r="W225" s="97"/>
      <c r="X225" s="97"/>
      <c r="Y225" s="97"/>
      <c r="AC225" s="97"/>
      <c r="AD225" s="97"/>
      <c r="AE225" s="97"/>
      <c r="AF225" s="97"/>
      <c r="AG225" s="97"/>
      <c r="AH225" s="97"/>
      <c r="AI225" s="97"/>
      <c r="AJ225" s="97"/>
      <c r="AK225" s="97"/>
      <c r="AL225" s="97"/>
      <c r="AM225" s="97"/>
      <c r="AN225" s="97"/>
      <c r="AO225" s="97"/>
      <c r="AP225" s="97"/>
      <c r="AQ225" s="97"/>
      <c r="AR225" s="97"/>
      <c r="AS225" s="97"/>
      <c r="AT225" s="97"/>
      <c r="AU225" s="97"/>
      <c r="AV225" s="97"/>
      <c r="AW225" s="97"/>
      <c r="AX225" s="97"/>
      <c r="AY225" s="97"/>
      <c r="AZ225" s="97"/>
      <c r="BA225" s="97"/>
      <c r="BB225" s="97"/>
      <c r="BC225" s="97"/>
    </row>
    <row r="226" spans="2:55" ht="15.75" customHeight="1">
      <c r="B226" s="93"/>
      <c r="C226" s="94"/>
      <c r="D226" s="95"/>
      <c r="E226" s="234"/>
      <c r="F226" s="96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8"/>
      <c r="S226" s="97"/>
      <c r="T226" s="99"/>
      <c r="U226" s="99"/>
      <c r="V226" s="99"/>
      <c r="W226" s="97"/>
      <c r="X226" s="97"/>
      <c r="Y226" s="97"/>
      <c r="AC226" s="97"/>
      <c r="AD226" s="97"/>
      <c r="AE226" s="97"/>
      <c r="AF226" s="97"/>
      <c r="AG226" s="97"/>
      <c r="AH226" s="97"/>
      <c r="AI226" s="97"/>
      <c r="AJ226" s="97"/>
      <c r="AK226" s="97"/>
      <c r="AL226" s="97"/>
      <c r="AM226" s="97"/>
      <c r="AN226" s="97"/>
      <c r="AO226" s="97"/>
      <c r="AP226" s="97"/>
      <c r="AQ226" s="97"/>
      <c r="AR226" s="97"/>
      <c r="AS226" s="97"/>
      <c r="AT226" s="97"/>
      <c r="AU226" s="97"/>
      <c r="AV226" s="97"/>
      <c r="AW226" s="97"/>
      <c r="AX226" s="97"/>
      <c r="AY226" s="97"/>
      <c r="AZ226" s="97"/>
      <c r="BA226" s="97"/>
      <c r="BB226" s="97"/>
      <c r="BC226" s="97"/>
    </row>
    <row r="227" spans="2:55" ht="15.75" customHeight="1">
      <c r="B227" s="93"/>
      <c r="C227" s="94"/>
      <c r="D227" s="95"/>
      <c r="E227" s="234"/>
      <c r="F227" s="96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8"/>
      <c r="S227" s="97"/>
      <c r="T227" s="99"/>
      <c r="U227" s="99"/>
      <c r="V227" s="99"/>
      <c r="W227" s="97"/>
      <c r="X227" s="97"/>
      <c r="Y227" s="97"/>
      <c r="AC227" s="97"/>
      <c r="AD227" s="97"/>
      <c r="AE227" s="97"/>
      <c r="AF227" s="97"/>
      <c r="AG227" s="97"/>
      <c r="AH227" s="97"/>
      <c r="AI227" s="97"/>
      <c r="AJ227" s="97"/>
      <c r="AK227" s="97"/>
      <c r="AL227" s="97"/>
      <c r="AM227" s="97"/>
      <c r="AN227" s="97"/>
      <c r="AO227" s="97"/>
      <c r="AP227" s="97"/>
      <c r="AQ227" s="97"/>
      <c r="AR227" s="97"/>
      <c r="AS227" s="97"/>
      <c r="AT227" s="97"/>
      <c r="AU227" s="97"/>
      <c r="AV227" s="97"/>
      <c r="AW227" s="97"/>
      <c r="AX227" s="97"/>
      <c r="AY227" s="97"/>
      <c r="AZ227" s="97"/>
      <c r="BA227" s="97"/>
      <c r="BB227" s="97"/>
      <c r="BC227" s="97"/>
    </row>
    <row r="228" spans="2:55" ht="15.75" customHeight="1">
      <c r="B228" s="93"/>
      <c r="C228" s="94"/>
      <c r="D228" s="95"/>
      <c r="E228" s="234"/>
      <c r="F228" s="96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8"/>
      <c r="S228" s="97"/>
      <c r="T228" s="99"/>
      <c r="U228" s="99"/>
      <c r="V228" s="99"/>
      <c r="W228" s="97"/>
      <c r="X228" s="97"/>
      <c r="Y228" s="97"/>
      <c r="AC228" s="97"/>
      <c r="AD228" s="97"/>
      <c r="AE228" s="97"/>
      <c r="AF228" s="97"/>
      <c r="AG228" s="97"/>
      <c r="AH228" s="97"/>
      <c r="AI228" s="97"/>
      <c r="AJ228" s="97"/>
      <c r="AK228" s="97"/>
      <c r="AL228" s="97"/>
      <c r="AM228" s="97"/>
      <c r="AN228" s="97"/>
      <c r="AO228" s="97"/>
      <c r="AP228" s="97"/>
      <c r="AQ228" s="97"/>
      <c r="AR228" s="97"/>
      <c r="AS228" s="97"/>
      <c r="AT228" s="97"/>
      <c r="AU228" s="97"/>
      <c r="AV228" s="97"/>
      <c r="AW228" s="97"/>
      <c r="AX228" s="97"/>
      <c r="AY228" s="97"/>
      <c r="AZ228" s="97"/>
      <c r="BA228" s="97"/>
      <c r="BB228" s="97"/>
      <c r="BC228" s="97"/>
    </row>
    <row r="229" spans="2:55" ht="15.75" customHeight="1">
      <c r="B229" s="93"/>
      <c r="C229" s="94"/>
      <c r="D229" s="95"/>
      <c r="E229" s="234"/>
      <c r="F229" s="96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8"/>
      <c r="S229" s="97"/>
      <c r="T229" s="99"/>
      <c r="U229" s="99"/>
      <c r="V229" s="99"/>
      <c r="W229" s="97"/>
      <c r="X229" s="97"/>
      <c r="Y229" s="97"/>
      <c r="AC229" s="97"/>
      <c r="AD229" s="97"/>
      <c r="AE229" s="97"/>
      <c r="AF229" s="97"/>
      <c r="AG229" s="97"/>
      <c r="AH229" s="97"/>
      <c r="AI229" s="97"/>
      <c r="AJ229" s="97"/>
      <c r="AK229" s="97"/>
      <c r="AL229" s="97"/>
      <c r="AM229" s="97"/>
      <c r="AN229" s="97"/>
      <c r="AO229" s="97"/>
      <c r="AP229" s="97"/>
      <c r="AQ229" s="97"/>
      <c r="AR229" s="97"/>
      <c r="AS229" s="97"/>
      <c r="AT229" s="97"/>
      <c r="AU229" s="97"/>
      <c r="AV229" s="97"/>
      <c r="AW229" s="97"/>
      <c r="AX229" s="97"/>
      <c r="AY229" s="97"/>
      <c r="AZ229" s="97"/>
      <c r="BA229" s="97"/>
      <c r="BB229" s="97"/>
      <c r="BC229" s="97"/>
    </row>
    <row r="230" spans="2:55" ht="15.75" customHeight="1">
      <c r="B230" s="93"/>
      <c r="C230" s="94"/>
      <c r="D230" s="95"/>
      <c r="E230" s="234"/>
      <c r="F230" s="96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8"/>
      <c r="S230" s="97"/>
      <c r="T230" s="99"/>
      <c r="U230" s="99"/>
      <c r="V230" s="99"/>
      <c r="W230" s="97"/>
      <c r="X230" s="97"/>
      <c r="Y230" s="97"/>
      <c r="AC230" s="97"/>
      <c r="AD230" s="97"/>
      <c r="AE230" s="97"/>
      <c r="AF230" s="97"/>
      <c r="AG230" s="97"/>
      <c r="AH230" s="97"/>
      <c r="AI230" s="97"/>
      <c r="AJ230" s="97"/>
      <c r="AK230" s="97"/>
      <c r="AL230" s="97"/>
      <c r="AM230" s="97"/>
      <c r="AN230" s="97"/>
      <c r="AO230" s="97"/>
      <c r="AP230" s="97"/>
      <c r="AQ230" s="97"/>
      <c r="AR230" s="97"/>
      <c r="AS230" s="97"/>
      <c r="AT230" s="97"/>
      <c r="AU230" s="97"/>
      <c r="AV230" s="97"/>
      <c r="AW230" s="97"/>
      <c r="AX230" s="97"/>
      <c r="AY230" s="97"/>
      <c r="AZ230" s="97"/>
      <c r="BA230" s="97"/>
      <c r="BB230" s="97"/>
      <c r="BC230" s="97"/>
    </row>
    <row r="231" spans="2:55" ht="15.75" customHeight="1">
      <c r="B231" s="93"/>
      <c r="C231" s="94"/>
      <c r="D231" s="95"/>
      <c r="E231" s="234"/>
      <c r="F231" s="96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8"/>
      <c r="S231" s="97"/>
      <c r="T231" s="99"/>
      <c r="U231" s="99"/>
      <c r="V231" s="99"/>
      <c r="W231" s="97"/>
      <c r="X231" s="97"/>
      <c r="Y231" s="97"/>
      <c r="AC231" s="97"/>
      <c r="AD231" s="97"/>
      <c r="AE231" s="97"/>
      <c r="AF231" s="97"/>
      <c r="AG231" s="97"/>
      <c r="AH231" s="97"/>
      <c r="AI231" s="97"/>
      <c r="AJ231" s="97"/>
      <c r="AK231" s="97"/>
      <c r="AL231" s="97"/>
      <c r="AM231" s="97"/>
      <c r="AN231" s="97"/>
      <c r="AO231" s="97"/>
      <c r="AP231" s="97"/>
      <c r="AQ231" s="97"/>
      <c r="AR231" s="97"/>
      <c r="AS231" s="97"/>
      <c r="AT231" s="97"/>
      <c r="AU231" s="97"/>
      <c r="AV231" s="97"/>
      <c r="AW231" s="97"/>
      <c r="AX231" s="97"/>
      <c r="AY231" s="97"/>
      <c r="AZ231" s="97"/>
      <c r="BA231" s="97"/>
      <c r="BB231" s="97"/>
      <c r="BC231" s="97"/>
    </row>
    <row r="232" spans="2:55" ht="15.75" customHeight="1">
      <c r="B232" s="93"/>
      <c r="C232" s="94"/>
      <c r="D232" s="95"/>
      <c r="E232" s="234"/>
      <c r="F232" s="96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8"/>
      <c r="S232" s="97"/>
      <c r="T232" s="99"/>
      <c r="U232" s="99"/>
      <c r="V232" s="99"/>
      <c r="W232" s="97"/>
      <c r="X232" s="97"/>
      <c r="Y232" s="97"/>
      <c r="AC232" s="97"/>
      <c r="AD232" s="97"/>
      <c r="AE232" s="97"/>
      <c r="AF232" s="97"/>
      <c r="AG232" s="97"/>
      <c r="AH232" s="97"/>
      <c r="AI232" s="97"/>
      <c r="AJ232" s="97"/>
      <c r="AK232" s="97"/>
      <c r="AL232" s="97"/>
      <c r="AM232" s="97"/>
      <c r="AN232" s="97"/>
      <c r="AO232" s="97"/>
      <c r="AP232" s="97"/>
      <c r="AQ232" s="97"/>
      <c r="AR232" s="97"/>
      <c r="AS232" s="97"/>
      <c r="AT232" s="97"/>
      <c r="AU232" s="97"/>
      <c r="AV232" s="97"/>
      <c r="AW232" s="97"/>
      <c r="AX232" s="97"/>
      <c r="AY232" s="97"/>
      <c r="AZ232" s="97"/>
      <c r="BA232" s="97"/>
      <c r="BB232" s="97"/>
      <c r="BC232" s="97"/>
    </row>
    <row r="233" spans="2:55" ht="15.75" customHeight="1">
      <c r="B233" s="93"/>
      <c r="C233" s="94"/>
      <c r="D233" s="95"/>
      <c r="E233" s="234"/>
      <c r="F233" s="96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8"/>
      <c r="S233" s="97"/>
      <c r="T233" s="99"/>
      <c r="U233" s="99"/>
      <c r="V233" s="99"/>
      <c r="W233" s="97"/>
      <c r="X233" s="97"/>
      <c r="Y233" s="97"/>
      <c r="AC233" s="97"/>
      <c r="AD233" s="97"/>
      <c r="AE233" s="97"/>
      <c r="AF233" s="97"/>
      <c r="AG233" s="97"/>
      <c r="AH233" s="97"/>
      <c r="AI233" s="97"/>
      <c r="AJ233" s="97"/>
      <c r="AK233" s="97"/>
      <c r="AL233" s="97"/>
      <c r="AM233" s="97"/>
      <c r="AN233" s="97"/>
      <c r="AO233" s="97"/>
      <c r="AP233" s="97"/>
      <c r="AQ233" s="97"/>
      <c r="AR233" s="97"/>
      <c r="AS233" s="97"/>
      <c r="AT233" s="97"/>
      <c r="AU233" s="97"/>
      <c r="AV233" s="97"/>
      <c r="AW233" s="97"/>
      <c r="AX233" s="97"/>
      <c r="AY233" s="97"/>
      <c r="AZ233" s="97"/>
      <c r="BA233" s="97"/>
      <c r="BB233" s="97"/>
      <c r="BC233" s="97"/>
    </row>
    <row r="234" spans="2:55" ht="15.75" customHeight="1">
      <c r="B234" s="93"/>
      <c r="C234" s="94"/>
      <c r="D234" s="95"/>
      <c r="E234" s="234"/>
      <c r="F234" s="96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8"/>
      <c r="S234" s="97"/>
      <c r="T234" s="99"/>
      <c r="U234" s="99"/>
      <c r="V234" s="99"/>
      <c r="W234" s="97"/>
      <c r="X234" s="97"/>
      <c r="Y234" s="97"/>
      <c r="AC234" s="97"/>
      <c r="AD234" s="97"/>
      <c r="AE234" s="97"/>
      <c r="AF234" s="97"/>
      <c r="AG234" s="97"/>
      <c r="AH234" s="97"/>
      <c r="AI234" s="97"/>
      <c r="AJ234" s="97"/>
      <c r="AK234" s="97"/>
      <c r="AL234" s="97"/>
      <c r="AM234" s="97"/>
      <c r="AN234" s="97"/>
      <c r="AO234" s="97"/>
      <c r="AP234" s="97"/>
      <c r="AQ234" s="97"/>
      <c r="AR234" s="97"/>
      <c r="AS234" s="97"/>
      <c r="AT234" s="97"/>
      <c r="AU234" s="97"/>
      <c r="AV234" s="97"/>
      <c r="AW234" s="97"/>
      <c r="AX234" s="97"/>
      <c r="AY234" s="97"/>
      <c r="AZ234" s="97"/>
      <c r="BA234" s="97"/>
      <c r="BB234" s="97"/>
      <c r="BC234" s="97"/>
    </row>
    <row r="235" spans="2:55" ht="15.75" customHeight="1">
      <c r="B235" s="93"/>
      <c r="C235" s="94"/>
      <c r="D235" s="95"/>
      <c r="E235" s="234"/>
      <c r="F235" s="96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8"/>
      <c r="S235" s="97"/>
      <c r="T235" s="99"/>
      <c r="U235" s="99"/>
      <c r="V235" s="99"/>
      <c r="W235" s="97"/>
      <c r="X235" s="97"/>
      <c r="Y235" s="97"/>
      <c r="AC235" s="97"/>
      <c r="AD235" s="97"/>
      <c r="AE235" s="97"/>
      <c r="AF235" s="97"/>
      <c r="AG235" s="97"/>
      <c r="AH235" s="97"/>
      <c r="AI235" s="97"/>
      <c r="AJ235" s="97"/>
      <c r="AK235" s="97"/>
      <c r="AL235" s="97"/>
      <c r="AM235" s="97"/>
      <c r="AN235" s="97"/>
      <c r="AO235" s="97"/>
      <c r="AP235" s="97"/>
      <c r="AQ235" s="97"/>
      <c r="AR235" s="97"/>
      <c r="AS235" s="97"/>
      <c r="AT235" s="97"/>
      <c r="AU235" s="97"/>
      <c r="AV235" s="97"/>
      <c r="AW235" s="97"/>
      <c r="AX235" s="97"/>
      <c r="AY235" s="97"/>
      <c r="AZ235" s="97"/>
      <c r="BA235" s="97"/>
      <c r="BB235" s="97"/>
      <c r="BC235" s="97"/>
    </row>
    <row r="236" spans="2:55" ht="15.75" customHeight="1">
      <c r="B236" s="93"/>
      <c r="C236" s="94"/>
      <c r="D236" s="95"/>
      <c r="E236" s="234"/>
      <c r="F236" s="96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8"/>
      <c r="S236" s="97"/>
      <c r="T236" s="99"/>
      <c r="U236" s="99"/>
      <c r="V236" s="99"/>
      <c r="W236" s="97"/>
      <c r="X236" s="97"/>
      <c r="Y236" s="97"/>
      <c r="AC236" s="97"/>
      <c r="AD236" s="97"/>
      <c r="AE236" s="97"/>
      <c r="AF236" s="97"/>
      <c r="AG236" s="97"/>
      <c r="AH236" s="97"/>
      <c r="AI236" s="97"/>
      <c r="AJ236" s="97"/>
      <c r="AK236" s="97"/>
      <c r="AL236" s="97"/>
      <c r="AM236" s="97"/>
      <c r="AN236" s="97"/>
      <c r="AO236" s="97"/>
      <c r="AP236" s="97"/>
      <c r="AQ236" s="97"/>
      <c r="AR236" s="97"/>
      <c r="AS236" s="97"/>
      <c r="AT236" s="97"/>
      <c r="AU236" s="97"/>
      <c r="AV236" s="97"/>
      <c r="AW236" s="97"/>
      <c r="AX236" s="97"/>
      <c r="AY236" s="97"/>
      <c r="AZ236" s="97"/>
      <c r="BA236" s="97"/>
      <c r="BB236" s="97"/>
      <c r="BC236" s="97"/>
    </row>
    <row r="237" spans="2:55" ht="15.75" customHeight="1">
      <c r="B237" s="93"/>
      <c r="C237" s="94"/>
      <c r="D237" s="95"/>
      <c r="E237" s="234"/>
      <c r="F237" s="96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8"/>
      <c r="S237" s="97"/>
      <c r="T237" s="99"/>
      <c r="U237" s="99"/>
      <c r="V237" s="99"/>
      <c r="W237" s="97"/>
      <c r="X237" s="97"/>
      <c r="Y237" s="97"/>
      <c r="AC237" s="97"/>
      <c r="AD237" s="97"/>
      <c r="AE237" s="97"/>
      <c r="AF237" s="97"/>
      <c r="AG237" s="97"/>
      <c r="AH237" s="97"/>
      <c r="AI237" s="97"/>
      <c r="AJ237" s="97"/>
      <c r="AK237" s="97"/>
      <c r="AL237" s="97"/>
      <c r="AM237" s="97"/>
      <c r="AN237" s="97"/>
      <c r="AO237" s="97"/>
      <c r="AP237" s="97"/>
      <c r="AQ237" s="97"/>
      <c r="AR237" s="97"/>
      <c r="AS237" s="97"/>
      <c r="AT237" s="97"/>
      <c r="AU237" s="97"/>
      <c r="AV237" s="97"/>
      <c r="AW237" s="97"/>
      <c r="AX237" s="97"/>
      <c r="AY237" s="97"/>
      <c r="AZ237" s="97"/>
      <c r="BA237" s="97"/>
      <c r="BB237" s="97"/>
      <c r="BC237" s="97"/>
    </row>
    <row r="238" spans="2:55" ht="15.75" customHeight="1">
      <c r="B238" s="93"/>
      <c r="C238" s="94"/>
      <c r="D238" s="95"/>
      <c r="E238" s="234"/>
      <c r="F238" s="96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8"/>
      <c r="S238" s="97"/>
      <c r="T238" s="99"/>
      <c r="U238" s="99"/>
      <c r="V238" s="99"/>
      <c r="W238" s="97"/>
      <c r="X238" s="97"/>
      <c r="Y238" s="97"/>
      <c r="AC238" s="97"/>
      <c r="AD238" s="97"/>
      <c r="AE238" s="97"/>
      <c r="AF238" s="97"/>
      <c r="AG238" s="97"/>
      <c r="AH238" s="97"/>
      <c r="AI238" s="97"/>
      <c r="AJ238" s="97"/>
      <c r="AK238" s="97"/>
      <c r="AL238" s="97"/>
      <c r="AM238" s="97"/>
      <c r="AN238" s="97"/>
      <c r="AO238" s="97"/>
      <c r="AP238" s="97"/>
      <c r="AQ238" s="97"/>
      <c r="AR238" s="97"/>
      <c r="AS238" s="97"/>
      <c r="AT238" s="97"/>
      <c r="AU238" s="97"/>
      <c r="AV238" s="97"/>
      <c r="AW238" s="97"/>
      <c r="AX238" s="97"/>
      <c r="AY238" s="97"/>
      <c r="AZ238" s="97"/>
      <c r="BA238" s="97"/>
      <c r="BB238" s="97"/>
      <c r="BC238" s="97"/>
    </row>
    <row r="239" spans="2:55" ht="15.75" customHeight="1">
      <c r="B239" s="93"/>
      <c r="C239" s="94"/>
      <c r="D239" s="95"/>
      <c r="E239" s="234"/>
      <c r="F239" s="96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8"/>
      <c r="S239" s="97"/>
      <c r="T239" s="99"/>
      <c r="U239" s="99"/>
      <c r="V239" s="99"/>
      <c r="W239" s="97"/>
      <c r="X239" s="97"/>
      <c r="Y239" s="97"/>
      <c r="AC239" s="97"/>
      <c r="AD239" s="97"/>
      <c r="AE239" s="97"/>
      <c r="AF239" s="97"/>
      <c r="AG239" s="97"/>
      <c r="AH239" s="97"/>
      <c r="AI239" s="97"/>
      <c r="AJ239" s="97"/>
      <c r="AK239" s="97"/>
      <c r="AL239" s="97"/>
      <c r="AM239" s="97"/>
      <c r="AN239" s="97"/>
      <c r="AO239" s="97"/>
      <c r="AP239" s="97"/>
      <c r="AQ239" s="97"/>
      <c r="AR239" s="97"/>
      <c r="AS239" s="97"/>
      <c r="AT239" s="97"/>
      <c r="AU239" s="97"/>
      <c r="AV239" s="97"/>
      <c r="AW239" s="97"/>
      <c r="AX239" s="97"/>
      <c r="AY239" s="97"/>
      <c r="AZ239" s="97"/>
      <c r="BA239" s="97"/>
      <c r="BB239" s="97"/>
      <c r="BC239" s="97"/>
    </row>
    <row r="240" spans="2:55" ht="15.75" customHeight="1">
      <c r="B240" s="93"/>
      <c r="C240" s="94"/>
      <c r="D240" s="95"/>
      <c r="E240" s="234"/>
      <c r="F240" s="96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8"/>
      <c r="S240" s="97"/>
      <c r="T240" s="99"/>
      <c r="U240" s="99"/>
      <c r="V240" s="99"/>
      <c r="W240" s="97"/>
      <c r="X240" s="97"/>
      <c r="Y240" s="97"/>
      <c r="AC240" s="97"/>
      <c r="AD240" s="97"/>
      <c r="AE240" s="97"/>
      <c r="AF240" s="97"/>
      <c r="AG240" s="97"/>
      <c r="AH240" s="97"/>
      <c r="AI240" s="97"/>
      <c r="AJ240" s="97"/>
      <c r="AK240" s="97"/>
      <c r="AL240" s="97"/>
      <c r="AM240" s="97"/>
      <c r="AN240" s="97"/>
      <c r="AO240" s="97"/>
      <c r="AP240" s="97"/>
      <c r="AQ240" s="97"/>
      <c r="AR240" s="97"/>
      <c r="AS240" s="97"/>
      <c r="AT240" s="97"/>
      <c r="AU240" s="97"/>
      <c r="AV240" s="97"/>
      <c r="AW240" s="97"/>
      <c r="AX240" s="97"/>
      <c r="AY240" s="97"/>
      <c r="AZ240" s="97"/>
      <c r="BA240" s="97"/>
      <c r="BB240" s="97"/>
      <c r="BC240" s="97"/>
    </row>
    <row r="241" spans="2:55" ht="15.75" customHeight="1">
      <c r="B241" s="93"/>
      <c r="C241" s="94"/>
      <c r="D241" s="95"/>
      <c r="E241" s="234"/>
      <c r="F241" s="96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8"/>
      <c r="S241" s="97"/>
      <c r="T241" s="99"/>
      <c r="U241" s="99"/>
      <c r="V241" s="99"/>
      <c r="W241" s="97"/>
      <c r="X241" s="97"/>
      <c r="Y241" s="97"/>
      <c r="AC241" s="97"/>
      <c r="AD241" s="97"/>
      <c r="AE241" s="97"/>
      <c r="AF241" s="97"/>
      <c r="AG241" s="97"/>
      <c r="AH241" s="97"/>
      <c r="AI241" s="97"/>
      <c r="AJ241" s="97"/>
      <c r="AK241" s="97"/>
      <c r="AL241" s="97"/>
      <c r="AM241" s="97"/>
      <c r="AN241" s="97"/>
      <c r="AO241" s="97"/>
      <c r="AP241" s="97"/>
      <c r="AQ241" s="97"/>
      <c r="AR241" s="97"/>
      <c r="AS241" s="97"/>
      <c r="AT241" s="97"/>
      <c r="AU241" s="97"/>
      <c r="AV241" s="97"/>
      <c r="AW241" s="97"/>
      <c r="AX241" s="97"/>
      <c r="AY241" s="97"/>
      <c r="AZ241" s="97"/>
      <c r="BA241" s="97"/>
      <c r="BB241" s="97"/>
      <c r="BC241" s="97"/>
    </row>
    <row r="242" spans="2:55" ht="15.75" customHeight="1">
      <c r="B242" s="93"/>
      <c r="C242" s="94"/>
      <c r="D242" s="95"/>
      <c r="E242" s="234"/>
      <c r="F242" s="96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8"/>
      <c r="S242" s="97"/>
      <c r="T242" s="99"/>
      <c r="U242" s="99"/>
      <c r="V242" s="99"/>
      <c r="W242" s="97"/>
      <c r="X242" s="97"/>
      <c r="Y242" s="97"/>
      <c r="AC242" s="97"/>
      <c r="AD242" s="97"/>
      <c r="AE242" s="97"/>
      <c r="AF242" s="97"/>
      <c r="AG242" s="97"/>
      <c r="AH242" s="97"/>
      <c r="AI242" s="97"/>
      <c r="AJ242" s="97"/>
      <c r="AK242" s="97"/>
      <c r="AL242" s="97"/>
      <c r="AM242" s="97"/>
      <c r="AN242" s="97"/>
      <c r="AO242" s="97"/>
      <c r="AP242" s="97"/>
      <c r="AQ242" s="97"/>
      <c r="AR242" s="97"/>
      <c r="AS242" s="97"/>
      <c r="AT242" s="97"/>
      <c r="AU242" s="97"/>
      <c r="AV242" s="97"/>
      <c r="AW242" s="97"/>
      <c r="AX242" s="97"/>
      <c r="AY242" s="97"/>
      <c r="AZ242" s="97"/>
      <c r="BA242" s="97"/>
      <c r="BB242" s="97"/>
      <c r="BC242" s="97"/>
    </row>
    <row r="243" spans="2:55" ht="15.75" customHeight="1">
      <c r="B243" s="93"/>
      <c r="C243" s="94"/>
      <c r="D243" s="95"/>
      <c r="E243" s="234"/>
      <c r="F243" s="96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8"/>
      <c r="S243" s="97"/>
      <c r="T243" s="99"/>
      <c r="U243" s="99"/>
      <c r="V243" s="99"/>
      <c r="W243" s="97"/>
      <c r="X243" s="97"/>
      <c r="Y243" s="97"/>
      <c r="AC243" s="97"/>
      <c r="AD243" s="97"/>
      <c r="AE243" s="97"/>
      <c r="AF243" s="97"/>
      <c r="AG243" s="97"/>
      <c r="AH243" s="97"/>
      <c r="AI243" s="97"/>
      <c r="AJ243" s="97"/>
      <c r="AK243" s="97"/>
      <c r="AL243" s="97"/>
      <c r="AM243" s="97"/>
      <c r="AN243" s="97"/>
      <c r="AO243" s="97"/>
      <c r="AP243" s="97"/>
      <c r="AQ243" s="97"/>
      <c r="AR243" s="97"/>
      <c r="AS243" s="97"/>
      <c r="AT243" s="97"/>
      <c r="AU243" s="97"/>
      <c r="AV243" s="97"/>
      <c r="AW243" s="97"/>
      <c r="AX243" s="97"/>
      <c r="AY243" s="97"/>
      <c r="AZ243" s="97"/>
      <c r="BA243" s="97"/>
      <c r="BB243" s="97"/>
      <c r="BC243" s="97"/>
    </row>
    <row r="244" spans="2:55" ht="15.75" customHeight="1">
      <c r="B244" s="93"/>
      <c r="C244" s="94"/>
      <c r="D244" s="95"/>
      <c r="E244" s="234"/>
      <c r="F244" s="96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8"/>
      <c r="S244" s="97"/>
      <c r="T244" s="99"/>
      <c r="U244" s="99"/>
      <c r="V244" s="99"/>
      <c r="W244" s="97"/>
      <c r="X244" s="97"/>
      <c r="Y244" s="97"/>
      <c r="AC244" s="97"/>
      <c r="AD244" s="97"/>
      <c r="AE244" s="97"/>
      <c r="AF244" s="97"/>
      <c r="AG244" s="97"/>
      <c r="AH244" s="97"/>
      <c r="AI244" s="97"/>
      <c r="AJ244" s="97"/>
      <c r="AK244" s="97"/>
      <c r="AL244" s="97"/>
      <c r="AM244" s="97"/>
      <c r="AN244" s="97"/>
      <c r="AO244" s="97"/>
      <c r="AP244" s="97"/>
      <c r="AQ244" s="97"/>
      <c r="AR244" s="97"/>
      <c r="AS244" s="97"/>
      <c r="AT244" s="97"/>
      <c r="AU244" s="97"/>
      <c r="AV244" s="97"/>
      <c r="AW244" s="97"/>
      <c r="AX244" s="97"/>
      <c r="AY244" s="97"/>
      <c r="AZ244" s="97"/>
      <c r="BA244" s="97"/>
      <c r="BB244" s="97"/>
      <c r="BC244" s="97"/>
    </row>
    <row r="245" spans="2:55" ht="15.75" customHeight="1">
      <c r="B245" s="93"/>
      <c r="C245" s="94"/>
      <c r="D245" s="95"/>
      <c r="E245" s="234"/>
      <c r="F245" s="96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8"/>
      <c r="S245" s="97"/>
      <c r="T245" s="99"/>
      <c r="U245" s="99"/>
      <c r="V245" s="99"/>
      <c r="W245" s="97"/>
      <c r="X245" s="97"/>
      <c r="Y245" s="97"/>
      <c r="AC245" s="97"/>
      <c r="AD245" s="97"/>
      <c r="AE245" s="97"/>
      <c r="AF245" s="97"/>
      <c r="AG245" s="97"/>
      <c r="AH245" s="97"/>
      <c r="AI245" s="97"/>
      <c r="AJ245" s="97"/>
      <c r="AK245" s="97"/>
      <c r="AL245" s="97"/>
      <c r="AM245" s="97"/>
      <c r="AN245" s="97"/>
      <c r="AO245" s="97"/>
      <c r="AP245" s="97"/>
      <c r="AQ245" s="97"/>
      <c r="AR245" s="97"/>
      <c r="AS245" s="97"/>
      <c r="AT245" s="97"/>
      <c r="AU245" s="97"/>
      <c r="AV245" s="97"/>
      <c r="AW245" s="97"/>
      <c r="AX245" s="97"/>
      <c r="AY245" s="97"/>
      <c r="AZ245" s="97"/>
      <c r="BA245" s="97"/>
      <c r="BB245" s="97"/>
      <c r="BC245" s="97"/>
    </row>
    <row r="246" spans="2:55" ht="15.75" customHeight="1">
      <c r="B246" s="93"/>
      <c r="C246" s="94"/>
      <c r="D246" s="95"/>
      <c r="E246" s="234"/>
      <c r="F246" s="96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8"/>
      <c r="S246" s="97"/>
      <c r="T246" s="99"/>
      <c r="U246" s="99"/>
      <c r="V246" s="99"/>
      <c r="W246" s="97"/>
      <c r="X246" s="97"/>
      <c r="Y246" s="97"/>
      <c r="AC246" s="97"/>
      <c r="AD246" s="97"/>
      <c r="AE246" s="97"/>
      <c r="AF246" s="97"/>
      <c r="AG246" s="97"/>
      <c r="AH246" s="97"/>
      <c r="AI246" s="97"/>
      <c r="AJ246" s="97"/>
      <c r="AK246" s="97"/>
      <c r="AL246" s="97"/>
      <c r="AM246" s="97"/>
      <c r="AN246" s="97"/>
      <c r="AO246" s="97"/>
      <c r="AP246" s="97"/>
      <c r="AQ246" s="97"/>
      <c r="AR246" s="97"/>
      <c r="AS246" s="97"/>
      <c r="AT246" s="97"/>
      <c r="AU246" s="97"/>
      <c r="AV246" s="97"/>
      <c r="AW246" s="97"/>
      <c r="AX246" s="97"/>
      <c r="AY246" s="97"/>
      <c r="AZ246" s="97"/>
      <c r="BA246" s="97"/>
      <c r="BB246" s="97"/>
      <c r="BC246" s="97"/>
    </row>
    <row r="247" spans="2:55" ht="15.75" customHeight="1">
      <c r="B247" s="93"/>
      <c r="C247" s="94"/>
      <c r="D247" s="95"/>
      <c r="E247" s="234"/>
      <c r="F247" s="96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8"/>
      <c r="S247" s="97"/>
      <c r="T247" s="99"/>
      <c r="U247" s="99"/>
      <c r="V247" s="99"/>
      <c r="W247" s="97"/>
      <c r="X247" s="97"/>
      <c r="Y247" s="97"/>
      <c r="AC247" s="97"/>
      <c r="AD247" s="97"/>
      <c r="AE247" s="97"/>
      <c r="AF247" s="97"/>
      <c r="AG247" s="97"/>
      <c r="AH247" s="97"/>
      <c r="AI247" s="97"/>
      <c r="AJ247" s="97"/>
      <c r="AK247" s="97"/>
      <c r="AL247" s="97"/>
      <c r="AM247" s="97"/>
      <c r="AN247" s="97"/>
      <c r="AO247" s="97"/>
      <c r="AP247" s="97"/>
      <c r="AQ247" s="97"/>
      <c r="AR247" s="97"/>
      <c r="AS247" s="97"/>
      <c r="AT247" s="97"/>
      <c r="AU247" s="97"/>
      <c r="AV247" s="97"/>
      <c r="AW247" s="97"/>
      <c r="AX247" s="97"/>
      <c r="AY247" s="97"/>
      <c r="AZ247" s="97"/>
      <c r="BA247" s="97"/>
      <c r="BB247" s="97"/>
      <c r="BC247" s="97"/>
    </row>
    <row r="248" spans="2:55" ht="15.75" customHeight="1">
      <c r="B248" s="93"/>
      <c r="C248" s="94"/>
      <c r="D248" s="95"/>
      <c r="E248" s="234"/>
      <c r="F248" s="96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8"/>
      <c r="S248" s="97"/>
      <c r="T248" s="99"/>
      <c r="U248" s="99"/>
      <c r="V248" s="99"/>
      <c r="W248" s="97"/>
      <c r="X248" s="97"/>
      <c r="Y248" s="97"/>
      <c r="AC248" s="97"/>
      <c r="AD248" s="97"/>
      <c r="AE248" s="97"/>
      <c r="AF248" s="97"/>
      <c r="AG248" s="97"/>
      <c r="AH248" s="97"/>
      <c r="AI248" s="97"/>
      <c r="AJ248" s="97"/>
      <c r="AK248" s="97"/>
      <c r="AL248" s="97"/>
      <c r="AM248" s="97"/>
      <c r="AN248" s="97"/>
      <c r="AO248" s="97"/>
      <c r="AP248" s="97"/>
      <c r="AQ248" s="97"/>
      <c r="AR248" s="97"/>
      <c r="AS248" s="97"/>
      <c r="AT248" s="97"/>
      <c r="AU248" s="97"/>
      <c r="AV248" s="97"/>
      <c r="AW248" s="97"/>
      <c r="AX248" s="97"/>
      <c r="AY248" s="97"/>
      <c r="AZ248" s="97"/>
      <c r="BA248" s="97"/>
      <c r="BB248" s="97"/>
      <c r="BC248" s="97"/>
    </row>
    <row r="249" spans="2:55" ht="15.75" customHeight="1">
      <c r="B249" s="93"/>
      <c r="C249" s="94"/>
      <c r="D249" s="95"/>
      <c r="E249" s="234"/>
      <c r="F249" s="96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8"/>
      <c r="S249" s="97"/>
      <c r="T249" s="99"/>
      <c r="U249" s="99"/>
      <c r="V249" s="99"/>
      <c r="W249" s="97"/>
      <c r="X249" s="97"/>
      <c r="Y249" s="97"/>
      <c r="AC249" s="97"/>
      <c r="AD249" s="97"/>
      <c r="AE249" s="97"/>
      <c r="AF249" s="97"/>
      <c r="AG249" s="97"/>
      <c r="AH249" s="97"/>
      <c r="AI249" s="97"/>
      <c r="AJ249" s="97"/>
      <c r="AK249" s="97"/>
      <c r="AL249" s="97"/>
      <c r="AM249" s="97"/>
      <c r="AN249" s="97"/>
      <c r="AO249" s="97"/>
      <c r="AP249" s="97"/>
      <c r="AQ249" s="97"/>
      <c r="AR249" s="97"/>
      <c r="AS249" s="97"/>
      <c r="AT249" s="97"/>
      <c r="AU249" s="97"/>
      <c r="AV249" s="97"/>
      <c r="AW249" s="97"/>
      <c r="AX249" s="97"/>
      <c r="AY249" s="97"/>
      <c r="AZ249" s="97"/>
      <c r="BA249" s="97"/>
      <c r="BB249" s="97"/>
      <c r="BC249" s="97"/>
    </row>
    <row r="250" spans="2:55" ht="15.75" customHeight="1">
      <c r="B250" s="93"/>
      <c r="C250" s="94"/>
      <c r="D250" s="95"/>
      <c r="E250" s="234"/>
      <c r="F250" s="96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8"/>
      <c r="S250" s="97"/>
      <c r="T250" s="99"/>
      <c r="U250" s="99"/>
      <c r="V250" s="99"/>
      <c r="W250" s="97"/>
      <c r="X250" s="97"/>
      <c r="Y250" s="97"/>
      <c r="AC250" s="97"/>
      <c r="AD250" s="97"/>
      <c r="AE250" s="97"/>
      <c r="AF250" s="97"/>
      <c r="AG250" s="97"/>
      <c r="AH250" s="97"/>
      <c r="AI250" s="97"/>
      <c r="AJ250" s="97"/>
      <c r="AK250" s="97"/>
      <c r="AL250" s="97"/>
      <c r="AM250" s="97"/>
      <c r="AN250" s="97"/>
      <c r="AO250" s="97"/>
      <c r="AP250" s="97"/>
      <c r="AQ250" s="97"/>
      <c r="AR250" s="97"/>
      <c r="AS250" s="97"/>
      <c r="AT250" s="97"/>
      <c r="AU250" s="97"/>
      <c r="AV250" s="97"/>
      <c r="AW250" s="97"/>
      <c r="AX250" s="97"/>
      <c r="AY250" s="97"/>
      <c r="AZ250" s="97"/>
      <c r="BA250" s="97"/>
      <c r="BB250" s="97"/>
      <c r="BC250" s="97"/>
    </row>
    <row r="251" spans="2:55" ht="15.75" customHeight="1">
      <c r="B251" s="93"/>
      <c r="C251" s="94"/>
      <c r="D251" s="95"/>
      <c r="E251" s="234"/>
      <c r="F251" s="96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8"/>
      <c r="S251" s="97"/>
      <c r="T251" s="99"/>
      <c r="U251" s="99"/>
      <c r="V251" s="99"/>
      <c r="W251" s="97"/>
      <c r="X251" s="97"/>
      <c r="Y251" s="97"/>
      <c r="AC251" s="97"/>
      <c r="AD251" s="97"/>
      <c r="AE251" s="97"/>
      <c r="AF251" s="97"/>
      <c r="AG251" s="97"/>
      <c r="AH251" s="97"/>
      <c r="AI251" s="97"/>
      <c r="AJ251" s="97"/>
      <c r="AK251" s="97"/>
      <c r="AL251" s="97"/>
      <c r="AM251" s="97"/>
      <c r="AN251" s="97"/>
      <c r="AO251" s="97"/>
      <c r="AP251" s="97"/>
      <c r="AQ251" s="97"/>
      <c r="AR251" s="97"/>
      <c r="AS251" s="97"/>
      <c r="AT251" s="97"/>
      <c r="AU251" s="97"/>
      <c r="AV251" s="97"/>
      <c r="AW251" s="97"/>
      <c r="AX251" s="97"/>
      <c r="AY251" s="97"/>
      <c r="AZ251" s="97"/>
      <c r="BA251" s="97"/>
      <c r="BB251" s="97"/>
      <c r="BC251" s="97"/>
    </row>
    <row r="252" spans="2:55" ht="15.75" customHeight="1">
      <c r="B252" s="93"/>
      <c r="C252" s="94"/>
      <c r="D252" s="95"/>
      <c r="E252" s="234"/>
      <c r="F252" s="96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8"/>
      <c r="S252" s="97"/>
      <c r="T252" s="99"/>
      <c r="U252" s="99"/>
      <c r="V252" s="99"/>
      <c r="W252" s="97"/>
      <c r="X252" s="97"/>
      <c r="Y252" s="97"/>
      <c r="AC252" s="97"/>
      <c r="AD252" s="97"/>
      <c r="AE252" s="97"/>
      <c r="AF252" s="97"/>
      <c r="AG252" s="97"/>
      <c r="AH252" s="97"/>
      <c r="AI252" s="97"/>
      <c r="AJ252" s="97"/>
      <c r="AK252" s="97"/>
      <c r="AL252" s="97"/>
      <c r="AM252" s="97"/>
      <c r="AN252" s="97"/>
      <c r="AO252" s="97"/>
      <c r="AP252" s="97"/>
      <c r="AQ252" s="97"/>
      <c r="AR252" s="97"/>
      <c r="AS252" s="97"/>
      <c r="AT252" s="97"/>
      <c r="AU252" s="97"/>
      <c r="AV252" s="97"/>
      <c r="AW252" s="97"/>
      <c r="AX252" s="97"/>
      <c r="AY252" s="97"/>
      <c r="AZ252" s="97"/>
      <c r="BA252" s="97"/>
      <c r="BB252" s="97"/>
      <c r="BC252" s="97"/>
    </row>
    <row r="253" spans="2:55" ht="15.75" customHeight="1">
      <c r="B253" s="93"/>
      <c r="C253" s="94"/>
      <c r="D253" s="95"/>
      <c r="E253" s="234"/>
      <c r="F253" s="96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8"/>
      <c r="S253" s="97"/>
      <c r="T253" s="99"/>
      <c r="U253" s="99"/>
      <c r="V253" s="99"/>
      <c r="W253" s="97"/>
      <c r="X253" s="97"/>
      <c r="Y253" s="97"/>
      <c r="AC253" s="97"/>
      <c r="AD253" s="97"/>
      <c r="AE253" s="97"/>
      <c r="AF253" s="97"/>
      <c r="AG253" s="97"/>
      <c r="AH253" s="97"/>
      <c r="AI253" s="97"/>
      <c r="AJ253" s="97"/>
      <c r="AK253" s="97"/>
      <c r="AL253" s="97"/>
      <c r="AM253" s="97"/>
      <c r="AN253" s="97"/>
      <c r="AO253" s="97"/>
      <c r="AP253" s="97"/>
      <c r="AQ253" s="97"/>
      <c r="AR253" s="97"/>
      <c r="AS253" s="97"/>
      <c r="AT253" s="97"/>
      <c r="AU253" s="97"/>
      <c r="AV253" s="97"/>
      <c r="AW253" s="97"/>
      <c r="AX253" s="97"/>
      <c r="AY253" s="97"/>
      <c r="AZ253" s="97"/>
      <c r="BA253" s="97"/>
      <c r="BB253" s="97"/>
      <c r="BC253" s="97"/>
    </row>
    <row r="254" spans="2:55" ht="15.75" customHeight="1">
      <c r="B254" s="93"/>
      <c r="C254" s="94"/>
      <c r="D254" s="95"/>
      <c r="E254" s="234"/>
      <c r="F254" s="96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8"/>
      <c r="S254" s="97"/>
      <c r="T254" s="99"/>
      <c r="U254" s="99"/>
      <c r="V254" s="99"/>
      <c r="W254" s="97"/>
      <c r="X254" s="97"/>
      <c r="Y254" s="97"/>
      <c r="AC254" s="97"/>
      <c r="AD254" s="97"/>
      <c r="AE254" s="97"/>
      <c r="AF254" s="97"/>
      <c r="AG254" s="97"/>
      <c r="AH254" s="97"/>
      <c r="AI254" s="97"/>
      <c r="AJ254" s="97"/>
      <c r="AK254" s="97"/>
      <c r="AL254" s="97"/>
      <c r="AM254" s="97"/>
      <c r="AN254" s="97"/>
      <c r="AO254" s="97"/>
      <c r="AP254" s="97"/>
      <c r="AQ254" s="97"/>
      <c r="AR254" s="97"/>
      <c r="AS254" s="97"/>
      <c r="AT254" s="97"/>
      <c r="AU254" s="97"/>
      <c r="AV254" s="97"/>
      <c r="AW254" s="97"/>
      <c r="AX254" s="97"/>
      <c r="AY254" s="97"/>
      <c r="AZ254" s="97"/>
      <c r="BA254" s="97"/>
      <c r="BB254" s="97"/>
      <c r="BC254" s="97"/>
    </row>
    <row r="255" spans="2:55" ht="15.75" customHeight="1">
      <c r="B255" s="93"/>
      <c r="C255" s="94"/>
      <c r="D255" s="95"/>
      <c r="E255" s="234"/>
      <c r="F255" s="96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8"/>
      <c r="S255" s="97"/>
      <c r="T255" s="99"/>
      <c r="U255" s="99"/>
      <c r="V255" s="99"/>
      <c r="W255" s="97"/>
      <c r="X255" s="97"/>
      <c r="Y255" s="97"/>
      <c r="AC255" s="97"/>
      <c r="AD255" s="97"/>
      <c r="AE255" s="97"/>
      <c r="AF255" s="97"/>
      <c r="AG255" s="97"/>
      <c r="AH255" s="97"/>
      <c r="AI255" s="97"/>
      <c r="AJ255" s="97"/>
      <c r="AK255" s="97"/>
      <c r="AL255" s="97"/>
      <c r="AM255" s="97"/>
      <c r="AN255" s="97"/>
      <c r="AO255" s="97"/>
      <c r="AP255" s="97"/>
      <c r="AQ255" s="97"/>
      <c r="AR255" s="97"/>
      <c r="AS255" s="97"/>
      <c r="AT255" s="97"/>
      <c r="AU255" s="97"/>
      <c r="AV255" s="97"/>
      <c r="AW255" s="97"/>
      <c r="AX255" s="97"/>
      <c r="AY255" s="97"/>
      <c r="AZ255" s="97"/>
      <c r="BA255" s="97"/>
      <c r="BB255" s="97"/>
      <c r="BC255" s="97"/>
    </row>
    <row r="256" spans="2:55" ht="15.75" customHeight="1">
      <c r="B256" s="93"/>
      <c r="C256" s="94"/>
      <c r="D256" s="95"/>
      <c r="E256" s="234"/>
      <c r="F256" s="96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8"/>
      <c r="S256" s="97"/>
      <c r="T256" s="99"/>
      <c r="U256" s="99"/>
      <c r="V256" s="99"/>
      <c r="W256" s="97"/>
      <c r="X256" s="97"/>
      <c r="Y256" s="97"/>
      <c r="AC256" s="97"/>
      <c r="AD256" s="97"/>
      <c r="AE256" s="97"/>
      <c r="AF256" s="97"/>
      <c r="AG256" s="97"/>
      <c r="AH256" s="97"/>
      <c r="AI256" s="97"/>
      <c r="AJ256" s="97"/>
      <c r="AK256" s="97"/>
      <c r="AL256" s="97"/>
      <c r="AM256" s="97"/>
      <c r="AN256" s="97"/>
      <c r="AO256" s="97"/>
      <c r="AP256" s="97"/>
      <c r="AQ256" s="97"/>
      <c r="AR256" s="97"/>
      <c r="AS256" s="97"/>
      <c r="AT256" s="97"/>
      <c r="AU256" s="97"/>
      <c r="AV256" s="97"/>
      <c r="AW256" s="97"/>
      <c r="AX256" s="97"/>
      <c r="AY256" s="97"/>
      <c r="AZ256" s="97"/>
      <c r="BA256" s="97"/>
      <c r="BB256" s="97"/>
      <c r="BC256" s="97"/>
    </row>
    <row r="257" spans="2:55" ht="15.75" customHeight="1">
      <c r="B257" s="93"/>
      <c r="C257" s="94"/>
      <c r="D257" s="95"/>
      <c r="E257" s="234"/>
      <c r="F257" s="96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8"/>
      <c r="S257" s="97"/>
      <c r="T257" s="99"/>
      <c r="U257" s="99"/>
      <c r="V257" s="99"/>
      <c r="W257" s="97"/>
      <c r="X257" s="97"/>
      <c r="Y257" s="97"/>
      <c r="AC257" s="97"/>
      <c r="AD257" s="97"/>
      <c r="AE257" s="97"/>
      <c r="AF257" s="97"/>
      <c r="AG257" s="97"/>
      <c r="AH257" s="97"/>
      <c r="AI257" s="97"/>
      <c r="AJ257" s="97"/>
      <c r="AK257" s="97"/>
      <c r="AL257" s="97"/>
      <c r="AM257" s="97"/>
      <c r="AN257" s="97"/>
      <c r="AO257" s="97"/>
      <c r="AP257" s="97"/>
      <c r="AQ257" s="97"/>
      <c r="AR257" s="97"/>
      <c r="AS257" s="97"/>
      <c r="AT257" s="97"/>
      <c r="AU257" s="97"/>
      <c r="AV257" s="97"/>
      <c r="AW257" s="97"/>
      <c r="AX257" s="97"/>
      <c r="AY257" s="97"/>
      <c r="AZ257" s="97"/>
      <c r="BA257" s="97"/>
      <c r="BB257" s="97"/>
      <c r="BC257" s="97"/>
    </row>
    <row r="258" spans="2:55" ht="15.75" customHeight="1">
      <c r="B258" s="93"/>
      <c r="C258" s="94"/>
      <c r="D258" s="95"/>
      <c r="E258" s="234"/>
      <c r="F258" s="96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8"/>
      <c r="S258" s="97"/>
      <c r="T258" s="99"/>
      <c r="U258" s="99"/>
      <c r="V258" s="99"/>
      <c r="W258" s="97"/>
      <c r="X258" s="97"/>
      <c r="Y258" s="97"/>
      <c r="AC258" s="97"/>
      <c r="AD258" s="97"/>
      <c r="AE258" s="97"/>
      <c r="AF258" s="97"/>
      <c r="AG258" s="97"/>
      <c r="AH258" s="97"/>
      <c r="AI258" s="97"/>
      <c r="AJ258" s="97"/>
      <c r="AK258" s="97"/>
      <c r="AL258" s="97"/>
      <c r="AM258" s="97"/>
      <c r="AN258" s="97"/>
      <c r="AO258" s="97"/>
      <c r="AP258" s="97"/>
      <c r="AQ258" s="97"/>
      <c r="AR258" s="97"/>
      <c r="AS258" s="97"/>
      <c r="AT258" s="97"/>
      <c r="AU258" s="97"/>
      <c r="AV258" s="97"/>
      <c r="AW258" s="97"/>
      <c r="AX258" s="97"/>
      <c r="AY258" s="97"/>
      <c r="AZ258" s="97"/>
      <c r="BA258" s="97"/>
      <c r="BB258" s="97"/>
      <c r="BC258" s="97"/>
    </row>
    <row r="259" spans="2:55" ht="15.75" customHeight="1">
      <c r="B259" s="93"/>
      <c r="C259" s="94"/>
      <c r="D259" s="95"/>
      <c r="E259" s="234"/>
      <c r="F259" s="96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8"/>
      <c r="S259" s="97"/>
      <c r="T259" s="99"/>
      <c r="U259" s="99"/>
      <c r="V259" s="99"/>
      <c r="W259" s="97"/>
      <c r="X259" s="97"/>
      <c r="Y259" s="97"/>
      <c r="AC259" s="97"/>
      <c r="AD259" s="97"/>
      <c r="AE259" s="97"/>
      <c r="AF259" s="97"/>
      <c r="AG259" s="97"/>
      <c r="AH259" s="97"/>
      <c r="AI259" s="97"/>
      <c r="AJ259" s="97"/>
      <c r="AK259" s="97"/>
      <c r="AL259" s="97"/>
      <c r="AM259" s="97"/>
      <c r="AN259" s="97"/>
      <c r="AO259" s="97"/>
      <c r="AP259" s="97"/>
      <c r="AQ259" s="97"/>
      <c r="AR259" s="97"/>
      <c r="AS259" s="97"/>
      <c r="AT259" s="97"/>
      <c r="AU259" s="97"/>
      <c r="AV259" s="97"/>
      <c r="AW259" s="97"/>
      <c r="AX259" s="97"/>
      <c r="AY259" s="97"/>
      <c r="AZ259" s="97"/>
      <c r="BA259" s="97"/>
      <c r="BB259" s="97"/>
      <c r="BC259" s="97"/>
    </row>
    <row r="260" spans="2:55" ht="15.75" customHeight="1">
      <c r="B260" s="93"/>
      <c r="C260" s="94"/>
      <c r="D260" s="95"/>
      <c r="E260" s="234"/>
      <c r="F260" s="96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8"/>
      <c r="S260" s="97"/>
      <c r="T260" s="99"/>
      <c r="U260" s="99"/>
      <c r="V260" s="99"/>
      <c r="W260" s="97"/>
      <c r="X260" s="97"/>
      <c r="Y260" s="97"/>
      <c r="AC260" s="97"/>
      <c r="AD260" s="97"/>
      <c r="AE260" s="97"/>
      <c r="AF260" s="97"/>
      <c r="AG260" s="97"/>
      <c r="AH260" s="97"/>
      <c r="AI260" s="97"/>
      <c r="AJ260" s="97"/>
      <c r="AK260" s="97"/>
      <c r="AL260" s="97"/>
      <c r="AM260" s="97"/>
      <c r="AN260" s="97"/>
      <c r="AO260" s="97"/>
      <c r="AP260" s="97"/>
      <c r="AQ260" s="97"/>
      <c r="AR260" s="97"/>
      <c r="AS260" s="97"/>
      <c r="AT260" s="97"/>
      <c r="AU260" s="97"/>
      <c r="AV260" s="97"/>
      <c r="AW260" s="97"/>
      <c r="AX260" s="97"/>
      <c r="AY260" s="97"/>
      <c r="AZ260" s="97"/>
      <c r="BA260" s="97"/>
      <c r="BB260" s="97"/>
      <c r="BC260" s="97"/>
    </row>
    <row r="261" spans="2:55" ht="15.75" customHeight="1">
      <c r="B261" s="93"/>
      <c r="C261" s="94"/>
      <c r="D261" s="95"/>
      <c r="E261" s="234"/>
      <c r="F261" s="96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8"/>
      <c r="S261" s="97"/>
      <c r="T261" s="99"/>
      <c r="U261" s="99"/>
      <c r="V261" s="99"/>
      <c r="W261" s="97"/>
      <c r="X261" s="97"/>
      <c r="Y261" s="97"/>
      <c r="AC261" s="97"/>
      <c r="AD261" s="97"/>
      <c r="AE261" s="97"/>
      <c r="AF261" s="97"/>
      <c r="AG261" s="97"/>
      <c r="AH261" s="97"/>
      <c r="AI261" s="97"/>
      <c r="AJ261" s="97"/>
      <c r="AK261" s="97"/>
      <c r="AL261" s="97"/>
      <c r="AM261" s="97"/>
      <c r="AN261" s="97"/>
      <c r="AO261" s="97"/>
      <c r="AP261" s="97"/>
      <c r="AQ261" s="97"/>
      <c r="AR261" s="97"/>
      <c r="AS261" s="97"/>
      <c r="AT261" s="97"/>
      <c r="AU261" s="97"/>
      <c r="AV261" s="97"/>
      <c r="AW261" s="97"/>
      <c r="AX261" s="97"/>
      <c r="AY261" s="97"/>
      <c r="AZ261" s="97"/>
      <c r="BA261" s="97"/>
      <c r="BB261" s="97"/>
      <c r="BC261" s="97"/>
    </row>
    <row r="262" spans="2:55" ht="15.75" customHeight="1">
      <c r="B262" s="93"/>
      <c r="C262" s="94"/>
      <c r="D262" s="95"/>
      <c r="E262" s="234"/>
      <c r="F262" s="96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8"/>
      <c r="S262" s="97"/>
      <c r="T262" s="99"/>
      <c r="U262" s="99"/>
      <c r="V262" s="99"/>
      <c r="W262" s="97"/>
      <c r="X262" s="97"/>
      <c r="Y262" s="97"/>
      <c r="AC262" s="97"/>
      <c r="AD262" s="97"/>
      <c r="AE262" s="97"/>
      <c r="AF262" s="97"/>
      <c r="AG262" s="97"/>
      <c r="AH262" s="97"/>
      <c r="AI262" s="97"/>
      <c r="AJ262" s="97"/>
      <c r="AK262" s="97"/>
      <c r="AL262" s="97"/>
      <c r="AM262" s="97"/>
      <c r="AN262" s="97"/>
      <c r="AO262" s="97"/>
      <c r="AP262" s="97"/>
      <c r="AQ262" s="97"/>
      <c r="AR262" s="97"/>
      <c r="AS262" s="97"/>
      <c r="AT262" s="97"/>
      <c r="AU262" s="97"/>
      <c r="AV262" s="97"/>
      <c r="AW262" s="97"/>
      <c r="AX262" s="97"/>
      <c r="AY262" s="97"/>
      <c r="AZ262" s="97"/>
      <c r="BA262" s="97"/>
      <c r="BB262" s="97"/>
      <c r="BC262" s="97"/>
    </row>
    <row r="263" spans="2:55" ht="15.75" customHeight="1">
      <c r="B263" s="93"/>
      <c r="C263" s="94"/>
      <c r="D263" s="95"/>
      <c r="E263" s="234"/>
      <c r="F263" s="96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8"/>
      <c r="S263" s="97"/>
      <c r="T263" s="99"/>
      <c r="U263" s="99"/>
      <c r="V263" s="99"/>
      <c r="W263" s="97"/>
      <c r="X263" s="97"/>
      <c r="Y263" s="97"/>
      <c r="AC263" s="97"/>
      <c r="AD263" s="97"/>
      <c r="AE263" s="97"/>
      <c r="AF263" s="97"/>
      <c r="AG263" s="97"/>
      <c r="AH263" s="97"/>
      <c r="AI263" s="97"/>
      <c r="AJ263" s="97"/>
      <c r="AK263" s="97"/>
      <c r="AL263" s="97"/>
      <c r="AM263" s="97"/>
      <c r="AN263" s="97"/>
      <c r="AO263" s="97"/>
      <c r="AP263" s="97"/>
      <c r="AQ263" s="97"/>
      <c r="AR263" s="97"/>
      <c r="AS263" s="97"/>
      <c r="AT263" s="97"/>
      <c r="AU263" s="97"/>
      <c r="AV263" s="97"/>
      <c r="AW263" s="97"/>
      <c r="AX263" s="97"/>
      <c r="AY263" s="97"/>
      <c r="AZ263" s="97"/>
      <c r="BA263" s="97"/>
      <c r="BB263" s="97"/>
      <c r="BC263" s="97"/>
    </row>
    <row r="264" spans="2:55" ht="15.75" customHeight="1">
      <c r="B264" s="93"/>
      <c r="C264" s="94"/>
      <c r="D264" s="95"/>
      <c r="E264" s="234"/>
      <c r="F264" s="96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8"/>
      <c r="S264" s="97"/>
      <c r="T264" s="99"/>
      <c r="U264" s="99"/>
      <c r="V264" s="99"/>
      <c r="W264" s="97"/>
      <c r="X264" s="97"/>
      <c r="Y264" s="97"/>
      <c r="AC264" s="97"/>
      <c r="AD264" s="97"/>
      <c r="AE264" s="97"/>
      <c r="AF264" s="97"/>
      <c r="AG264" s="97"/>
      <c r="AH264" s="97"/>
      <c r="AI264" s="97"/>
      <c r="AJ264" s="97"/>
      <c r="AK264" s="97"/>
      <c r="AL264" s="97"/>
      <c r="AM264" s="97"/>
      <c r="AN264" s="97"/>
      <c r="AO264" s="97"/>
      <c r="AP264" s="97"/>
      <c r="AQ264" s="97"/>
      <c r="AR264" s="97"/>
      <c r="AS264" s="97"/>
      <c r="AT264" s="97"/>
      <c r="AU264" s="97"/>
      <c r="AV264" s="97"/>
      <c r="AW264" s="97"/>
      <c r="AX264" s="97"/>
      <c r="AY264" s="97"/>
      <c r="AZ264" s="97"/>
      <c r="BA264" s="97"/>
      <c r="BB264" s="97"/>
      <c r="BC264" s="97"/>
    </row>
    <row r="265" spans="2:55" ht="15.75" customHeight="1">
      <c r="B265" s="93"/>
      <c r="C265" s="94"/>
      <c r="D265" s="95"/>
      <c r="E265" s="234"/>
      <c r="F265" s="96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8"/>
      <c r="S265" s="97"/>
      <c r="T265" s="99"/>
      <c r="U265" s="99"/>
      <c r="V265" s="99"/>
      <c r="W265" s="97"/>
      <c r="X265" s="97"/>
      <c r="Y265" s="97"/>
      <c r="AC265" s="97"/>
      <c r="AD265" s="97"/>
      <c r="AE265" s="97"/>
      <c r="AF265" s="97"/>
      <c r="AG265" s="97"/>
      <c r="AH265" s="97"/>
      <c r="AI265" s="97"/>
      <c r="AJ265" s="97"/>
      <c r="AK265" s="97"/>
      <c r="AL265" s="97"/>
      <c r="AM265" s="97"/>
      <c r="AN265" s="97"/>
      <c r="AO265" s="97"/>
      <c r="AP265" s="97"/>
      <c r="AQ265" s="97"/>
      <c r="AR265" s="97"/>
      <c r="AS265" s="97"/>
      <c r="AT265" s="97"/>
      <c r="AU265" s="97"/>
      <c r="AV265" s="97"/>
      <c r="AW265" s="97"/>
      <c r="AX265" s="97"/>
      <c r="AY265" s="97"/>
      <c r="AZ265" s="97"/>
      <c r="BA265" s="97"/>
      <c r="BB265" s="97"/>
      <c r="BC265" s="97"/>
    </row>
    <row r="266" spans="2:55" ht="15.75" customHeight="1">
      <c r="B266" s="93"/>
      <c r="C266" s="94"/>
      <c r="D266" s="95"/>
      <c r="E266" s="234"/>
      <c r="F266" s="96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8"/>
      <c r="S266" s="97"/>
      <c r="T266" s="99"/>
      <c r="U266" s="99"/>
      <c r="V266" s="99"/>
      <c r="W266" s="97"/>
      <c r="X266" s="97"/>
      <c r="Y266" s="97"/>
      <c r="AC266" s="97"/>
      <c r="AD266" s="97"/>
      <c r="AE266" s="97"/>
      <c r="AF266" s="97"/>
      <c r="AG266" s="97"/>
      <c r="AH266" s="97"/>
      <c r="AI266" s="97"/>
      <c r="AJ266" s="97"/>
      <c r="AK266" s="97"/>
      <c r="AL266" s="97"/>
      <c r="AM266" s="97"/>
      <c r="AN266" s="97"/>
      <c r="AO266" s="97"/>
      <c r="AP266" s="97"/>
      <c r="AQ266" s="97"/>
      <c r="AR266" s="97"/>
      <c r="AS266" s="97"/>
      <c r="AT266" s="97"/>
      <c r="AU266" s="97"/>
      <c r="AV266" s="97"/>
      <c r="AW266" s="97"/>
      <c r="AX266" s="97"/>
      <c r="AY266" s="97"/>
      <c r="AZ266" s="97"/>
      <c r="BA266" s="97"/>
      <c r="BB266" s="97"/>
      <c r="BC266" s="97"/>
    </row>
    <row r="267" spans="2:55" ht="15.75" customHeight="1">
      <c r="B267" s="93"/>
      <c r="C267" s="94"/>
      <c r="D267" s="95"/>
      <c r="E267" s="234"/>
      <c r="F267" s="96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8"/>
      <c r="S267" s="97"/>
      <c r="T267" s="99"/>
      <c r="U267" s="99"/>
      <c r="V267" s="99"/>
      <c r="W267" s="97"/>
      <c r="X267" s="97"/>
      <c r="Y267" s="97"/>
      <c r="AC267" s="97"/>
      <c r="AD267" s="97"/>
      <c r="AE267" s="97"/>
      <c r="AF267" s="97"/>
      <c r="AG267" s="97"/>
      <c r="AH267" s="97"/>
      <c r="AI267" s="97"/>
      <c r="AJ267" s="97"/>
      <c r="AK267" s="97"/>
      <c r="AL267" s="97"/>
      <c r="AM267" s="97"/>
      <c r="AN267" s="97"/>
      <c r="AO267" s="97"/>
      <c r="AP267" s="97"/>
      <c r="AQ267" s="97"/>
      <c r="AR267" s="97"/>
      <c r="AS267" s="97"/>
      <c r="AT267" s="97"/>
      <c r="AU267" s="97"/>
      <c r="AV267" s="97"/>
      <c r="AW267" s="97"/>
      <c r="AX267" s="97"/>
      <c r="AY267" s="97"/>
      <c r="AZ267" s="97"/>
      <c r="BA267" s="97"/>
      <c r="BB267" s="97"/>
      <c r="BC267" s="97"/>
    </row>
    <row r="268" spans="2:55" ht="15.75" customHeight="1">
      <c r="B268" s="93"/>
      <c r="C268" s="94"/>
      <c r="D268" s="95"/>
      <c r="E268" s="234"/>
      <c r="F268" s="96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8"/>
      <c r="S268" s="97"/>
      <c r="T268" s="99"/>
      <c r="U268" s="99"/>
      <c r="V268" s="99"/>
      <c r="W268" s="97"/>
      <c r="X268" s="97"/>
      <c r="Y268" s="97"/>
      <c r="AC268" s="97"/>
      <c r="AD268" s="97"/>
      <c r="AE268" s="97"/>
      <c r="AF268" s="97"/>
      <c r="AG268" s="97"/>
      <c r="AH268" s="97"/>
      <c r="AI268" s="97"/>
      <c r="AJ268" s="97"/>
      <c r="AK268" s="97"/>
      <c r="AL268" s="97"/>
      <c r="AM268" s="97"/>
      <c r="AN268" s="97"/>
      <c r="AO268" s="97"/>
      <c r="AP268" s="97"/>
      <c r="AQ268" s="97"/>
      <c r="AR268" s="97"/>
      <c r="AS268" s="97"/>
      <c r="AT268" s="97"/>
      <c r="AU268" s="97"/>
      <c r="AV268" s="97"/>
      <c r="AW268" s="97"/>
      <c r="AX268" s="97"/>
      <c r="AY268" s="97"/>
      <c r="AZ268" s="97"/>
      <c r="BA268" s="97"/>
      <c r="BB268" s="97"/>
      <c r="BC268" s="97"/>
    </row>
    <row r="269" spans="2:55" ht="15.75" customHeight="1">
      <c r="B269" s="93"/>
      <c r="C269" s="94"/>
      <c r="D269" s="95"/>
      <c r="E269" s="234"/>
      <c r="F269" s="96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8"/>
      <c r="S269" s="97"/>
      <c r="T269" s="99"/>
      <c r="U269" s="99"/>
      <c r="V269" s="99"/>
      <c r="W269" s="97"/>
      <c r="X269" s="97"/>
      <c r="Y269" s="97"/>
      <c r="AC269" s="97"/>
      <c r="AD269" s="97"/>
      <c r="AE269" s="97"/>
      <c r="AF269" s="97"/>
      <c r="AG269" s="97"/>
      <c r="AH269" s="97"/>
      <c r="AI269" s="97"/>
      <c r="AJ269" s="97"/>
      <c r="AK269" s="97"/>
      <c r="AL269" s="97"/>
      <c r="AM269" s="97"/>
      <c r="AN269" s="97"/>
      <c r="AO269" s="97"/>
      <c r="AP269" s="97"/>
      <c r="AQ269" s="97"/>
      <c r="AR269" s="97"/>
      <c r="AS269" s="97"/>
      <c r="AT269" s="97"/>
      <c r="AU269" s="97"/>
      <c r="AV269" s="97"/>
      <c r="AW269" s="97"/>
      <c r="AX269" s="97"/>
      <c r="AY269" s="97"/>
      <c r="AZ269" s="97"/>
      <c r="BA269" s="97"/>
      <c r="BB269" s="97"/>
      <c r="BC269" s="97"/>
    </row>
    <row r="270" spans="2:55" ht="15.75" customHeight="1">
      <c r="B270" s="93"/>
      <c r="C270" s="94"/>
      <c r="D270" s="95"/>
      <c r="E270" s="234"/>
      <c r="F270" s="96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8"/>
      <c r="S270" s="97"/>
      <c r="T270" s="99"/>
      <c r="U270" s="99"/>
      <c r="V270" s="99"/>
      <c r="W270" s="97"/>
      <c r="X270" s="97"/>
      <c r="Y270" s="97"/>
      <c r="AC270" s="97"/>
      <c r="AD270" s="97"/>
      <c r="AE270" s="97"/>
      <c r="AF270" s="97"/>
      <c r="AG270" s="97"/>
      <c r="AH270" s="97"/>
      <c r="AI270" s="97"/>
      <c r="AJ270" s="97"/>
      <c r="AK270" s="97"/>
      <c r="AL270" s="97"/>
      <c r="AM270" s="97"/>
      <c r="AN270" s="97"/>
      <c r="AO270" s="97"/>
      <c r="AP270" s="97"/>
      <c r="AQ270" s="97"/>
      <c r="AR270" s="97"/>
      <c r="AS270" s="97"/>
      <c r="AT270" s="97"/>
      <c r="AU270" s="97"/>
      <c r="AV270" s="97"/>
      <c r="AW270" s="97"/>
      <c r="AX270" s="97"/>
      <c r="AY270" s="97"/>
      <c r="AZ270" s="97"/>
      <c r="BA270" s="97"/>
      <c r="BB270" s="97"/>
      <c r="BC270" s="97"/>
    </row>
    <row r="271" spans="2:55" ht="15.75" customHeight="1">
      <c r="B271" s="93"/>
      <c r="C271" s="94"/>
      <c r="D271" s="95"/>
      <c r="E271" s="234"/>
      <c r="F271" s="96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8"/>
      <c r="S271" s="97"/>
      <c r="T271" s="99"/>
      <c r="U271" s="99"/>
      <c r="V271" s="99"/>
      <c r="W271" s="97"/>
      <c r="X271" s="97"/>
      <c r="Y271" s="97"/>
      <c r="AC271" s="97"/>
      <c r="AD271" s="97"/>
      <c r="AE271" s="97"/>
      <c r="AF271" s="97"/>
      <c r="AG271" s="97"/>
      <c r="AH271" s="97"/>
      <c r="AI271" s="97"/>
      <c r="AJ271" s="97"/>
      <c r="AK271" s="97"/>
      <c r="AL271" s="97"/>
      <c r="AM271" s="97"/>
      <c r="AN271" s="97"/>
      <c r="AO271" s="97"/>
      <c r="AP271" s="97"/>
      <c r="AQ271" s="97"/>
      <c r="AR271" s="97"/>
      <c r="AS271" s="97"/>
      <c r="AT271" s="97"/>
      <c r="AU271" s="97"/>
      <c r="AV271" s="97"/>
      <c r="AW271" s="97"/>
      <c r="AX271" s="97"/>
      <c r="AY271" s="97"/>
      <c r="AZ271" s="97"/>
      <c r="BA271" s="97"/>
      <c r="BB271" s="97"/>
      <c r="BC271" s="97"/>
    </row>
    <row r="272" spans="2:55" ht="15.75" customHeight="1">
      <c r="B272" s="93"/>
      <c r="C272" s="94"/>
      <c r="D272" s="95"/>
      <c r="E272" s="234"/>
      <c r="F272" s="96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8"/>
      <c r="S272" s="97"/>
      <c r="T272" s="99"/>
      <c r="U272" s="99"/>
      <c r="V272" s="99"/>
      <c r="W272" s="97"/>
      <c r="X272" s="97"/>
      <c r="Y272" s="97"/>
      <c r="AC272" s="97"/>
      <c r="AD272" s="97"/>
      <c r="AE272" s="97"/>
      <c r="AF272" s="97"/>
      <c r="AG272" s="97"/>
      <c r="AH272" s="97"/>
      <c r="AI272" s="97"/>
      <c r="AJ272" s="97"/>
      <c r="AK272" s="97"/>
      <c r="AL272" s="97"/>
      <c r="AM272" s="97"/>
      <c r="AN272" s="97"/>
      <c r="AO272" s="97"/>
      <c r="AP272" s="97"/>
      <c r="AQ272" s="97"/>
      <c r="AR272" s="97"/>
      <c r="AS272" s="97"/>
      <c r="AT272" s="97"/>
      <c r="AU272" s="97"/>
      <c r="AV272" s="97"/>
      <c r="AW272" s="97"/>
      <c r="AX272" s="97"/>
      <c r="AY272" s="97"/>
      <c r="AZ272" s="97"/>
      <c r="BA272" s="97"/>
      <c r="BB272" s="97"/>
      <c r="BC272" s="97"/>
    </row>
    <row r="273" spans="2:55" ht="15.75" customHeight="1">
      <c r="B273" s="93"/>
      <c r="C273" s="94"/>
      <c r="D273" s="95"/>
      <c r="E273" s="234"/>
      <c r="F273" s="96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8"/>
      <c r="S273" s="97"/>
      <c r="T273" s="99"/>
      <c r="U273" s="99"/>
      <c r="V273" s="99"/>
      <c r="W273" s="97"/>
      <c r="X273" s="97"/>
      <c r="Y273" s="97"/>
      <c r="AC273" s="97"/>
      <c r="AD273" s="97"/>
      <c r="AE273" s="97"/>
      <c r="AF273" s="97"/>
      <c r="AG273" s="97"/>
      <c r="AH273" s="97"/>
      <c r="AI273" s="97"/>
      <c r="AJ273" s="97"/>
      <c r="AK273" s="97"/>
      <c r="AL273" s="97"/>
      <c r="AM273" s="97"/>
      <c r="AN273" s="97"/>
      <c r="AO273" s="97"/>
      <c r="AP273" s="97"/>
      <c r="AQ273" s="97"/>
      <c r="AR273" s="97"/>
      <c r="AS273" s="97"/>
      <c r="AT273" s="97"/>
      <c r="AU273" s="97"/>
      <c r="AV273" s="97"/>
      <c r="AW273" s="97"/>
      <c r="AX273" s="97"/>
      <c r="AY273" s="97"/>
      <c r="AZ273" s="97"/>
      <c r="BA273" s="97"/>
      <c r="BB273" s="97"/>
      <c r="BC273" s="97"/>
    </row>
    <row r="274" spans="2:55" ht="15.75" customHeight="1">
      <c r="B274" s="93"/>
      <c r="C274" s="94"/>
      <c r="D274" s="95"/>
      <c r="E274" s="234"/>
      <c r="F274" s="96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8"/>
      <c r="S274" s="97"/>
      <c r="T274" s="99"/>
      <c r="U274" s="99"/>
      <c r="V274" s="99"/>
      <c r="W274" s="97"/>
      <c r="X274" s="97"/>
      <c r="Y274" s="97"/>
      <c r="AC274" s="97"/>
      <c r="AD274" s="97"/>
      <c r="AE274" s="97"/>
      <c r="AF274" s="97"/>
      <c r="AG274" s="97"/>
      <c r="AH274" s="97"/>
      <c r="AI274" s="97"/>
      <c r="AJ274" s="97"/>
      <c r="AK274" s="97"/>
      <c r="AL274" s="97"/>
      <c r="AM274" s="97"/>
      <c r="AN274" s="97"/>
      <c r="AO274" s="97"/>
      <c r="AP274" s="97"/>
      <c r="AQ274" s="97"/>
      <c r="AR274" s="97"/>
      <c r="AS274" s="97"/>
      <c r="AT274" s="97"/>
      <c r="AU274" s="97"/>
      <c r="AV274" s="97"/>
      <c r="AW274" s="97"/>
      <c r="AX274" s="97"/>
      <c r="AY274" s="97"/>
      <c r="AZ274" s="97"/>
      <c r="BA274" s="97"/>
      <c r="BB274" s="97"/>
      <c r="BC274" s="97"/>
    </row>
    <row r="275" spans="2:55" ht="15.75" customHeight="1">
      <c r="B275" s="93"/>
      <c r="C275" s="94"/>
      <c r="D275" s="95"/>
      <c r="E275" s="234"/>
      <c r="F275" s="96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8"/>
      <c r="S275" s="97"/>
      <c r="T275" s="99"/>
      <c r="U275" s="99"/>
      <c r="V275" s="99"/>
      <c r="W275" s="97"/>
      <c r="X275" s="97"/>
      <c r="Y275" s="97"/>
      <c r="AC275" s="97"/>
      <c r="AD275" s="97"/>
      <c r="AE275" s="97"/>
      <c r="AF275" s="97"/>
      <c r="AG275" s="97"/>
      <c r="AH275" s="97"/>
      <c r="AI275" s="97"/>
      <c r="AJ275" s="97"/>
      <c r="AK275" s="97"/>
      <c r="AL275" s="97"/>
      <c r="AM275" s="97"/>
      <c r="AN275" s="97"/>
      <c r="AO275" s="97"/>
      <c r="AP275" s="97"/>
      <c r="AQ275" s="97"/>
      <c r="AR275" s="97"/>
      <c r="AS275" s="97"/>
      <c r="AT275" s="97"/>
      <c r="AU275" s="97"/>
      <c r="AV275" s="97"/>
      <c r="AW275" s="97"/>
      <c r="AX275" s="97"/>
      <c r="AY275" s="97"/>
      <c r="AZ275" s="97"/>
      <c r="BA275" s="97"/>
      <c r="BB275" s="97"/>
      <c r="BC275" s="97"/>
    </row>
    <row r="276" spans="2:55" ht="15.75" customHeight="1">
      <c r="B276" s="93"/>
      <c r="C276" s="94"/>
      <c r="D276" s="95"/>
      <c r="E276" s="234"/>
      <c r="F276" s="96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8"/>
      <c r="S276" s="97"/>
      <c r="T276" s="99"/>
      <c r="U276" s="99"/>
      <c r="V276" s="99"/>
      <c r="W276" s="97"/>
      <c r="X276" s="97"/>
      <c r="Y276" s="97"/>
      <c r="AC276" s="97"/>
      <c r="AD276" s="97"/>
      <c r="AE276" s="97"/>
      <c r="AF276" s="97"/>
      <c r="AG276" s="97"/>
      <c r="AH276" s="97"/>
      <c r="AI276" s="97"/>
      <c r="AJ276" s="97"/>
      <c r="AK276" s="97"/>
      <c r="AL276" s="97"/>
      <c r="AM276" s="97"/>
      <c r="AN276" s="97"/>
      <c r="AO276" s="97"/>
      <c r="AP276" s="97"/>
      <c r="AQ276" s="97"/>
      <c r="AR276" s="97"/>
      <c r="AS276" s="97"/>
      <c r="AT276" s="97"/>
      <c r="AU276" s="97"/>
      <c r="AV276" s="97"/>
      <c r="AW276" s="97"/>
      <c r="AX276" s="97"/>
      <c r="AY276" s="97"/>
      <c r="AZ276" s="97"/>
      <c r="BA276" s="97"/>
      <c r="BB276" s="97"/>
      <c r="BC276" s="97"/>
    </row>
    <row r="277" spans="2:55" ht="15.75" customHeight="1">
      <c r="B277" s="93"/>
      <c r="C277" s="94"/>
      <c r="D277" s="95"/>
      <c r="E277" s="234"/>
      <c r="F277" s="96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8"/>
      <c r="S277" s="97"/>
      <c r="T277" s="99"/>
      <c r="U277" s="99"/>
      <c r="V277" s="99"/>
      <c r="W277" s="97"/>
      <c r="X277" s="97"/>
      <c r="Y277" s="97"/>
      <c r="AC277" s="97"/>
      <c r="AD277" s="97"/>
      <c r="AE277" s="97"/>
      <c r="AF277" s="97"/>
      <c r="AG277" s="97"/>
      <c r="AH277" s="97"/>
      <c r="AI277" s="97"/>
      <c r="AJ277" s="97"/>
      <c r="AK277" s="97"/>
      <c r="AL277" s="97"/>
      <c r="AM277" s="97"/>
      <c r="AN277" s="97"/>
      <c r="AO277" s="97"/>
      <c r="AP277" s="97"/>
      <c r="AQ277" s="97"/>
      <c r="AR277" s="97"/>
      <c r="AS277" s="97"/>
      <c r="AT277" s="97"/>
      <c r="AU277" s="97"/>
      <c r="AV277" s="97"/>
      <c r="AW277" s="97"/>
      <c r="AX277" s="97"/>
      <c r="AY277" s="97"/>
      <c r="AZ277" s="97"/>
      <c r="BA277" s="97"/>
      <c r="BB277" s="97"/>
      <c r="BC277" s="97"/>
    </row>
    <row r="278" spans="2:55" ht="15.75" customHeight="1">
      <c r="B278" s="93"/>
      <c r="C278" s="94"/>
      <c r="D278" s="95"/>
      <c r="E278" s="234"/>
      <c r="F278" s="96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8"/>
      <c r="S278" s="97"/>
      <c r="T278" s="99"/>
      <c r="U278" s="99"/>
      <c r="V278" s="99"/>
      <c r="W278" s="97"/>
      <c r="X278" s="97"/>
      <c r="Y278" s="97"/>
      <c r="AC278" s="97"/>
      <c r="AD278" s="97"/>
      <c r="AE278" s="97"/>
      <c r="AF278" s="97"/>
      <c r="AG278" s="97"/>
      <c r="AH278" s="97"/>
      <c r="AI278" s="97"/>
      <c r="AJ278" s="97"/>
      <c r="AK278" s="97"/>
      <c r="AL278" s="97"/>
      <c r="AM278" s="97"/>
      <c r="AN278" s="97"/>
      <c r="AO278" s="97"/>
      <c r="AP278" s="97"/>
      <c r="AQ278" s="97"/>
      <c r="AR278" s="97"/>
      <c r="AS278" s="97"/>
      <c r="AT278" s="97"/>
      <c r="AU278" s="97"/>
      <c r="AV278" s="97"/>
      <c r="AW278" s="97"/>
      <c r="AX278" s="97"/>
      <c r="AY278" s="97"/>
      <c r="AZ278" s="97"/>
      <c r="BA278" s="97"/>
      <c r="BB278" s="97"/>
      <c r="BC278" s="97"/>
    </row>
    <row r="279" spans="2:55" ht="15.75" customHeight="1">
      <c r="B279" s="93"/>
      <c r="C279" s="94"/>
      <c r="D279" s="95"/>
      <c r="E279" s="234"/>
      <c r="F279" s="96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8"/>
      <c r="S279" s="97"/>
      <c r="T279" s="99"/>
      <c r="U279" s="99"/>
      <c r="V279" s="99"/>
      <c r="W279" s="97"/>
      <c r="X279" s="97"/>
      <c r="Y279" s="97"/>
      <c r="AC279" s="97"/>
      <c r="AD279" s="97"/>
      <c r="AE279" s="97"/>
      <c r="AF279" s="97"/>
      <c r="AG279" s="97"/>
      <c r="AH279" s="97"/>
      <c r="AI279" s="97"/>
      <c r="AJ279" s="97"/>
      <c r="AK279" s="97"/>
      <c r="AL279" s="97"/>
      <c r="AM279" s="97"/>
      <c r="AN279" s="97"/>
      <c r="AO279" s="97"/>
      <c r="AP279" s="97"/>
      <c r="AQ279" s="97"/>
      <c r="AR279" s="97"/>
      <c r="AS279" s="97"/>
      <c r="AT279" s="97"/>
      <c r="AU279" s="97"/>
      <c r="AV279" s="97"/>
      <c r="AW279" s="97"/>
      <c r="AX279" s="97"/>
      <c r="AY279" s="97"/>
      <c r="AZ279" s="97"/>
      <c r="BA279" s="97"/>
      <c r="BB279" s="97"/>
      <c r="BC279" s="97"/>
    </row>
    <row r="280" spans="2:55" ht="15.75" customHeight="1">
      <c r="B280" s="93"/>
      <c r="C280" s="94"/>
      <c r="D280" s="95"/>
      <c r="E280" s="234"/>
      <c r="F280" s="96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8"/>
      <c r="S280" s="97"/>
      <c r="T280" s="99"/>
      <c r="U280" s="99"/>
      <c r="V280" s="99"/>
      <c r="W280" s="97"/>
      <c r="X280" s="97"/>
      <c r="Y280" s="97"/>
      <c r="AC280" s="97"/>
      <c r="AD280" s="97"/>
      <c r="AE280" s="97"/>
      <c r="AF280" s="97"/>
      <c r="AG280" s="97"/>
      <c r="AH280" s="97"/>
      <c r="AI280" s="97"/>
      <c r="AJ280" s="97"/>
      <c r="AK280" s="97"/>
      <c r="AL280" s="97"/>
      <c r="AM280" s="97"/>
      <c r="AN280" s="97"/>
      <c r="AO280" s="97"/>
      <c r="AP280" s="97"/>
      <c r="AQ280" s="97"/>
      <c r="AR280" s="97"/>
      <c r="AS280" s="97"/>
      <c r="AT280" s="97"/>
      <c r="AU280" s="97"/>
      <c r="AV280" s="97"/>
      <c r="AW280" s="97"/>
      <c r="AX280" s="97"/>
      <c r="AY280" s="97"/>
      <c r="AZ280" s="97"/>
      <c r="BA280" s="97"/>
      <c r="BB280" s="97"/>
      <c r="BC280" s="97"/>
    </row>
    <row r="281" spans="2:55" ht="15.75" customHeight="1">
      <c r="B281" s="93"/>
      <c r="C281" s="94"/>
      <c r="D281" s="95"/>
      <c r="E281" s="234"/>
      <c r="F281" s="96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8"/>
      <c r="S281" s="97"/>
      <c r="T281" s="99"/>
      <c r="U281" s="99"/>
      <c r="V281" s="99"/>
      <c r="W281" s="97"/>
      <c r="X281" s="97"/>
      <c r="Y281" s="97"/>
      <c r="AC281" s="97"/>
      <c r="AD281" s="97"/>
      <c r="AE281" s="97"/>
      <c r="AF281" s="97"/>
      <c r="AG281" s="97"/>
      <c r="AH281" s="97"/>
      <c r="AI281" s="97"/>
      <c r="AJ281" s="97"/>
      <c r="AK281" s="97"/>
      <c r="AL281" s="97"/>
      <c r="AM281" s="97"/>
      <c r="AN281" s="97"/>
      <c r="AO281" s="97"/>
      <c r="AP281" s="97"/>
      <c r="AQ281" s="97"/>
      <c r="AR281" s="97"/>
      <c r="AS281" s="97"/>
      <c r="AT281" s="97"/>
      <c r="AU281" s="97"/>
      <c r="AV281" s="97"/>
      <c r="AW281" s="97"/>
      <c r="AX281" s="97"/>
      <c r="AY281" s="97"/>
      <c r="AZ281" s="97"/>
      <c r="BA281" s="97"/>
      <c r="BB281" s="97"/>
      <c r="BC281" s="97"/>
    </row>
    <row r="282" spans="2:55" ht="15.75" customHeight="1">
      <c r="B282" s="93"/>
      <c r="C282" s="94"/>
      <c r="D282" s="95"/>
      <c r="E282" s="234"/>
      <c r="F282" s="96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8"/>
      <c r="S282" s="97"/>
      <c r="T282" s="99"/>
      <c r="U282" s="99"/>
      <c r="V282" s="99"/>
      <c r="W282" s="97"/>
      <c r="X282" s="97"/>
      <c r="Y282" s="97"/>
      <c r="AC282" s="97"/>
      <c r="AD282" s="97"/>
      <c r="AE282" s="97"/>
      <c r="AF282" s="97"/>
      <c r="AG282" s="97"/>
      <c r="AH282" s="97"/>
      <c r="AI282" s="97"/>
      <c r="AJ282" s="97"/>
      <c r="AK282" s="97"/>
      <c r="AL282" s="97"/>
      <c r="AM282" s="97"/>
      <c r="AN282" s="97"/>
      <c r="AO282" s="97"/>
      <c r="AP282" s="97"/>
      <c r="AQ282" s="97"/>
      <c r="AR282" s="97"/>
      <c r="AS282" s="97"/>
      <c r="AT282" s="97"/>
      <c r="AU282" s="97"/>
      <c r="AV282" s="97"/>
      <c r="AW282" s="97"/>
      <c r="AX282" s="97"/>
      <c r="AY282" s="97"/>
      <c r="AZ282" s="97"/>
      <c r="BA282" s="97"/>
      <c r="BB282" s="97"/>
      <c r="BC282" s="97"/>
    </row>
    <row r="283" spans="2:55" ht="15.75" customHeight="1">
      <c r="B283" s="93"/>
      <c r="C283" s="94"/>
      <c r="D283" s="95"/>
      <c r="E283" s="234"/>
      <c r="F283" s="96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8"/>
      <c r="S283" s="97"/>
      <c r="T283" s="99"/>
      <c r="U283" s="99"/>
      <c r="V283" s="99"/>
      <c r="W283" s="97"/>
      <c r="X283" s="97"/>
      <c r="Y283" s="97"/>
      <c r="AC283" s="97"/>
      <c r="AD283" s="97"/>
      <c r="AE283" s="97"/>
      <c r="AF283" s="97"/>
      <c r="AG283" s="97"/>
      <c r="AH283" s="97"/>
      <c r="AI283" s="97"/>
      <c r="AJ283" s="97"/>
      <c r="AK283" s="97"/>
      <c r="AL283" s="97"/>
      <c r="AM283" s="97"/>
      <c r="AN283" s="97"/>
      <c r="AO283" s="97"/>
      <c r="AP283" s="97"/>
      <c r="AQ283" s="97"/>
      <c r="AR283" s="97"/>
      <c r="AS283" s="97"/>
      <c r="AT283" s="97"/>
      <c r="AU283" s="97"/>
      <c r="AV283" s="97"/>
      <c r="AW283" s="97"/>
      <c r="AX283" s="97"/>
      <c r="AY283" s="97"/>
      <c r="AZ283" s="97"/>
      <c r="BA283" s="97"/>
      <c r="BB283" s="97"/>
      <c r="BC283" s="97"/>
    </row>
    <row r="284" spans="2:55" ht="15.75" customHeight="1">
      <c r="B284" s="93"/>
      <c r="C284" s="94"/>
      <c r="D284" s="95"/>
      <c r="E284" s="234"/>
      <c r="F284" s="96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8"/>
      <c r="S284" s="97"/>
      <c r="T284" s="99"/>
      <c r="U284" s="99"/>
      <c r="V284" s="99"/>
      <c r="W284" s="97"/>
      <c r="X284" s="97"/>
      <c r="Y284" s="97"/>
      <c r="AC284" s="97"/>
      <c r="AD284" s="97"/>
      <c r="AE284" s="97"/>
      <c r="AF284" s="97"/>
      <c r="AG284" s="97"/>
      <c r="AH284" s="97"/>
      <c r="AI284" s="97"/>
      <c r="AJ284" s="97"/>
      <c r="AK284" s="97"/>
      <c r="AL284" s="97"/>
      <c r="AM284" s="97"/>
      <c r="AN284" s="97"/>
      <c r="AO284" s="97"/>
      <c r="AP284" s="97"/>
      <c r="AQ284" s="97"/>
      <c r="AR284" s="97"/>
      <c r="AS284" s="97"/>
      <c r="AT284" s="97"/>
      <c r="AU284" s="97"/>
      <c r="AV284" s="97"/>
      <c r="AW284" s="97"/>
      <c r="AX284" s="97"/>
      <c r="AY284" s="97"/>
      <c r="AZ284" s="97"/>
      <c r="BA284" s="97"/>
      <c r="BB284" s="97"/>
      <c r="BC284" s="97"/>
    </row>
    <row r="285" spans="2:55" ht="15.75" customHeight="1">
      <c r="B285" s="93"/>
      <c r="C285" s="94"/>
      <c r="D285" s="95"/>
      <c r="E285" s="234"/>
      <c r="F285" s="96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8"/>
      <c r="S285" s="97"/>
      <c r="T285" s="99"/>
      <c r="U285" s="99"/>
      <c r="V285" s="99"/>
      <c r="W285" s="97"/>
      <c r="X285" s="97"/>
      <c r="Y285" s="97"/>
      <c r="AC285" s="97"/>
      <c r="AD285" s="97"/>
      <c r="AE285" s="97"/>
      <c r="AF285" s="97"/>
      <c r="AG285" s="97"/>
      <c r="AH285" s="97"/>
      <c r="AI285" s="97"/>
      <c r="AJ285" s="97"/>
      <c r="AK285" s="97"/>
      <c r="AL285" s="97"/>
      <c r="AM285" s="97"/>
      <c r="AN285" s="97"/>
      <c r="AO285" s="97"/>
      <c r="AP285" s="97"/>
      <c r="AQ285" s="97"/>
      <c r="AR285" s="97"/>
      <c r="AS285" s="97"/>
      <c r="AT285" s="97"/>
      <c r="AU285" s="97"/>
      <c r="AV285" s="97"/>
      <c r="AW285" s="97"/>
      <c r="AX285" s="97"/>
      <c r="AY285" s="97"/>
      <c r="AZ285" s="97"/>
      <c r="BA285" s="97"/>
      <c r="BB285" s="97"/>
      <c r="BC285" s="97"/>
    </row>
    <row r="286" spans="2:55" ht="15.75" customHeight="1">
      <c r="B286" s="93"/>
      <c r="C286" s="94"/>
      <c r="D286" s="95"/>
      <c r="E286" s="234"/>
      <c r="F286" s="96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8"/>
      <c r="S286" s="97"/>
      <c r="T286" s="99"/>
      <c r="U286" s="99"/>
      <c r="V286" s="99"/>
      <c r="W286" s="97"/>
      <c r="X286" s="97"/>
      <c r="Y286" s="97"/>
      <c r="AC286" s="97"/>
      <c r="AD286" s="97"/>
      <c r="AE286" s="97"/>
      <c r="AF286" s="97"/>
      <c r="AG286" s="97"/>
      <c r="AH286" s="97"/>
      <c r="AI286" s="97"/>
      <c r="AJ286" s="97"/>
      <c r="AK286" s="97"/>
      <c r="AL286" s="97"/>
      <c r="AM286" s="97"/>
      <c r="AN286" s="97"/>
      <c r="AO286" s="97"/>
      <c r="AP286" s="97"/>
      <c r="AQ286" s="97"/>
      <c r="AR286" s="97"/>
      <c r="AS286" s="97"/>
      <c r="AT286" s="97"/>
      <c r="AU286" s="97"/>
      <c r="AV286" s="97"/>
      <c r="AW286" s="97"/>
      <c r="AX286" s="97"/>
      <c r="AY286" s="97"/>
      <c r="AZ286" s="97"/>
      <c r="BA286" s="97"/>
      <c r="BB286" s="97"/>
      <c r="BC286" s="97"/>
    </row>
    <row r="287" spans="2:55" ht="15.75" customHeight="1">
      <c r="B287" s="93"/>
      <c r="C287" s="94"/>
      <c r="D287" s="95"/>
      <c r="E287" s="234"/>
      <c r="F287" s="96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8"/>
      <c r="S287" s="97"/>
      <c r="T287" s="99"/>
      <c r="U287" s="99"/>
      <c r="V287" s="99"/>
      <c r="W287" s="97"/>
      <c r="X287" s="97"/>
      <c r="Y287" s="97"/>
      <c r="AC287" s="97"/>
      <c r="AD287" s="97"/>
      <c r="AE287" s="97"/>
      <c r="AF287" s="97"/>
      <c r="AG287" s="97"/>
      <c r="AH287" s="97"/>
      <c r="AI287" s="97"/>
      <c r="AJ287" s="97"/>
      <c r="AK287" s="97"/>
      <c r="AL287" s="97"/>
      <c r="AM287" s="97"/>
      <c r="AN287" s="97"/>
      <c r="AO287" s="97"/>
      <c r="AP287" s="97"/>
      <c r="AQ287" s="97"/>
      <c r="AR287" s="97"/>
      <c r="AS287" s="97"/>
      <c r="AT287" s="97"/>
      <c r="AU287" s="97"/>
      <c r="AV287" s="97"/>
      <c r="AW287" s="97"/>
      <c r="AX287" s="97"/>
      <c r="AY287" s="97"/>
      <c r="AZ287" s="97"/>
      <c r="BA287" s="97"/>
      <c r="BB287" s="97"/>
      <c r="BC287" s="97"/>
    </row>
    <row r="288" spans="2:55" ht="15.75" customHeight="1">
      <c r="B288" s="93"/>
      <c r="C288" s="94"/>
      <c r="D288" s="95"/>
      <c r="E288" s="234"/>
      <c r="F288" s="96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8"/>
      <c r="S288" s="97"/>
      <c r="T288" s="99"/>
      <c r="U288" s="99"/>
      <c r="V288" s="99"/>
      <c r="W288" s="97"/>
      <c r="X288" s="97"/>
      <c r="Y288" s="97"/>
      <c r="AC288" s="97"/>
      <c r="AD288" s="97"/>
      <c r="AE288" s="97"/>
      <c r="AF288" s="97"/>
      <c r="AG288" s="97"/>
      <c r="AH288" s="97"/>
      <c r="AI288" s="97"/>
      <c r="AJ288" s="97"/>
      <c r="AK288" s="97"/>
      <c r="AL288" s="97"/>
      <c r="AM288" s="97"/>
      <c r="AN288" s="97"/>
      <c r="AO288" s="97"/>
      <c r="AP288" s="97"/>
      <c r="AQ288" s="97"/>
      <c r="AR288" s="97"/>
      <c r="AS288" s="97"/>
      <c r="AT288" s="97"/>
      <c r="AU288" s="97"/>
      <c r="AV288" s="97"/>
      <c r="AW288" s="97"/>
      <c r="AX288" s="97"/>
      <c r="AY288" s="97"/>
      <c r="AZ288" s="97"/>
      <c r="BA288" s="97"/>
      <c r="BB288" s="97"/>
      <c r="BC288" s="97"/>
    </row>
    <row r="289" spans="2:55" ht="15.75" customHeight="1">
      <c r="B289" s="93"/>
      <c r="C289" s="94"/>
      <c r="D289" s="95"/>
      <c r="E289" s="234"/>
      <c r="F289" s="96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8"/>
      <c r="S289" s="97"/>
      <c r="T289" s="99"/>
      <c r="U289" s="99"/>
      <c r="V289" s="99"/>
      <c r="W289" s="97"/>
      <c r="X289" s="97"/>
      <c r="Y289" s="97"/>
      <c r="AC289" s="97"/>
      <c r="AD289" s="97"/>
      <c r="AE289" s="97"/>
      <c r="AF289" s="97"/>
      <c r="AG289" s="97"/>
      <c r="AH289" s="97"/>
      <c r="AI289" s="97"/>
      <c r="AJ289" s="97"/>
      <c r="AK289" s="97"/>
      <c r="AL289" s="97"/>
      <c r="AM289" s="97"/>
      <c r="AN289" s="97"/>
      <c r="AO289" s="97"/>
      <c r="AP289" s="97"/>
      <c r="AQ289" s="97"/>
      <c r="AR289" s="97"/>
      <c r="AS289" s="97"/>
      <c r="AT289" s="97"/>
      <c r="AU289" s="97"/>
      <c r="AV289" s="97"/>
      <c r="AW289" s="97"/>
      <c r="AX289" s="97"/>
      <c r="AY289" s="97"/>
      <c r="AZ289" s="97"/>
      <c r="BA289" s="97"/>
      <c r="BB289" s="97"/>
      <c r="BC289" s="97"/>
    </row>
    <row r="290" spans="2:55" ht="15.75" customHeight="1">
      <c r="B290" s="93"/>
      <c r="C290" s="94"/>
      <c r="D290" s="95"/>
      <c r="E290" s="234"/>
      <c r="F290" s="96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8"/>
      <c r="S290" s="97"/>
      <c r="T290" s="99"/>
      <c r="U290" s="99"/>
      <c r="V290" s="99"/>
      <c r="W290" s="97"/>
      <c r="X290" s="97"/>
      <c r="Y290" s="97"/>
      <c r="AC290" s="97"/>
      <c r="AD290" s="97"/>
      <c r="AE290" s="97"/>
      <c r="AF290" s="97"/>
      <c r="AG290" s="97"/>
      <c r="AH290" s="97"/>
      <c r="AI290" s="97"/>
      <c r="AJ290" s="97"/>
      <c r="AK290" s="97"/>
      <c r="AL290" s="97"/>
      <c r="AM290" s="97"/>
      <c r="AN290" s="97"/>
      <c r="AO290" s="97"/>
      <c r="AP290" s="97"/>
      <c r="AQ290" s="97"/>
      <c r="AR290" s="97"/>
      <c r="AS290" s="97"/>
      <c r="AT290" s="97"/>
      <c r="AU290" s="97"/>
      <c r="AV290" s="97"/>
      <c r="AW290" s="97"/>
      <c r="AX290" s="97"/>
      <c r="AY290" s="97"/>
      <c r="AZ290" s="97"/>
      <c r="BA290" s="97"/>
      <c r="BB290" s="97"/>
      <c r="BC290" s="97"/>
    </row>
    <row r="291" spans="2:55" ht="15.75" customHeight="1">
      <c r="B291" s="93"/>
      <c r="C291" s="94"/>
      <c r="D291" s="95"/>
      <c r="E291" s="234"/>
      <c r="F291" s="96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8"/>
      <c r="S291" s="97"/>
      <c r="T291" s="99"/>
      <c r="U291" s="99"/>
      <c r="V291" s="99"/>
      <c r="W291" s="97"/>
      <c r="X291" s="97"/>
      <c r="Y291" s="97"/>
      <c r="AC291" s="97"/>
      <c r="AD291" s="97"/>
      <c r="AE291" s="97"/>
      <c r="AF291" s="97"/>
      <c r="AG291" s="97"/>
      <c r="AH291" s="97"/>
      <c r="AI291" s="97"/>
      <c r="AJ291" s="97"/>
      <c r="AK291" s="97"/>
      <c r="AL291" s="97"/>
      <c r="AM291" s="97"/>
      <c r="AN291" s="97"/>
      <c r="AO291" s="97"/>
      <c r="AP291" s="97"/>
      <c r="AQ291" s="97"/>
      <c r="AR291" s="97"/>
      <c r="AS291" s="97"/>
      <c r="AT291" s="97"/>
      <c r="AU291" s="97"/>
      <c r="AV291" s="97"/>
      <c r="AW291" s="97"/>
      <c r="AX291" s="97"/>
      <c r="AY291" s="97"/>
      <c r="AZ291" s="97"/>
      <c r="BA291" s="97"/>
      <c r="BB291" s="97"/>
      <c r="BC291" s="97"/>
    </row>
    <row r="292" spans="2:55" ht="15.75" customHeight="1">
      <c r="B292" s="93"/>
      <c r="C292" s="94"/>
      <c r="D292" s="95"/>
      <c r="E292" s="234"/>
      <c r="F292" s="96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8"/>
      <c r="S292" s="97"/>
      <c r="T292" s="99"/>
      <c r="U292" s="99"/>
      <c r="V292" s="99"/>
      <c r="W292" s="97"/>
      <c r="X292" s="97"/>
      <c r="Y292" s="97"/>
      <c r="AC292" s="97"/>
      <c r="AD292" s="97"/>
      <c r="AE292" s="97"/>
      <c r="AF292" s="97"/>
      <c r="AG292" s="97"/>
      <c r="AH292" s="97"/>
      <c r="AI292" s="97"/>
      <c r="AJ292" s="97"/>
      <c r="AK292" s="97"/>
      <c r="AL292" s="97"/>
      <c r="AM292" s="97"/>
      <c r="AN292" s="97"/>
      <c r="AO292" s="97"/>
      <c r="AP292" s="97"/>
      <c r="AQ292" s="97"/>
      <c r="AR292" s="97"/>
      <c r="AS292" s="97"/>
      <c r="AT292" s="97"/>
      <c r="AU292" s="97"/>
      <c r="AV292" s="97"/>
      <c r="AW292" s="97"/>
      <c r="AX292" s="97"/>
      <c r="AY292" s="97"/>
      <c r="AZ292" s="97"/>
      <c r="BA292" s="97"/>
      <c r="BB292" s="97"/>
      <c r="BC292" s="97"/>
    </row>
    <row r="293" spans="2:55" ht="15.75" customHeight="1">
      <c r="B293" s="93"/>
      <c r="C293" s="94"/>
      <c r="D293" s="95"/>
      <c r="E293" s="234"/>
      <c r="F293" s="96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8"/>
      <c r="S293" s="97"/>
      <c r="T293" s="99"/>
      <c r="U293" s="99"/>
      <c r="V293" s="99"/>
      <c r="W293" s="97"/>
      <c r="X293" s="97"/>
      <c r="Y293" s="97"/>
      <c r="AC293" s="97"/>
      <c r="AD293" s="97"/>
      <c r="AE293" s="97"/>
      <c r="AF293" s="97"/>
      <c r="AG293" s="97"/>
      <c r="AH293" s="97"/>
      <c r="AI293" s="97"/>
      <c r="AJ293" s="97"/>
      <c r="AK293" s="97"/>
      <c r="AL293" s="97"/>
      <c r="AM293" s="97"/>
      <c r="AN293" s="97"/>
      <c r="AO293" s="97"/>
      <c r="AP293" s="97"/>
      <c r="AQ293" s="97"/>
      <c r="AR293" s="97"/>
      <c r="AS293" s="97"/>
      <c r="AT293" s="97"/>
      <c r="AU293" s="97"/>
      <c r="AV293" s="97"/>
      <c r="AW293" s="97"/>
      <c r="AX293" s="97"/>
      <c r="AY293" s="97"/>
      <c r="AZ293" s="97"/>
      <c r="BA293" s="97"/>
      <c r="BB293" s="97"/>
      <c r="BC293" s="97"/>
    </row>
    <row r="294" spans="2:55" ht="15.75" customHeight="1">
      <c r="B294" s="93"/>
      <c r="C294" s="94"/>
      <c r="D294" s="95"/>
      <c r="E294" s="234"/>
      <c r="F294" s="96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8"/>
      <c r="S294" s="97"/>
      <c r="T294" s="99"/>
      <c r="U294" s="99"/>
      <c r="V294" s="99"/>
      <c r="W294" s="97"/>
      <c r="X294" s="97"/>
      <c r="Y294" s="97"/>
      <c r="AC294" s="97"/>
      <c r="AD294" s="97"/>
      <c r="AE294" s="97"/>
      <c r="AF294" s="97"/>
      <c r="AG294" s="97"/>
      <c r="AH294" s="97"/>
      <c r="AI294" s="97"/>
      <c r="AJ294" s="97"/>
      <c r="AK294" s="97"/>
      <c r="AL294" s="97"/>
      <c r="AM294" s="97"/>
      <c r="AN294" s="97"/>
      <c r="AO294" s="97"/>
      <c r="AP294" s="97"/>
      <c r="AQ294" s="97"/>
      <c r="AR294" s="97"/>
      <c r="AS294" s="97"/>
      <c r="AT294" s="97"/>
      <c r="AU294" s="97"/>
      <c r="AV294" s="97"/>
      <c r="AW294" s="97"/>
      <c r="AX294" s="97"/>
      <c r="AY294" s="97"/>
      <c r="AZ294" s="97"/>
      <c r="BA294" s="97"/>
      <c r="BB294" s="97"/>
      <c r="BC294" s="97"/>
    </row>
    <row r="295" spans="2:55" ht="15.75" customHeight="1">
      <c r="B295" s="93"/>
      <c r="C295" s="94"/>
      <c r="D295" s="95"/>
      <c r="E295" s="234"/>
      <c r="F295" s="96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8"/>
      <c r="S295" s="97"/>
      <c r="T295" s="99"/>
      <c r="U295" s="99"/>
      <c r="V295" s="99"/>
      <c r="W295" s="97"/>
      <c r="X295" s="97"/>
      <c r="Y295" s="97"/>
      <c r="AC295" s="97"/>
      <c r="AD295" s="97"/>
      <c r="AE295" s="97"/>
      <c r="AF295" s="97"/>
      <c r="AG295" s="97"/>
      <c r="AH295" s="97"/>
      <c r="AI295" s="97"/>
      <c r="AJ295" s="97"/>
      <c r="AK295" s="97"/>
      <c r="AL295" s="97"/>
      <c r="AM295" s="97"/>
      <c r="AN295" s="97"/>
      <c r="AO295" s="97"/>
      <c r="AP295" s="97"/>
      <c r="AQ295" s="97"/>
      <c r="AR295" s="97"/>
      <c r="AS295" s="97"/>
      <c r="AT295" s="97"/>
      <c r="AU295" s="97"/>
      <c r="AV295" s="97"/>
      <c r="AW295" s="97"/>
      <c r="AX295" s="97"/>
      <c r="AY295" s="97"/>
      <c r="AZ295" s="97"/>
      <c r="BA295" s="97"/>
      <c r="BB295" s="97"/>
      <c r="BC295" s="97"/>
    </row>
    <row r="296" spans="2:55" ht="15.75" customHeight="1">
      <c r="B296" s="93"/>
      <c r="C296" s="94"/>
      <c r="D296" s="95"/>
      <c r="E296" s="234"/>
      <c r="F296" s="96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8"/>
      <c r="S296" s="97"/>
      <c r="T296" s="99"/>
      <c r="U296" s="99"/>
      <c r="V296" s="99"/>
      <c r="W296" s="97"/>
      <c r="X296" s="97"/>
      <c r="Y296" s="97"/>
      <c r="AC296" s="97"/>
      <c r="AD296" s="97"/>
      <c r="AE296" s="97"/>
      <c r="AF296" s="97"/>
      <c r="AG296" s="97"/>
      <c r="AH296" s="97"/>
      <c r="AI296" s="97"/>
      <c r="AJ296" s="97"/>
      <c r="AK296" s="97"/>
      <c r="AL296" s="97"/>
      <c r="AM296" s="97"/>
      <c r="AN296" s="97"/>
      <c r="AO296" s="97"/>
      <c r="AP296" s="97"/>
      <c r="AQ296" s="97"/>
      <c r="AR296" s="97"/>
      <c r="AS296" s="97"/>
      <c r="AT296" s="97"/>
      <c r="AU296" s="97"/>
      <c r="AV296" s="97"/>
      <c r="AW296" s="97"/>
      <c r="AX296" s="97"/>
      <c r="AY296" s="97"/>
      <c r="AZ296" s="97"/>
      <c r="BA296" s="97"/>
      <c r="BB296" s="97"/>
      <c r="BC296" s="97"/>
    </row>
    <row r="297" spans="2:55" ht="15.75" customHeight="1">
      <c r="B297" s="93"/>
      <c r="C297" s="94"/>
      <c r="D297" s="95"/>
      <c r="E297" s="234"/>
      <c r="F297" s="96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8"/>
      <c r="S297" s="97"/>
      <c r="T297" s="99"/>
      <c r="U297" s="99"/>
      <c r="V297" s="99"/>
      <c r="W297" s="97"/>
      <c r="X297" s="97"/>
      <c r="Y297" s="97"/>
      <c r="AC297" s="97"/>
      <c r="AD297" s="97"/>
      <c r="AE297" s="97"/>
      <c r="AF297" s="97"/>
      <c r="AG297" s="97"/>
      <c r="AH297" s="97"/>
      <c r="AI297" s="97"/>
      <c r="AJ297" s="97"/>
      <c r="AK297" s="97"/>
      <c r="AL297" s="97"/>
      <c r="AM297" s="97"/>
      <c r="AN297" s="97"/>
      <c r="AO297" s="97"/>
      <c r="AP297" s="97"/>
      <c r="AQ297" s="97"/>
      <c r="AR297" s="97"/>
      <c r="AS297" s="97"/>
      <c r="AT297" s="97"/>
      <c r="AU297" s="97"/>
      <c r="AV297" s="97"/>
      <c r="AW297" s="97"/>
      <c r="AX297" s="97"/>
      <c r="AY297" s="97"/>
      <c r="AZ297" s="97"/>
      <c r="BA297" s="97"/>
      <c r="BB297" s="97"/>
      <c r="BC297" s="97"/>
    </row>
    <row r="298" spans="2:55" ht="15.75" customHeight="1">
      <c r="B298" s="93"/>
      <c r="C298" s="94"/>
      <c r="D298" s="95"/>
      <c r="E298" s="234"/>
      <c r="F298" s="96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8"/>
      <c r="S298" s="97"/>
      <c r="T298" s="99"/>
      <c r="U298" s="99"/>
      <c r="V298" s="99"/>
      <c r="W298" s="97"/>
      <c r="X298" s="97"/>
      <c r="Y298" s="97"/>
      <c r="AC298" s="97"/>
      <c r="AD298" s="97"/>
      <c r="AE298" s="97"/>
      <c r="AF298" s="97"/>
      <c r="AG298" s="97"/>
      <c r="AH298" s="97"/>
      <c r="AI298" s="97"/>
      <c r="AJ298" s="97"/>
      <c r="AK298" s="97"/>
      <c r="AL298" s="97"/>
      <c r="AM298" s="97"/>
      <c r="AN298" s="97"/>
      <c r="AO298" s="97"/>
      <c r="AP298" s="97"/>
      <c r="AQ298" s="97"/>
      <c r="AR298" s="97"/>
      <c r="AS298" s="97"/>
      <c r="AT298" s="97"/>
      <c r="AU298" s="97"/>
      <c r="AV298" s="97"/>
      <c r="AW298" s="97"/>
      <c r="AX298" s="97"/>
      <c r="AY298" s="97"/>
      <c r="AZ298" s="97"/>
      <c r="BA298" s="97"/>
      <c r="BB298" s="97"/>
      <c r="BC298" s="97"/>
    </row>
    <row r="299" spans="2:55" ht="15.75" customHeight="1">
      <c r="B299" s="93"/>
      <c r="C299" s="94"/>
      <c r="D299" s="95"/>
      <c r="E299" s="234"/>
      <c r="F299" s="96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8"/>
      <c r="S299" s="97"/>
      <c r="T299" s="99"/>
      <c r="U299" s="99"/>
      <c r="V299" s="99"/>
      <c r="W299" s="97"/>
      <c r="X299" s="97"/>
      <c r="Y299" s="97"/>
      <c r="AC299" s="97"/>
      <c r="AD299" s="97"/>
      <c r="AE299" s="97"/>
      <c r="AF299" s="97"/>
      <c r="AG299" s="97"/>
      <c r="AH299" s="97"/>
      <c r="AI299" s="97"/>
      <c r="AJ299" s="97"/>
      <c r="AK299" s="97"/>
      <c r="AL299" s="97"/>
      <c r="AM299" s="97"/>
      <c r="AN299" s="97"/>
      <c r="AO299" s="97"/>
      <c r="AP299" s="97"/>
      <c r="AQ299" s="97"/>
      <c r="AR299" s="97"/>
      <c r="AS299" s="97"/>
      <c r="AT299" s="97"/>
      <c r="AU299" s="97"/>
      <c r="AV299" s="97"/>
      <c r="AW299" s="97"/>
      <c r="AX299" s="97"/>
      <c r="AY299" s="97"/>
      <c r="AZ299" s="97"/>
      <c r="BA299" s="97"/>
      <c r="BB299" s="97"/>
      <c r="BC299" s="97"/>
    </row>
    <row r="300" spans="2:55" ht="15.75" customHeight="1">
      <c r="B300" s="93"/>
      <c r="C300" s="94"/>
      <c r="D300" s="95"/>
      <c r="E300" s="234"/>
      <c r="F300" s="96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8"/>
      <c r="S300" s="97"/>
      <c r="T300" s="99"/>
      <c r="U300" s="99"/>
      <c r="V300" s="99"/>
      <c r="W300" s="97"/>
      <c r="X300" s="97"/>
      <c r="Y300" s="97"/>
      <c r="AC300" s="97"/>
      <c r="AD300" s="97"/>
      <c r="AE300" s="97"/>
      <c r="AF300" s="97"/>
      <c r="AG300" s="97"/>
      <c r="AH300" s="97"/>
      <c r="AI300" s="97"/>
      <c r="AJ300" s="97"/>
      <c r="AK300" s="97"/>
      <c r="AL300" s="97"/>
      <c r="AM300" s="97"/>
      <c r="AN300" s="97"/>
      <c r="AO300" s="97"/>
      <c r="AP300" s="97"/>
      <c r="AQ300" s="97"/>
      <c r="AR300" s="97"/>
      <c r="AS300" s="97"/>
      <c r="AT300" s="97"/>
      <c r="AU300" s="97"/>
      <c r="AV300" s="97"/>
      <c r="AW300" s="97"/>
      <c r="AX300" s="97"/>
      <c r="AY300" s="97"/>
      <c r="AZ300" s="97"/>
      <c r="BA300" s="97"/>
      <c r="BB300" s="97"/>
      <c r="BC300" s="97"/>
    </row>
    <row r="301" spans="2:55" ht="15.75" customHeight="1">
      <c r="B301" s="93"/>
      <c r="C301" s="94"/>
      <c r="D301" s="95"/>
      <c r="E301" s="234"/>
      <c r="F301" s="96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8"/>
      <c r="S301" s="97"/>
      <c r="T301" s="99"/>
      <c r="U301" s="99"/>
      <c r="V301" s="99"/>
      <c r="W301" s="97"/>
      <c r="X301" s="97"/>
      <c r="Y301" s="97"/>
      <c r="AC301" s="97"/>
      <c r="AD301" s="97"/>
      <c r="AE301" s="97"/>
      <c r="AF301" s="97"/>
      <c r="AG301" s="97"/>
      <c r="AH301" s="97"/>
      <c r="AI301" s="97"/>
      <c r="AJ301" s="97"/>
      <c r="AK301" s="97"/>
      <c r="AL301" s="97"/>
      <c r="AM301" s="97"/>
      <c r="AN301" s="97"/>
      <c r="AO301" s="97"/>
      <c r="AP301" s="97"/>
      <c r="AQ301" s="97"/>
      <c r="AR301" s="97"/>
      <c r="AS301" s="97"/>
      <c r="AT301" s="97"/>
      <c r="AU301" s="97"/>
      <c r="AV301" s="97"/>
      <c r="AW301" s="97"/>
      <c r="AX301" s="97"/>
      <c r="AY301" s="97"/>
      <c r="AZ301" s="97"/>
      <c r="BA301" s="97"/>
      <c r="BB301" s="97"/>
      <c r="BC301" s="97"/>
    </row>
    <row r="302" spans="2:55" ht="15.75" customHeight="1">
      <c r="B302" s="93"/>
      <c r="C302" s="94"/>
      <c r="D302" s="95"/>
      <c r="E302" s="234"/>
      <c r="F302" s="96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8"/>
      <c r="S302" s="97"/>
      <c r="T302" s="99"/>
      <c r="U302" s="99"/>
      <c r="V302" s="99"/>
      <c r="W302" s="97"/>
      <c r="X302" s="97"/>
      <c r="Y302" s="97"/>
      <c r="AC302" s="97"/>
      <c r="AD302" s="97"/>
      <c r="AE302" s="97"/>
      <c r="AF302" s="97"/>
      <c r="AG302" s="97"/>
      <c r="AH302" s="97"/>
      <c r="AI302" s="97"/>
      <c r="AJ302" s="97"/>
      <c r="AK302" s="97"/>
      <c r="AL302" s="97"/>
      <c r="AM302" s="97"/>
      <c r="AN302" s="97"/>
      <c r="AO302" s="97"/>
      <c r="AP302" s="97"/>
      <c r="AQ302" s="97"/>
      <c r="AR302" s="97"/>
      <c r="AS302" s="97"/>
      <c r="AT302" s="97"/>
      <c r="AU302" s="97"/>
      <c r="AV302" s="97"/>
      <c r="AW302" s="97"/>
      <c r="AX302" s="97"/>
      <c r="AY302" s="97"/>
      <c r="AZ302" s="97"/>
      <c r="BA302" s="97"/>
      <c r="BB302" s="97"/>
      <c r="BC302" s="97"/>
    </row>
    <row r="303" spans="2:55" ht="15.75" customHeight="1">
      <c r="B303" s="93"/>
      <c r="C303" s="94"/>
      <c r="D303" s="95"/>
      <c r="E303" s="234"/>
      <c r="F303" s="96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8"/>
      <c r="S303" s="97"/>
      <c r="T303" s="99"/>
      <c r="U303" s="99"/>
      <c r="V303" s="99"/>
      <c r="W303" s="97"/>
      <c r="X303" s="97"/>
      <c r="Y303" s="97"/>
      <c r="AC303" s="97"/>
      <c r="AD303" s="97"/>
      <c r="AE303" s="97"/>
      <c r="AF303" s="97"/>
      <c r="AG303" s="97"/>
      <c r="AH303" s="97"/>
      <c r="AI303" s="97"/>
      <c r="AJ303" s="97"/>
      <c r="AK303" s="97"/>
      <c r="AL303" s="97"/>
      <c r="AM303" s="97"/>
      <c r="AN303" s="97"/>
      <c r="AO303" s="97"/>
      <c r="AP303" s="97"/>
      <c r="AQ303" s="97"/>
      <c r="AR303" s="97"/>
      <c r="AS303" s="97"/>
      <c r="AT303" s="97"/>
      <c r="AU303" s="97"/>
      <c r="AV303" s="97"/>
      <c r="AW303" s="97"/>
      <c r="AX303" s="97"/>
      <c r="AY303" s="97"/>
      <c r="AZ303" s="97"/>
      <c r="BA303" s="97"/>
      <c r="BB303" s="97"/>
      <c r="BC303" s="97"/>
    </row>
    <row r="304" spans="2:55" ht="15.75" customHeight="1">
      <c r="B304" s="93"/>
      <c r="C304" s="94"/>
      <c r="D304" s="95"/>
      <c r="E304" s="234"/>
      <c r="F304" s="96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8"/>
      <c r="S304" s="97"/>
      <c r="T304" s="99"/>
      <c r="U304" s="99"/>
      <c r="V304" s="99"/>
      <c r="W304" s="97"/>
      <c r="X304" s="97"/>
      <c r="Y304" s="97"/>
      <c r="AC304" s="97"/>
      <c r="AD304" s="97"/>
      <c r="AE304" s="97"/>
      <c r="AF304" s="97"/>
      <c r="AG304" s="97"/>
      <c r="AH304" s="97"/>
      <c r="AI304" s="97"/>
      <c r="AJ304" s="97"/>
      <c r="AK304" s="97"/>
      <c r="AL304" s="97"/>
      <c r="AM304" s="97"/>
      <c r="AN304" s="97"/>
      <c r="AO304" s="97"/>
      <c r="AP304" s="97"/>
      <c r="AQ304" s="97"/>
      <c r="AR304" s="97"/>
      <c r="AS304" s="97"/>
      <c r="AT304" s="97"/>
      <c r="AU304" s="97"/>
      <c r="AV304" s="97"/>
      <c r="AW304" s="97"/>
      <c r="AX304" s="97"/>
      <c r="AY304" s="97"/>
      <c r="AZ304" s="97"/>
      <c r="BA304" s="97"/>
      <c r="BB304" s="97"/>
      <c r="BC304" s="97"/>
    </row>
    <row r="305" spans="2:55" ht="15.75" customHeight="1">
      <c r="B305" s="93"/>
      <c r="C305" s="94"/>
      <c r="D305" s="95"/>
      <c r="E305" s="234"/>
      <c r="F305" s="96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8"/>
      <c r="S305" s="97"/>
      <c r="T305" s="99"/>
      <c r="U305" s="99"/>
      <c r="V305" s="99"/>
      <c r="W305" s="97"/>
      <c r="X305" s="97"/>
      <c r="Y305" s="97"/>
      <c r="AC305" s="97"/>
      <c r="AD305" s="97"/>
      <c r="AE305" s="97"/>
      <c r="AF305" s="97"/>
      <c r="AG305" s="97"/>
      <c r="AH305" s="97"/>
      <c r="AI305" s="97"/>
      <c r="AJ305" s="97"/>
      <c r="AK305" s="97"/>
      <c r="AL305" s="97"/>
      <c r="AM305" s="97"/>
      <c r="AN305" s="97"/>
      <c r="AO305" s="97"/>
      <c r="AP305" s="97"/>
      <c r="AQ305" s="97"/>
      <c r="AR305" s="97"/>
      <c r="AS305" s="97"/>
      <c r="AT305" s="97"/>
      <c r="AU305" s="97"/>
      <c r="AV305" s="97"/>
      <c r="AW305" s="97"/>
      <c r="AX305" s="97"/>
      <c r="AY305" s="97"/>
      <c r="AZ305" s="97"/>
      <c r="BA305" s="97"/>
      <c r="BB305" s="97"/>
      <c r="BC305" s="97"/>
    </row>
    <row r="306" spans="2:55" ht="15.75" customHeight="1">
      <c r="B306" s="93"/>
      <c r="C306" s="94"/>
      <c r="D306" s="95"/>
      <c r="E306" s="234"/>
      <c r="F306" s="96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8"/>
      <c r="S306" s="97"/>
      <c r="T306" s="99"/>
      <c r="U306" s="99"/>
      <c r="V306" s="99"/>
      <c r="W306" s="97"/>
      <c r="X306" s="97"/>
      <c r="Y306" s="97"/>
      <c r="AC306" s="97"/>
      <c r="AD306" s="97"/>
      <c r="AE306" s="97"/>
      <c r="AF306" s="97"/>
      <c r="AG306" s="97"/>
      <c r="AH306" s="97"/>
      <c r="AI306" s="97"/>
      <c r="AJ306" s="97"/>
      <c r="AK306" s="97"/>
      <c r="AL306" s="97"/>
      <c r="AM306" s="97"/>
      <c r="AN306" s="97"/>
      <c r="AO306" s="97"/>
      <c r="AP306" s="97"/>
      <c r="AQ306" s="97"/>
      <c r="AR306" s="97"/>
      <c r="AS306" s="97"/>
      <c r="AT306" s="97"/>
      <c r="AU306" s="97"/>
      <c r="AV306" s="97"/>
      <c r="AW306" s="97"/>
      <c r="AX306" s="97"/>
      <c r="AY306" s="97"/>
      <c r="AZ306" s="97"/>
      <c r="BA306" s="97"/>
      <c r="BB306" s="97"/>
      <c r="BC306" s="97"/>
    </row>
    <row r="307" spans="2:55" ht="15.75" customHeight="1">
      <c r="B307" s="93"/>
      <c r="C307" s="94"/>
      <c r="D307" s="95"/>
      <c r="E307" s="234"/>
      <c r="F307" s="96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8"/>
      <c r="S307" s="97"/>
      <c r="T307" s="99"/>
      <c r="U307" s="99"/>
      <c r="V307" s="99"/>
      <c r="W307" s="97"/>
      <c r="X307" s="97"/>
      <c r="Y307" s="97"/>
      <c r="AC307" s="97"/>
      <c r="AD307" s="97"/>
      <c r="AE307" s="97"/>
      <c r="AF307" s="97"/>
      <c r="AG307" s="97"/>
      <c r="AH307" s="97"/>
      <c r="AI307" s="97"/>
      <c r="AJ307" s="97"/>
      <c r="AK307" s="97"/>
      <c r="AL307" s="97"/>
      <c r="AM307" s="97"/>
      <c r="AN307" s="97"/>
      <c r="AO307" s="97"/>
      <c r="AP307" s="97"/>
      <c r="AQ307" s="97"/>
      <c r="AR307" s="97"/>
      <c r="AS307" s="97"/>
      <c r="AT307" s="97"/>
      <c r="AU307" s="97"/>
      <c r="AV307" s="97"/>
      <c r="AW307" s="97"/>
      <c r="AX307" s="97"/>
      <c r="AY307" s="97"/>
      <c r="AZ307" s="97"/>
      <c r="BA307" s="97"/>
      <c r="BB307" s="97"/>
      <c r="BC307" s="97"/>
    </row>
    <row r="308" spans="2:55" ht="15.75" customHeight="1">
      <c r="B308" s="93"/>
      <c r="C308" s="94"/>
      <c r="D308" s="95"/>
      <c r="E308" s="234"/>
      <c r="F308" s="96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8"/>
      <c r="S308" s="97"/>
      <c r="T308" s="99"/>
      <c r="U308" s="99"/>
      <c r="V308" s="99"/>
      <c r="W308" s="97"/>
      <c r="X308" s="97"/>
      <c r="Y308" s="97"/>
      <c r="AC308" s="97"/>
      <c r="AD308" s="97"/>
      <c r="AE308" s="97"/>
      <c r="AF308" s="97"/>
      <c r="AG308" s="97"/>
      <c r="AH308" s="97"/>
      <c r="AI308" s="97"/>
      <c r="AJ308" s="97"/>
      <c r="AK308" s="97"/>
      <c r="AL308" s="97"/>
      <c r="AM308" s="97"/>
      <c r="AN308" s="97"/>
      <c r="AO308" s="97"/>
      <c r="AP308" s="97"/>
      <c r="AQ308" s="97"/>
      <c r="AR308" s="97"/>
      <c r="AS308" s="97"/>
      <c r="AT308" s="97"/>
      <c r="AU308" s="97"/>
      <c r="AV308" s="97"/>
      <c r="AW308" s="97"/>
      <c r="AX308" s="97"/>
      <c r="AY308" s="97"/>
      <c r="AZ308" s="97"/>
      <c r="BA308" s="97"/>
      <c r="BB308" s="97"/>
      <c r="BC308" s="97"/>
    </row>
    <row r="309" spans="2:55" ht="15.75" customHeight="1"/>
    <row r="310" spans="2:55" ht="15.75" customHeight="1"/>
    <row r="311" spans="2:55" ht="15.75" customHeight="1"/>
    <row r="312" spans="2:55" ht="15.75" customHeight="1"/>
    <row r="313" spans="2:55" ht="15.75" customHeight="1"/>
    <row r="314" spans="2:55" ht="15.75" customHeight="1"/>
    <row r="315" spans="2:55" ht="15.75" customHeight="1"/>
    <row r="316" spans="2:55" ht="15.75" customHeight="1"/>
    <row r="317" spans="2:55" ht="15.75" customHeight="1"/>
    <row r="318" spans="2:55" ht="15.75" customHeight="1"/>
    <row r="319" spans="2:55" ht="15.75" customHeight="1"/>
    <row r="320" spans="2:55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  <row r="1001" customFormat="1" ht="15.75" customHeight="1"/>
    <row r="1002" customFormat="1" ht="15.75" customHeight="1"/>
    <row r="1003" customFormat="1" ht="15.75" customHeight="1"/>
    <row r="1004" customFormat="1" ht="15.75" customHeight="1"/>
    <row r="1005" customFormat="1" ht="15.75" customHeight="1"/>
    <row r="1006" customFormat="1" ht="15.75" customHeight="1"/>
    <row r="1007" customFormat="1" ht="15.75" customHeight="1"/>
    <row r="1008" customFormat="1" ht="15.75" customHeight="1"/>
    <row r="1009" customFormat="1" ht="15.75" customHeight="1"/>
    <row r="1010" customFormat="1" ht="15" customHeight="1"/>
  </sheetData>
  <mergeCells count="40">
    <mergeCell ref="AZ6:AZ8"/>
    <mergeCell ref="BA6:BA8"/>
    <mergeCell ref="AV7:AV8"/>
    <mergeCell ref="M6:M8"/>
    <mergeCell ref="N6:N8"/>
    <mergeCell ref="O6:O8"/>
    <mergeCell ref="P6:P8"/>
    <mergeCell ref="AW7:AW8"/>
    <mergeCell ref="AC6:AE6"/>
    <mergeCell ref="AD7:AE7"/>
    <mergeCell ref="Q6:Q8"/>
    <mergeCell ref="R6:R8"/>
    <mergeCell ref="S6:S8"/>
    <mergeCell ref="T6:V6"/>
    <mergeCell ref="W6:Y6"/>
    <mergeCell ref="Z6:AB6"/>
    <mergeCell ref="X7:Y7"/>
    <mergeCell ref="AY6:AY8"/>
    <mergeCell ref="AM7:AN7"/>
    <mergeCell ref="AQ7:AQ8"/>
    <mergeCell ref="AX7:AX8"/>
    <mergeCell ref="AS6:AT6"/>
    <mergeCell ref="AU7:AU8"/>
    <mergeCell ref="AF6:AH6"/>
    <mergeCell ref="AL6:AN6"/>
    <mergeCell ref="AP6:AQ6"/>
    <mergeCell ref="AR6:AR8"/>
    <mergeCell ref="AI6:AK6"/>
    <mergeCell ref="AO6:AO8"/>
    <mergeCell ref="AP7:AP8"/>
    <mergeCell ref="A6:A8"/>
    <mergeCell ref="B6:B8"/>
    <mergeCell ref="C6:C8"/>
    <mergeCell ref="E6:E8"/>
    <mergeCell ref="F6:F8"/>
    <mergeCell ref="G6:G8"/>
    <mergeCell ref="H6:H8"/>
    <mergeCell ref="I6:I8"/>
    <mergeCell ref="J6:J8"/>
    <mergeCell ref="K6:L7"/>
  </mergeCells>
  <conditionalFormatting sqref="T10:V75">
    <cfRule type="cellIs" dxfId="7" priority="1" operator="greaterThan">
      <formula>0</formula>
    </cfRule>
  </conditionalFormatting>
  <conditionalFormatting sqref="Z10:AB75">
    <cfRule type="cellIs" dxfId="6" priority="2" operator="greaterThan">
      <formula>0</formula>
    </cfRule>
  </conditionalFormatting>
  <conditionalFormatting sqref="AF10:AH75">
    <cfRule type="cellIs" dxfId="5" priority="3" operator="greaterThan">
      <formula>0</formula>
    </cfRule>
  </conditionalFormatting>
  <conditionalFormatting sqref="AP10:AP76">
    <cfRule type="cellIs" dxfId="4" priority="4" operator="greaterThan">
      <formula>0</formula>
    </cfRule>
  </conditionalFormatting>
  <dataValidations count="1">
    <dataValidation type="list" allowBlank="1" sqref="AZ10:AZ75" xr:uid="{CF7A62F9-CCE2-4712-9B66-3F8AE84626D7}">
      <formula1>"Payroll,Voucher"</formula1>
    </dataValidation>
  </dataValidations>
  <pageMargins left="0.7" right="0.7" top="0.75" bottom="0.75" header="0" footer="0"/>
  <pageSetup paperSize="9" orientation="portrait" r:id="rId1"/>
  <colBreaks count="2" manualBreakCount="2">
    <brk id="4" man="1"/>
    <brk id="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4453-E78D-4F6C-8B9E-E2028E0902BF}">
  <sheetPr codeName="Sheet2"/>
  <dimension ref="A1:BV1002"/>
  <sheetViews>
    <sheetView zoomScale="85" zoomScaleNormal="85" workbookViewId="0">
      <pane xSplit="5" ySplit="8" topLeftCell="AR9" activePane="bottomRight" state="frozen"/>
      <selection activeCell="AY31" sqref="AY31"/>
      <selection pane="topRight" activeCell="AY31" sqref="AY31"/>
      <selection pane="bottomLeft" activeCell="AY31" sqref="AY31"/>
      <selection pane="bottomRight" activeCell="AY31" sqref="AY31"/>
    </sheetView>
  </sheetViews>
  <sheetFormatPr defaultColWidth="14.42578125" defaultRowHeight="15" customHeight="1" outlineLevelCol="1"/>
  <cols>
    <col min="1" max="1" width="5.28515625" customWidth="1"/>
    <col min="2" max="2" width="14.28515625" customWidth="1"/>
    <col min="3" max="4" width="13.5703125" customWidth="1"/>
    <col min="5" max="5" width="30.85546875" customWidth="1"/>
    <col min="6" max="6" width="8" customWidth="1"/>
    <col min="7" max="7" width="43.140625" customWidth="1"/>
    <col min="8" max="10" width="16.7109375" customWidth="1"/>
    <col min="11" max="12" width="16.7109375" hidden="1" customWidth="1"/>
    <col min="13" max="13" width="16.7109375" customWidth="1"/>
    <col min="14" max="17" width="17.5703125" customWidth="1"/>
    <col min="18" max="18" width="8.5703125" customWidth="1"/>
    <col min="19" max="19" width="19.140625" customWidth="1"/>
    <col min="20" max="22" width="9.140625" customWidth="1"/>
    <col min="23" max="25" width="15.28515625" customWidth="1"/>
    <col min="26" max="28" width="9.140625" customWidth="1"/>
    <col min="29" max="31" width="15.28515625" customWidth="1"/>
    <col min="32" max="37" width="15.28515625" hidden="1" customWidth="1" outlineLevel="1"/>
    <col min="38" max="38" width="15.28515625" customWidth="1" collapsed="1"/>
    <col min="39" max="40" width="15.28515625" customWidth="1"/>
    <col min="41" max="41" width="18" customWidth="1"/>
    <col min="42" max="42" width="18.5703125" customWidth="1"/>
    <col min="43" max="43" width="32.85546875" customWidth="1"/>
    <col min="44" max="44" width="18.7109375" customWidth="1"/>
    <col min="45" max="46" width="15.140625" customWidth="1"/>
    <col min="47" max="74" width="18.5703125" customWidth="1"/>
  </cols>
  <sheetData>
    <row r="1" spans="1:74" ht="28.5">
      <c r="A1" s="92" t="s">
        <v>155</v>
      </c>
      <c r="B1" s="93"/>
      <c r="C1" s="94"/>
      <c r="D1" s="95"/>
      <c r="F1" s="96"/>
      <c r="H1" s="97"/>
      <c r="I1" s="97"/>
      <c r="J1" s="97"/>
      <c r="K1" s="97"/>
      <c r="L1" s="97"/>
      <c r="M1" s="97"/>
      <c r="N1" s="97"/>
      <c r="O1" s="97"/>
      <c r="P1" s="97"/>
      <c r="Q1" s="97"/>
      <c r="R1" s="98"/>
      <c r="S1" s="97"/>
      <c r="T1" s="99"/>
      <c r="U1" s="99"/>
      <c r="V1" s="99"/>
      <c r="W1" s="97"/>
      <c r="X1" s="97"/>
      <c r="Y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</row>
    <row r="2" spans="1:74" ht="26.25">
      <c r="A2" s="100" t="s">
        <v>24</v>
      </c>
      <c r="B2" s="93"/>
      <c r="C2" s="94"/>
      <c r="D2" s="95"/>
      <c r="F2" s="96"/>
      <c r="H2" s="97"/>
      <c r="I2" s="97"/>
      <c r="J2" s="97"/>
      <c r="K2" s="97"/>
      <c r="L2" s="97"/>
      <c r="M2" s="97"/>
      <c r="N2" s="97"/>
      <c r="O2" s="97"/>
      <c r="P2" s="97"/>
      <c r="Q2" s="97"/>
      <c r="R2" s="98"/>
      <c r="S2" s="97"/>
      <c r="T2" s="99"/>
      <c r="U2" s="99"/>
      <c r="V2" s="99"/>
      <c r="W2" s="97"/>
      <c r="X2" s="97"/>
      <c r="Y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</row>
    <row r="3" spans="1:74" ht="21">
      <c r="A3" s="101" t="s">
        <v>25</v>
      </c>
      <c r="B3" s="93"/>
      <c r="C3" s="94"/>
      <c r="D3" s="95"/>
      <c r="F3" s="96"/>
      <c r="H3" s="97"/>
      <c r="I3" s="97"/>
      <c r="J3" s="97"/>
      <c r="K3" s="97"/>
      <c r="L3" s="97"/>
      <c r="M3" s="97"/>
      <c r="N3" s="97"/>
      <c r="O3" s="97"/>
      <c r="P3" s="97"/>
      <c r="Q3" s="97"/>
      <c r="R3" s="98"/>
      <c r="S3" s="97"/>
      <c r="T3" s="99"/>
      <c r="U3" s="99"/>
      <c r="V3" s="99"/>
      <c r="W3" s="97"/>
      <c r="X3" s="97"/>
      <c r="Y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 t="s">
        <v>157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</row>
    <row r="4" spans="1:74" ht="18.75">
      <c r="A4" s="102" t="s">
        <v>316</v>
      </c>
      <c r="B4" s="93"/>
      <c r="C4" s="94"/>
      <c r="D4" s="95"/>
      <c r="F4" s="96"/>
      <c r="H4" s="97"/>
      <c r="I4" s="97"/>
      <c r="J4" s="97"/>
      <c r="K4" s="97"/>
      <c r="L4" s="97"/>
      <c r="M4" s="97"/>
      <c r="N4" s="97"/>
      <c r="O4" s="97"/>
      <c r="P4" s="97"/>
      <c r="Q4" s="97"/>
      <c r="R4" s="98"/>
      <c r="S4" s="97"/>
      <c r="T4" s="99"/>
      <c r="U4" s="99"/>
      <c r="V4" s="99"/>
      <c r="W4" s="97"/>
      <c r="X4" s="97"/>
      <c r="Y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  <c r="BM4" s="97"/>
      <c r="BN4" s="97"/>
      <c r="BO4" s="97"/>
      <c r="BP4" s="97"/>
      <c r="BQ4" s="97"/>
      <c r="BR4" s="97"/>
      <c r="BS4" s="97"/>
      <c r="BT4" s="97"/>
      <c r="BU4" s="97"/>
      <c r="BV4" s="97"/>
    </row>
    <row r="5" spans="1:74">
      <c r="B5" s="93"/>
      <c r="C5" s="94"/>
      <c r="D5" s="95"/>
      <c r="F5" s="96"/>
      <c r="H5" s="97"/>
      <c r="I5" s="97"/>
      <c r="J5" s="97"/>
      <c r="K5" s="97"/>
      <c r="L5" s="97"/>
      <c r="M5" s="97"/>
      <c r="N5" s="97"/>
      <c r="O5" s="97"/>
      <c r="P5" s="97"/>
      <c r="Q5" s="97"/>
      <c r="R5" s="98"/>
      <c r="S5" s="97"/>
      <c r="T5" s="99"/>
      <c r="U5" s="99"/>
      <c r="V5" s="99"/>
      <c r="W5" s="97"/>
      <c r="X5" s="97"/>
      <c r="Y5" s="97"/>
      <c r="AC5" s="97"/>
      <c r="AD5" s="97"/>
      <c r="AE5" s="97"/>
      <c r="AF5" s="103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7"/>
      <c r="BO5" s="97"/>
      <c r="BP5" s="97"/>
      <c r="BQ5" s="97"/>
      <c r="BR5" s="97"/>
      <c r="BS5" s="97"/>
      <c r="BT5" s="97"/>
      <c r="BU5" s="97"/>
      <c r="BV5" s="97"/>
    </row>
    <row r="6" spans="1:74" ht="14.25" customHeight="1">
      <c r="A6" s="322" t="s">
        <v>26</v>
      </c>
      <c r="B6" s="331" t="s">
        <v>27</v>
      </c>
      <c r="C6" s="332" t="s">
        <v>28</v>
      </c>
      <c r="D6" s="104"/>
      <c r="E6" s="322" t="s">
        <v>29</v>
      </c>
      <c r="F6" s="322" t="s">
        <v>30</v>
      </c>
      <c r="G6" s="322" t="s">
        <v>31</v>
      </c>
      <c r="H6" s="325" t="s">
        <v>32</v>
      </c>
      <c r="I6" s="325" t="s">
        <v>33</v>
      </c>
      <c r="J6" s="326"/>
      <c r="K6" s="327" t="s">
        <v>34</v>
      </c>
      <c r="L6" s="328"/>
      <c r="M6" s="344" t="s">
        <v>35</v>
      </c>
      <c r="N6" s="344" t="s">
        <v>36</v>
      </c>
      <c r="O6" s="344" t="s">
        <v>37</v>
      </c>
      <c r="P6" s="344" t="s">
        <v>38</v>
      </c>
      <c r="Q6" s="344" t="s">
        <v>39</v>
      </c>
      <c r="R6" s="348" t="s">
        <v>40</v>
      </c>
      <c r="S6" s="336" t="s">
        <v>41</v>
      </c>
      <c r="T6" s="352" t="s">
        <v>239</v>
      </c>
      <c r="U6" s="341"/>
      <c r="V6" s="335"/>
      <c r="W6" s="352" t="str">
        <f>T6</f>
        <v>02-01-15-2026</v>
      </c>
      <c r="X6" s="341"/>
      <c r="Y6" s="335"/>
      <c r="Z6" s="346" t="s">
        <v>316</v>
      </c>
      <c r="AA6" s="341"/>
      <c r="AB6" s="335"/>
      <c r="AC6" s="346" t="str">
        <f>Z6</f>
        <v>02-16-28-2026</v>
      </c>
      <c r="AD6" s="341"/>
      <c r="AE6" s="335"/>
      <c r="AF6" s="340"/>
      <c r="AG6" s="341"/>
      <c r="AH6" s="335"/>
      <c r="AI6" s="340">
        <f>AF6</f>
        <v>0</v>
      </c>
      <c r="AJ6" s="341"/>
      <c r="AK6" s="335"/>
      <c r="AL6" s="342" t="s">
        <v>42</v>
      </c>
      <c r="AM6" s="341"/>
      <c r="AN6" s="335"/>
      <c r="AO6" s="344" t="s">
        <v>43</v>
      </c>
      <c r="AP6" s="343" t="s">
        <v>44</v>
      </c>
      <c r="AQ6" s="335"/>
      <c r="AR6" s="344" t="s">
        <v>12</v>
      </c>
      <c r="AS6" s="339" t="s">
        <v>45</v>
      </c>
      <c r="AT6" s="335"/>
      <c r="AU6" s="105" t="s">
        <v>46</v>
      </c>
      <c r="AV6" s="105"/>
      <c r="AW6" s="105"/>
      <c r="AX6" s="105"/>
      <c r="AY6" s="336" t="s">
        <v>47</v>
      </c>
      <c r="AZ6" s="106"/>
      <c r="BA6" s="358"/>
      <c r="BB6" s="358"/>
      <c r="BC6" s="358"/>
      <c r="BD6" s="358"/>
      <c r="BE6" s="358"/>
      <c r="BF6" s="358"/>
      <c r="BG6" s="358"/>
      <c r="BH6" s="358"/>
      <c r="BI6" s="358"/>
      <c r="BJ6" s="358"/>
      <c r="BK6" s="358"/>
      <c r="BL6" s="358"/>
      <c r="BM6" s="358"/>
      <c r="BN6" s="358"/>
      <c r="BO6" s="358"/>
      <c r="BP6" s="358"/>
      <c r="BQ6" s="358"/>
      <c r="BR6" s="358"/>
      <c r="BS6" s="358"/>
      <c r="BT6" s="358"/>
      <c r="BU6" s="358"/>
      <c r="BV6" s="358"/>
    </row>
    <row r="7" spans="1:74" ht="14.25" customHeight="1">
      <c r="A7" s="323"/>
      <c r="B7" s="323"/>
      <c r="C7" s="323"/>
      <c r="D7" s="107"/>
      <c r="E7" s="323"/>
      <c r="F7" s="323"/>
      <c r="G7" s="323"/>
      <c r="H7" s="323"/>
      <c r="I7" s="323"/>
      <c r="J7" s="323"/>
      <c r="K7" s="329"/>
      <c r="L7" s="330"/>
      <c r="M7" s="323"/>
      <c r="N7" s="323"/>
      <c r="O7" s="323"/>
      <c r="P7" s="323"/>
      <c r="Q7" s="323"/>
      <c r="R7" s="323"/>
      <c r="S7" s="323"/>
      <c r="T7" s="108" t="s">
        <v>50</v>
      </c>
      <c r="U7" s="109" t="s">
        <v>49</v>
      </c>
      <c r="V7" s="109"/>
      <c r="W7" s="108" t="s">
        <v>50</v>
      </c>
      <c r="X7" s="353" t="s">
        <v>49</v>
      </c>
      <c r="Y7" s="335"/>
      <c r="Z7" s="110" t="s">
        <v>50</v>
      </c>
      <c r="AA7" s="111" t="s">
        <v>49</v>
      </c>
      <c r="AB7" s="111"/>
      <c r="AC7" s="110" t="s">
        <v>50</v>
      </c>
      <c r="AD7" s="347" t="s">
        <v>49</v>
      </c>
      <c r="AE7" s="335"/>
      <c r="AF7" s="112"/>
      <c r="AG7" s="113" t="s">
        <v>49</v>
      </c>
      <c r="AH7" s="113"/>
      <c r="AI7" s="114" t="s">
        <v>50</v>
      </c>
      <c r="AJ7" s="350" t="s">
        <v>49</v>
      </c>
      <c r="AK7" s="335"/>
      <c r="AL7" s="115" t="s">
        <v>50</v>
      </c>
      <c r="AM7" s="337" t="s">
        <v>49</v>
      </c>
      <c r="AN7" s="335"/>
      <c r="AO7" s="323"/>
      <c r="AP7" s="351" t="s">
        <v>225</v>
      </c>
      <c r="AQ7" s="338" t="s">
        <v>48</v>
      </c>
      <c r="AR7" s="323"/>
      <c r="AS7" s="116" t="s">
        <v>51</v>
      </c>
      <c r="AT7" s="116" t="s">
        <v>52</v>
      </c>
      <c r="AU7" s="338" t="s">
        <v>53</v>
      </c>
      <c r="AV7" s="338" t="s">
        <v>54</v>
      </c>
      <c r="AW7" s="338" t="s">
        <v>55</v>
      </c>
      <c r="AX7" s="338" t="s">
        <v>165</v>
      </c>
      <c r="AY7" s="323"/>
      <c r="AZ7" s="117"/>
      <c r="BA7" s="359"/>
      <c r="BB7" s="359"/>
      <c r="BC7" s="359"/>
      <c r="BD7" s="359"/>
      <c r="BE7" s="359"/>
      <c r="BF7" s="359"/>
      <c r="BG7" s="359"/>
      <c r="BH7" s="359"/>
      <c r="BI7" s="359"/>
      <c r="BJ7" s="359"/>
      <c r="BK7" s="359"/>
      <c r="BL7" s="359"/>
      <c r="BM7" s="359"/>
      <c r="BN7" s="359"/>
      <c r="BO7" s="359"/>
      <c r="BP7" s="359"/>
      <c r="BQ7" s="359"/>
      <c r="BR7" s="359"/>
      <c r="BS7" s="359"/>
      <c r="BT7" s="359"/>
      <c r="BU7" s="359"/>
      <c r="BV7" s="359"/>
    </row>
    <row r="8" spans="1:74">
      <c r="A8" s="324"/>
      <c r="B8" s="324"/>
      <c r="C8" s="324"/>
      <c r="D8" s="118"/>
      <c r="E8" s="324"/>
      <c r="F8" s="324"/>
      <c r="G8" s="324"/>
      <c r="H8" s="324"/>
      <c r="I8" s="324"/>
      <c r="J8" s="324"/>
      <c r="K8" s="119" t="s">
        <v>56</v>
      </c>
      <c r="L8" s="119" t="s">
        <v>57</v>
      </c>
      <c r="M8" s="324"/>
      <c r="N8" s="324"/>
      <c r="O8" s="324"/>
      <c r="P8" s="324"/>
      <c r="Q8" s="324"/>
      <c r="R8" s="324"/>
      <c r="S8" s="324"/>
      <c r="T8" s="120" t="s">
        <v>7</v>
      </c>
      <c r="U8" s="120" t="s">
        <v>58</v>
      </c>
      <c r="V8" s="120" t="s">
        <v>59</v>
      </c>
      <c r="W8" s="121" t="s">
        <v>7</v>
      </c>
      <c r="X8" s="121" t="s">
        <v>58</v>
      </c>
      <c r="Y8" s="121" t="s">
        <v>59</v>
      </c>
      <c r="Z8" s="122" t="s">
        <v>7</v>
      </c>
      <c r="AA8" s="122" t="s">
        <v>58</v>
      </c>
      <c r="AB8" s="122" t="s">
        <v>59</v>
      </c>
      <c r="AC8" s="123" t="s">
        <v>7</v>
      </c>
      <c r="AD8" s="123" t="s">
        <v>58</v>
      </c>
      <c r="AE8" s="123" t="s">
        <v>59</v>
      </c>
      <c r="AF8" s="124" t="s">
        <v>7</v>
      </c>
      <c r="AG8" s="124" t="s">
        <v>58</v>
      </c>
      <c r="AH8" s="124" t="s">
        <v>59</v>
      </c>
      <c r="AI8" s="125" t="s">
        <v>7</v>
      </c>
      <c r="AJ8" s="125" t="s">
        <v>58</v>
      </c>
      <c r="AK8" s="125" t="s">
        <v>59</v>
      </c>
      <c r="AL8" s="126" t="s">
        <v>7</v>
      </c>
      <c r="AM8" s="126" t="s">
        <v>58</v>
      </c>
      <c r="AN8" s="126" t="s">
        <v>59</v>
      </c>
      <c r="AO8" s="324"/>
      <c r="AP8" s="324"/>
      <c r="AQ8" s="324"/>
      <c r="AR8" s="324"/>
      <c r="AS8" s="127">
        <v>0.02</v>
      </c>
      <c r="AT8" s="128">
        <v>0</v>
      </c>
      <c r="AU8" s="324"/>
      <c r="AV8" s="324"/>
      <c r="AW8" s="324"/>
      <c r="AX8" s="324"/>
      <c r="AY8" s="324"/>
      <c r="AZ8" s="128"/>
      <c r="BA8" s="360"/>
      <c r="BB8" s="360"/>
      <c r="BC8" s="360"/>
      <c r="BD8" s="360"/>
      <c r="BE8" s="360"/>
      <c r="BF8" s="360"/>
      <c r="BG8" s="360"/>
      <c r="BH8" s="360"/>
      <c r="BI8" s="360"/>
      <c r="BJ8" s="360"/>
      <c r="BK8" s="360"/>
      <c r="BL8" s="360"/>
      <c r="BM8" s="360"/>
      <c r="BN8" s="360"/>
      <c r="BO8" s="360"/>
      <c r="BP8" s="360"/>
      <c r="BQ8" s="360"/>
      <c r="BR8" s="360"/>
      <c r="BS8" s="360"/>
      <c r="BT8" s="360"/>
      <c r="BU8" s="360"/>
      <c r="BV8" s="360"/>
    </row>
    <row r="9" spans="1:74" ht="18" customHeight="1">
      <c r="A9" s="129" t="s">
        <v>60</v>
      </c>
      <c r="B9" s="130">
        <v>2</v>
      </c>
      <c r="C9" s="131">
        <v>3</v>
      </c>
      <c r="D9" s="129" t="s">
        <v>61</v>
      </c>
      <c r="E9" s="132">
        <v>5</v>
      </c>
      <c r="F9" s="132">
        <v>6</v>
      </c>
      <c r="G9" s="132">
        <v>7</v>
      </c>
      <c r="H9" s="129" t="s">
        <v>62</v>
      </c>
      <c r="I9" s="132"/>
      <c r="J9" s="132"/>
      <c r="K9" s="132"/>
      <c r="L9" s="132" t="s">
        <v>63</v>
      </c>
      <c r="M9" s="132" t="s">
        <v>64</v>
      </c>
      <c r="N9" s="132" t="s">
        <v>65</v>
      </c>
      <c r="O9" s="132" t="s">
        <v>66</v>
      </c>
      <c r="P9" s="132" t="s">
        <v>67</v>
      </c>
      <c r="Q9" s="132" t="s">
        <v>68</v>
      </c>
      <c r="R9" s="132" t="s">
        <v>69</v>
      </c>
      <c r="S9" s="132" t="s">
        <v>70</v>
      </c>
      <c r="T9" s="132" t="s">
        <v>71</v>
      </c>
      <c r="U9" s="132" t="s">
        <v>72</v>
      </c>
      <c r="V9" s="132" t="s">
        <v>73</v>
      </c>
      <c r="W9" s="132" t="s">
        <v>74</v>
      </c>
      <c r="X9" s="132" t="s">
        <v>75</v>
      </c>
      <c r="Y9" s="132" t="s">
        <v>76</v>
      </c>
      <c r="Z9" s="132" t="s">
        <v>77</v>
      </c>
      <c r="AA9" s="132" t="s">
        <v>78</v>
      </c>
      <c r="AB9" s="132" t="s">
        <v>79</v>
      </c>
      <c r="AC9" s="132" t="s">
        <v>80</v>
      </c>
      <c r="AD9" s="132" t="s">
        <v>81</v>
      </c>
      <c r="AE9" s="132" t="s">
        <v>82</v>
      </c>
      <c r="AF9" s="133" t="s">
        <v>77</v>
      </c>
      <c r="AG9" s="133" t="s">
        <v>78</v>
      </c>
      <c r="AH9" s="133" t="s">
        <v>79</v>
      </c>
      <c r="AI9" s="133" t="s">
        <v>80</v>
      </c>
      <c r="AJ9" s="133" t="s">
        <v>81</v>
      </c>
      <c r="AK9" s="133" t="s">
        <v>82</v>
      </c>
      <c r="AL9" s="129" t="s">
        <v>83</v>
      </c>
      <c r="AM9" s="132" t="s">
        <v>84</v>
      </c>
      <c r="AN9" s="132" t="s">
        <v>85</v>
      </c>
      <c r="AO9" s="132" t="s">
        <v>86</v>
      </c>
      <c r="AP9" s="132"/>
      <c r="AQ9" s="132"/>
      <c r="AR9" s="132" t="s">
        <v>89</v>
      </c>
      <c r="AS9" s="132" t="s">
        <v>90</v>
      </c>
      <c r="AT9" s="132" t="s">
        <v>91</v>
      </c>
      <c r="AU9" s="132" t="s">
        <v>92</v>
      </c>
      <c r="AV9" s="132" t="s">
        <v>93</v>
      </c>
      <c r="AW9" s="132" t="s">
        <v>94</v>
      </c>
      <c r="AX9" s="132" t="s">
        <v>94</v>
      </c>
      <c r="AY9" s="132" t="s">
        <v>95</v>
      </c>
      <c r="AZ9" s="134"/>
      <c r="BA9" s="361"/>
      <c r="BB9" s="361"/>
      <c r="BC9" s="361"/>
      <c r="BD9" s="361"/>
      <c r="BE9" s="361"/>
      <c r="BF9" s="361"/>
      <c r="BG9" s="361"/>
      <c r="BH9" s="361"/>
      <c r="BI9" s="361"/>
      <c r="BJ9" s="361"/>
      <c r="BK9" s="361"/>
      <c r="BL9" s="361"/>
      <c r="BM9" s="361"/>
      <c r="BN9" s="361"/>
      <c r="BO9" s="361"/>
      <c r="BP9" s="361"/>
      <c r="BQ9" s="361"/>
      <c r="BR9" s="361"/>
      <c r="BS9" s="361"/>
      <c r="BT9" s="361"/>
      <c r="BU9" s="361"/>
      <c r="BV9" s="361"/>
    </row>
    <row r="10" spans="1:74">
      <c r="A10" s="135">
        <v>1</v>
      </c>
      <c r="B10" s="136" t="s">
        <v>240</v>
      </c>
      <c r="C10" s="137">
        <v>46036</v>
      </c>
      <c r="D10" s="138"/>
      <c r="E10" s="139" t="s">
        <v>145</v>
      </c>
      <c r="F10" s="140" t="s">
        <v>146</v>
      </c>
      <c r="G10" s="139" t="s">
        <v>168</v>
      </c>
      <c r="H10" s="141">
        <v>9</v>
      </c>
      <c r="I10" s="142" t="s">
        <v>147</v>
      </c>
      <c r="J10" s="142" t="s">
        <v>98</v>
      </c>
      <c r="K10" s="143"/>
      <c r="L10" s="143"/>
      <c r="M10" s="144">
        <f>IFERROR(VLOOKUP($H10,'[3]CODE 2'!$J:$K,2,FALSE)," ")</f>
        <v>21211</v>
      </c>
      <c r="N10" s="145">
        <f t="shared" ref="N10:N21" si="0">ROUND((M10/2),2)</f>
        <v>10605.5</v>
      </c>
      <c r="O10" s="145">
        <f t="shared" ref="O10:O21" si="1">M10/22</f>
        <v>964.13636363636363</v>
      </c>
      <c r="P10" s="145">
        <f t="shared" ref="P10:P21" si="2">O10/8</f>
        <v>120.51704545454545</v>
      </c>
      <c r="Q10" s="145">
        <f t="shared" ref="Q10:Q21" si="3">P10/60</f>
        <v>2.0086174242424244</v>
      </c>
      <c r="R10" s="146">
        <v>11</v>
      </c>
      <c r="S10" s="145">
        <f t="shared" ref="S10:S21" si="4">ROUND((O10*R10),2)</f>
        <v>10605.5</v>
      </c>
      <c r="T10" s="147">
        <v>0</v>
      </c>
      <c r="U10" s="147">
        <v>0</v>
      </c>
      <c r="V10" s="147">
        <v>0</v>
      </c>
      <c r="W10" s="148">
        <v>0</v>
      </c>
      <c r="X10" s="148">
        <f t="shared" ref="X10:X11" si="5">ROUND(($P10*$U10),2)</f>
        <v>0</v>
      </c>
      <c r="Y10" s="148">
        <f t="shared" ref="Y10:Y11" si="6">ROUND(($Q10*$V10),2)</f>
        <v>0</v>
      </c>
      <c r="Z10" s="149"/>
      <c r="AA10" s="149"/>
      <c r="AB10" s="149"/>
      <c r="AC10" s="150">
        <f t="shared" ref="AC10:AC11" si="7">ROUND(($O10*$Z10),2)</f>
        <v>0</v>
      </c>
      <c r="AD10" s="150">
        <f t="shared" ref="AD10:AD11" si="8">ROUND(($P10*$AA10),2)</f>
        <v>0</v>
      </c>
      <c r="AE10" s="150">
        <f t="shared" ref="AE10:AE11" si="9">ROUND(($Q10*$AB10),2)</f>
        <v>0</v>
      </c>
      <c r="AF10" s="151"/>
      <c r="AG10" s="152"/>
      <c r="AH10" s="152"/>
      <c r="AI10" s="153">
        <f t="shared" ref="AI10:AI11" si="10">IFERROR(ROUND(($O10*$AF10),2)," ")</f>
        <v>0</v>
      </c>
      <c r="AJ10" s="153">
        <f t="shared" ref="AJ10:AJ11" si="11">IFERROR(ROUND(($P10*$AG10),2),"")</f>
        <v>0</v>
      </c>
      <c r="AK10" s="153">
        <f t="shared" ref="AK10:AK11" si="12">IFERROR(ROUND(($Q10*$AH10),2),"")</f>
        <v>0</v>
      </c>
      <c r="AL10" s="154">
        <f t="shared" ref="AL10:AL11" si="13">ROUND(($W10+$AC10+$AI10),2)</f>
        <v>0</v>
      </c>
      <c r="AM10" s="154">
        <f t="shared" ref="AM10:AM11" si="14">ROUND(($X10+$AD10+$AJ10),2)</f>
        <v>0</v>
      </c>
      <c r="AN10" s="154">
        <f t="shared" ref="AN10:AN11" si="15">ROUND(($Y10+$AE10+$AK10),2)</f>
        <v>0</v>
      </c>
      <c r="AO10" s="145">
        <f t="shared" ref="AO10:AO11" si="16">SUM(AL10:AN10)</f>
        <v>0</v>
      </c>
      <c r="AP10" s="155"/>
      <c r="AQ10" s="156"/>
      <c r="AR10" s="145">
        <f t="shared" ref="AR10:AR11" si="17">ROUND((S10-AO10-AP10),2)</f>
        <v>10605.5</v>
      </c>
      <c r="AS10" s="145"/>
      <c r="AT10" s="145">
        <f t="shared" ref="AT10:AT11" si="18">ROUND((AR10*$AT$8),2)</f>
        <v>0</v>
      </c>
      <c r="AU10" s="155"/>
      <c r="AV10" s="155"/>
      <c r="AW10" s="155"/>
      <c r="AX10" s="155"/>
      <c r="AY10" s="145">
        <f t="shared" ref="AY10:AY11" si="19">ROUND((AR10-AS10-AT10-AU10-AV10-AW10-AX10),2)</f>
        <v>10605.5</v>
      </c>
      <c r="AZ10" s="145" t="s">
        <v>161</v>
      </c>
      <c r="BA10" s="97"/>
      <c r="BB10" s="97"/>
      <c r="BC10" s="97"/>
      <c r="BD10" s="97"/>
      <c r="BE10" s="97"/>
      <c r="BF10" s="97"/>
      <c r="BG10" s="97"/>
      <c r="BH10" s="97"/>
      <c r="BI10" s="97"/>
      <c r="BJ10" s="97"/>
      <c r="BK10" s="97"/>
      <c r="BL10" s="97"/>
      <c r="BM10" s="97"/>
      <c r="BN10" s="97"/>
      <c r="BO10" s="97"/>
      <c r="BP10" s="97"/>
      <c r="BQ10" s="97"/>
      <c r="BR10" s="97"/>
      <c r="BS10" s="97"/>
      <c r="BT10" s="97"/>
      <c r="BU10" s="97"/>
      <c r="BV10" s="97"/>
    </row>
    <row r="11" spans="1:74">
      <c r="A11" s="157">
        <v>2</v>
      </c>
      <c r="B11" s="136" t="s">
        <v>241</v>
      </c>
      <c r="C11" s="137">
        <v>46036</v>
      </c>
      <c r="D11" s="138"/>
      <c r="E11" s="158" t="s">
        <v>22</v>
      </c>
      <c r="F11" s="140" t="s">
        <v>146</v>
      </c>
      <c r="G11" s="139" t="s">
        <v>169</v>
      </c>
      <c r="H11" s="141">
        <v>10</v>
      </c>
      <c r="I11" s="142" t="s">
        <v>147</v>
      </c>
      <c r="J11" s="142" t="s">
        <v>98</v>
      </c>
      <c r="K11" s="143"/>
      <c r="L11" s="143"/>
      <c r="M11" s="144">
        <f>IFERROR(VLOOKUP($H11,'[3]CODE 2'!$J:$K,2,FALSE)," ")</f>
        <v>23176</v>
      </c>
      <c r="N11" s="145">
        <f t="shared" si="0"/>
        <v>11588</v>
      </c>
      <c r="O11" s="145">
        <f t="shared" si="1"/>
        <v>1053.4545454545455</v>
      </c>
      <c r="P11" s="145">
        <f t="shared" si="2"/>
        <v>131.68181818181819</v>
      </c>
      <c r="Q11" s="145">
        <f t="shared" si="3"/>
        <v>2.1946969696969698</v>
      </c>
      <c r="R11" s="146">
        <v>11</v>
      </c>
      <c r="S11" s="145">
        <f t="shared" si="4"/>
        <v>11588</v>
      </c>
      <c r="T11" s="147">
        <v>0</v>
      </c>
      <c r="U11" s="147">
        <v>0</v>
      </c>
      <c r="V11" s="147">
        <v>4</v>
      </c>
      <c r="W11" s="148">
        <v>0</v>
      </c>
      <c r="X11" s="148">
        <f t="shared" si="5"/>
        <v>0</v>
      </c>
      <c r="Y11" s="148">
        <f t="shared" si="6"/>
        <v>8.7799999999999994</v>
      </c>
      <c r="Z11" s="149"/>
      <c r="AA11" s="149"/>
      <c r="AB11" s="149"/>
      <c r="AC11" s="150">
        <f t="shared" si="7"/>
        <v>0</v>
      </c>
      <c r="AD11" s="150">
        <f t="shared" si="8"/>
        <v>0</v>
      </c>
      <c r="AE11" s="150">
        <f t="shared" si="9"/>
        <v>0</v>
      </c>
      <c r="AF11" s="151"/>
      <c r="AG11" s="152"/>
      <c r="AH11" s="152"/>
      <c r="AI11" s="153">
        <f t="shared" si="10"/>
        <v>0</v>
      </c>
      <c r="AJ11" s="153">
        <f t="shared" si="11"/>
        <v>0</v>
      </c>
      <c r="AK11" s="153">
        <f t="shared" si="12"/>
        <v>0</v>
      </c>
      <c r="AL11" s="154">
        <f t="shared" si="13"/>
        <v>0</v>
      </c>
      <c r="AM11" s="154">
        <f t="shared" si="14"/>
        <v>0</v>
      </c>
      <c r="AN11" s="154">
        <f t="shared" si="15"/>
        <v>8.7799999999999994</v>
      </c>
      <c r="AO11" s="145">
        <f t="shared" si="16"/>
        <v>8.7799999999999994</v>
      </c>
      <c r="AP11" s="155"/>
      <c r="AQ11" s="155"/>
      <c r="AR11" s="145">
        <f t="shared" si="17"/>
        <v>11579.22</v>
      </c>
      <c r="AS11" s="145"/>
      <c r="AT11" s="145">
        <f t="shared" si="18"/>
        <v>0</v>
      </c>
      <c r="AU11" s="155"/>
      <c r="AV11" s="155"/>
      <c r="AW11" s="155"/>
      <c r="AX11" s="155"/>
      <c r="AY11" s="145">
        <f t="shared" si="19"/>
        <v>11579.22</v>
      </c>
      <c r="AZ11" s="145" t="s">
        <v>161</v>
      </c>
      <c r="BA11" s="97"/>
      <c r="BB11" s="97"/>
      <c r="BC11" s="97"/>
      <c r="BD11" s="97"/>
      <c r="BE11" s="97"/>
      <c r="BF11" s="97"/>
      <c r="BG11" s="97"/>
      <c r="BH11" s="97"/>
      <c r="BI11" s="97"/>
      <c r="BJ11" s="97"/>
      <c r="BK11" s="97"/>
      <c r="BL11" s="97"/>
      <c r="BM11" s="97"/>
      <c r="BN11" s="97"/>
      <c r="BO11" s="97"/>
      <c r="BP11" s="97"/>
      <c r="BQ11" s="97"/>
      <c r="BR11" s="97"/>
      <c r="BS11" s="97"/>
      <c r="BT11" s="97"/>
      <c r="BU11" s="97"/>
      <c r="BV11" s="97"/>
    </row>
    <row r="12" spans="1:74">
      <c r="A12" s="157">
        <v>3</v>
      </c>
      <c r="B12" s="159"/>
      <c r="C12" s="137"/>
      <c r="D12" s="138"/>
      <c r="E12" s="160" t="s">
        <v>148</v>
      </c>
      <c r="F12" s="140" t="s">
        <v>146</v>
      </c>
      <c r="G12" s="139" t="s">
        <v>168</v>
      </c>
      <c r="H12" s="141">
        <v>9</v>
      </c>
      <c r="I12" s="142" t="s">
        <v>147</v>
      </c>
      <c r="J12" s="142" t="s">
        <v>98</v>
      </c>
      <c r="K12" s="143"/>
      <c r="L12" s="143"/>
      <c r="M12" s="144">
        <f>IFERROR(VLOOKUP($H12,'[3]CODE 2'!$J:$K,2,FALSE)," ")</f>
        <v>21211</v>
      </c>
      <c r="N12" s="145">
        <f t="shared" si="0"/>
        <v>10605.5</v>
      </c>
      <c r="O12" s="145">
        <f t="shared" si="1"/>
        <v>964.13636363636363</v>
      </c>
      <c r="P12" s="145">
        <f t="shared" si="2"/>
        <v>120.51704545454545</v>
      </c>
      <c r="Q12" s="145">
        <f t="shared" si="3"/>
        <v>2.0086174242424244</v>
      </c>
      <c r="R12" s="146">
        <v>11</v>
      </c>
      <c r="S12" s="145">
        <f t="shared" si="4"/>
        <v>10605.5</v>
      </c>
      <c r="T12" s="147"/>
      <c r="U12" s="147"/>
      <c r="V12" s="147"/>
      <c r="W12" s="148"/>
      <c r="X12" s="148"/>
      <c r="Y12" s="148"/>
      <c r="Z12" s="149"/>
      <c r="AA12" s="149"/>
      <c r="AB12" s="149"/>
      <c r="AC12" s="150"/>
      <c r="AD12" s="150"/>
      <c r="AE12" s="150"/>
      <c r="AF12" s="151"/>
      <c r="AG12" s="152"/>
      <c r="AH12" s="152"/>
      <c r="AI12" s="153"/>
      <c r="AJ12" s="153"/>
      <c r="AK12" s="153"/>
      <c r="AL12" s="154"/>
      <c r="AM12" s="154"/>
      <c r="AN12" s="154"/>
      <c r="AO12" s="145"/>
      <c r="AP12" s="155"/>
      <c r="AQ12" s="155"/>
      <c r="AR12" s="145"/>
      <c r="AS12" s="145"/>
      <c r="AT12" s="145"/>
      <c r="AU12" s="155"/>
      <c r="AV12" s="155"/>
      <c r="AW12" s="155"/>
      <c r="AX12" s="155"/>
      <c r="AY12" s="145"/>
      <c r="AZ12" s="145"/>
      <c r="BA12" s="97"/>
      <c r="BB12" s="97"/>
      <c r="BC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</row>
    <row r="13" spans="1:74">
      <c r="A13" s="157">
        <v>4</v>
      </c>
      <c r="B13" s="159" t="s">
        <v>242</v>
      </c>
      <c r="C13" s="161">
        <v>46036</v>
      </c>
      <c r="D13" s="138"/>
      <c r="E13" s="139" t="s">
        <v>149</v>
      </c>
      <c r="F13" s="140" t="s">
        <v>146</v>
      </c>
      <c r="G13" s="139" t="s">
        <v>170</v>
      </c>
      <c r="H13" s="141">
        <v>9</v>
      </c>
      <c r="I13" s="142" t="s">
        <v>147</v>
      </c>
      <c r="J13" s="142" t="s">
        <v>98</v>
      </c>
      <c r="K13" s="143"/>
      <c r="L13" s="143"/>
      <c r="M13" s="144">
        <f>IFERROR(VLOOKUP($H13,'[3]CODE 2'!$J:$K,2,FALSE)," ")</f>
        <v>21211</v>
      </c>
      <c r="N13" s="145">
        <f t="shared" si="0"/>
        <v>10605.5</v>
      </c>
      <c r="O13" s="145">
        <f t="shared" si="1"/>
        <v>964.13636363636363</v>
      </c>
      <c r="P13" s="145">
        <f t="shared" si="2"/>
        <v>120.51704545454545</v>
      </c>
      <c r="Q13" s="145">
        <f t="shared" si="3"/>
        <v>2.0086174242424244</v>
      </c>
      <c r="R13" s="146">
        <v>11</v>
      </c>
      <c r="S13" s="145">
        <f t="shared" si="4"/>
        <v>10605.5</v>
      </c>
      <c r="T13" s="147">
        <v>0</v>
      </c>
      <c r="U13" s="147">
        <v>0</v>
      </c>
      <c r="V13" s="147">
        <v>14</v>
      </c>
      <c r="W13" s="148">
        <f t="shared" ref="W13:W24" si="20">ROUND(($O13*$T13),2)</f>
        <v>0</v>
      </c>
      <c r="X13" s="148">
        <f t="shared" ref="X13:X24" si="21">ROUND(($P13*$U13),2)</f>
        <v>0</v>
      </c>
      <c r="Y13" s="148">
        <f t="shared" ref="Y13:Y24" si="22">ROUND(($Q13*$V13),2)</f>
        <v>28.12</v>
      </c>
      <c r="Z13" s="149"/>
      <c r="AA13" s="149"/>
      <c r="AB13" s="149"/>
      <c r="AC13" s="150">
        <f t="shared" ref="AC13:AC22" si="23">ROUND(($O13*$Z13),2)</f>
        <v>0</v>
      </c>
      <c r="AD13" s="150">
        <f t="shared" ref="AD13:AD22" si="24">ROUND(($P13*$AA13),2)</f>
        <v>0</v>
      </c>
      <c r="AE13" s="150">
        <f t="shared" ref="AE13:AE22" si="25">ROUND(($Q13*$AB13),2)</f>
        <v>0</v>
      </c>
      <c r="AF13" s="151"/>
      <c r="AG13" s="152"/>
      <c r="AH13" s="152"/>
      <c r="AI13" s="153">
        <f t="shared" ref="AI13:AI21" si="26">IFERROR(ROUND(($O13*$AF13),2)," ")</f>
        <v>0</v>
      </c>
      <c r="AJ13" s="153">
        <f t="shared" ref="AJ13:AJ21" si="27">IFERROR(ROUND(($P13*$AG13),2),"")</f>
        <v>0</v>
      </c>
      <c r="AK13" s="153">
        <f t="shared" ref="AK13:AK21" si="28">IFERROR(ROUND(($Q13*$AH13),2),"")</f>
        <v>0</v>
      </c>
      <c r="AL13" s="154">
        <f t="shared" ref="AL13:AL22" si="29">ROUND(($W13+$AC13+$AI13),2)</f>
        <v>0</v>
      </c>
      <c r="AM13" s="154">
        <f t="shared" ref="AM13:AM22" si="30">ROUND(($X13+$AD13+$AJ13),2)</f>
        <v>0</v>
      </c>
      <c r="AN13" s="154">
        <f t="shared" ref="AN13:AN22" si="31">ROUND(($Y13+$AE13+$AK13),2)</f>
        <v>28.12</v>
      </c>
      <c r="AO13" s="145">
        <f t="shared" ref="AO13:AO24" si="32">SUM(AL13:AN13)</f>
        <v>28.12</v>
      </c>
      <c r="AP13" s="155"/>
      <c r="AQ13" s="155"/>
      <c r="AR13" s="145">
        <f t="shared" ref="AR13:AR14" si="33">ROUND((S13-AO13-AP13),2)</f>
        <v>10577.38</v>
      </c>
      <c r="AS13" s="145"/>
      <c r="AT13" s="145">
        <f t="shared" ref="AT13:AT20" si="34">ROUND((AR13*$AT$8),2)</f>
        <v>0</v>
      </c>
      <c r="AU13" s="155"/>
      <c r="AV13" s="155"/>
      <c r="AW13" s="155"/>
      <c r="AX13" s="155"/>
      <c r="AY13" s="145">
        <f t="shared" ref="AY13:AY14" si="35">ROUND((AR13-AS13-AT13-AU13-AV13-AW13-AX13),2)</f>
        <v>10577.38</v>
      </c>
      <c r="AZ13" s="145" t="s">
        <v>161</v>
      </c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</row>
    <row r="14" spans="1:74">
      <c r="A14" s="157">
        <v>5</v>
      </c>
      <c r="B14" s="136" t="s">
        <v>243</v>
      </c>
      <c r="C14" s="162">
        <v>46036</v>
      </c>
      <c r="D14" s="138"/>
      <c r="E14" s="158" t="s">
        <v>150</v>
      </c>
      <c r="F14" s="140" t="s">
        <v>146</v>
      </c>
      <c r="G14" s="139" t="s">
        <v>168</v>
      </c>
      <c r="H14" s="141">
        <v>9</v>
      </c>
      <c r="I14" s="142" t="s">
        <v>147</v>
      </c>
      <c r="J14" s="142" t="s">
        <v>98</v>
      </c>
      <c r="K14" s="143"/>
      <c r="L14" s="143"/>
      <c r="M14" s="144">
        <f>IFERROR(VLOOKUP($H14,'[3]CODE 2'!$J:$K,2,FALSE)," ")</f>
        <v>21211</v>
      </c>
      <c r="N14" s="145">
        <f t="shared" si="0"/>
        <v>10605.5</v>
      </c>
      <c r="O14" s="145">
        <f t="shared" si="1"/>
        <v>964.13636363636363</v>
      </c>
      <c r="P14" s="145">
        <f t="shared" si="2"/>
        <v>120.51704545454545</v>
      </c>
      <c r="Q14" s="145">
        <f t="shared" si="3"/>
        <v>2.0086174242424244</v>
      </c>
      <c r="R14" s="146">
        <v>11</v>
      </c>
      <c r="S14" s="145">
        <f t="shared" si="4"/>
        <v>10605.5</v>
      </c>
      <c r="T14" s="147">
        <v>0</v>
      </c>
      <c r="U14" s="147">
        <v>0</v>
      </c>
      <c r="V14" s="147">
        <v>0</v>
      </c>
      <c r="W14" s="148">
        <f t="shared" si="20"/>
        <v>0</v>
      </c>
      <c r="X14" s="148">
        <f t="shared" si="21"/>
        <v>0</v>
      </c>
      <c r="Y14" s="148">
        <f t="shared" si="22"/>
        <v>0</v>
      </c>
      <c r="Z14" s="149"/>
      <c r="AA14" s="149"/>
      <c r="AB14" s="149"/>
      <c r="AC14" s="150">
        <f t="shared" si="23"/>
        <v>0</v>
      </c>
      <c r="AD14" s="150">
        <f t="shared" si="24"/>
        <v>0</v>
      </c>
      <c r="AE14" s="150">
        <f t="shared" si="25"/>
        <v>0</v>
      </c>
      <c r="AF14" s="151"/>
      <c r="AG14" s="152"/>
      <c r="AH14" s="152"/>
      <c r="AI14" s="153">
        <f t="shared" si="26"/>
        <v>0</v>
      </c>
      <c r="AJ14" s="153">
        <f t="shared" si="27"/>
        <v>0</v>
      </c>
      <c r="AK14" s="153">
        <f t="shared" si="28"/>
        <v>0</v>
      </c>
      <c r="AL14" s="154">
        <f t="shared" si="29"/>
        <v>0</v>
      </c>
      <c r="AM14" s="154">
        <f t="shared" si="30"/>
        <v>0</v>
      </c>
      <c r="AN14" s="154">
        <f t="shared" si="31"/>
        <v>0</v>
      </c>
      <c r="AO14" s="145">
        <f t="shared" si="32"/>
        <v>0</v>
      </c>
      <c r="AP14" s="155"/>
      <c r="AQ14" s="155"/>
      <c r="AR14" s="145">
        <f t="shared" si="33"/>
        <v>10605.5</v>
      </c>
      <c r="AS14" s="145"/>
      <c r="AT14" s="145">
        <f t="shared" si="34"/>
        <v>0</v>
      </c>
      <c r="AU14" s="155"/>
      <c r="AV14" s="155"/>
      <c r="AW14" s="155"/>
      <c r="AX14" s="155"/>
      <c r="AY14" s="145">
        <f t="shared" si="35"/>
        <v>10605.5</v>
      </c>
      <c r="AZ14" s="145" t="s">
        <v>161</v>
      </c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</row>
    <row r="15" spans="1:74">
      <c r="A15" s="157">
        <v>6</v>
      </c>
      <c r="B15" s="163"/>
      <c r="C15" s="162"/>
      <c r="D15" s="138"/>
      <c r="E15" s="164" t="s">
        <v>151</v>
      </c>
      <c r="F15" s="140" t="s">
        <v>146</v>
      </c>
      <c r="G15" s="165" t="s">
        <v>168</v>
      </c>
      <c r="H15" s="141">
        <v>9</v>
      </c>
      <c r="I15" s="142" t="s">
        <v>147</v>
      </c>
      <c r="J15" s="142" t="s">
        <v>98</v>
      </c>
      <c r="K15" s="143"/>
      <c r="L15" s="143"/>
      <c r="M15" s="144">
        <f>IFERROR(VLOOKUP($H15,'[3]CODE 2'!$J:$K,2,FALSE)," ")</f>
        <v>21211</v>
      </c>
      <c r="N15" s="145">
        <f t="shared" si="0"/>
        <v>10605.5</v>
      </c>
      <c r="O15" s="145">
        <f t="shared" si="1"/>
        <v>964.13636363636363</v>
      </c>
      <c r="P15" s="145">
        <f t="shared" si="2"/>
        <v>120.51704545454545</v>
      </c>
      <c r="Q15" s="145">
        <f t="shared" si="3"/>
        <v>2.0086174242424244</v>
      </c>
      <c r="R15" s="146">
        <v>11</v>
      </c>
      <c r="S15" s="145">
        <f t="shared" si="4"/>
        <v>10605.5</v>
      </c>
      <c r="T15" s="147"/>
      <c r="U15" s="147"/>
      <c r="V15" s="147"/>
      <c r="W15" s="148">
        <f t="shared" si="20"/>
        <v>0</v>
      </c>
      <c r="X15" s="148">
        <f t="shared" si="21"/>
        <v>0</v>
      </c>
      <c r="Y15" s="148">
        <f t="shared" si="22"/>
        <v>0</v>
      </c>
      <c r="Z15" s="149"/>
      <c r="AA15" s="149"/>
      <c r="AB15" s="149"/>
      <c r="AC15" s="150">
        <f t="shared" si="23"/>
        <v>0</v>
      </c>
      <c r="AD15" s="150">
        <f t="shared" si="24"/>
        <v>0</v>
      </c>
      <c r="AE15" s="150">
        <f t="shared" si="25"/>
        <v>0</v>
      </c>
      <c r="AF15" s="151"/>
      <c r="AG15" s="152"/>
      <c r="AH15" s="152"/>
      <c r="AI15" s="153">
        <f t="shared" si="26"/>
        <v>0</v>
      </c>
      <c r="AJ15" s="153">
        <f t="shared" si="27"/>
        <v>0</v>
      </c>
      <c r="AK15" s="153">
        <f t="shared" si="28"/>
        <v>0</v>
      </c>
      <c r="AL15" s="154">
        <f t="shared" si="29"/>
        <v>0</v>
      </c>
      <c r="AM15" s="154">
        <f t="shared" si="30"/>
        <v>0</v>
      </c>
      <c r="AN15" s="154">
        <f t="shared" si="31"/>
        <v>0</v>
      </c>
      <c r="AO15" s="145">
        <f t="shared" si="32"/>
        <v>0</v>
      </c>
      <c r="AP15" s="155"/>
      <c r="AQ15" s="155"/>
      <c r="AR15" s="145"/>
      <c r="AS15" s="145"/>
      <c r="AT15" s="145">
        <f t="shared" si="34"/>
        <v>0</v>
      </c>
      <c r="AU15" s="155"/>
      <c r="AV15" s="155"/>
      <c r="AW15" s="155"/>
      <c r="AX15" s="155"/>
      <c r="AY15" s="145"/>
      <c r="AZ15" s="145" t="s">
        <v>161</v>
      </c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</row>
    <row r="16" spans="1:74">
      <c r="A16" s="157">
        <v>7</v>
      </c>
      <c r="B16" s="136" t="s">
        <v>244</v>
      </c>
      <c r="C16" s="162">
        <v>46036</v>
      </c>
      <c r="D16" s="138"/>
      <c r="E16" s="139" t="s">
        <v>152</v>
      </c>
      <c r="F16" s="140" t="s">
        <v>146</v>
      </c>
      <c r="G16" s="139" t="s">
        <v>168</v>
      </c>
      <c r="H16" s="141">
        <v>9</v>
      </c>
      <c r="I16" s="142" t="s">
        <v>147</v>
      </c>
      <c r="J16" s="142" t="s">
        <v>98</v>
      </c>
      <c r="K16" s="143"/>
      <c r="L16" s="143"/>
      <c r="M16" s="144">
        <f>IFERROR(VLOOKUP($H16,'[3]CODE 2'!$J:$K,2,FALSE)," ")</f>
        <v>21211</v>
      </c>
      <c r="N16" s="145">
        <f t="shared" si="0"/>
        <v>10605.5</v>
      </c>
      <c r="O16" s="145">
        <f t="shared" si="1"/>
        <v>964.13636363636363</v>
      </c>
      <c r="P16" s="145">
        <f t="shared" si="2"/>
        <v>120.51704545454545</v>
      </c>
      <c r="Q16" s="145">
        <f t="shared" si="3"/>
        <v>2.0086174242424244</v>
      </c>
      <c r="R16" s="146">
        <v>11</v>
      </c>
      <c r="S16" s="145">
        <f t="shared" si="4"/>
        <v>10605.5</v>
      </c>
      <c r="T16" s="147">
        <v>0</v>
      </c>
      <c r="U16" s="147">
        <v>0</v>
      </c>
      <c r="V16" s="147">
        <v>0</v>
      </c>
      <c r="W16" s="148">
        <f t="shared" si="20"/>
        <v>0</v>
      </c>
      <c r="X16" s="148">
        <f t="shared" si="21"/>
        <v>0</v>
      </c>
      <c r="Y16" s="148">
        <f t="shared" si="22"/>
        <v>0</v>
      </c>
      <c r="Z16" s="149"/>
      <c r="AA16" s="149"/>
      <c r="AB16" s="149"/>
      <c r="AC16" s="150">
        <f t="shared" si="23"/>
        <v>0</v>
      </c>
      <c r="AD16" s="150">
        <f t="shared" si="24"/>
        <v>0</v>
      </c>
      <c r="AE16" s="150">
        <f t="shared" si="25"/>
        <v>0</v>
      </c>
      <c r="AF16" s="151"/>
      <c r="AG16" s="152"/>
      <c r="AH16" s="152"/>
      <c r="AI16" s="153">
        <f t="shared" si="26"/>
        <v>0</v>
      </c>
      <c r="AJ16" s="153">
        <f t="shared" si="27"/>
        <v>0</v>
      </c>
      <c r="AK16" s="153">
        <f t="shared" si="28"/>
        <v>0</v>
      </c>
      <c r="AL16" s="154">
        <f t="shared" si="29"/>
        <v>0</v>
      </c>
      <c r="AM16" s="154">
        <f t="shared" si="30"/>
        <v>0</v>
      </c>
      <c r="AN16" s="154">
        <f t="shared" si="31"/>
        <v>0</v>
      </c>
      <c r="AO16" s="145">
        <f t="shared" si="32"/>
        <v>0</v>
      </c>
      <c r="AP16" s="155"/>
      <c r="AQ16" s="166"/>
      <c r="AR16" s="145">
        <f t="shared" ref="AR16:AR22" si="36">ROUND((S16-AO16-AP16),2)</f>
        <v>10605.5</v>
      </c>
      <c r="AS16" s="145"/>
      <c r="AT16" s="145">
        <f t="shared" si="34"/>
        <v>0</v>
      </c>
      <c r="AU16" s="155"/>
      <c r="AV16" s="155"/>
      <c r="AW16" s="155"/>
      <c r="AX16" s="155"/>
      <c r="AY16" s="145">
        <f t="shared" ref="AY16:AY22" si="37">ROUND((AR16-AS16-AT16-AU16-AV16-AW16-AX16),2)</f>
        <v>10605.5</v>
      </c>
      <c r="AZ16" s="145" t="s">
        <v>161</v>
      </c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</row>
    <row r="17" spans="1:74">
      <c r="A17" s="157">
        <v>8</v>
      </c>
      <c r="B17" s="163" t="s">
        <v>245</v>
      </c>
      <c r="C17" s="162">
        <v>46036</v>
      </c>
      <c r="D17" s="138"/>
      <c r="E17" s="158" t="s">
        <v>153</v>
      </c>
      <c r="F17" s="140" t="s">
        <v>146</v>
      </c>
      <c r="G17" s="139" t="s">
        <v>168</v>
      </c>
      <c r="H17" s="141">
        <v>9</v>
      </c>
      <c r="I17" s="142" t="s">
        <v>147</v>
      </c>
      <c r="J17" s="142" t="s">
        <v>98</v>
      </c>
      <c r="K17" s="143"/>
      <c r="L17" s="143"/>
      <c r="M17" s="144">
        <f>IFERROR(VLOOKUP($H17,'[3]CODE 2'!$J:$K,2,FALSE)," ")</f>
        <v>21211</v>
      </c>
      <c r="N17" s="145">
        <f t="shared" si="0"/>
        <v>10605.5</v>
      </c>
      <c r="O17" s="145">
        <f t="shared" si="1"/>
        <v>964.13636363636363</v>
      </c>
      <c r="P17" s="145">
        <f t="shared" si="2"/>
        <v>120.51704545454545</v>
      </c>
      <c r="Q17" s="145">
        <f t="shared" si="3"/>
        <v>2.0086174242424244</v>
      </c>
      <c r="R17" s="146">
        <v>11</v>
      </c>
      <c r="S17" s="145">
        <f t="shared" si="4"/>
        <v>10605.5</v>
      </c>
      <c r="T17" s="147">
        <v>0</v>
      </c>
      <c r="U17" s="147">
        <v>0</v>
      </c>
      <c r="V17" s="147">
        <v>45</v>
      </c>
      <c r="W17" s="148">
        <f t="shared" si="20"/>
        <v>0</v>
      </c>
      <c r="X17" s="148">
        <f t="shared" si="21"/>
        <v>0</v>
      </c>
      <c r="Y17" s="148">
        <f t="shared" si="22"/>
        <v>90.39</v>
      </c>
      <c r="Z17" s="149"/>
      <c r="AA17" s="149"/>
      <c r="AB17" s="149"/>
      <c r="AC17" s="150">
        <f t="shared" si="23"/>
        <v>0</v>
      </c>
      <c r="AD17" s="150">
        <f t="shared" si="24"/>
        <v>0</v>
      </c>
      <c r="AE17" s="150">
        <f t="shared" si="25"/>
        <v>0</v>
      </c>
      <c r="AF17" s="151"/>
      <c r="AG17" s="152"/>
      <c r="AH17" s="152"/>
      <c r="AI17" s="153">
        <f t="shared" si="26"/>
        <v>0</v>
      </c>
      <c r="AJ17" s="153">
        <f t="shared" si="27"/>
        <v>0</v>
      </c>
      <c r="AK17" s="153">
        <f t="shared" si="28"/>
        <v>0</v>
      </c>
      <c r="AL17" s="154">
        <f t="shared" si="29"/>
        <v>0</v>
      </c>
      <c r="AM17" s="154">
        <f t="shared" si="30"/>
        <v>0</v>
      </c>
      <c r="AN17" s="154">
        <f t="shared" si="31"/>
        <v>90.39</v>
      </c>
      <c r="AO17" s="145">
        <f t="shared" si="32"/>
        <v>90.39</v>
      </c>
      <c r="AP17" s="155"/>
      <c r="AQ17" s="155"/>
      <c r="AR17" s="145">
        <f t="shared" si="36"/>
        <v>10515.11</v>
      </c>
      <c r="AS17" s="145"/>
      <c r="AT17" s="145">
        <f t="shared" si="34"/>
        <v>0</v>
      </c>
      <c r="AU17" s="155"/>
      <c r="AV17" s="155"/>
      <c r="AW17" s="155"/>
      <c r="AX17" s="155"/>
      <c r="AY17" s="145">
        <f t="shared" si="37"/>
        <v>10515.11</v>
      </c>
      <c r="AZ17" s="145" t="s">
        <v>161</v>
      </c>
      <c r="BA17" s="97"/>
      <c r="BB17" s="97"/>
      <c r="BC17" s="97"/>
      <c r="BD17" s="97"/>
      <c r="BE17" s="97"/>
      <c r="BF17" s="97"/>
      <c r="BG17" s="97"/>
      <c r="BH17" s="97"/>
      <c r="BI17" s="97"/>
      <c r="BJ17" s="97"/>
      <c r="BK17" s="97"/>
      <c r="BL17" s="97"/>
      <c r="BM17" s="97"/>
      <c r="BN17" s="97"/>
      <c r="BO17" s="97"/>
      <c r="BP17" s="97"/>
      <c r="BQ17" s="97"/>
      <c r="BR17" s="97"/>
      <c r="BS17" s="97"/>
      <c r="BT17" s="97"/>
      <c r="BU17" s="97"/>
      <c r="BV17" s="97"/>
    </row>
    <row r="18" spans="1:74">
      <c r="A18" s="157">
        <v>9</v>
      </c>
      <c r="B18" s="163" t="s">
        <v>246</v>
      </c>
      <c r="C18" s="162">
        <v>46036</v>
      </c>
      <c r="D18" s="138"/>
      <c r="E18" s="158" t="s">
        <v>156</v>
      </c>
      <c r="F18" s="140" t="s">
        <v>146</v>
      </c>
      <c r="G18" s="139" t="s">
        <v>170</v>
      </c>
      <c r="H18" s="141">
        <v>9</v>
      </c>
      <c r="I18" s="142" t="s">
        <v>147</v>
      </c>
      <c r="J18" s="142" t="s">
        <v>98</v>
      </c>
      <c r="K18" s="143"/>
      <c r="L18" s="143"/>
      <c r="M18" s="144">
        <f>IFERROR(VLOOKUP($H18,'[3]CODE 2'!$J:$K,2,FALSE)," ")</f>
        <v>21211</v>
      </c>
      <c r="N18" s="145">
        <f t="shared" si="0"/>
        <v>10605.5</v>
      </c>
      <c r="O18" s="145">
        <f t="shared" si="1"/>
        <v>964.13636363636363</v>
      </c>
      <c r="P18" s="145">
        <f t="shared" si="2"/>
        <v>120.51704545454545</v>
      </c>
      <c r="Q18" s="145">
        <f t="shared" si="3"/>
        <v>2.0086174242424244</v>
      </c>
      <c r="R18" s="146">
        <v>11</v>
      </c>
      <c r="S18" s="145">
        <f t="shared" si="4"/>
        <v>10605.5</v>
      </c>
      <c r="T18" s="147">
        <v>0</v>
      </c>
      <c r="U18" s="147">
        <v>0</v>
      </c>
      <c r="V18" s="147">
        <v>0</v>
      </c>
      <c r="W18" s="148">
        <f t="shared" si="20"/>
        <v>0</v>
      </c>
      <c r="X18" s="148">
        <f t="shared" si="21"/>
        <v>0</v>
      </c>
      <c r="Y18" s="148">
        <f t="shared" si="22"/>
        <v>0</v>
      </c>
      <c r="Z18" s="149"/>
      <c r="AA18" s="149"/>
      <c r="AB18" s="149"/>
      <c r="AC18" s="150">
        <f t="shared" si="23"/>
        <v>0</v>
      </c>
      <c r="AD18" s="150">
        <f t="shared" si="24"/>
        <v>0</v>
      </c>
      <c r="AE18" s="150">
        <f t="shared" si="25"/>
        <v>0</v>
      </c>
      <c r="AF18" s="151"/>
      <c r="AG18" s="152"/>
      <c r="AH18" s="152"/>
      <c r="AI18" s="153">
        <f t="shared" si="26"/>
        <v>0</v>
      </c>
      <c r="AJ18" s="153">
        <f t="shared" si="27"/>
        <v>0</v>
      </c>
      <c r="AK18" s="153">
        <f t="shared" si="28"/>
        <v>0</v>
      </c>
      <c r="AL18" s="154">
        <f t="shared" si="29"/>
        <v>0</v>
      </c>
      <c r="AM18" s="154">
        <f t="shared" si="30"/>
        <v>0</v>
      </c>
      <c r="AN18" s="154">
        <f t="shared" si="31"/>
        <v>0</v>
      </c>
      <c r="AO18" s="145">
        <f t="shared" si="32"/>
        <v>0</v>
      </c>
      <c r="AP18" s="155"/>
      <c r="AQ18" s="155"/>
      <c r="AR18" s="145">
        <f t="shared" si="36"/>
        <v>10605.5</v>
      </c>
      <c r="AS18" s="145"/>
      <c r="AT18" s="145">
        <f t="shared" si="34"/>
        <v>0</v>
      </c>
      <c r="AU18" s="155"/>
      <c r="AV18" s="155"/>
      <c r="AW18" s="155"/>
      <c r="AX18" s="155"/>
      <c r="AY18" s="145">
        <f t="shared" si="37"/>
        <v>10605.5</v>
      </c>
      <c r="AZ18" s="145" t="s">
        <v>161</v>
      </c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/>
      <c r="BU18" s="97"/>
      <c r="BV18" s="97"/>
    </row>
    <row r="19" spans="1:74">
      <c r="A19" s="157">
        <v>10</v>
      </c>
      <c r="B19" s="163" t="s">
        <v>247</v>
      </c>
      <c r="C19" s="162">
        <v>46036</v>
      </c>
      <c r="D19" s="138"/>
      <c r="E19" s="167" t="s">
        <v>139</v>
      </c>
      <c r="F19" s="140" t="s">
        <v>146</v>
      </c>
      <c r="G19" s="139" t="s">
        <v>168</v>
      </c>
      <c r="H19" s="141">
        <v>9</v>
      </c>
      <c r="I19" s="142" t="s">
        <v>147</v>
      </c>
      <c r="J19" s="142" t="s">
        <v>98</v>
      </c>
      <c r="K19" s="143"/>
      <c r="L19" s="143"/>
      <c r="M19" s="144">
        <f>IFERROR(VLOOKUP($H19,'[3]CODE 2'!$J:$K,2,FALSE)," ")</f>
        <v>21211</v>
      </c>
      <c r="N19" s="145">
        <f t="shared" si="0"/>
        <v>10605.5</v>
      </c>
      <c r="O19" s="145">
        <f t="shared" si="1"/>
        <v>964.13636363636363</v>
      </c>
      <c r="P19" s="145">
        <f t="shared" si="2"/>
        <v>120.51704545454545</v>
      </c>
      <c r="Q19" s="145">
        <f t="shared" si="3"/>
        <v>2.0086174242424244</v>
      </c>
      <c r="R19" s="146">
        <v>11</v>
      </c>
      <c r="S19" s="145">
        <f t="shared" si="4"/>
        <v>10605.5</v>
      </c>
      <c r="T19" s="147">
        <v>0</v>
      </c>
      <c r="U19" s="147">
        <v>0</v>
      </c>
      <c r="V19" s="147">
        <v>0</v>
      </c>
      <c r="W19" s="148">
        <f t="shared" si="20"/>
        <v>0</v>
      </c>
      <c r="X19" s="148">
        <f t="shared" si="21"/>
        <v>0</v>
      </c>
      <c r="Y19" s="148">
        <f t="shared" si="22"/>
        <v>0</v>
      </c>
      <c r="Z19" s="149"/>
      <c r="AA19" s="149"/>
      <c r="AB19" s="149"/>
      <c r="AC19" s="150">
        <f t="shared" si="23"/>
        <v>0</v>
      </c>
      <c r="AD19" s="150">
        <f t="shared" si="24"/>
        <v>0</v>
      </c>
      <c r="AE19" s="150">
        <f t="shared" si="25"/>
        <v>0</v>
      </c>
      <c r="AF19" s="151"/>
      <c r="AG19" s="152"/>
      <c r="AH19" s="152"/>
      <c r="AI19" s="153">
        <f t="shared" si="26"/>
        <v>0</v>
      </c>
      <c r="AJ19" s="153">
        <f t="shared" si="27"/>
        <v>0</v>
      </c>
      <c r="AK19" s="153">
        <f t="shared" si="28"/>
        <v>0</v>
      </c>
      <c r="AL19" s="154">
        <f t="shared" si="29"/>
        <v>0</v>
      </c>
      <c r="AM19" s="154">
        <f t="shared" si="30"/>
        <v>0</v>
      </c>
      <c r="AN19" s="154">
        <f t="shared" si="31"/>
        <v>0</v>
      </c>
      <c r="AO19" s="145">
        <f t="shared" si="32"/>
        <v>0</v>
      </c>
      <c r="AP19" s="155"/>
      <c r="AQ19" s="155"/>
      <c r="AR19" s="145">
        <f t="shared" si="36"/>
        <v>10605.5</v>
      </c>
      <c r="AS19" s="145"/>
      <c r="AT19" s="145">
        <f t="shared" si="34"/>
        <v>0</v>
      </c>
      <c r="AU19" s="155"/>
      <c r="AV19" s="155"/>
      <c r="AW19" s="155"/>
      <c r="AX19" s="155"/>
      <c r="AY19" s="145">
        <f t="shared" si="37"/>
        <v>10605.5</v>
      </c>
      <c r="AZ19" s="145" t="s">
        <v>161</v>
      </c>
      <c r="BA19" s="97"/>
      <c r="BB19" s="97"/>
      <c r="BC19" s="97"/>
      <c r="BD19" s="97"/>
      <c r="BE19" s="97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</row>
    <row r="20" spans="1:74">
      <c r="A20" s="157">
        <v>11</v>
      </c>
      <c r="B20" s="168" t="s">
        <v>248</v>
      </c>
      <c r="C20" s="169">
        <v>46036</v>
      </c>
      <c r="D20" s="170"/>
      <c r="E20" s="171" t="s">
        <v>227</v>
      </c>
      <c r="F20" s="140" t="s">
        <v>146</v>
      </c>
      <c r="G20" s="139" t="s">
        <v>228</v>
      </c>
      <c r="H20" s="141">
        <v>9</v>
      </c>
      <c r="I20" s="142" t="s">
        <v>147</v>
      </c>
      <c r="J20" s="142" t="s">
        <v>98</v>
      </c>
      <c r="K20" s="143"/>
      <c r="L20" s="143"/>
      <c r="M20" s="144">
        <f>IFERROR(VLOOKUP($H20,'[3]CODE 2'!$J:$K,2,FALSE)," ")</f>
        <v>21211</v>
      </c>
      <c r="N20" s="145">
        <f t="shared" si="0"/>
        <v>10605.5</v>
      </c>
      <c r="O20" s="145">
        <f t="shared" si="1"/>
        <v>964.13636363636363</v>
      </c>
      <c r="P20" s="145">
        <f t="shared" si="2"/>
        <v>120.51704545454545</v>
      </c>
      <c r="Q20" s="145">
        <f t="shared" si="3"/>
        <v>2.0086174242424244</v>
      </c>
      <c r="R20" s="146">
        <v>11</v>
      </c>
      <c r="S20" s="145">
        <f t="shared" si="4"/>
        <v>10605.5</v>
      </c>
      <c r="T20" s="147">
        <v>0</v>
      </c>
      <c r="U20" s="147">
        <v>0</v>
      </c>
      <c r="V20" s="147">
        <v>0</v>
      </c>
      <c r="W20" s="148">
        <f t="shared" si="20"/>
        <v>0</v>
      </c>
      <c r="X20" s="148">
        <f t="shared" si="21"/>
        <v>0</v>
      </c>
      <c r="Y20" s="148">
        <f t="shared" si="22"/>
        <v>0</v>
      </c>
      <c r="Z20" s="149"/>
      <c r="AA20" s="149"/>
      <c r="AB20" s="149"/>
      <c r="AC20" s="150">
        <f t="shared" si="23"/>
        <v>0</v>
      </c>
      <c r="AD20" s="150">
        <f t="shared" si="24"/>
        <v>0</v>
      </c>
      <c r="AE20" s="150">
        <f t="shared" si="25"/>
        <v>0</v>
      </c>
      <c r="AF20" s="151"/>
      <c r="AG20" s="152"/>
      <c r="AH20" s="152"/>
      <c r="AI20" s="153">
        <f t="shared" si="26"/>
        <v>0</v>
      </c>
      <c r="AJ20" s="153">
        <f t="shared" si="27"/>
        <v>0</v>
      </c>
      <c r="AK20" s="153">
        <f t="shared" si="28"/>
        <v>0</v>
      </c>
      <c r="AL20" s="154">
        <f t="shared" si="29"/>
        <v>0</v>
      </c>
      <c r="AM20" s="154">
        <f t="shared" si="30"/>
        <v>0</v>
      </c>
      <c r="AN20" s="154">
        <f t="shared" si="31"/>
        <v>0</v>
      </c>
      <c r="AO20" s="145">
        <f t="shared" si="32"/>
        <v>0</v>
      </c>
      <c r="AP20" s="155"/>
      <c r="AQ20" s="155"/>
      <c r="AR20" s="145">
        <f t="shared" si="36"/>
        <v>10605.5</v>
      </c>
      <c r="AS20" s="145"/>
      <c r="AT20" s="145">
        <f t="shared" si="34"/>
        <v>0</v>
      </c>
      <c r="AU20" s="155"/>
      <c r="AV20" s="155"/>
      <c r="AW20" s="155"/>
      <c r="AX20" s="155"/>
      <c r="AY20" s="145">
        <f t="shared" si="37"/>
        <v>10605.5</v>
      </c>
      <c r="AZ20" s="145" t="s">
        <v>161</v>
      </c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7"/>
      <c r="BS20" s="97"/>
      <c r="BT20" s="97"/>
      <c r="BU20" s="97"/>
      <c r="BV20" s="97"/>
    </row>
    <row r="21" spans="1:74">
      <c r="A21" s="157">
        <v>12</v>
      </c>
      <c r="B21" s="168" t="s">
        <v>249</v>
      </c>
      <c r="C21" s="169">
        <v>46036</v>
      </c>
      <c r="D21" s="170"/>
      <c r="E21" s="171" t="s">
        <v>232</v>
      </c>
      <c r="F21" s="140" t="s">
        <v>146</v>
      </c>
      <c r="G21" s="139" t="s">
        <v>229</v>
      </c>
      <c r="H21" s="141">
        <v>8</v>
      </c>
      <c r="I21" s="142" t="s">
        <v>147</v>
      </c>
      <c r="J21" s="142" t="s">
        <v>98</v>
      </c>
      <c r="K21" s="143"/>
      <c r="L21" s="143"/>
      <c r="M21" s="144">
        <f>IFERROR(VLOOKUP($H21,'[3]CODE 2'!$J:$K,2,FALSE)," ")</f>
        <v>19744</v>
      </c>
      <c r="N21" s="145">
        <f t="shared" si="0"/>
        <v>9872</v>
      </c>
      <c r="O21" s="145">
        <f t="shared" si="1"/>
        <v>897.4545454545455</v>
      </c>
      <c r="P21" s="145">
        <f t="shared" si="2"/>
        <v>112.18181818181819</v>
      </c>
      <c r="Q21" s="145">
        <f t="shared" si="3"/>
        <v>1.8696969696969699</v>
      </c>
      <c r="R21" s="146">
        <v>11</v>
      </c>
      <c r="S21" s="145">
        <f t="shared" si="4"/>
        <v>9872</v>
      </c>
      <c r="T21" s="147">
        <v>0</v>
      </c>
      <c r="U21" s="147">
        <v>0</v>
      </c>
      <c r="V21" s="147">
        <v>0</v>
      </c>
      <c r="W21" s="148">
        <f t="shared" si="20"/>
        <v>0</v>
      </c>
      <c r="X21" s="148">
        <f t="shared" si="21"/>
        <v>0</v>
      </c>
      <c r="Y21" s="148">
        <f t="shared" si="22"/>
        <v>0</v>
      </c>
      <c r="Z21" s="149"/>
      <c r="AA21" s="149"/>
      <c r="AB21" s="149"/>
      <c r="AC21" s="150">
        <f t="shared" si="23"/>
        <v>0</v>
      </c>
      <c r="AD21" s="150">
        <f t="shared" si="24"/>
        <v>0</v>
      </c>
      <c r="AE21" s="150">
        <f t="shared" si="25"/>
        <v>0</v>
      </c>
      <c r="AF21" s="151"/>
      <c r="AG21" s="152"/>
      <c r="AH21" s="152"/>
      <c r="AI21" s="153">
        <f t="shared" si="26"/>
        <v>0</v>
      </c>
      <c r="AJ21" s="153">
        <f t="shared" si="27"/>
        <v>0</v>
      </c>
      <c r="AK21" s="153">
        <f t="shared" si="28"/>
        <v>0</v>
      </c>
      <c r="AL21" s="154">
        <f t="shared" si="29"/>
        <v>0</v>
      </c>
      <c r="AM21" s="154">
        <f t="shared" si="30"/>
        <v>0</v>
      </c>
      <c r="AN21" s="154">
        <f t="shared" si="31"/>
        <v>0</v>
      </c>
      <c r="AO21" s="145">
        <f t="shared" si="32"/>
        <v>0</v>
      </c>
      <c r="AP21" s="155"/>
      <c r="AQ21" s="155"/>
      <c r="AR21" s="145">
        <f t="shared" si="36"/>
        <v>9872</v>
      </c>
      <c r="AS21" s="145">
        <v>0</v>
      </c>
      <c r="AT21" s="145">
        <v>0</v>
      </c>
      <c r="AU21" s="155">
        <v>0</v>
      </c>
      <c r="AV21" s="155"/>
      <c r="AW21" s="155"/>
      <c r="AX21" s="155"/>
      <c r="AY21" s="145">
        <f t="shared" si="37"/>
        <v>9872</v>
      </c>
      <c r="AZ21" s="145" t="s">
        <v>161</v>
      </c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</row>
    <row r="22" spans="1:74">
      <c r="A22" s="157">
        <v>13</v>
      </c>
      <c r="B22" s="172" t="s">
        <v>250</v>
      </c>
      <c r="C22" s="173">
        <v>46036</v>
      </c>
      <c r="D22" s="174"/>
      <c r="E22" s="175" t="s">
        <v>129</v>
      </c>
      <c r="F22" s="176" t="s">
        <v>127</v>
      </c>
      <c r="G22" s="177" t="s">
        <v>206</v>
      </c>
      <c r="H22" s="178">
        <v>11</v>
      </c>
      <c r="I22" s="179" t="s">
        <v>147</v>
      </c>
      <c r="J22" s="179" t="s">
        <v>174</v>
      </c>
      <c r="K22" s="180"/>
      <c r="L22" s="181"/>
      <c r="M22" s="182">
        <f>IFERROR(VLOOKUP($H22,'[3]CODE 2'!$J:$K,2,FALSE)," ")</f>
        <v>27000</v>
      </c>
      <c r="N22" s="183">
        <f>IFERROR(ROUND((M22/2),2),"")</f>
        <v>13500</v>
      </c>
      <c r="O22" s="183">
        <f>IFERROR((M22/22)," ")</f>
        <v>1227.2727272727273</v>
      </c>
      <c r="P22" s="183">
        <f>IFERROR((O22/8),"")</f>
        <v>153.40909090909091</v>
      </c>
      <c r="Q22" s="183">
        <f>IFERROR((P22/60),"")</f>
        <v>2.5568181818181817</v>
      </c>
      <c r="R22" s="184">
        <v>11</v>
      </c>
      <c r="S22" s="183">
        <f>IFERROR(ROUND((O22*R22),2)," ")</f>
        <v>13500</v>
      </c>
      <c r="T22" s="147">
        <v>0</v>
      </c>
      <c r="U22" s="147">
        <v>0</v>
      </c>
      <c r="V22" s="147">
        <v>3</v>
      </c>
      <c r="W22" s="148">
        <f t="shared" si="20"/>
        <v>0</v>
      </c>
      <c r="X22" s="148">
        <f t="shared" si="21"/>
        <v>0</v>
      </c>
      <c r="Y22" s="148">
        <f t="shared" si="22"/>
        <v>7.67</v>
      </c>
      <c r="Z22" s="149"/>
      <c r="AA22" s="149"/>
      <c r="AB22" s="149"/>
      <c r="AC22" s="150">
        <f t="shared" si="23"/>
        <v>0</v>
      </c>
      <c r="AD22" s="150">
        <f t="shared" si="24"/>
        <v>0</v>
      </c>
      <c r="AE22" s="150">
        <f t="shared" si="25"/>
        <v>0</v>
      </c>
      <c r="AF22" s="151"/>
      <c r="AG22" s="152"/>
      <c r="AH22" s="152"/>
      <c r="AI22" s="153"/>
      <c r="AJ22" s="153"/>
      <c r="AK22" s="153"/>
      <c r="AL22" s="154">
        <f t="shared" si="29"/>
        <v>0</v>
      </c>
      <c r="AM22" s="154">
        <f t="shared" si="30"/>
        <v>0</v>
      </c>
      <c r="AN22" s="154">
        <f t="shared" si="31"/>
        <v>7.67</v>
      </c>
      <c r="AO22" s="145">
        <f t="shared" si="32"/>
        <v>7.67</v>
      </c>
      <c r="AP22" s="155"/>
      <c r="AQ22" s="155"/>
      <c r="AR22" s="145">
        <f t="shared" si="36"/>
        <v>13492.33</v>
      </c>
      <c r="AS22" s="145"/>
      <c r="AT22" s="145"/>
      <c r="AU22" s="155"/>
      <c r="AV22" s="155"/>
      <c r="AW22" s="155"/>
      <c r="AX22" s="155"/>
      <c r="AY22" s="145">
        <f t="shared" si="37"/>
        <v>13492.33</v>
      </c>
      <c r="AZ22" s="145" t="s">
        <v>161</v>
      </c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</row>
    <row r="23" spans="1:74" ht="15.75" customHeight="1">
      <c r="A23" s="157">
        <v>14</v>
      </c>
      <c r="B23" s="159" t="s">
        <v>251</v>
      </c>
      <c r="C23" s="185">
        <v>46036</v>
      </c>
      <c r="D23" s="138"/>
      <c r="E23" s="171" t="s">
        <v>166</v>
      </c>
      <c r="F23" s="140" t="s">
        <v>114</v>
      </c>
      <c r="G23" s="139" t="s">
        <v>17</v>
      </c>
      <c r="H23" s="186">
        <v>8</v>
      </c>
      <c r="I23" s="142" t="s">
        <v>147</v>
      </c>
      <c r="J23" s="142" t="s">
        <v>174</v>
      </c>
      <c r="K23" s="187"/>
      <c r="L23" s="188"/>
      <c r="M23" s="189">
        <f>IFERROR(VLOOKUP($H23,'[3]CODE 2'!$J:$K,2,FALSE)," ")</f>
        <v>19744</v>
      </c>
      <c r="N23" s="190">
        <f t="shared" ref="N23:N24" si="38">IFERROR(ROUND((M23/2),2),"")</f>
        <v>9872</v>
      </c>
      <c r="O23" s="190">
        <f t="shared" ref="O23:O24" si="39">IFERROR((M23/22)," ")</f>
        <v>897.4545454545455</v>
      </c>
      <c r="P23" s="190">
        <f t="shared" ref="P23:P24" si="40">IFERROR((O23/8),"")</f>
        <v>112.18181818181819</v>
      </c>
      <c r="Q23" s="190">
        <f t="shared" ref="Q23:Q24" si="41">IFERROR((P23/60),"")</f>
        <v>1.8696969696969699</v>
      </c>
      <c r="R23" s="191">
        <v>11</v>
      </c>
      <c r="S23" s="190">
        <f t="shared" ref="S23:S24" si="42">IFERROR(ROUND((O23*R23),2)," ")</f>
        <v>9872</v>
      </c>
      <c r="T23" s="147">
        <v>0</v>
      </c>
      <c r="U23" s="147">
        <v>0</v>
      </c>
      <c r="V23" s="147">
        <v>18</v>
      </c>
      <c r="W23" s="148">
        <f t="shared" si="20"/>
        <v>0</v>
      </c>
      <c r="X23" s="148">
        <f t="shared" si="21"/>
        <v>0</v>
      </c>
      <c r="Y23" s="148">
        <f t="shared" si="22"/>
        <v>33.65</v>
      </c>
      <c r="Z23" s="149"/>
      <c r="AA23" s="149"/>
      <c r="AB23" s="149"/>
      <c r="AC23" s="192">
        <f t="shared" ref="AC23:AC24" si="43">IFERROR(ROUND(($O23*$Z23),2)," ")</f>
        <v>0</v>
      </c>
      <c r="AD23" s="192">
        <f t="shared" ref="AD23:AD24" si="44">IFERROR(ROUND(($P23*$AA23),2),"")</f>
        <v>0</v>
      </c>
      <c r="AE23" s="192">
        <f t="shared" ref="AE23:AE24" si="45">IFERROR(ROUND(($Q23*$AB23),2),"")</f>
        <v>0</v>
      </c>
      <c r="AF23" s="193"/>
      <c r="AG23" s="193"/>
      <c r="AH23" s="193"/>
      <c r="AI23" s="194">
        <f t="shared" ref="AI23:AI24" si="46">IFERROR(ROUND(($O23*$AF23),2)," ")</f>
        <v>0</v>
      </c>
      <c r="AJ23" s="194">
        <f t="shared" ref="AJ23:AJ24" si="47">IFERROR(ROUND(($P23*$AG23),2),"")</f>
        <v>0</v>
      </c>
      <c r="AK23" s="194">
        <f t="shared" ref="AK23:AK24" si="48">IFERROR(ROUND(($Q23*$AH23),2),"")</f>
        <v>0</v>
      </c>
      <c r="AL23" s="195">
        <f t="shared" ref="AL23:AL24" si="49">IFERROR(ROUND(($W23+$AC23+$AI23),2),"")</f>
        <v>0</v>
      </c>
      <c r="AM23" s="195">
        <f t="shared" ref="AM23:AM24" si="50">IFERROR(ROUND(($X23+$AD23+$AJ23),2),"")</f>
        <v>0</v>
      </c>
      <c r="AN23" s="195">
        <f t="shared" ref="AN23:AN24" si="51">IFERROR(ROUND(($Y23+$AE23+$AK23),2),"")</f>
        <v>33.65</v>
      </c>
      <c r="AO23" s="190">
        <f t="shared" si="32"/>
        <v>33.65</v>
      </c>
      <c r="AP23" s="155"/>
      <c r="AQ23" s="155"/>
      <c r="AR23" s="190">
        <f t="shared" ref="AR23:AR24" si="52">IFERROR(ROUND((S23-AO23-AP23),2),"")</f>
        <v>9838.35</v>
      </c>
      <c r="AS23" s="145"/>
      <c r="AT23" s="145"/>
      <c r="AU23" s="155"/>
      <c r="AV23" s="155"/>
      <c r="AW23" s="155"/>
      <c r="AX23" s="155"/>
      <c r="AY23" s="190">
        <f t="shared" ref="AY23:AY24" si="53">IFERROR(ROUND((AR23-AS23-AT23-AU23-AV23-AW23-AX23),2),"")</f>
        <v>9838.35</v>
      </c>
      <c r="AZ23" s="145" t="s">
        <v>99</v>
      </c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97"/>
      <c r="BR23" s="97"/>
      <c r="BS23" s="97"/>
      <c r="BT23" s="97"/>
      <c r="BU23" s="97"/>
      <c r="BV23" s="97"/>
    </row>
    <row r="24" spans="1:74" ht="15.75" customHeight="1">
      <c r="A24" s="157">
        <v>15</v>
      </c>
      <c r="B24" s="159" t="s">
        <v>252</v>
      </c>
      <c r="C24" s="185">
        <v>46036</v>
      </c>
      <c r="D24" s="138"/>
      <c r="E24" s="171" t="s">
        <v>189</v>
      </c>
      <c r="F24" s="140" t="s">
        <v>114</v>
      </c>
      <c r="G24" s="139" t="s">
        <v>17</v>
      </c>
      <c r="H24" s="186">
        <v>8</v>
      </c>
      <c r="I24" s="142" t="s">
        <v>147</v>
      </c>
      <c r="J24" s="142" t="s">
        <v>174</v>
      </c>
      <c r="K24" s="187"/>
      <c r="L24" s="188"/>
      <c r="M24" s="189">
        <f>IFERROR(VLOOKUP($H24,'[3]CODE 2'!$J:$K,2,FALSE)," ")</f>
        <v>19744</v>
      </c>
      <c r="N24" s="190">
        <f t="shared" si="38"/>
        <v>9872</v>
      </c>
      <c r="O24" s="190">
        <f t="shared" si="39"/>
        <v>897.4545454545455</v>
      </c>
      <c r="P24" s="190">
        <f t="shared" si="40"/>
        <v>112.18181818181819</v>
      </c>
      <c r="Q24" s="190">
        <f t="shared" si="41"/>
        <v>1.8696969696969699</v>
      </c>
      <c r="R24" s="191">
        <v>11</v>
      </c>
      <c r="S24" s="190">
        <f t="shared" si="42"/>
        <v>9872</v>
      </c>
      <c r="T24" s="147">
        <v>0</v>
      </c>
      <c r="U24" s="147">
        <v>0</v>
      </c>
      <c r="V24" s="147">
        <v>5</v>
      </c>
      <c r="W24" s="148">
        <f t="shared" si="20"/>
        <v>0</v>
      </c>
      <c r="X24" s="148">
        <f t="shared" si="21"/>
        <v>0</v>
      </c>
      <c r="Y24" s="148">
        <f t="shared" si="22"/>
        <v>9.35</v>
      </c>
      <c r="Z24" s="149"/>
      <c r="AA24" s="149"/>
      <c r="AB24" s="149"/>
      <c r="AC24" s="192">
        <f t="shared" si="43"/>
        <v>0</v>
      </c>
      <c r="AD24" s="192">
        <f t="shared" si="44"/>
        <v>0</v>
      </c>
      <c r="AE24" s="192">
        <f t="shared" si="45"/>
        <v>0</v>
      </c>
      <c r="AF24" s="193"/>
      <c r="AG24" s="193"/>
      <c r="AH24" s="193"/>
      <c r="AI24" s="194">
        <f t="shared" si="46"/>
        <v>0</v>
      </c>
      <c r="AJ24" s="194">
        <f t="shared" si="47"/>
        <v>0</v>
      </c>
      <c r="AK24" s="194">
        <f t="shared" si="48"/>
        <v>0</v>
      </c>
      <c r="AL24" s="195">
        <f t="shared" si="49"/>
        <v>0</v>
      </c>
      <c r="AM24" s="195">
        <f t="shared" si="50"/>
        <v>0</v>
      </c>
      <c r="AN24" s="195">
        <f t="shared" si="51"/>
        <v>9.35</v>
      </c>
      <c r="AO24" s="190">
        <f t="shared" si="32"/>
        <v>9.35</v>
      </c>
      <c r="AP24" s="155"/>
      <c r="AQ24" s="155"/>
      <c r="AR24" s="190">
        <f t="shared" si="52"/>
        <v>9862.65</v>
      </c>
      <c r="AS24" s="145"/>
      <c r="AT24" s="145"/>
      <c r="AU24" s="155"/>
      <c r="AV24" s="155"/>
      <c r="AW24" s="155"/>
      <c r="AX24" s="155"/>
      <c r="AY24" s="190">
        <f t="shared" si="53"/>
        <v>9862.65</v>
      </c>
      <c r="AZ24" s="145" t="s">
        <v>99</v>
      </c>
      <c r="BA24" s="97"/>
      <c r="BB24" s="97"/>
      <c r="BC24" s="97"/>
      <c r="BD24" s="97"/>
      <c r="BE24" s="97"/>
      <c r="BF24" s="97"/>
      <c r="BG24" s="97"/>
      <c r="BH24" s="97"/>
      <c r="BI24" s="97"/>
      <c r="BJ24" s="97"/>
      <c r="BK24" s="97"/>
      <c r="BL24" s="97"/>
      <c r="BM24" s="97"/>
      <c r="BN24" s="97"/>
      <c r="BO24" s="97"/>
      <c r="BP24" s="97"/>
      <c r="BQ24" s="97"/>
      <c r="BR24" s="97"/>
      <c r="BS24" s="97"/>
      <c r="BT24" s="97"/>
      <c r="BU24" s="97"/>
      <c r="BV24" s="97"/>
    </row>
    <row r="25" spans="1:74" ht="15.75" customHeight="1">
      <c r="A25" s="196"/>
      <c r="B25" s="197"/>
      <c r="C25" s="159"/>
      <c r="D25" s="198"/>
      <c r="E25" s="199"/>
      <c r="F25" s="200"/>
      <c r="G25" s="199"/>
      <c r="H25" s="201"/>
      <c r="I25" s="202"/>
      <c r="J25" s="202"/>
      <c r="K25" s="203"/>
      <c r="L25" s="145"/>
      <c r="M25" s="204"/>
      <c r="N25" s="203"/>
      <c r="O25" s="203"/>
      <c r="P25" s="203"/>
      <c r="Q25" s="203"/>
      <c r="R25" s="191"/>
      <c r="S25" s="203"/>
      <c r="T25" s="205"/>
      <c r="U25" s="205"/>
      <c r="V25" s="205"/>
      <c r="W25" s="148"/>
      <c r="X25" s="148"/>
      <c r="Y25" s="148"/>
      <c r="Z25" s="206"/>
      <c r="AA25" s="206"/>
      <c r="AB25" s="206"/>
      <c r="AC25" s="150"/>
      <c r="AD25" s="150"/>
      <c r="AE25" s="150"/>
      <c r="AF25" s="207"/>
      <c r="AG25" s="208"/>
      <c r="AH25" s="208"/>
      <c r="AI25" s="209"/>
      <c r="AJ25" s="209"/>
      <c r="AK25" s="209"/>
      <c r="AL25" s="210"/>
      <c r="AM25" s="210"/>
      <c r="AN25" s="210"/>
      <c r="AO25" s="145"/>
      <c r="AP25" s="211"/>
      <c r="AQ25" s="211"/>
      <c r="AR25" s="145"/>
      <c r="AS25" s="145"/>
      <c r="AT25" s="145"/>
      <c r="AU25" s="211"/>
      <c r="AV25" s="211"/>
      <c r="AW25" s="211"/>
      <c r="AX25" s="211"/>
      <c r="AY25" s="145"/>
      <c r="AZ25" s="145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</row>
    <row r="26" spans="1:74" ht="15.75" customHeight="1" thickBot="1">
      <c r="A26" s="140"/>
      <c r="B26" s="212"/>
      <c r="C26" s="213"/>
      <c r="D26" s="198"/>
      <c r="E26" s="199"/>
      <c r="F26" s="200"/>
      <c r="G26" s="199"/>
      <c r="H26" s="201"/>
      <c r="I26" s="202"/>
      <c r="J26" s="202"/>
      <c r="K26" s="203"/>
      <c r="L26" s="145"/>
      <c r="M26" s="204"/>
      <c r="N26" s="203"/>
      <c r="O26" s="203"/>
      <c r="P26" s="203"/>
      <c r="Q26" s="203"/>
      <c r="R26" s="191"/>
      <c r="S26" s="203"/>
      <c r="T26" s="205"/>
      <c r="U26" s="205"/>
      <c r="V26" s="205"/>
      <c r="W26" s="148"/>
      <c r="X26" s="148"/>
      <c r="Y26" s="148"/>
      <c r="Z26" s="206"/>
      <c r="AA26" s="206"/>
      <c r="AB26" s="206"/>
      <c r="AC26" s="150"/>
      <c r="AD26" s="150"/>
      <c r="AE26" s="150"/>
      <c r="AF26" s="207"/>
      <c r="AG26" s="207"/>
      <c r="AH26" s="207"/>
      <c r="AI26" s="214"/>
      <c r="AJ26" s="214"/>
      <c r="AK26" s="214"/>
      <c r="AL26" s="210"/>
      <c r="AM26" s="210"/>
      <c r="AN26" s="210"/>
      <c r="AO26" s="145"/>
      <c r="AP26" s="211"/>
      <c r="AQ26" s="211"/>
      <c r="AR26" s="145"/>
      <c r="AS26" s="145"/>
      <c r="AT26" s="145"/>
      <c r="AU26" s="211"/>
      <c r="AV26" s="211"/>
      <c r="AW26" s="211"/>
      <c r="AX26" s="211"/>
      <c r="AY26" s="145"/>
      <c r="AZ26" s="145" t="s">
        <v>161</v>
      </c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97"/>
      <c r="BT26" s="97"/>
      <c r="BU26" s="97"/>
      <c r="BV26" s="97"/>
    </row>
    <row r="27" spans="1:74" ht="15.75" customHeight="1" thickBot="1">
      <c r="A27" s="215" t="s">
        <v>43</v>
      </c>
      <c r="B27" s="216"/>
      <c r="C27" s="217"/>
      <c r="D27" s="218"/>
      <c r="E27" s="219"/>
      <c r="F27" s="220"/>
      <c r="G27" s="219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2"/>
      <c r="S27" s="223">
        <f>SUM(S10:S26)</f>
        <v>160759</v>
      </c>
      <c r="T27" s="224"/>
      <c r="U27" s="224"/>
      <c r="V27" s="224"/>
      <c r="W27" s="225"/>
      <c r="X27" s="225"/>
      <c r="Y27" s="225"/>
      <c r="Z27" s="226"/>
      <c r="AA27" s="226"/>
      <c r="AB27" s="226"/>
      <c r="AC27" s="227"/>
      <c r="AD27" s="227"/>
      <c r="AE27" s="227"/>
      <c r="AF27" s="228"/>
      <c r="AG27" s="228"/>
      <c r="AH27" s="228"/>
      <c r="AI27" s="229"/>
      <c r="AJ27" s="229"/>
      <c r="AK27" s="229"/>
      <c r="AL27" s="223">
        <f t="shared" ref="AL27:AP27" si="54">SUM(AL10:AL26)</f>
        <v>0</v>
      </c>
      <c r="AM27" s="223">
        <f t="shared" si="54"/>
        <v>0</v>
      </c>
      <c r="AN27" s="223">
        <f t="shared" si="54"/>
        <v>177.95999999999998</v>
      </c>
      <c r="AO27" s="223">
        <f t="shared" si="54"/>
        <v>177.95999999999998</v>
      </c>
      <c r="AP27" s="223">
        <f t="shared" si="54"/>
        <v>0</v>
      </c>
      <c r="AQ27" s="230"/>
      <c r="AR27" s="223">
        <f t="shared" ref="AR27:AY27" si="55">SUM(AR10:AR26)</f>
        <v>139370.04</v>
      </c>
      <c r="AS27" s="223">
        <f t="shared" si="55"/>
        <v>0</v>
      </c>
      <c r="AT27" s="223">
        <f t="shared" si="55"/>
        <v>0</v>
      </c>
      <c r="AU27" s="223">
        <f t="shared" si="55"/>
        <v>0</v>
      </c>
      <c r="AV27" s="223">
        <f t="shared" si="55"/>
        <v>0</v>
      </c>
      <c r="AW27" s="223">
        <f t="shared" si="55"/>
        <v>0</v>
      </c>
      <c r="AX27" s="223">
        <f t="shared" si="55"/>
        <v>0</v>
      </c>
      <c r="AY27" s="231">
        <f t="shared" si="55"/>
        <v>139370.04</v>
      </c>
      <c r="AZ27" s="232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3"/>
      <c r="BN27" s="233"/>
      <c r="BO27" s="233"/>
      <c r="BP27" s="233"/>
      <c r="BQ27" s="233"/>
      <c r="BR27" s="233"/>
      <c r="BS27" s="233"/>
      <c r="BT27" s="233"/>
      <c r="BU27" s="233"/>
      <c r="BV27" s="233"/>
    </row>
    <row r="28" spans="1:74" ht="15.75" customHeight="1">
      <c r="B28" s="93"/>
      <c r="C28" s="94"/>
      <c r="D28" s="95"/>
      <c r="F28" s="96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8"/>
      <c r="S28" s="97"/>
      <c r="T28" s="99"/>
      <c r="U28" s="99"/>
      <c r="V28" s="99"/>
      <c r="W28" s="97"/>
      <c r="X28" s="97"/>
      <c r="Y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</row>
    <row r="29" spans="1:74" ht="15.75" customHeight="1">
      <c r="B29" s="93"/>
      <c r="C29" s="94"/>
      <c r="D29" s="95"/>
      <c r="F29" s="96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8"/>
      <c r="S29" s="97"/>
      <c r="T29" s="99"/>
      <c r="U29" s="99"/>
      <c r="V29" s="99"/>
      <c r="W29" s="97"/>
      <c r="X29" s="97"/>
      <c r="Y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  <c r="BV29" s="97"/>
    </row>
    <row r="30" spans="1:74" ht="15.75" customHeight="1">
      <c r="B30" s="93"/>
      <c r="C30" s="94"/>
      <c r="D30" s="95"/>
      <c r="F30" s="96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8"/>
      <c r="S30" s="97"/>
      <c r="T30" s="99"/>
      <c r="U30" s="99"/>
      <c r="V30" s="99"/>
      <c r="W30" s="97"/>
      <c r="X30" s="97"/>
      <c r="Y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7"/>
      <c r="BG30" s="97"/>
      <c r="BH30" s="97"/>
      <c r="BI30" s="97"/>
      <c r="BJ30" s="97"/>
      <c r="BK30" s="97"/>
      <c r="BL30" s="97"/>
      <c r="BM30" s="97"/>
      <c r="BN30" s="97"/>
      <c r="BO30" s="97"/>
      <c r="BP30" s="97"/>
      <c r="BQ30" s="97"/>
      <c r="BR30" s="97"/>
      <c r="BS30" s="97"/>
      <c r="BT30" s="97"/>
      <c r="BU30" s="97"/>
      <c r="BV30" s="97"/>
    </row>
    <row r="31" spans="1:74" ht="50.25" customHeight="1">
      <c r="B31" s="93"/>
      <c r="C31" s="94"/>
      <c r="D31" s="95"/>
      <c r="E31" s="234"/>
      <c r="F31" s="96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8"/>
      <c r="S31" s="97"/>
      <c r="T31" s="99"/>
      <c r="U31" s="99"/>
      <c r="V31" s="99"/>
      <c r="W31" s="97"/>
      <c r="X31" s="97"/>
      <c r="Y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97"/>
    </row>
    <row r="32" spans="1:74" ht="15.75" customHeight="1">
      <c r="B32" s="93"/>
      <c r="C32" s="94"/>
      <c r="D32" s="95"/>
      <c r="F32" s="96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8"/>
      <c r="S32" s="97"/>
      <c r="T32" s="99"/>
      <c r="U32" s="99"/>
      <c r="V32" s="99"/>
      <c r="W32" s="97"/>
      <c r="X32" s="97"/>
      <c r="Y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</row>
    <row r="33" spans="2:74" ht="15.75" customHeight="1">
      <c r="B33" s="93"/>
      <c r="C33" s="94"/>
      <c r="D33" s="95"/>
      <c r="F33" s="96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8"/>
      <c r="S33" s="97"/>
      <c r="T33" s="99"/>
      <c r="U33" s="99"/>
      <c r="V33" s="99"/>
      <c r="W33" s="97"/>
      <c r="X33" s="97"/>
      <c r="Y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7"/>
      <c r="BK33" s="97"/>
      <c r="BL33" s="97"/>
      <c r="BM33" s="97"/>
      <c r="BN33" s="97"/>
      <c r="BO33" s="97"/>
      <c r="BP33" s="97"/>
      <c r="BQ33" s="97"/>
      <c r="BR33" s="97"/>
      <c r="BS33" s="97"/>
      <c r="BT33" s="97"/>
      <c r="BU33" s="97"/>
      <c r="BV33" s="97"/>
    </row>
    <row r="34" spans="2:74" ht="15.75" customHeight="1">
      <c r="B34" s="93"/>
      <c r="C34" s="94"/>
      <c r="D34" s="95"/>
      <c r="F34" s="96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8"/>
      <c r="S34" s="97"/>
      <c r="T34" s="99"/>
      <c r="U34" s="99"/>
      <c r="V34" s="99"/>
      <c r="W34" s="97"/>
      <c r="X34" s="97"/>
      <c r="Y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</row>
    <row r="35" spans="2:74" ht="15.75" customHeight="1">
      <c r="B35" s="93"/>
      <c r="C35" s="94"/>
      <c r="D35" s="95"/>
      <c r="F35" s="96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8"/>
      <c r="S35" s="97"/>
      <c r="T35" s="99"/>
      <c r="U35" s="99"/>
      <c r="V35" s="99"/>
      <c r="W35" s="97"/>
      <c r="X35" s="97"/>
      <c r="Y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</row>
    <row r="36" spans="2:74" ht="15.75" customHeight="1">
      <c r="B36" s="93"/>
      <c r="C36" s="94"/>
      <c r="D36" s="95"/>
      <c r="F36" s="96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8"/>
      <c r="S36" s="97"/>
      <c r="T36" s="99"/>
      <c r="U36" s="99"/>
      <c r="V36" s="99"/>
      <c r="W36" s="97"/>
      <c r="X36" s="97"/>
      <c r="Y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</row>
    <row r="37" spans="2:74" ht="15.75" customHeight="1">
      <c r="B37" s="93"/>
      <c r="C37" s="94"/>
      <c r="D37" s="95"/>
      <c r="F37" s="96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8"/>
      <c r="S37" s="97"/>
      <c r="T37" s="99"/>
      <c r="U37" s="99"/>
      <c r="V37" s="99"/>
      <c r="W37" s="97"/>
      <c r="X37" s="97"/>
      <c r="Y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233"/>
      <c r="AV37" s="233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</row>
    <row r="38" spans="2:74" ht="15.75" customHeight="1">
      <c r="B38" s="93"/>
      <c r="C38" s="94"/>
      <c r="D38" s="95"/>
      <c r="F38" s="96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8"/>
      <c r="S38" s="97"/>
      <c r="T38" s="99"/>
      <c r="U38" s="99"/>
      <c r="V38" s="99"/>
      <c r="W38" s="97"/>
      <c r="X38" s="97"/>
      <c r="Y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</row>
    <row r="39" spans="2:74" ht="15.75" customHeight="1">
      <c r="B39" s="93"/>
      <c r="C39" s="94"/>
      <c r="D39" s="95"/>
      <c r="F39" s="96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8"/>
      <c r="S39" s="97"/>
      <c r="T39" s="99"/>
      <c r="U39" s="99"/>
      <c r="V39" s="99"/>
      <c r="W39" s="97"/>
      <c r="X39" s="97"/>
      <c r="Y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7"/>
      <c r="BT39" s="97"/>
      <c r="BU39" s="97"/>
      <c r="BV39" s="97"/>
    </row>
    <row r="40" spans="2:74" ht="15.75" customHeight="1">
      <c r="B40" s="93"/>
      <c r="C40" s="94"/>
      <c r="D40" s="95"/>
      <c r="F40" s="96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8"/>
      <c r="S40" s="97"/>
      <c r="T40" s="99"/>
      <c r="U40" s="99"/>
      <c r="V40" s="99"/>
      <c r="W40" s="97"/>
      <c r="X40" s="97"/>
      <c r="Y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</row>
    <row r="41" spans="2:74" ht="15.75" customHeight="1">
      <c r="B41" s="93"/>
      <c r="C41" s="94"/>
      <c r="D41" s="95"/>
      <c r="F41" s="96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8"/>
      <c r="S41" s="97"/>
      <c r="T41" s="99"/>
      <c r="U41" s="99"/>
      <c r="V41" s="99"/>
      <c r="W41" s="97"/>
      <c r="X41" s="97"/>
      <c r="Y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97"/>
      <c r="BR41" s="97"/>
      <c r="BS41" s="97"/>
      <c r="BT41" s="97"/>
      <c r="BU41" s="97"/>
      <c r="BV41" s="97"/>
    </row>
    <row r="42" spans="2:74" ht="15.75" customHeight="1">
      <c r="B42" s="93"/>
      <c r="C42" s="94"/>
      <c r="D42" s="95"/>
      <c r="F42" s="96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8"/>
      <c r="S42" s="97"/>
      <c r="T42" s="99"/>
      <c r="U42" s="99"/>
      <c r="V42" s="99"/>
      <c r="W42" s="97"/>
      <c r="X42" s="97"/>
      <c r="Y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/>
      <c r="BU42" s="97"/>
      <c r="BV42" s="97"/>
    </row>
    <row r="43" spans="2:74" ht="15.75" customHeight="1">
      <c r="B43" s="93"/>
      <c r="C43" s="94"/>
      <c r="D43" s="95"/>
      <c r="F43" s="96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8"/>
      <c r="S43" s="97"/>
      <c r="T43" s="99"/>
      <c r="U43" s="99"/>
      <c r="V43" s="99"/>
      <c r="W43" s="97"/>
      <c r="X43" s="97"/>
      <c r="Y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/>
      <c r="BU43" s="97"/>
      <c r="BV43" s="97"/>
    </row>
    <row r="44" spans="2:74" ht="15.75" customHeight="1">
      <c r="B44" s="93"/>
      <c r="C44" s="94"/>
      <c r="D44" s="95"/>
      <c r="F44" s="96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8"/>
      <c r="S44" s="97"/>
      <c r="T44" s="99"/>
      <c r="U44" s="99"/>
      <c r="V44" s="99"/>
      <c r="W44" s="97"/>
      <c r="X44" s="97"/>
      <c r="Y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  <c r="BP44" s="97"/>
      <c r="BQ44" s="97"/>
      <c r="BR44" s="97"/>
      <c r="BS44" s="97"/>
      <c r="BT44" s="97"/>
      <c r="BU44" s="97"/>
      <c r="BV44" s="97"/>
    </row>
    <row r="45" spans="2:74" ht="15.75" customHeight="1">
      <c r="B45" s="93"/>
      <c r="C45" s="94"/>
      <c r="D45" s="95"/>
      <c r="F45" s="96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8"/>
      <c r="S45" s="97"/>
      <c r="T45" s="99"/>
      <c r="U45" s="99"/>
      <c r="V45" s="99"/>
      <c r="W45" s="97"/>
      <c r="X45" s="97"/>
      <c r="Y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97"/>
      <c r="BV45" s="97"/>
    </row>
    <row r="46" spans="2:74" ht="15.75" customHeight="1">
      <c r="B46" s="93"/>
      <c r="C46" s="94"/>
      <c r="D46" s="95"/>
      <c r="F46" s="96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8"/>
      <c r="S46" s="97"/>
      <c r="T46" s="99"/>
      <c r="U46" s="99"/>
      <c r="V46" s="99"/>
      <c r="W46" s="97"/>
      <c r="X46" s="97"/>
      <c r="Y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</row>
    <row r="47" spans="2:74" ht="15.75" customHeight="1">
      <c r="B47" s="93"/>
      <c r="C47" s="94"/>
      <c r="D47" s="95"/>
      <c r="F47" s="96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8"/>
      <c r="S47" s="97"/>
      <c r="T47" s="99"/>
      <c r="U47" s="99"/>
      <c r="V47" s="99"/>
      <c r="W47" s="97"/>
      <c r="X47" s="97"/>
      <c r="Y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97"/>
      <c r="BV47" s="97"/>
    </row>
    <row r="48" spans="2:74" ht="15.75" customHeight="1">
      <c r="B48" s="93"/>
      <c r="C48" s="94"/>
      <c r="D48" s="95"/>
      <c r="F48" s="96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8"/>
      <c r="S48" s="97"/>
      <c r="T48" s="99"/>
      <c r="U48" s="99"/>
      <c r="V48" s="99"/>
      <c r="W48" s="97"/>
      <c r="X48" s="97"/>
      <c r="Y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97"/>
      <c r="BV48" s="97"/>
    </row>
    <row r="49" spans="2:74" ht="15.75" customHeight="1">
      <c r="B49" s="93"/>
      <c r="C49" s="94"/>
      <c r="D49" s="95"/>
      <c r="F49" s="96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8"/>
      <c r="S49" s="97"/>
      <c r="T49" s="99"/>
      <c r="U49" s="99"/>
      <c r="V49" s="99"/>
      <c r="W49" s="97"/>
      <c r="X49" s="97"/>
      <c r="Y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97"/>
      <c r="BV49" s="97"/>
    </row>
    <row r="50" spans="2:74" ht="15.75" customHeight="1">
      <c r="B50" s="93"/>
      <c r="C50" s="94"/>
      <c r="D50" s="95"/>
      <c r="F50" s="96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8"/>
      <c r="S50" s="97"/>
      <c r="T50" s="99"/>
      <c r="U50" s="99"/>
      <c r="V50" s="99"/>
      <c r="W50" s="97"/>
      <c r="X50" s="97"/>
      <c r="Y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  <c r="BR50" s="97"/>
      <c r="BS50" s="97"/>
      <c r="BT50" s="97"/>
      <c r="BU50" s="97"/>
      <c r="BV50" s="97"/>
    </row>
    <row r="51" spans="2:74" ht="15.75" customHeight="1">
      <c r="B51" s="93"/>
      <c r="C51" s="94"/>
      <c r="D51" s="95"/>
      <c r="F51" s="96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8"/>
      <c r="S51" s="97"/>
      <c r="T51" s="99"/>
      <c r="U51" s="99"/>
      <c r="V51" s="99"/>
      <c r="W51" s="97"/>
      <c r="X51" s="97"/>
      <c r="Y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V51" s="97"/>
    </row>
    <row r="52" spans="2:74" ht="15.75" customHeight="1">
      <c r="B52" s="93"/>
      <c r="C52" s="94"/>
      <c r="D52" s="95"/>
      <c r="F52" s="96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8"/>
      <c r="S52" s="97"/>
      <c r="T52" s="99"/>
      <c r="U52" s="99"/>
      <c r="V52" s="99"/>
      <c r="W52" s="97"/>
      <c r="X52" s="97"/>
      <c r="Y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97"/>
      <c r="BV52" s="97"/>
    </row>
    <row r="53" spans="2:74" ht="15.75" customHeight="1">
      <c r="B53" s="93"/>
      <c r="C53" s="94"/>
      <c r="D53" s="95"/>
      <c r="F53" s="96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8"/>
      <c r="S53" s="97"/>
      <c r="T53" s="99"/>
      <c r="U53" s="99"/>
      <c r="V53" s="99"/>
      <c r="W53" s="97"/>
      <c r="X53" s="97"/>
      <c r="Y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97"/>
      <c r="BV53" s="97"/>
    </row>
    <row r="54" spans="2:74" ht="15.75" customHeight="1">
      <c r="B54" s="93"/>
      <c r="C54" s="94"/>
      <c r="D54" s="95"/>
      <c r="F54" s="96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8"/>
      <c r="S54" s="97"/>
      <c r="T54" s="99"/>
      <c r="U54" s="99"/>
      <c r="V54" s="99"/>
      <c r="W54" s="97"/>
      <c r="X54" s="97"/>
      <c r="Y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  <c r="BS54" s="97"/>
      <c r="BT54" s="97"/>
      <c r="BU54" s="97"/>
      <c r="BV54" s="97"/>
    </row>
    <row r="55" spans="2:74" ht="15.75" customHeight="1">
      <c r="B55" s="93"/>
      <c r="C55" s="94"/>
      <c r="D55" s="95"/>
      <c r="F55" s="96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8"/>
      <c r="S55" s="97"/>
      <c r="T55" s="99"/>
      <c r="U55" s="99"/>
      <c r="V55" s="99"/>
      <c r="W55" s="97"/>
      <c r="X55" s="97"/>
      <c r="Y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  <c r="BP55" s="97"/>
      <c r="BQ55" s="97"/>
      <c r="BR55" s="97"/>
      <c r="BS55" s="97"/>
      <c r="BT55" s="97"/>
      <c r="BU55" s="97"/>
      <c r="BV55" s="97"/>
    </row>
    <row r="56" spans="2:74" ht="15.75" customHeight="1">
      <c r="B56" s="93"/>
      <c r="C56" s="94"/>
      <c r="D56" s="95"/>
      <c r="F56" s="96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8"/>
      <c r="S56" s="97"/>
      <c r="T56" s="99"/>
      <c r="U56" s="99"/>
      <c r="V56" s="99"/>
      <c r="W56" s="97"/>
      <c r="X56" s="97"/>
      <c r="Y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97"/>
      <c r="BV56" s="97"/>
    </row>
    <row r="57" spans="2:74" ht="15.75" customHeight="1">
      <c r="B57" s="93"/>
      <c r="C57" s="94"/>
      <c r="D57" s="95"/>
      <c r="F57" s="96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8"/>
      <c r="S57" s="97"/>
      <c r="T57" s="99"/>
      <c r="U57" s="99"/>
      <c r="V57" s="99"/>
      <c r="W57" s="97"/>
      <c r="X57" s="97"/>
      <c r="Y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  <c r="BP57" s="97"/>
      <c r="BQ57" s="97"/>
      <c r="BR57" s="97"/>
      <c r="BS57" s="97"/>
      <c r="BT57" s="97"/>
      <c r="BU57" s="97"/>
      <c r="BV57" s="97"/>
    </row>
    <row r="58" spans="2:74" ht="15.75" customHeight="1">
      <c r="B58" s="93"/>
      <c r="C58" s="94"/>
      <c r="D58" s="95"/>
      <c r="F58" s="96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8"/>
      <c r="S58" s="97"/>
      <c r="T58" s="99"/>
      <c r="U58" s="99"/>
      <c r="V58" s="99"/>
      <c r="W58" s="97"/>
      <c r="X58" s="97"/>
      <c r="Y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  <c r="BP58" s="97"/>
      <c r="BQ58" s="97"/>
      <c r="BR58" s="97"/>
      <c r="BS58" s="97"/>
      <c r="BT58" s="97"/>
      <c r="BU58" s="97"/>
      <c r="BV58" s="97"/>
    </row>
    <row r="59" spans="2:74" ht="15.75" customHeight="1">
      <c r="B59" s="93"/>
      <c r="C59" s="94"/>
      <c r="D59" s="95"/>
      <c r="F59" s="96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8"/>
      <c r="S59" s="97"/>
      <c r="T59" s="99"/>
      <c r="U59" s="99"/>
      <c r="V59" s="99"/>
      <c r="W59" s="97"/>
      <c r="X59" s="97"/>
      <c r="Y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  <c r="BP59" s="97"/>
      <c r="BQ59" s="97"/>
      <c r="BR59" s="97"/>
      <c r="BS59" s="97"/>
      <c r="BT59" s="97"/>
      <c r="BU59" s="97"/>
      <c r="BV59" s="97"/>
    </row>
    <row r="60" spans="2:74" ht="15.75" customHeight="1">
      <c r="B60" s="93"/>
      <c r="C60" s="94"/>
      <c r="D60" s="95"/>
      <c r="F60" s="96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8"/>
      <c r="S60" s="97"/>
      <c r="T60" s="99"/>
      <c r="U60" s="99"/>
      <c r="V60" s="99"/>
      <c r="W60" s="97"/>
      <c r="X60" s="97"/>
      <c r="Y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  <c r="BP60" s="97"/>
      <c r="BQ60" s="97"/>
      <c r="BR60" s="97"/>
      <c r="BS60" s="97"/>
      <c r="BT60" s="97"/>
      <c r="BU60" s="97"/>
      <c r="BV60" s="97"/>
    </row>
    <row r="61" spans="2:74" ht="15.75" customHeight="1">
      <c r="B61" s="93"/>
      <c r="C61" s="94"/>
      <c r="D61" s="95"/>
      <c r="F61" s="96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8"/>
      <c r="S61" s="97"/>
      <c r="T61" s="99"/>
      <c r="U61" s="99"/>
      <c r="V61" s="99"/>
      <c r="W61" s="97"/>
      <c r="X61" s="97"/>
      <c r="Y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  <c r="BP61" s="97"/>
      <c r="BQ61" s="97"/>
      <c r="BR61" s="97"/>
      <c r="BS61" s="97"/>
      <c r="BT61" s="97"/>
      <c r="BU61" s="97"/>
      <c r="BV61" s="97"/>
    </row>
    <row r="62" spans="2:74" ht="15.75" customHeight="1">
      <c r="B62" s="93"/>
      <c r="C62" s="94"/>
      <c r="D62" s="95"/>
      <c r="F62" s="96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8"/>
      <c r="S62" s="97"/>
      <c r="T62" s="99"/>
      <c r="U62" s="99"/>
      <c r="V62" s="99"/>
      <c r="W62" s="97"/>
      <c r="X62" s="97"/>
      <c r="Y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  <c r="BP62" s="97"/>
      <c r="BQ62" s="97"/>
      <c r="BR62" s="97"/>
      <c r="BS62" s="97"/>
      <c r="BT62" s="97"/>
      <c r="BU62" s="97"/>
      <c r="BV62" s="97"/>
    </row>
    <row r="63" spans="2:74" ht="15.75" customHeight="1">
      <c r="B63" s="93"/>
      <c r="C63" s="94"/>
      <c r="D63" s="95"/>
      <c r="F63" s="96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8"/>
      <c r="S63" s="97"/>
      <c r="T63" s="99"/>
      <c r="U63" s="99"/>
      <c r="V63" s="99"/>
      <c r="W63" s="97"/>
      <c r="X63" s="97"/>
      <c r="Y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  <c r="BP63" s="97"/>
      <c r="BQ63" s="97"/>
      <c r="BR63" s="97"/>
      <c r="BS63" s="97"/>
      <c r="BT63" s="97"/>
      <c r="BU63" s="97"/>
      <c r="BV63" s="97"/>
    </row>
    <row r="64" spans="2:74" ht="15.75" customHeight="1">
      <c r="B64" s="93"/>
      <c r="C64" s="94"/>
      <c r="D64" s="95"/>
      <c r="F64" s="96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8"/>
      <c r="S64" s="97"/>
      <c r="T64" s="99"/>
      <c r="U64" s="99"/>
      <c r="V64" s="99"/>
      <c r="W64" s="97"/>
      <c r="X64" s="97"/>
      <c r="Y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  <c r="BP64" s="97"/>
      <c r="BQ64" s="97"/>
      <c r="BR64" s="97"/>
      <c r="BS64" s="97"/>
      <c r="BT64" s="97"/>
      <c r="BU64" s="97"/>
      <c r="BV64" s="97"/>
    </row>
    <row r="65" spans="2:74" ht="15.75" customHeight="1">
      <c r="B65" s="93"/>
      <c r="C65" s="94"/>
      <c r="D65" s="95"/>
      <c r="F65" s="96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8"/>
      <c r="S65" s="97"/>
      <c r="T65" s="99"/>
      <c r="U65" s="99"/>
      <c r="V65" s="99"/>
      <c r="W65" s="97"/>
      <c r="X65" s="97"/>
      <c r="Y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  <c r="BP65" s="97"/>
      <c r="BQ65" s="97"/>
      <c r="BR65" s="97"/>
      <c r="BS65" s="97"/>
      <c r="BT65" s="97"/>
      <c r="BU65" s="97"/>
      <c r="BV65" s="97"/>
    </row>
    <row r="66" spans="2:74" ht="15.75" customHeight="1">
      <c r="B66" s="93"/>
      <c r="C66" s="94"/>
      <c r="D66" s="95"/>
      <c r="F66" s="96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8"/>
      <c r="S66" s="97"/>
      <c r="T66" s="99"/>
      <c r="U66" s="99"/>
      <c r="V66" s="99"/>
      <c r="W66" s="97"/>
      <c r="X66" s="97"/>
      <c r="Y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  <c r="BP66" s="97"/>
      <c r="BQ66" s="97"/>
      <c r="BR66" s="97"/>
      <c r="BS66" s="97"/>
      <c r="BT66" s="97"/>
      <c r="BU66" s="97"/>
      <c r="BV66" s="97"/>
    </row>
    <row r="67" spans="2:74" ht="15.75" customHeight="1">
      <c r="B67" s="93"/>
      <c r="C67" s="94"/>
      <c r="D67" s="95"/>
      <c r="F67" s="96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8"/>
      <c r="S67" s="97"/>
      <c r="T67" s="99"/>
      <c r="U67" s="99"/>
      <c r="V67" s="99"/>
      <c r="W67" s="97"/>
      <c r="X67" s="97"/>
      <c r="Y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  <c r="BP67" s="97"/>
      <c r="BQ67" s="97"/>
      <c r="BR67" s="97"/>
      <c r="BS67" s="97"/>
      <c r="BT67" s="97"/>
      <c r="BU67" s="97"/>
      <c r="BV67" s="97"/>
    </row>
    <row r="68" spans="2:74" ht="15.75" customHeight="1">
      <c r="B68" s="93"/>
      <c r="C68" s="94"/>
      <c r="D68" s="95"/>
      <c r="F68" s="96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8"/>
      <c r="S68" s="97"/>
      <c r="T68" s="99"/>
      <c r="U68" s="99"/>
      <c r="V68" s="99"/>
      <c r="W68" s="97"/>
      <c r="X68" s="97"/>
      <c r="Y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  <c r="BP68" s="97"/>
      <c r="BQ68" s="97"/>
      <c r="BR68" s="97"/>
      <c r="BS68" s="97"/>
      <c r="BT68" s="97"/>
      <c r="BU68" s="97"/>
      <c r="BV68" s="97"/>
    </row>
    <row r="69" spans="2:74" ht="15.75" customHeight="1">
      <c r="B69" s="93"/>
      <c r="C69" s="94"/>
      <c r="D69" s="95"/>
      <c r="F69" s="96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8"/>
      <c r="S69" s="97"/>
      <c r="T69" s="99"/>
      <c r="U69" s="99"/>
      <c r="V69" s="99"/>
      <c r="W69" s="97"/>
      <c r="X69" s="97"/>
      <c r="Y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  <c r="BP69" s="97"/>
      <c r="BQ69" s="97"/>
      <c r="BR69" s="97"/>
      <c r="BS69" s="97"/>
      <c r="BT69" s="97"/>
      <c r="BU69" s="97"/>
      <c r="BV69" s="97"/>
    </row>
    <row r="70" spans="2:74" ht="15.75" customHeight="1">
      <c r="B70" s="93"/>
      <c r="C70" s="94"/>
      <c r="D70" s="95"/>
      <c r="F70" s="96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8"/>
      <c r="S70" s="97"/>
      <c r="T70" s="99"/>
      <c r="U70" s="99"/>
      <c r="V70" s="99"/>
      <c r="W70" s="97"/>
      <c r="X70" s="97"/>
      <c r="Y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  <c r="AN70" s="97"/>
      <c r="AO70" s="97"/>
      <c r="AP70" s="97"/>
      <c r="AQ70" s="97"/>
      <c r="AR70" s="97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  <c r="BP70" s="97"/>
      <c r="BQ70" s="97"/>
      <c r="BR70" s="97"/>
      <c r="BS70" s="97"/>
      <c r="BT70" s="97"/>
      <c r="BU70" s="97"/>
      <c r="BV70" s="97"/>
    </row>
    <row r="71" spans="2:74" ht="15.75" customHeight="1">
      <c r="B71" s="93"/>
      <c r="C71" s="94"/>
      <c r="D71" s="95"/>
      <c r="F71" s="96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8"/>
      <c r="S71" s="97"/>
      <c r="T71" s="99"/>
      <c r="U71" s="99"/>
      <c r="V71" s="99"/>
      <c r="W71" s="97"/>
      <c r="X71" s="97"/>
      <c r="Y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/>
      <c r="AP71" s="97"/>
      <c r="AQ71" s="97"/>
      <c r="AR71" s="97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  <c r="BP71" s="97"/>
      <c r="BQ71" s="97"/>
      <c r="BR71" s="97"/>
      <c r="BS71" s="97"/>
      <c r="BT71" s="97"/>
      <c r="BU71" s="97"/>
      <c r="BV71" s="97"/>
    </row>
    <row r="72" spans="2:74" ht="15.75" customHeight="1">
      <c r="B72" s="93"/>
      <c r="C72" s="94"/>
      <c r="D72" s="95"/>
      <c r="F72" s="96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8"/>
      <c r="S72" s="97"/>
      <c r="T72" s="99"/>
      <c r="U72" s="99"/>
      <c r="V72" s="99"/>
      <c r="W72" s="97"/>
      <c r="X72" s="97"/>
      <c r="Y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7"/>
      <c r="AN72" s="97"/>
      <c r="AO72" s="97"/>
      <c r="AP72" s="97"/>
      <c r="AQ72" s="97"/>
      <c r="AR72" s="97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  <c r="BP72" s="97"/>
      <c r="BQ72" s="97"/>
      <c r="BR72" s="97"/>
      <c r="BS72" s="97"/>
      <c r="BT72" s="97"/>
      <c r="BU72" s="97"/>
      <c r="BV72" s="97"/>
    </row>
    <row r="73" spans="2:74" ht="15.75" customHeight="1">
      <c r="B73" s="93"/>
      <c r="C73" s="94"/>
      <c r="D73" s="95"/>
      <c r="F73" s="96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8"/>
      <c r="S73" s="97"/>
      <c r="T73" s="99"/>
      <c r="U73" s="99"/>
      <c r="V73" s="99"/>
      <c r="W73" s="97"/>
      <c r="X73" s="97"/>
      <c r="Y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  <c r="BP73" s="97"/>
      <c r="BQ73" s="97"/>
      <c r="BR73" s="97"/>
      <c r="BS73" s="97"/>
      <c r="BT73" s="97"/>
      <c r="BU73" s="97"/>
      <c r="BV73" s="97"/>
    </row>
    <row r="74" spans="2:74" ht="15.75" customHeight="1">
      <c r="B74" s="93"/>
      <c r="C74" s="94"/>
      <c r="D74" s="95"/>
      <c r="F74" s="96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8"/>
      <c r="S74" s="97"/>
      <c r="T74" s="99"/>
      <c r="U74" s="99"/>
      <c r="V74" s="99"/>
      <c r="W74" s="97"/>
      <c r="X74" s="97"/>
      <c r="Y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  <c r="BP74" s="97"/>
      <c r="BQ74" s="97"/>
      <c r="BR74" s="97"/>
      <c r="BS74" s="97"/>
      <c r="BT74" s="97"/>
      <c r="BU74" s="97"/>
      <c r="BV74" s="97"/>
    </row>
    <row r="75" spans="2:74" ht="15.75" customHeight="1">
      <c r="B75" s="93"/>
      <c r="C75" s="94"/>
      <c r="D75" s="95"/>
      <c r="F75" s="96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8"/>
      <c r="S75" s="97"/>
      <c r="T75" s="99"/>
      <c r="U75" s="99"/>
      <c r="V75" s="99"/>
      <c r="W75" s="97"/>
      <c r="X75" s="97"/>
      <c r="Y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  <c r="BP75" s="97"/>
      <c r="BQ75" s="97"/>
      <c r="BR75" s="97"/>
      <c r="BS75" s="97"/>
      <c r="BT75" s="97"/>
      <c r="BU75" s="97"/>
      <c r="BV75" s="97"/>
    </row>
    <row r="76" spans="2:74" ht="15.75" customHeight="1">
      <c r="B76" s="93"/>
      <c r="C76" s="94"/>
      <c r="D76" s="95"/>
      <c r="F76" s="96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8"/>
      <c r="S76" s="97"/>
      <c r="T76" s="99"/>
      <c r="U76" s="99"/>
      <c r="V76" s="99"/>
      <c r="W76" s="97"/>
      <c r="X76" s="97"/>
      <c r="Y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  <c r="BP76" s="97"/>
      <c r="BQ76" s="97"/>
      <c r="BR76" s="97"/>
      <c r="BS76" s="97"/>
      <c r="BT76" s="97"/>
      <c r="BU76" s="97"/>
      <c r="BV76" s="97"/>
    </row>
    <row r="77" spans="2:74" ht="15.75" customHeight="1">
      <c r="B77" s="93"/>
      <c r="C77" s="94"/>
      <c r="D77" s="95"/>
      <c r="F77" s="96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8"/>
      <c r="S77" s="97"/>
      <c r="T77" s="99"/>
      <c r="U77" s="99"/>
      <c r="V77" s="99"/>
      <c r="W77" s="97"/>
      <c r="X77" s="97"/>
      <c r="Y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  <c r="BP77" s="97"/>
      <c r="BQ77" s="97"/>
      <c r="BR77" s="97"/>
      <c r="BS77" s="97"/>
      <c r="BT77" s="97"/>
      <c r="BU77" s="97"/>
      <c r="BV77" s="97"/>
    </row>
    <row r="78" spans="2:74" ht="15.75" customHeight="1">
      <c r="B78" s="93"/>
      <c r="C78" s="94"/>
      <c r="D78" s="95"/>
      <c r="F78" s="96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8"/>
      <c r="S78" s="97"/>
      <c r="T78" s="99"/>
      <c r="U78" s="99"/>
      <c r="V78" s="99"/>
      <c r="W78" s="97"/>
      <c r="X78" s="97"/>
      <c r="Y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  <c r="BP78" s="97"/>
      <c r="BQ78" s="97"/>
      <c r="BR78" s="97"/>
      <c r="BS78" s="97"/>
      <c r="BT78" s="97"/>
      <c r="BU78" s="97"/>
      <c r="BV78" s="97"/>
    </row>
    <row r="79" spans="2:74" ht="15.75" customHeight="1">
      <c r="B79" s="93"/>
      <c r="C79" s="94"/>
      <c r="D79" s="95"/>
      <c r="F79" s="96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8"/>
      <c r="S79" s="97"/>
      <c r="T79" s="99"/>
      <c r="U79" s="99"/>
      <c r="V79" s="99"/>
      <c r="W79" s="97"/>
      <c r="X79" s="97"/>
      <c r="Y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  <c r="BP79" s="97"/>
      <c r="BQ79" s="97"/>
      <c r="BR79" s="97"/>
      <c r="BS79" s="97"/>
      <c r="BT79" s="97"/>
      <c r="BU79" s="97"/>
      <c r="BV79" s="97"/>
    </row>
    <row r="80" spans="2:74" ht="15.75" customHeight="1">
      <c r="B80" s="93"/>
      <c r="C80" s="94"/>
      <c r="D80" s="95"/>
      <c r="F80" s="96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8"/>
      <c r="S80" s="97"/>
      <c r="T80" s="99"/>
      <c r="U80" s="99"/>
      <c r="V80" s="99"/>
      <c r="W80" s="97"/>
      <c r="X80" s="97"/>
      <c r="Y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97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  <c r="BP80" s="97"/>
      <c r="BQ80" s="97"/>
      <c r="BR80" s="97"/>
      <c r="BS80" s="97"/>
      <c r="BT80" s="97"/>
      <c r="BU80" s="97"/>
      <c r="BV80" s="97"/>
    </row>
    <row r="81" spans="2:74" ht="15.75" customHeight="1">
      <c r="B81" s="93"/>
      <c r="C81" s="94"/>
      <c r="D81" s="95"/>
      <c r="F81" s="96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8"/>
      <c r="S81" s="97"/>
      <c r="T81" s="99"/>
      <c r="U81" s="99"/>
      <c r="V81" s="99"/>
      <c r="W81" s="97"/>
      <c r="X81" s="97"/>
      <c r="Y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N81" s="97"/>
      <c r="AO81" s="97"/>
      <c r="AP81" s="97"/>
      <c r="AQ81" s="97"/>
      <c r="AR81" s="97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  <c r="BP81" s="97"/>
      <c r="BQ81" s="97"/>
      <c r="BR81" s="97"/>
      <c r="BS81" s="97"/>
      <c r="BT81" s="97"/>
      <c r="BU81" s="97"/>
      <c r="BV81" s="97"/>
    </row>
    <row r="82" spans="2:74" ht="15.75" customHeight="1">
      <c r="B82" s="93"/>
      <c r="C82" s="94"/>
      <c r="D82" s="95"/>
      <c r="F82" s="96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8"/>
      <c r="S82" s="97"/>
      <c r="T82" s="99"/>
      <c r="U82" s="99"/>
      <c r="V82" s="99"/>
      <c r="W82" s="97"/>
      <c r="X82" s="97"/>
      <c r="Y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  <c r="BP82" s="97"/>
      <c r="BQ82" s="97"/>
      <c r="BR82" s="97"/>
      <c r="BS82" s="97"/>
      <c r="BT82" s="97"/>
      <c r="BU82" s="97"/>
      <c r="BV82" s="97"/>
    </row>
    <row r="83" spans="2:74" ht="15.75" customHeight="1">
      <c r="B83" s="93"/>
      <c r="C83" s="94"/>
      <c r="D83" s="95"/>
      <c r="F83" s="96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8"/>
      <c r="S83" s="97"/>
      <c r="T83" s="99"/>
      <c r="U83" s="99"/>
      <c r="V83" s="99"/>
      <c r="W83" s="97"/>
      <c r="X83" s="97"/>
      <c r="Y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  <c r="BP83" s="97"/>
      <c r="BQ83" s="97"/>
      <c r="BR83" s="97"/>
      <c r="BS83" s="97"/>
      <c r="BT83" s="97"/>
      <c r="BU83" s="97"/>
      <c r="BV83" s="97"/>
    </row>
    <row r="84" spans="2:74" ht="15.75" customHeight="1">
      <c r="B84" s="93"/>
      <c r="C84" s="94"/>
      <c r="D84" s="95"/>
      <c r="F84" s="96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8"/>
      <c r="S84" s="97"/>
      <c r="T84" s="99"/>
      <c r="U84" s="99"/>
      <c r="V84" s="99"/>
      <c r="W84" s="97"/>
      <c r="X84" s="97"/>
      <c r="Y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  <c r="BP84" s="97"/>
      <c r="BQ84" s="97"/>
      <c r="BR84" s="97"/>
      <c r="BS84" s="97"/>
      <c r="BT84" s="97"/>
      <c r="BU84" s="97"/>
      <c r="BV84" s="97"/>
    </row>
    <row r="85" spans="2:74" ht="15.75" customHeight="1">
      <c r="B85" s="93"/>
      <c r="C85" s="94"/>
      <c r="D85" s="95"/>
      <c r="F85" s="96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8"/>
      <c r="S85" s="97"/>
      <c r="T85" s="99"/>
      <c r="U85" s="99"/>
      <c r="V85" s="99"/>
      <c r="W85" s="97"/>
      <c r="X85" s="97"/>
      <c r="Y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  <c r="BP85" s="97"/>
      <c r="BQ85" s="97"/>
      <c r="BR85" s="97"/>
      <c r="BS85" s="97"/>
      <c r="BT85" s="97"/>
      <c r="BU85" s="97"/>
      <c r="BV85" s="97"/>
    </row>
    <row r="86" spans="2:74" ht="15.75" customHeight="1">
      <c r="B86" s="93"/>
      <c r="C86" s="94"/>
      <c r="D86" s="95"/>
      <c r="F86" s="96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8"/>
      <c r="S86" s="97"/>
      <c r="T86" s="99"/>
      <c r="U86" s="99"/>
      <c r="V86" s="99"/>
      <c r="W86" s="97"/>
      <c r="X86" s="97"/>
      <c r="Y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  <c r="BP86" s="97"/>
      <c r="BQ86" s="97"/>
      <c r="BR86" s="97"/>
      <c r="BS86" s="97"/>
      <c r="BT86" s="97"/>
      <c r="BU86" s="97"/>
      <c r="BV86" s="97"/>
    </row>
    <row r="87" spans="2:74" ht="15.75" customHeight="1">
      <c r="B87" s="93"/>
      <c r="C87" s="94"/>
      <c r="D87" s="95"/>
      <c r="F87" s="96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8"/>
      <c r="S87" s="97"/>
      <c r="T87" s="99"/>
      <c r="U87" s="99"/>
      <c r="V87" s="99"/>
      <c r="W87" s="97"/>
      <c r="X87" s="97"/>
      <c r="Y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  <c r="AN87" s="97"/>
      <c r="AO87" s="97"/>
      <c r="AP87" s="97"/>
      <c r="AQ87" s="97"/>
      <c r="AR87" s="97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  <c r="BP87" s="97"/>
      <c r="BQ87" s="97"/>
      <c r="BR87" s="97"/>
      <c r="BS87" s="97"/>
      <c r="BT87" s="97"/>
      <c r="BU87" s="97"/>
      <c r="BV87" s="97"/>
    </row>
    <row r="88" spans="2:74" ht="15.75" customHeight="1">
      <c r="B88" s="93"/>
      <c r="C88" s="94"/>
      <c r="D88" s="95"/>
      <c r="F88" s="96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8"/>
      <c r="S88" s="97"/>
      <c r="T88" s="99"/>
      <c r="U88" s="99"/>
      <c r="V88" s="99"/>
      <c r="W88" s="97"/>
      <c r="X88" s="97"/>
      <c r="Y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  <c r="BP88" s="97"/>
      <c r="BQ88" s="97"/>
      <c r="BR88" s="97"/>
      <c r="BS88" s="97"/>
      <c r="BT88" s="97"/>
      <c r="BU88" s="97"/>
      <c r="BV88" s="97"/>
    </row>
    <row r="89" spans="2:74" ht="15.75" customHeight="1">
      <c r="B89" s="93"/>
      <c r="C89" s="94"/>
      <c r="D89" s="95"/>
      <c r="F89" s="96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8"/>
      <c r="S89" s="97"/>
      <c r="T89" s="99"/>
      <c r="U89" s="99"/>
      <c r="V89" s="99"/>
      <c r="W89" s="97"/>
      <c r="X89" s="97"/>
      <c r="Y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  <c r="BP89" s="97"/>
      <c r="BQ89" s="97"/>
      <c r="BR89" s="97"/>
      <c r="BS89" s="97"/>
      <c r="BT89" s="97"/>
      <c r="BU89" s="97"/>
      <c r="BV89" s="97"/>
    </row>
    <row r="90" spans="2:74" ht="15.75" customHeight="1">
      <c r="B90" s="93"/>
      <c r="C90" s="94"/>
      <c r="D90" s="95"/>
      <c r="F90" s="96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8"/>
      <c r="S90" s="97"/>
      <c r="T90" s="99"/>
      <c r="U90" s="99"/>
      <c r="V90" s="99"/>
      <c r="W90" s="97"/>
      <c r="X90" s="97"/>
      <c r="Y90" s="97"/>
      <c r="AC90" s="97"/>
      <c r="AD90" s="97"/>
      <c r="AE90" s="97"/>
      <c r="AF90" s="97"/>
      <c r="AG90" s="97"/>
      <c r="AH90" s="97"/>
      <c r="AI90" s="97"/>
      <c r="AJ90" s="97"/>
      <c r="AK90" s="97"/>
      <c r="AL90" s="97"/>
      <c r="AM90" s="97"/>
      <c r="AN90" s="97"/>
      <c r="AO90" s="97"/>
      <c r="AP90" s="97"/>
      <c r="AQ90" s="97"/>
      <c r="AR90" s="97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  <c r="BP90" s="97"/>
      <c r="BQ90" s="97"/>
      <c r="BR90" s="97"/>
      <c r="BS90" s="97"/>
      <c r="BT90" s="97"/>
      <c r="BU90" s="97"/>
      <c r="BV90" s="97"/>
    </row>
    <row r="91" spans="2:74" ht="15.75" customHeight="1">
      <c r="B91" s="93"/>
      <c r="C91" s="94"/>
      <c r="D91" s="95"/>
      <c r="F91" s="96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8"/>
      <c r="S91" s="97"/>
      <c r="T91" s="99"/>
      <c r="U91" s="99"/>
      <c r="V91" s="99"/>
      <c r="W91" s="97"/>
      <c r="X91" s="97"/>
      <c r="Y91" s="97"/>
      <c r="AC91" s="97"/>
      <c r="AD91" s="97"/>
      <c r="AE91" s="97"/>
      <c r="AF91" s="97"/>
      <c r="AG91" s="97"/>
      <c r="AH91" s="97"/>
      <c r="AI91" s="97"/>
      <c r="AJ91" s="97"/>
      <c r="AK91" s="97"/>
      <c r="AL91" s="97"/>
      <c r="AM91" s="97"/>
      <c r="AN91" s="97"/>
      <c r="AO91" s="97"/>
      <c r="AP91" s="97"/>
      <c r="AQ91" s="97"/>
      <c r="AR91" s="97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  <c r="BP91" s="97"/>
      <c r="BQ91" s="97"/>
      <c r="BR91" s="97"/>
      <c r="BS91" s="97"/>
      <c r="BT91" s="97"/>
      <c r="BU91" s="97"/>
      <c r="BV91" s="97"/>
    </row>
    <row r="92" spans="2:74" ht="15.75" customHeight="1">
      <c r="B92" s="93"/>
      <c r="C92" s="94"/>
      <c r="D92" s="95"/>
      <c r="F92" s="96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8"/>
      <c r="S92" s="97"/>
      <c r="T92" s="99"/>
      <c r="U92" s="99"/>
      <c r="V92" s="99"/>
      <c r="W92" s="97"/>
      <c r="X92" s="97"/>
      <c r="Y92" s="97"/>
      <c r="AC92" s="97"/>
      <c r="AD92" s="97"/>
      <c r="AE92" s="97"/>
      <c r="AF92" s="97"/>
      <c r="AG92" s="97"/>
      <c r="AH92" s="97"/>
      <c r="AI92" s="97"/>
      <c r="AJ92" s="97"/>
      <c r="AK92" s="97"/>
      <c r="AL92" s="97"/>
      <c r="AM92" s="97"/>
      <c r="AN92" s="97"/>
      <c r="AO92" s="97"/>
      <c r="AP92" s="97"/>
      <c r="AQ92" s="97"/>
      <c r="AR92" s="97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  <c r="BP92" s="97"/>
      <c r="BQ92" s="97"/>
      <c r="BR92" s="97"/>
      <c r="BS92" s="97"/>
      <c r="BT92" s="97"/>
      <c r="BU92" s="97"/>
      <c r="BV92" s="97"/>
    </row>
    <row r="93" spans="2:74" ht="15.75" customHeight="1">
      <c r="B93" s="93"/>
      <c r="C93" s="94"/>
      <c r="D93" s="95"/>
      <c r="F93" s="96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8"/>
      <c r="S93" s="97"/>
      <c r="T93" s="99"/>
      <c r="U93" s="99"/>
      <c r="V93" s="99"/>
      <c r="W93" s="97"/>
      <c r="X93" s="97"/>
      <c r="Y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97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  <c r="BP93" s="97"/>
      <c r="BQ93" s="97"/>
      <c r="BR93" s="97"/>
      <c r="BS93" s="97"/>
      <c r="BT93" s="97"/>
      <c r="BU93" s="97"/>
      <c r="BV93" s="97"/>
    </row>
    <row r="94" spans="2:74" ht="15.75" customHeight="1">
      <c r="B94" s="93"/>
      <c r="C94" s="94"/>
      <c r="D94" s="95"/>
      <c r="F94" s="96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8"/>
      <c r="S94" s="97"/>
      <c r="T94" s="99"/>
      <c r="U94" s="99"/>
      <c r="V94" s="99"/>
      <c r="W94" s="97"/>
      <c r="X94" s="97"/>
      <c r="Y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  <c r="BP94" s="97"/>
      <c r="BQ94" s="97"/>
      <c r="BR94" s="97"/>
      <c r="BS94" s="97"/>
      <c r="BT94" s="97"/>
      <c r="BU94" s="97"/>
      <c r="BV94" s="97"/>
    </row>
    <row r="95" spans="2:74" ht="15.75" customHeight="1">
      <c r="B95" s="93"/>
      <c r="C95" s="94"/>
      <c r="D95" s="95"/>
      <c r="F95" s="96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8"/>
      <c r="S95" s="97"/>
      <c r="T95" s="99"/>
      <c r="U95" s="99"/>
      <c r="V95" s="99"/>
      <c r="W95" s="97"/>
      <c r="X95" s="97"/>
      <c r="Y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  <c r="AM95" s="97"/>
      <c r="AN95" s="97"/>
      <c r="AO95" s="97"/>
      <c r="AP95" s="97"/>
      <c r="AQ95" s="97"/>
      <c r="AR95" s="97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  <c r="BP95" s="97"/>
      <c r="BQ95" s="97"/>
      <c r="BR95" s="97"/>
      <c r="BS95" s="97"/>
      <c r="BT95" s="97"/>
      <c r="BU95" s="97"/>
      <c r="BV95" s="97"/>
    </row>
    <row r="96" spans="2:74" ht="15.75" customHeight="1">
      <c r="B96" s="93"/>
      <c r="C96" s="94"/>
      <c r="D96" s="95"/>
      <c r="F96" s="96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8"/>
      <c r="S96" s="97"/>
      <c r="T96" s="99"/>
      <c r="U96" s="99"/>
      <c r="V96" s="99"/>
      <c r="W96" s="97"/>
      <c r="X96" s="97"/>
      <c r="Y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  <c r="AO96" s="97"/>
      <c r="AP96" s="97"/>
      <c r="AQ96" s="97"/>
      <c r="AR96" s="97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  <c r="BP96" s="97"/>
      <c r="BQ96" s="97"/>
      <c r="BR96" s="97"/>
      <c r="BS96" s="97"/>
      <c r="BT96" s="97"/>
      <c r="BU96" s="97"/>
      <c r="BV96" s="97"/>
    </row>
    <row r="97" spans="2:74" ht="15.75" customHeight="1">
      <c r="B97" s="93"/>
      <c r="C97" s="94"/>
      <c r="D97" s="95"/>
      <c r="F97" s="96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8"/>
      <c r="S97" s="97"/>
      <c r="T97" s="99"/>
      <c r="U97" s="99"/>
      <c r="V97" s="99"/>
      <c r="W97" s="97"/>
      <c r="X97" s="97"/>
      <c r="Y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  <c r="BP97" s="97"/>
      <c r="BQ97" s="97"/>
      <c r="BR97" s="97"/>
      <c r="BS97" s="97"/>
      <c r="BT97" s="97"/>
      <c r="BU97" s="97"/>
      <c r="BV97" s="97"/>
    </row>
    <row r="98" spans="2:74" ht="15.75" customHeight="1">
      <c r="B98" s="93"/>
      <c r="C98" s="94"/>
      <c r="D98" s="95"/>
      <c r="F98" s="96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8"/>
      <c r="S98" s="97"/>
      <c r="T98" s="99"/>
      <c r="U98" s="99"/>
      <c r="V98" s="99"/>
      <c r="W98" s="97"/>
      <c r="X98" s="97"/>
      <c r="Y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  <c r="BP98" s="97"/>
      <c r="BQ98" s="97"/>
      <c r="BR98" s="97"/>
      <c r="BS98" s="97"/>
      <c r="BT98" s="97"/>
      <c r="BU98" s="97"/>
      <c r="BV98" s="97"/>
    </row>
    <row r="99" spans="2:74" ht="15.75" customHeight="1">
      <c r="B99" s="93"/>
      <c r="C99" s="94"/>
      <c r="D99" s="95"/>
      <c r="F99" s="96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8"/>
      <c r="S99" s="97"/>
      <c r="T99" s="99"/>
      <c r="U99" s="99"/>
      <c r="V99" s="99"/>
      <c r="W99" s="97"/>
      <c r="X99" s="97"/>
      <c r="Y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  <c r="BP99" s="97"/>
      <c r="BQ99" s="97"/>
      <c r="BR99" s="97"/>
      <c r="BS99" s="97"/>
      <c r="BT99" s="97"/>
      <c r="BU99" s="97"/>
      <c r="BV99" s="97"/>
    </row>
    <row r="100" spans="2:74" ht="15.75" customHeight="1">
      <c r="B100" s="93"/>
      <c r="C100" s="94"/>
      <c r="D100" s="95"/>
      <c r="F100" s="96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8"/>
      <c r="S100" s="97"/>
      <c r="T100" s="99"/>
      <c r="U100" s="99"/>
      <c r="V100" s="99"/>
      <c r="W100" s="97"/>
      <c r="X100" s="97"/>
      <c r="Y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/>
      <c r="AP100" s="97"/>
      <c r="AQ100" s="97"/>
      <c r="AR100" s="97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  <c r="BP100" s="97"/>
      <c r="BQ100" s="97"/>
      <c r="BR100" s="97"/>
      <c r="BS100" s="97"/>
      <c r="BT100" s="97"/>
      <c r="BU100" s="97"/>
      <c r="BV100" s="97"/>
    </row>
    <row r="101" spans="2:74" ht="15.75" customHeight="1">
      <c r="B101" s="93"/>
      <c r="C101" s="94"/>
      <c r="D101" s="95"/>
      <c r="F101" s="96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8"/>
      <c r="S101" s="97"/>
      <c r="T101" s="99"/>
      <c r="U101" s="99"/>
      <c r="V101" s="99"/>
      <c r="W101" s="97"/>
      <c r="X101" s="97"/>
      <c r="Y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  <c r="BP101" s="97"/>
      <c r="BQ101" s="97"/>
      <c r="BR101" s="97"/>
      <c r="BS101" s="97"/>
      <c r="BT101" s="97"/>
      <c r="BU101" s="97"/>
      <c r="BV101" s="97"/>
    </row>
    <row r="102" spans="2:74" ht="15.75" customHeight="1">
      <c r="B102" s="93"/>
      <c r="C102" s="94"/>
      <c r="D102" s="95"/>
      <c r="F102" s="96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8"/>
      <c r="S102" s="97"/>
      <c r="T102" s="99"/>
      <c r="U102" s="99"/>
      <c r="V102" s="99"/>
      <c r="W102" s="97"/>
      <c r="X102" s="97"/>
      <c r="Y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  <c r="AR102" s="97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  <c r="BP102" s="97"/>
      <c r="BQ102" s="97"/>
      <c r="BR102" s="97"/>
      <c r="BS102" s="97"/>
      <c r="BT102" s="97"/>
      <c r="BU102" s="97"/>
      <c r="BV102" s="97"/>
    </row>
    <row r="103" spans="2:74" ht="15.75" customHeight="1">
      <c r="B103" s="93"/>
      <c r="C103" s="94"/>
      <c r="D103" s="95"/>
      <c r="F103" s="96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8"/>
      <c r="S103" s="97"/>
      <c r="T103" s="99"/>
      <c r="U103" s="99"/>
      <c r="V103" s="99"/>
      <c r="W103" s="97"/>
      <c r="X103" s="97"/>
      <c r="Y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97"/>
      <c r="AN103" s="97"/>
      <c r="AO103" s="97"/>
      <c r="AP103" s="97"/>
      <c r="AQ103" s="97"/>
      <c r="AR103" s="97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  <c r="BP103" s="97"/>
      <c r="BQ103" s="97"/>
      <c r="BR103" s="97"/>
      <c r="BS103" s="97"/>
      <c r="BT103" s="97"/>
      <c r="BU103" s="97"/>
      <c r="BV103" s="97"/>
    </row>
    <row r="104" spans="2:74" ht="15.75" customHeight="1">
      <c r="B104" s="93"/>
      <c r="C104" s="94"/>
      <c r="D104" s="95"/>
      <c r="F104" s="96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8"/>
      <c r="S104" s="97"/>
      <c r="T104" s="99"/>
      <c r="U104" s="99"/>
      <c r="V104" s="99"/>
      <c r="W104" s="97"/>
      <c r="X104" s="97"/>
      <c r="Y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7"/>
      <c r="AN104" s="97"/>
      <c r="AO104" s="97"/>
      <c r="AP104" s="97"/>
      <c r="AQ104" s="97"/>
      <c r="AR104" s="97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  <c r="BP104" s="97"/>
      <c r="BQ104" s="97"/>
      <c r="BR104" s="97"/>
      <c r="BS104" s="97"/>
      <c r="BT104" s="97"/>
      <c r="BU104" s="97"/>
      <c r="BV104" s="97"/>
    </row>
    <row r="105" spans="2:74" ht="15.75" customHeight="1">
      <c r="B105" s="93"/>
      <c r="C105" s="94"/>
      <c r="D105" s="95"/>
      <c r="F105" s="96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8"/>
      <c r="S105" s="97"/>
      <c r="T105" s="99"/>
      <c r="U105" s="99"/>
      <c r="V105" s="99"/>
      <c r="W105" s="97"/>
      <c r="X105" s="97"/>
      <c r="Y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  <c r="AN105" s="97"/>
      <c r="AO105" s="97"/>
      <c r="AP105" s="97"/>
      <c r="AQ105" s="97"/>
      <c r="AR105" s="97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  <c r="BP105" s="97"/>
      <c r="BQ105" s="97"/>
      <c r="BR105" s="97"/>
      <c r="BS105" s="97"/>
      <c r="BT105" s="97"/>
      <c r="BU105" s="97"/>
      <c r="BV105" s="97"/>
    </row>
    <row r="106" spans="2:74" ht="15.75" customHeight="1">
      <c r="B106" s="93"/>
      <c r="C106" s="94"/>
      <c r="D106" s="95"/>
      <c r="F106" s="96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8"/>
      <c r="S106" s="97"/>
      <c r="T106" s="99"/>
      <c r="U106" s="99"/>
      <c r="V106" s="99"/>
      <c r="W106" s="97"/>
      <c r="X106" s="97"/>
      <c r="Y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  <c r="BP106" s="97"/>
      <c r="BQ106" s="97"/>
      <c r="BR106" s="97"/>
      <c r="BS106" s="97"/>
      <c r="BT106" s="97"/>
      <c r="BU106" s="97"/>
      <c r="BV106" s="97"/>
    </row>
    <row r="107" spans="2:74" ht="15.75" customHeight="1">
      <c r="B107" s="93"/>
      <c r="C107" s="94"/>
      <c r="D107" s="95"/>
      <c r="F107" s="96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8"/>
      <c r="S107" s="97"/>
      <c r="T107" s="99"/>
      <c r="U107" s="99"/>
      <c r="V107" s="99"/>
      <c r="W107" s="97"/>
      <c r="X107" s="97"/>
      <c r="Y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  <c r="BP107" s="97"/>
      <c r="BQ107" s="97"/>
      <c r="BR107" s="97"/>
      <c r="BS107" s="97"/>
      <c r="BT107" s="97"/>
      <c r="BU107" s="97"/>
      <c r="BV107" s="97"/>
    </row>
    <row r="108" spans="2:74" ht="15.75" customHeight="1">
      <c r="B108" s="93"/>
      <c r="C108" s="94"/>
      <c r="D108" s="95"/>
      <c r="F108" s="96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8"/>
      <c r="S108" s="97"/>
      <c r="T108" s="99"/>
      <c r="U108" s="99"/>
      <c r="V108" s="99"/>
      <c r="W108" s="97"/>
      <c r="X108" s="97"/>
      <c r="Y108" s="97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  <c r="AM108" s="97"/>
      <c r="AN108" s="97"/>
      <c r="AO108" s="97"/>
      <c r="AP108" s="97"/>
      <c r="AQ108" s="97"/>
      <c r="AR108" s="97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  <c r="BP108" s="97"/>
      <c r="BQ108" s="97"/>
      <c r="BR108" s="97"/>
      <c r="BS108" s="97"/>
      <c r="BT108" s="97"/>
      <c r="BU108" s="97"/>
      <c r="BV108" s="97"/>
    </row>
    <row r="109" spans="2:74" ht="15.75" customHeight="1">
      <c r="B109" s="93"/>
      <c r="C109" s="94"/>
      <c r="D109" s="95"/>
      <c r="F109" s="96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8"/>
      <c r="S109" s="97"/>
      <c r="T109" s="99"/>
      <c r="U109" s="99"/>
      <c r="V109" s="99"/>
      <c r="W109" s="97"/>
      <c r="X109" s="97"/>
      <c r="Y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  <c r="BP109" s="97"/>
      <c r="BQ109" s="97"/>
      <c r="BR109" s="97"/>
      <c r="BS109" s="97"/>
      <c r="BT109" s="97"/>
      <c r="BU109" s="97"/>
      <c r="BV109" s="97"/>
    </row>
    <row r="110" spans="2:74" ht="15.75" customHeight="1">
      <c r="B110" s="93"/>
      <c r="C110" s="94"/>
      <c r="D110" s="95"/>
      <c r="F110" s="96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8"/>
      <c r="S110" s="97"/>
      <c r="T110" s="99"/>
      <c r="U110" s="99"/>
      <c r="V110" s="99"/>
      <c r="W110" s="97"/>
      <c r="X110" s="97"/>
      <c r="Y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97"/>
      <c r="AN110" s="97"/>
      <c r="AO110" s="97"/>
      <c r="AP110" s="97"/>
      <c r="AQ110" s="97"/>
      <c r="AR110" s="97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  <c r="BP110" s="97"/>
      <c r="BQ110" s="97"/>
      <c r="BR110" s="97"/>
      <c r="BS110" s="97"/>
      <c r="BT110" s="97"/>
      <c r="BU110" s="97"/>
      <c r="BV110" s="97"/>
    </row>
    <row r="111" spans="2:74" ht="15.75" customHeight="1">
      <c r="B111" s="93"/>
      <c r="C111" s="94"/>
      <c r="D111" s="95"/>
      <c r="F111" s="96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8"/>
      <c r="S111" s="97"/>
      <c r="T111" s="99"/>
      <c r="U111" s="99"/>
      <c r="V111" s="99"/>
      <c r="W111" s="97"/>
      <c r="X111" s="97"/>
      <c r="Y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  <c r="BP111" s="97"/>
      <c r="BQ111" s="97"/>
      <c r="BR111" s="97"/>
      <c r="BS111" s="97"/>
      <c r="BT111" s="97"/>
      <c r="BU111" s="97"/>
      <c r="BV111" s="97"/>
    </row>
    <row r="112" spans="2:74" ht="15.75" customHeight="1">
      <c r="B112" s="93"/>
      <c r="C112" s="94"/>
      <c r="D112" s="95"/>
      <c r="F112" s="96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8"/>
      <c r="S112" s="97"/>
      <c r="T112" s="99"/>
      <c r="U112" s="99"/>
      <c r="V112" s="99"/>
      <c r="W112" s="97"/>
      <c r="X112" s="97"/>
      <c r="Y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S112" s="97"/>
      <c r="AT112" s="97"/>
      <c r="AU112" s="97"/>
      <c r="AV112" s="97"/>
      <c r="AW112" s="97"/>
      <c r="AX112" s="97"/>
      <c r="AY112" s="97"/>
      <c r="AZ112" s="97"/>
      <c r="BA112" s="97"/>
      <c r="BB112" s="97"/>
      <c r="BC112" s="97"/>
      <c r="BD112" s="97"/>
      <c r="BE112" s="97"/>
      <c r="BF112" s="97"/>
      <c r="BG112" s="97"/>
      <c r="BH112" s="97"/>
      <c r="BI112" s="97"/>
      <c r="BJ112" s="97"/>
      <c r="BK112" s="97"/>
      <c r="BL112" s="97"/>
      <c r="BM112" s="97"/>
      <c r="BN112" s="97"/>
      <c r="BO112" s="97"/>
      <c r="BP112" s="97"/>
      <c r="BQ112" s="97"/>
      <c r="BR112" s="97"/>
      <c r="BS112" s="97"/>
      <c r="BT112" s="97"/>
      <c r="BU112" s="97"/>
      <c r="BV112" s="97"/>
    </row>
    <row r="113" spans="2:74" ht="15.75" customHeight="1">
      <c r="B113" s="93"/>
      <c r="C113" s="94"/>
      <c r="D113" s="95"/>
      <c r="F113" s="96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8"/>
      <c r="S113" s="97"/>
      <c r="T113" s="99"/>
      <c r="U113" s="99"/>
      <c r="V113" s="99"/>
      <c r="W113" s="97"/>
      <c r="X113" s="97"/>
      <c r="Y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  <c r="AN113" s="97"/>
      <c r="AO113" s="97"/>
      <c r="AP113" s="97"/>
      <c r="AQ113" s="97"/>
      <c r="AR113" s="97"/>
      <c r="AS113" s="97"/>
      <c r="AT113" s="97"/>
      <c r="AU113" s="97"/>
      <c r="AV113" s="97"/>
      <c r="AW113" s="97"/>
      <c r="AX113" s="97"/>
      <c r="AY113" s="97"/>
      <c r="AZ113" s="97"/>
      <c r="BA113" s="97"/>
      <c r="BB113" s="97"/>
      <c r="BC113" s="97"/>
      <c r="BD113" s="97"/>
      <c r="BE113" s="97"/>
      <c r="BF113" s="97"/>
      <c r="BG113" s="97"/>
      <c r="BH113" s="97"/>
      <c r="BI113" s="97"/>
      <c r="BJ113" s="97"/>
      <c r="BK113" s="97"/>
      <c r="BL113" s="97"/>
      <c r="BM113" s="97"/>
      <c r="BN113" s="97"/>
      <c r="BO113" s="97"/>
      <c r="BP113" s="97"/>
      <c r="BQ113" s="97"/>
      <c r="BR113" s="97"/>
      <c r="BS113" s="97"/>
      <c r="BT113" s="97"/>
      <c r="BU113" s="97"/>
      <c r="BV113" s="97"/>
    </row>
    <row r="114" spans="2:74" ht="15.75" customHeight="1">
      <c r="B114" s="93"/>
      <c r="C114" s="94"/>
      <c r="D114" s="95"/>
      <c r="F114" s="96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8"/>
      <c r="S114" s="97"/>
      <c r="T114" s="99"/>
      <c r="U114" s="99"/>
      <c r="V114" s="99"/>
      <c r="W114" s="97"/>
      <c r="X114" s="97"/>
      <c r="Y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  <c r="AT114" s="97"/>
      <c r="AU114" s="97"/>
      <c r="AV114" s="97"/>
      <c r="AW114" s="97"/>
      <c r="AX114" s="97"/>
      <c r="AY114" s="97"/>
      <c r="AZ114" s="97"/>
      <c r="BA114" s="97"/>
      <c r="BB114" s="97"/>
      <c r="BC114" s="97"/>
      <c r="BD114" s="97"/>
      <c r="BE114" s="97"/>
      <c r="BF114" s="97"/>
      <c r="BG114" s="97"/>
      <c r="BH114" s="97"/>
      <c r="BI114" s="97"/>
      <c r="BJ114" s="97"/>
      <c r="BK114" s="97"/>
      <c r="BL114" s="97"/>
      <c r="BM114" s="97"/>
      <c r="BN114" s="97"/>
      <c r="BO114" s="97"/>
      <c r="BP114" s="97"/>
      <c r="BQ114" s="97"/>
      <c r="BR114" s="97"/>
      <c r="BS114" s="97"/>
      <c r="BT114" s="97"/>
      <c r="BU114" s="97"/>
      <c r="BV114" s="97"/>
    </row>
    <row r="115" spans="2:74" ht="15.75" customHeight="1">
      <c r="B115" s="93"/>
      <c r="C115" s="94"/>
      <c r="D115" s="95"/>
      <c r="F115" s="96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8"/>
      <c r="S115" s="97"/>
      <c r="T115" s="99"/>
      <c r="U115" s="99"/>
      <c r="V115" s="99"/>
      <c r="W115" s="97"/>
      <c r="X115" s="97"/>
      <c r="Y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97"/>
      <c r="AO115" s="97"/>
      <c r="AP115" s="97"/>
      <c r="AQ115" s="97"/>
      <c r="AR115" s="97"/>
      <c r="AS115" s="97"/>
      <c r="AT115" s="97"/>
      <c r="AU115" s="97"/>
      <c r="AV115" s="97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7"/>
      <c r="BK115" s="97"/>
      <c r="BL115" s="97"/>
      <c r="BM115" s="97"/>
      <c r="BN115" s="97"/>
      <c r="BO115" s="97"/>
      <c r="BP115" s="97"/>
      <c r="BQ115" s="97"/>
      <c r="BR115" s="97"/>
      <c r="BS115" s="97"/>
      <c r="BT115" s="97"/>
      <c r="BU115" s="97"/>
      <c r="BV115" s="97"/>
    </row>
    <row r="116" spans="2:74" ht="15.75" customHeight="1">
      <c r="B116" s="93"/>
      <c r="C116" s="94"/>
      <c r="D116" s="95"/>
      <c r="F116" s="96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8"/>
      <c r="S116" s="97"/>
      <c r="T116" s="99"/>
      <c r="U116" s="99"/>
      <c r="V116" s="99"/>
      <c r="W116" s="97"/>
      <c r="X116" s="97"/>
      <c r="Y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  <c r="AT116" s="97"/>
      <c r="AU116" s="97"/>
      <c r="AV116" s="97"/>
      <c r="AW116" s="97"/>
      <c r="AX116" s="97"/>
      <c r="AY116" s="97"/>
      <c r="AZ116" s="97"/>
      <c r="BA116" s="97"/>
      <c r="BB116" s="97"/>
      <c r="BC116" s="97"/>
      <c r="BD116" s="97"/>
      <c r="BE116" s="97"/>
      <c r="BF116" s="97"/>
      <c r="BG116" s="97"/>
      <c r="BH116" s="97"/>
      <c r="BI116" s="97"/>
      <c r="BJ116" s="97"/>
      <c r="BK116" s="97"/>
      <c r="BL116" s="97"/>
      <c r="BM116" s="97"/>
      <c r="BN116" s="97"/>
      <c r="BO116" s="97"/>
      <c r="BP116" s="97"/>
      <c r="BQ116" s="97"/>
      <c r="BR116" s="97"/>
      <c r="BS116" s="97"/>
      <c r="BT116" s="97"/>
      <c r="BU116" s="97"/>
      <c r="BV116" s="97"/>
    </row>
    <row r="117" spans="2:74" ht="15.75" customHeight="1">
      <c r="B117" s="93"/>
      <c r="C117" s="94"/>
      <c r="D117" s="95"/>
      <c r="F117" s="96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8"/>
      <c r="S117" s="97"/>
      <c r="T117" s="99"/>
      <c r="U117" s="99"/>
      <c r="V117" s="99"/>
      <c r="W117" s="97"/>
      <c r="X117" s="97"/>
      <c r="Y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  <c r="AT117" s="97"/>
      <c r="AU117" s="97"/>
      <c r="AV117" s="97"/>
      <c r="AW117" s="97"/>
      <c r="AX117" s="97"/>
      <c r="AY117" s="97"/>
      <c r="AZ117" s="97"/>
      <c r="BA117" s="97"/>
      <c r="BB117" s="97"/>
      <c r="BC117" s="97"/>
      <c r="BD117" s="97"/>
      <c r="BE117" s="97"/>
      <c r="BF117" s="97"/>
      <c r="BG117" s="97"/>
      <c r="BH117" s="97"/>
      <c r="BI117" s="97"/>
      <c r="BJ117" s="97"/>
      <c r="BK117" s="97"/>
      <c r="BL117" s="97"/>
      <c r="BM117" s="97"/>
      <c r="BN117" s="97"/>
      <c r="BO117" s="97"/>
      <c r="BP117" s="97"/>
      <c r="BQ117" s="97"/>
      <c r="BR117" s="97"/>
      <c r="BS117" s="97"/>
      <c r="BT117" s="97"/>
      <c r="BU117" s="97"/>
      <c r="BV117" s="97"/>
    </row>
    <row r="118" spans="2:74" ht="15.75" customHeight="1">
      <c r="B118" s="93"/>
      <c r="C118" s="94"/>
      <c r="D118" s="95"/>
      <c r="F118" s="96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8"/>
      <c r="S118" s="97"/>
      <c r="T118" s="99"/>
      <c r="U118" s="99"/>
      <c r="V118" s="99"/>
      <c r="W118" s="97"/>
      <c r="X118" s="97"/>
      <c r="Y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7"/>
      <c r="AN118" s="97"/>
      <c r="AO118" s="97"/>
      <c r="AP118" s="97"/>
      <c r="AQ118" s="97"/>
      <c r="AR118" s="97"/>
      <c r="AS118" s="97"/>
      <c r="AT118" s="97"/>
      <c r="AU118" s="97"/>
      <c r="AV118" s="97"/>
      <c r="AW118" s="97"/>
      <c r="AX118" s="97"/>
      <c r="AY118" s="97"/>
      <c r="AZ118" s="97"/>
      <c r="BA118" s="97"/>
      <c r="BB118" s="97"/>
      <c r="BC118" s="97"/>
      <c r="BD118" s="97"/>
      <c r="BE118" s="97"/>
      <c r="BF118" s="97"/>
      <c r="BG118" s="97"/>
      <c r="BH118" s="97"/>
      <c r="BI118" s="97"/>
      <c r="BJ118" s="97"/>
      <c r="BK118" s="97"/>
      <c r="BL118" s="97"/>
      <c r="BM118" s="97"/>
      <c r="BN118" s="97"/>
      <c r="BO118" s="97"/>
      <c r="BP118" s="97"/>
      <c r="BQ118" s="97"/>
      <c r="BR118" s="97"/>
      <c r="BS118" s="97"/>
      <c r="BT118" s="97"/>
      <c r="BU118" s="97"/>
      <c r="BV118" s="97"/>
    </row>
    <row r="119" spans="2:74" ht="15.75" customHeight="1">
      <c r="B119" s="93"/>
      <c r="C119" s="94"/>
      <c r="D119" s="95"/>
      <c r="F119" s="96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8"/>
      <c r="S119" s="97"/>
      <c r="T119" s="99"/>
      <c r="U119" s="99"/>
      <c r="V119" s="99"/>
      <c r="W119" s="97"/>
      <c r="X119" s="97"/>
      <c r="Y119" s="97"/>
      <c r="AC119" s="97"/>
      <c r="AD119" s="97"/>
      <c r="AE119" s="97"/>
      <c r="AF119" s="97"/>
      <c r="AG119" s="97"/>
      <c r="AH119" s="97"/>
      <c r="AI119" s="97"/>
      <c r="AJ119" s="97"/>
      <c r="AK119" s="97"/>
      <c r="AL119" s="97"/>
      <c r="AM119" s="97"/>
      <c r="AN119" s="97"/>
      <c r="AO119" s="97"/>
      <c r="AP119" s="97"/>
      <c r="AQ119" s="97"/>
      <c r="AR119" s="97"/>
      <c r="AS119" s="97"/>
      <c r="AT119" s="97"/>
      <c r="AU119" s="97"/>
      <c r="AV119" s="97"/>
      <c r="AW119" s="97"/>
      <c r="AX119" s="97"/>
      <c r="AY119" s="97"/>
      <c r="AZ119" s="97"/>
      <c r="BA119" s="97"/>
      <c r="BB119" s="97"/>
      <c r="BC119" s="97"/>
      <c r="BD119" s="97"/>
      <c r="BE119" s="97"/>
      <c r="BF119" s="97"/>
      <c r="BG119" s="97"/>
      <c r="BH119" s="97"/>
      <c r="BI119" s="97"/>
      <c r="BJ119" s="97"/>
      <c r="BK119" s="97"/>
      <c r="BL119" s="97"/>
      <c r="BM119" s="97"/>
      <c r="BN119" s="97"/>
      <c r="BO119" s="97"/>
      <c r="BP119" s="97"/>
      <c r="BQ119" s="97"/>
      <c r="BR119" s="97"/>
      <c r="BS119" s="97"/>
      <c r="BT119" s="97"/>
      <c r="BU119" s="97"/>
      <c r="BV119" s="97"/>
    </row>
    <row r="120" spans="2:74" ht="15.75" customHeight="1">
      <c r="B120" s="93"/>
      <c r="C120" s="94"/>
      <c r="D120" s="95"/>
      <c r="F120" s="96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8"/>
      <c r="S120" s="97"/>
      <c r="T120" s="99"/>
      <c r="U120" s="99"/>
      <c r="V120" s="99"/>
      <c r="W120" s="97"/>
      <c r="X120" s="97"/>
      <c r="Y120" s="97"/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  <c r="AM120" s="97"/>
      <c r="AN120" s="97"/>
      <c r="AO120" s="97"/>
      <c r="AP120" s="97"/>
      <c r="AQ120" s="97"/>
      <c r="AR120" s="97"/>
      <c r="AS120" s="97"/>
      <c r="AT120" s="97"/>
      <c r="AU120" s="97"/>
      <c r="AV120" s="97"/>
      <c r="AW120" s="97"/>
      <c r="AX120" s="97"/>
      <c r="AY120" s="97"/>
      <c r="AZ120" s="97"/>
      <c r="BA120" s="97"/>
      <c r="BB120" s="97"/>
      <c r="BC120" s="97"/>
      <c r="BD120" s="97"/>
      <c r="BE120" s="97"/>
      <c r="BF120" s="97"/>
      <c r="BG120" s="97"/>
      <c r="BH120" s="97"/>
      <c r="BI120" s="97"/>
      <c r="BJ120" s="97"/>
      <c r="BK120" s="97"/>
      <c r="BL120" s="97"/>
      <c r="BM120" s="97"/>
      <c r="BN120" s="97"/>
      <c r="BO120" s="97"/>
      <c r="BP120" s="97"/>
      <c r="BQ120" s="97"/>
      <c r="BR120" s="97"/>
      <c r="BS120" s="97"/>
      <c r="BT120" s="97"/>
      <c r="BU120" s="97"/>
      <c r="BV120" s="97"/>
    </row>
    <row r="121" spans="2:74" ht="15.75" customHeight="1">
      <c r="B121" s="93"/>
      <c r="C121" s="94"/>
      <c r="D121" s="95"/>
      <c r="F121" s="96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8"/>
      <c r="S121" s="97"/>
      <c r="T121" s="99"/>
      <c r="U121" s="99"/>
      <c r="V121" s="99"/>
      <c r="W121" s="97"/>
      <c r="X121" s="97"/>
      <c r="Y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  <c r="AM121" s="97"/>
      <c r="AN121" s="97"/>
      <c r="AO121" s="97"/>
      <c r="AP121" s="97"/>
      <c r="AQ121" s="97"/>
      <c r="AR121" s="97"/>
      <c r="AS121" s="97"/>
      <c r="AT121" s="97"/>
      <c r="AU121" s="97"/>
      <c r="AV121" s="97"/>
      <c r="AW121" s="97"/>
      <c r="AX121" s="97"/>
      <c r="AY121" s="97"/>
      <c r="AZ121" s="97"/>
      <c r="BA121" s="97"/>
      <c r="BB121" s="97"/>
      <c r="BC121" s="97"/>
      <c r="BD121" s="97"/>
      <c r="BE121" s="97"/>
      <c r="BF121" s="97"/>
      <c r="BG121" s="97"/>
      <c r="BH121" s="97"/>
      <c r="BI121" s="97"/>
      <c r="BJ121" s="97"/>
      <c r="BK121" s="97"/>
      <c r="BL121" s="97"/>
      <c r="BM121" s="97"/>
      <c r="BN121" s="97"/>
      <c r="BO121" s="97"/>
      <c r="BP121" s="97"/>
      <c r="BQ121" s="97"/>
      <c r="BR121" s="97"/>
      <c r="BS121" s="97"/>
      <c r="BT121" s="97"/>
      <c r="BU121" s="97"/>
      <c r="BV121" s="97"/>
    </row>
    <row r="122" spans="2:74" ht="15.75" customHeight="1">
      <c r="B122" s="93"/>
      <c r="C122" s="94"/>
      <c r="D122" s="95"/>
      <c r="F122" s="96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8"/>
      <c r="S122" s="97"/>
      <c r="T122" s="99"/>
      <c r="U122" s="99"/>
      <c r="V122" s="99"/>
      <c r="W122" s="97"/>
      <c r="X122" s="97"/>
      <c r="Y122" s="97"/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  <c r="AM122" s="97"/>
      <c r="AN122" s="97"/>
      <c r="AO122" s="97"/>
      <c r="AP122" s="97"/>
      <c r="AQ122" s="97"/>
      <c r="AR122" s="97"/>
      <c r="AS122" s="97"/>
      <c r="AT122" s="97"/>
      <c r="AU122" s="97"/>
      <c r="AV122" s="97"/>
      <c r="AW122" s="97"/>
      <c r="AX122" s="97"/>
      <c r="AY122" s="97"/>
      <c r="AZ122" s="97"/>
      <c r="BA122" s="97"/>
      <c r="BB122" s="97"/>
      <c r="BC122" s="97"/>
      <c r="BD122" s="97"/>
      <c r="BE122" s="97"/>
      <c r="BF122" s="97"/>
      <c r="BG122" s="97"/>
      <c r="BH122" s="97"/>
      <c r="BI122" s="97"/>
      <c r="BJ122" s="97"/>
      <c r="BK122" s="97"/>
      <c r="BL122" s="97"/>
      <c r="BM122" s="97"/>
      <c r="BN122" s="97"/>
      <c r="BO122" s="97"/>
      <c r="BP122" s="97"/>
      <c r="BQ122" s="97"/>
      <c r="BR122" s="97"/>
      <c r="BS122" s="97"/>
      <c r="BT122" s="97"/>
      <c r="BU122" s="97"/>
      <c r="BV122" s="97"/>
    </row>
    <row r="123" spans="2:74" ht="15.75" customHeight="1">
      <c r="B123" s="93"/>
      <c r="C123" s="94"/>
      <c r="D123" s="95"/>
      <c r="F123" s="96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8"/>
      <c r="S123" s="97"/>
      <c r="T123" s="99"/>
      <c r="U123" s="99"/>
      <c r="V123" s="99"/>
      <c r="W123" s="97"/>
      <c r="X123" s="97"/>
      <c r="Y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  <c r="AW123" s="97"/>
      <c r="AX123" s="97"/>
      <c r="AY123" s="97"/>
      <c r="AZ123" s="97"/>
      <c r="BA123" s="97"/>
      <c r="BB123" s="97"/>
      <c r="BC123" s="97"/>
      <c r="BD123" s="97"/>
      <c r="BE123" s="97"/>
      <c r="BF123" s="97"/>
      <c r="BG123" s="97"/>
      <c r="BH123" s="97"/>
      <c r="BI123" s="97"/>
      <c r="BJ123" s="97"/>
      <c r="BK123" s="97"/>
      <c r="BL123" s="97"/>
      <c r="BM123" s="97"/>
      <c r="BN123" s="97"/>
      <c r="BO123" s="97"/>
      <c r="BP123" s="97"/>
      <c r="BQ123" s="97"/>
      <c r="BR123" s="97"/>
      <c r="BS123" s="97"/>
      <c r="BT123" s="97"/>
      <c r="BU123" s="97"/>
      <c r="BV123" s="97"/>
    </row>
    <row r="124" spans="2:74" ht="15.75" customHeight="1">
      <c r="B124" s="93"/>
      <c r="C124" s="94"/>
      <c r="D124" s="95"/>
      <c r="F124" s="96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8"/>
      <c r="S124" s="97"/>
      <c r="T124" s="99"/>
      <c r="U124" s="99"/>
      <c r="V124" s="99"/>
      <c r="W124" s="97"/>
      <c r="X124" s="97"/>
      <c r="Y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/>
      <c r="AP124" s="97"/>
      <c r="AQ124" s="97"/>
      <c r="AR124" s="97"/>
      <c r="AS124" s="97"/>
      <c r="AT124" s="97"/>
      <c r="AU124" s="97"/>
      <c r="AV124" s="97"/>
      <c r="AW124" s="97"/>
      <c r="AX124" s="97"/>
      <c r="AY124" s="97"/>
      <c r="AZ124" s="97"/>
      <c r="BA124" s="97"/>
      <c r="BB124" s="97"/>
      <c r="BC124" s="97"/>
      <c r="BD124" s="97"/>
      <c r="BE124" s="97"/>
      <c r="BF124" s="97"/>
      <c r="BG124" s="97"/>
      <c r="BH124" s="97"/>
      <c r="BI124" s="97"/>
      <c r="BJ124" s="97"/>
      <c r="BK124" s="97"/>
      <c r="BL124" s="97"/>
      <c r="BM124" s="97"/>
      <c r="BN124" s="97"/>
      <c r="BO124" s="97"/>
      <c r="BP124" s="97"/>
      <c r="BQ124" s="97"/>
      <c r="BR124" s="97"/>
      <c r="BS124" s="97"/>
      <c r="BT124" s="97"/>
      <c r="BU124" s="97"/>
      <c r="BV124" s="97"/>
    </row>
    <row r="125" spans="2:74" ht="15.75" customHeight="1">
      <c r="B125" s="93"/>
      <c r="C125" s="94"/>
      <c r="D125" s="95"/>
      <c r="F125" s="96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8"/>
      <c r="S125" s="97"/>
      <c r="T125" s="99"/>
      <c r="U125" s="99"/>
      <c r="V125" s="99"/>
      <c r="W125" s="97"/>
      <c r="X125" s="97"/>
      <c r="Y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/>
      <c r="AP125" s="97"/>
      <c r="AQ125" s="97"/>
      <c r="AR125" s="97"/>
      <c r="AS125" s="97"/>
      <c r="AT125" s="97"/>
      <c r="AU125" s="97"/>
      <c r="AV125" s="97"/>
      <c r="AW125" s="97"/>
      <c r="AX125" s="97"/>
      <c r="AY125" s="97"/>
      <c r="AZ125" s="97"/>
      <c r="BA125" s="97"/>
      <c r="BB125" s="97"/>
      <c r="BC125" s="97"/>
      <c r="BD125" s="97"/>
      <c r="BE125" s="97"/>
      <c r="BF125" s="97"/>
      <c r="BG125" s="97"/>
      <c r="BH125" s="97"/>
      <c r="BI125" s="97"/>
      <c r="BJ125" s="97"/>
      <c r="BK125" s="97"/>
      <c r="BL125" s="97"/>
      <c r="BM125" s="97"/>
      <c r="BN125" s="97"/>
      <c r="BO125" s="97"/>
      <c r="BP125" s="97"/>
      <c r="BQ125" s="97"/>
      <c r="BR125" s="97"/>
      <c r="BS125" s="97"/>
      <c r="BT125" s="97"/>
      <c r="BU125" s="97"/>
      <c r="BV125" s="97"/>
    </row>
    <row r="126" spans="2:74" ht="15.75" customHeight="1">
      <c r="B126" s="93"/>
      <c r="C126" s="94"/>
      <c r="D126" s="95"/>
      <c r="F126" s="96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8"/>
      <c r="S126" s="97"/>
      <c r="T126" s="99"/>
      <c r="U126" s="99"/>
      <c r="V126" s="99"/>
      <c r="W126" s="97"/>
      <c r="X126" s="97"/>
      <c r="Y126" s="97"/>
      <c r="AC126" s="97"/>
      <c r="AD126" s="97"/>
      <c r="AE126" s="97"/>
      <c r="AF126" s="97"/>
      <c r="AG126" s="97"/>
      <c r="AH126" s="97"/>
      <c r="AI126" s="97"/>
      <c r="AJ126" s="97"/>
      <c r="AK126" s="97"/>
      <c r="AL126" s="97"/>
      <c r="AM126" s="97"/>
      <c r="AN126" s="97"/>
      <c r="AO126" s="97"/>
      <c r="AP126" s="97"/>
      <c r="AQ126" s="97"/>
      <c r="AR126" s="97"/>
      <c r="AS126" s="97"/>
      <c r="AT126" s="97"/>
      <c r="AU126" s="97"/>
      <c r="AV126" s="97"/>
      <c r="AW126" s="97"/>
      <c r="AX126" s="97"/>
      <c r="AY126" s="97"/>
      <c r="AZ126" s="97"/>
      <c r="BA126" s="97"/>
      <c r="BB126" s="97"/>
      <c r="BC126" s="97"/>
      <c r="BD126" s="97"/>
      <c r="BE126" s="97"/>
      <c r="BF126" s="97"/>
      <c r="BG126" s="97"/>
      <c r="BH126" s="97"/>
      <c r="BI126" s="97"/>
      <c r="BJ126" s="97"/>
      <c r="BK126" s="97"/>
      <c r="BL126" s="97"/>
      <c r="BM126" s="97"/>
      <c r="BN126" s="97"/>
      <c r="BO126" s="97"/>
      <c r="BP126" s="97"/>
      <c r="BQ126" s="97"/>
      <c r="BR126" s="97"/>
      <c r="BS126" s="97"/>
      <c r="BT126" s="97"/>
      <c r="BU126" s="97"/>
      <c r="BV126" s="97"/>
    </row>
    <row r="127" spans="2:74" ht="15.75" customHeight="1">
      <c r="B127" s="93"/>
      <c r="C127" s="94"/>
      <c r="D127" s="95"/>
      <c r="F127" s="96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8"/>
      <c r="S127" s="97"/>
      <c r="T127" s="99"/>
      <c r="U127" s="99"/>
      <c r="V127" s="99"/>
      <c r="W127" s="97"/>
      <c r="X127" s="97"/>
      <c r="Y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  <c r="AT127" s="97"/>
      <c r="AU127" s="97"/>
      <c r="AV127" s="97"/>
      <c r="AW127" s="97"/>
      <c r="AX127" s="97"/>
      <c r="AY127" s="97"/>
      <c r="AZ127" s="97"/>
      <c r="BA127" s="97"/>
      <c r="BB127" s="97"/>
      <c r="BC127" s="97"/>
      <c r="BD127" s="97"/>
      <c r="BE127" s="97"/>
      <c r="BF127" s="97"/>
      <c r="BG127" s="97"/>
      <c r="BH127" s="97"/>
      <c r="BI127" s="97"/>
      <c r="BJ127" s="97"/>
      <c r="BK127" s="97"/>
      <c r="BL127" s="97"/>
      <c r="BM127" s="97"/>
      <c r="BN127" s="97"/>
      <c r="BO127" s="97"/>
      <c r="BP127" s="97"/>
      <c r="BQ127" s="97"/>
      <c r="BR127" s="97"/>
      <c r="BS127" s="97"/>
      <c r="BT127" s="97"/>
      <c r="BU127" s="97"/>
      <c r="BV127" s="97"/>
    </row>
    <row r="128" spans="2:74" ht="15.75" customHeight="1">
      <c r="B128" s="93"/>
      <c r="C128" s="94"/>
      <c r="D128" s="95"/>
      <c r="F128" s="96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8"/>
      <c r="S128" s="97"/>
      <c r="T128" s="99"/>
      <c r="U128" s="99"/>
      <c r="V128" s="99"/>
      <c r="W128" s="97"/>
      <c r="X128" s="97"/>
      <c r="Y128" s="97"/>
      <c r="AC128" s="97"/>
      <c r="AD128" s="97"/>
      <c r="AE128" s="97"/>
      <c r="AF128" s="97"/>
      <c r="AG128" s="97"/>
      <c r="AH128" s="97"/>
      <c r="AI128" s="97"/>
      <c r="AJ128" s="97"/>
      <c r="AK128" s="97"/>
      <c r="AL128" s="97"/>
      <c r="AM128" s="97"/>
      <c r="AN128" s="97"/>
      <c r="AO128" s="97"/>
      <c r="AP128" s="97"/>
      <c r="AQ128" s="97"/>
      <c r="AR128" s="97"/>
      <c r="AS128" s="97"/>
      <c r="AT128" s="97"/>
      <c r="AU128" s="97"/>
      <c r="AV128" s="97"/>
      <c r="AW128" s="97"/>
      <c r="AX128" s="97"/>
      <c r="AY128" s="97"/>
      <c r="AZ128" s="97"/>
      <c r="BA128" s="97"/>
      <c r="BB128" s="97"/>
      <c r="BC128" s="97"/>
      <c r="BD128" s="97"/>
      <c r="BE128" s="97"/>
      <c r="BF128" s="97"/>
      <c r="BG128" s="97"/>
      <c r="BH128" s="97"/>
      <c r="BI128" s="97"/>
      <c r="BJ128" s="97"/>
      <c r="BK128" s="97"/>
      <c r="BL128" s="97"/>
      <c r="BM128" s="97"/>
      <c r="BN128" s="97"/>
      <c r="BO128" s="97"/>
      <c r="BP128" s="97"/>
      <c r="BQ128" s="97"/>
      <c r="BR128" s="97"/>
      <c r="BS128" s="97"/>
      <c r="BT128" s="97"/>
      <c r="BU128" s="97"/>
      <c r="BV128" s="97"/>
    </row>
    <row r="129" spans="2:74" ht="15.75" customHeight="1">
      <c r="B129" s="93"/>
      <c r="C129" s="94"/>
      <c r="D129" s="95"/>
      <c r="F129" s="96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8"/>
      <c r="S129" s="97"/>
      <c r="T129" s="99"/>
      <c r="U129" s="99"/>
      <c r="V129" s="99"/>
      <c r="W129" s="97"/>
      <c r="X129" s="97"/>
      <c r="Y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  <c r="AP129" s="97"/>
      <c r="AQ129" s="97"/>
      <c r="AR129" s="97"/>
      <c r="AS129" s="97"/>
      <c r="AT129" s="97"/>
      <c r="AU129" s="97"/>
      <c r="AV129" s="97"/>
      <c r="AW129" s="97"/>
      <c r="AX129" s="97"/>
      <c r="AY129" s="97"/>
      <c r="AZ129" s="97"/>
      <c r="BA129" s="97"/>
      <c r="BB129" s="97"/>
      <c r="BC129" s="97"/>
      <c r="BD129" s="97"/>
      <c r="BE129" s="97"/>
      <c r="BF129" s="97"/>
      <c r="BG129" s="97"/>
      <c r="BH129" s="97"/>
      <c r="BI129" s="97"/>
      <c r="BJ129" s="97"/>
      <c r="BK129" s="97"/>
      <c r="BL129" s="97"/>
      <c r="BM129" s="97"/>
      <c r="BN129" s="97"/>
      <c r="BO129" s="97"/>
      <c r="BP129" s="97"/>
      <c r="BQ129" s="97"/>
      <c r="BR129" s="97"/>
      <c r="BS129" s="97"/>
      <c r="BT129" s="97"/>
      <c r="BU129" s="97"/>
      <c r="BV129" s="97"/>
    </row>
    <row r="130" spans="2:74" ht="15.75" customHeight="1">
      <c r="B130" s="93"/>
      <c r="C130" s="94"/>
      <c r="D130" s="95"/>
      <c r="F130" s="96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8"/>
      <c r="S130" s="97"/>
      <c r="T130" s="99"/>
      <c r="U130" s="99"/>
      <c r="V130" s="99"/>
      <c r="W130" s="97"/>
      <c r="X130" s="97"/>
      <c r="Y130" s="97"/>
      <c r="AC130" s="97"/>
      <c r="AD130" s="97"/>
      <c r="AE130" s="97"/>
      <c r="AF130" s="97"/>
      <c r="AG130" s="97"/>
      <c r="AH130" s="97"/>
      <c r="AI130" s="97"/>
      <c r="AJ130" s="97"/>
      <c r="AK130" s="97"/>
      <c r="AL130" s="97"/>
      <c r="AM130" s="97"/>
      <c r="AN130" s="97"/>
      <c r="AO130" s="97"/>
      <c r="AP130" s="97"/>
      <c r="AQ130" s="97"/>
      <c r="AR130" s="97"/>
      <c r="AS130" s="97"/>
      <c r="AT130" s="97"/>
      <c r="AU130" s="97"/>
      <c r="AV130" s="97"/>
      <c r="AW130" s="97"/>
      <c r="AX130" s="97"/>
      <c r="AY130" s="97"/>
      <c r="AZ130" s="97"/>
      <c r="BA130" s="97"/>
      <c r="BB130" s="97"/>
      <c r="BC130" s="97"/>
      <c r="BD130" s="97"/>
      <c r="BE130" s="97"/>
      <c r="BF130" s="97"/>
      <c r="BG130" s="97"/>
      <c r="BH130" s="97"/>
      <c r="BI130" s="97"/>
      <c r="BJ130" s="97"/>
      <c r="BK130" s="97"/>
      <c r="BL130" s="97"/>
      <c r="BM130" s="97"/>
      <c r="BN130" s="97"/>
      <c r="BO130" s="97"/>
      <c r="BP130" s="97"/>
      <c r="BQ130" s="97"/>
      <c r="BR130" s="97"/>
      <c r="BS130" s="97"/>
      <c r="BT130" s="97"/>
      <c r="BU130" s="97"/>
      <c r="BV130" s="97"/>
    </row>
    <row r="131" spans="2:74" ht="15.75" customHeight="1">
      <c r="B131" s="93"/>
      <c r="C131" s="94"/>
      <c r="D131" s="95"/>
      <c r="F131" s="96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8"/>
      <c r="S131" s="97"/>
      <c r="T131" s="99"/>
      <c r="U131" s="99"/>
      <c r="V131" s="99"/>
      <c r="W131" s="97"/>
      <c r="X131" s="97"/>
      <c r="Y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  <c r="AO131" s="97"/>
      <c r="AP131" s="97"/>
      <c r="AQ131" s="97"/>
      <c r="AR131" s="97"/>
      <c r="AS131" s="97"/>
      <c r="AT131" s="97"/>
      <c r="AU131" s="97"/>
      <c r="AV131" s="97"/>
      <c r="AW131" s="97"/>
      <c r="AX131" s="97"/>
      <c r="AY131" s="97"/>
      <c r="AZ131" s="97"/>
      <c r="BA131" s="97"/>
      <c r="BB131" s="97"/>
      <c r="BC131" s="97"/>
      <c r="BD131" s="97"/>
      <c r="BE131" s="97"/>
      <c r="BF131" s="97"/>
      <c r="BG131" s="97"/>
      <c r="BH131" s="97"/>
      <c r="BI131" s="97"/>
      <c r="BJ131" s="97"/>
      <c r="BK131" s="97"/>
      <c r="BL131" s="97"/>
      <c r="BM131" s="97"/>
      <c r="BN131" s="97"/>
      <c r="BO131" s="97"/>
      <c r="BP131" s="97"/>
      <c r="BQ131" s="97"/>
      <c r="BR131" s="97"/>
      <c r="BS131" s="97"/>
      <c r="BT131" s="97"/>
      <c r="BU131" s="97"/>
      <c r="BV131" s="97"/>
    </row>
    <row r="132" spans="2:74" ht="15.75" customHeight="1">
      <c r="B132" s="93"/>
      <c r="C132" s="94"/>
      <c r="D132" s="95"/>
      <c r="F132" s="96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8"/>
      <c r="S132" s="97"/>
      <c r="T132" s="99"/>
      <c r="U132" s="99"/>
      <c r="V132" s="99"/>
      <c r="W132" s="97"/>
      <c r="X132" s="97"/>
      <c r="Y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97"/>
      <c r="AV132" s="97"/>
      <c r="AW132" s="97"/>
      <c r="AX132" s="97"/>
      <c r="AY132" s="97"/>
      <c r="AZ132" s="97"/>
      <c r="BA132" s="97"/>
      <c r="BB132" s="97"/>
      <c r="BC132" s="97"/>
      <c r="BD132" s="97"/>
      <c r="BE132" s="97"/>
      <c r="BF132" s="97"/>
      <c r="BG132" s="97"/>
      <c r="BH132" s="97"/>
      <c r="BI132" s="97"/>
      <c r="BJ132" s="97"/>
      <c r="BK132" s="97"/>
      <c r="BL132" s="97"/>
      <c r="BM132" s="97"/>
      <c r="BN132" s="97"/>
      <c r="BO132" s="97"/>
      <c r="BP132" s="97"/>
      <c r="BQ132" s="97"/>
      <c r="BR132" s="97"/>
      <c r="BS132" s="97"/>
      <c r="BT132" s="97"/>
      <c r="BU132" s="97"/>
      <c r="BV132" s="97"/>
    </row>
    <row r="133" spans="2:74" ht="15.75" customHeight="1">
      <c r="B133" s="93"/>
      <c r="C133" s="94"/>
      <c r="D133" s="95"/>
      <c r="F133" s="96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8"/>
      <c r="S133" s="97"/>
      <c r="T133" s="99"/>
      <c r="U133" s="99"/>
      <c r="V133" s="99"/>
      <c r="W133" s="97"/>
      <c r="X133" s="97"/>
      <c r="Y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97"/>
      <c r="AV133" s="97"/>
      <c r="AW133" s="97"/>
      <c r="AX133" s="97"/>
      <c r="AY133" s="97"/>
      <c r="AZ133" s="97"/>
      <c r="BA133" s="97"/>
      <c r="BB133" s="97"/>
      <c r="BC133" s="97"/>
      <c r="BD133" s="97"/>
      <c r="BE133" s="97"/>
      <c r="BF133" s="97"/>
      <c r="BG133" s="97"/>
      <c r="BH133" s="97"/>
      <c r="BI133" s="97"/>
      <c r="BJ133" s="97"/>
      <c r="BK133" s="97"/>
      <c r="BL133" s="97"/>
      <c r="BM133" s="97"/>
      <c r="BN133" s="97"/>
      <c r="BO133" s="97"/>
      <c r="BP133" s="97"/>
      <c r="BQ133" s="97"/>
      <c r="BR133" s="97"/>
      <c r="BS133" s="97"/>
      <c r="BT133" s="97"/>
      <c r="BU133" s="97"/>
      <c r="BV133" s="97"/>
    </row>
    <row r="134" spans="2:74" ht="15.75" customHeight="1">
      <c r="B134" s="93"/>
      <c r="C134" s="94"/>
      <c r="D134" s="95"/>
      <c r="F134" s="96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8"/>
      <c r="S134" s="97"/>
      <c r="T134" s="99"/>
      <c r="U134" s="99"/>
      <c r="V134" s="99"/>
      <c r="W134" s="97"/>
      <c r="X134" s="97"/>
      <c r="Y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97"/>
      <c r="AV134" s="97"/>
      <c r="AW134" s="97"/>
      <c r="AX134" s="97"/>
      <c r="AY134" s="97"/>
      <c r="AZ134" s="97"/>
      <c r="BA134" s="97"/>
      <c r="BB134" s="97"/>
      <c r="BC134" s="97"/>
      <c r="BD134" s="97"/>
      <c r="BE134" s="97"/>
      <c r="BF134" s="97"/>
      <c r="BG134" s="97"/>
      <c r="BH134" s="97"/>
      <c r="BI134" s="97"/>
      <c r="BJ134" s="97"/>
      <c r="BK134" s="97"/>
      <c r="BL134" s="97"/>
      <c r="BM134" s="97"/>
      <c r="BN134" s="97"/>
      <c r="BO134" s="97"/>
      <c r="BP134" s="97"/>
      <c r="BQ134" s="97"/>
      <c r="BR134" s="97"/>
      <c r="BS134" s="97"/>
      <c r="BT134" s="97"/>
      <c r="BU134" s="97"/>
      <c r="BV134" s="97"/>
    </row>
    <row r="135" spans="2:74" ht="15.75" customHeight="1">
      <c r="B135" s="93"/>
      <c r="C135" s="94"/>
      <c r="D135" s="95"/>
      <c r="F135" s="96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8"/>
      <c r="S135" s="97"/>
      <c r="T135" s="99"/>
      <c r="U135" s="99"/>
      <c r="V135" s="99"/>
      <c r="W135" s="97"/>
      <c r="X135" s="97"/>
      <c r="Y135" s="97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  <c r="AM135" s="97"/>
      <c r="AN135" s="97"/>
      <c r="AO135" s="97"/>
      <c r="AP135" s="97"/>
      <c r="AQ135" s="97"/>
      <c r="AR135" s="97"/>
      <c r="AS135" s="97"/>
      <c r="AT135" s="97"/>
      <c r="AU135" s="97"/>
      <c r="AV135" s="97"/>
      <c r="AW135" s="97"/>
      <c r="AX135" s="97"/>
      <c r="AY135" s="97"/>
      <c r="AZ135" s="97"/>
      <c r="BA135" s="97"/>
      <c r="BB135" s="97"/>
      <c r="BC135" s="97"/>
      <c r="BD135" s="97"/>
      <c r="BE135" s="97"/>
      <c r="BF135" s="97"/>
      <c r="BG135" s="97"/>
      <c r="BH135" s="97"/>
      <c r="BI135" s="97"/>
      <c r="BJ135" s="97"/>
      <c r="BK135" s="97"/>
      <c r="BL135" s="97"/>
      <c r="BM135" s="97"/>
      <c r="BN135" s="97"/>
      <c r="BO135" s="97"/>
      <c r="BP135" s="97"/>
      <c r="BQ135" s="97"/>
      <c r="BR135" s="97"/>
      <c r="BS135" s="97"/>
      <c r="BT135" s="97"/>
      <c r="BU135" s="97"/>
      <c r="BV135" s="97"/>
    </row>
    <row r="136" spans="2:74" ht="15.75" customHeight="1">
      <c r="B136" s="93"/>
      <c r="C136" s="94"/>
      <c r="D136" s="95"/>
      <c r="F136" s="96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8"/>
      <c r="S136" s="97"/>
      <c r="T136" s="99"/>
      <c r="U136" s="99"/>
      <c r="V136" s="99"/>
      <c r="W136" s="97"/>
      <c r="X136" s="97"/>
      <c r="Y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  <c r="AQ136" s="97"/>
      <c r="AR136" s="97"/>
      <c r="AS136" s="97"/>
      <c r="AT136" s="97"/>
      <c r="AU136" s="97"/>
      <c r="AV136" s="97"/>
      <c r="AW136" s="97"/>
      <c r="AX136" s="97"/>
      <c r="AY136" s="97"/>
      <c r="AZ136" s="97"/>
      <c r="BA136" s="97"/>
      <c r="BB136" s="97"/>
      <c r="BC136" s="97"/>
      <c r="BD136" s="97"/>
      <c r="BE136" s="97"/>
      <c r="BF136" s="97"/>
      <c r="BG136" s="97"/>
      <c r="BH136" s="97"/>
      <c r="BI136" s="97"/>
      <c r="BJ136" s="97"/>
      <c r="BK136" s="97"/>
      <c r="BL136" s="97"/>
      <c r="BM136" s="97"/>
      <c r="BN136" s="97"/>
      <c r="BO136" s="97"/>
      <c r="BP136" s="97"/>
      <c r="BQ136" s="97"/>
      <c r="BR136" s="97"/>
      <c r="BS136" s="97"/>
      <c r="BT136" s="97"/>
      <c r="BU136" s="97"/>
      <c r="BV136" s="97"/>
    </row>
    <row r="137" spans="2:74" ht="15.75" customHeight="1">
      <c r="B137" s="93"/>
      <c r="C137" s="94"/>
      <c r="D137" s="95"/>
      <c r="F137" s="96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8"/>
      <c r="S137" s="97"/>
      <c r="T137" s="99"/>
      <c r="U137" s="99"/>
      <c r="V137" s="99"/>
      <c r="W137" s="97"/>
      <c r="X137" s="97"/>
      <c r="Y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/>
      <c r="AP137" s="97"/>
      <c r="AQ137" s="97"/>
      <c r="AR137" s="97"/>
      <c r="AS137" s="97"/>
      <c r="AT137" s="97"/>
      <c r="AU137" s="97"/>
      <c r="AV137" s="97"/>
      <c r="AW137" s="97"/>
      <c r="AX137" s="97"/>
      <c r="AY137" s="97"/>
      <c r="AZ137" s="97"/>
      <c r="BA137" s="97"/>
      <c r="BB137" s="97"/>
      <c r="BC137" s="97"/>
      <c r="BD137" s="97"/>
      <c r="BE137" s="97"/>
      <c r="BF137" s="97"/>
      <c r="BG137" s="97"/>
      <c r="BH137" s="97"/>
      <c r="BI137" s="97"/>
      <c r="BJ137" s="97"/>
      <c r="BK137" s="97"/>
      <c r="BL137" s="97"/>
      <c r="BM137" s="97"/>
      <c r="BN137" s="97"/>
      <c r="BO137" s="97"/>
      <c r="BP137" s="97"/>
      <c r="BQ137" s="97"/>
      <c r="BR137" s="97"/>
      <c r="BS137" s="97"/>
      <c r="BT137" s="97"/>
      <c r="BU137" s="97"/>
      <c r="BV137" s="97"/>
    </row>
    <row r="138" spans="2:74" ht="15.75" customHeight="1">
      <c r="B138" s="93"/>
      <c r="C138" s="94"/>
      <c r="D138" s="95"/>
      <c r="F138" s="96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8"/>
      <c r="S138" s="97"/>
      <c r="T138" s="99"/>
      <c r="U138" s="99"/>
      <c r="V138" s="99"/>
      <c r="W138" s="97"/>
      <c r="X138" s="97"/>
      <c r="Y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97"/>
      <c r="AO138" s="97"/>
      <c r="AP138" s="97"/>
      <c r="AQ138" s="97"/>
      <c r="AR138" s="97"/>
      <c r="AS138" s="97"/>
      <c r="AT138" s="97"/>
      <c r="AU138" s="97"/>
      <c r="AV138" s="97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</row>
    <row r="139" spans="2:74" ht="15.75" customHeight="1">
      <c r="B139" s="93"/>
      <c r="C139" s="94"/>
      <c r="D139" s="95"/>
      <c r="F139" s="96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8"/>
      <c r="S139" s="97"/>
      <c r="T139" s="99"/>
      <c r="U139" s="99"/>
      <c r="V139" s="99"/>
      <c r="W139" s="97"/>
      <c r="X139" s="97"/>
      <c r="Y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  <c r="AQ139" s="97"/>
      <c r="AR139" s="97"/>
      <c r="AS139" s="97"/>
      <c r="AT139" s="97"/>
      <c r="AU139" s="97"/>
      <c r="AV139" s="97"/>
      <c r="AW139" s="97"/>
      <c r="AX139" s="97"/>
      <c r="AY139" s="97"/>
      <c r="AZ139" s="97"/>
      <c r="BA139" s="97"/>
      <c r="BB139" s="97"/>
      <c r="BC139" s="97"/>
      <c r="BD139" s="97"/>
      <c r="BE139" s="97"/>
      <c r="BF139" s="97"/>
      <c r="BG139" s="97"/>
      <c r="BH139" s="97"/>
      <c r="BI139" s="97"/>
      <c r="BJ139" s="97"/>
      <c r="BK139" s="97"/>
      <c r="BL139" s="97"/>
      <c r="BM139" s="97"/>
      <c r="BN139" s="97"/>
      <c r="BO139" s="97"/>
      <c r="BP139" s="97"/>
      <c r="BQ139" s="97"/>
      <c r="BR139" s="97"/>
      <c r="BS139" s="97"/>
      <c r="BT139" s="97"/>
      <c r="BU139" s="97"/>
      <c r="BV139" s="97"/>
    </row>
    <row r="140" spans="2:74" ht="15.75" customHeight="1">
      <c r="B140" s="93"/>
      <c r="C140" s="94"/>
      <c r="D140" s="95"/>
      <c r="F140" s="96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8"/>
      <c r="S140" s="97"/>
      <c r="T140" s="99"/>
      <c r="U140" s="99"/>
      <c r="V140" s="99"/>
      <c r="W140" s="97"/>
      <c r="X140" s="97"/>
      <c r="Y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  <c r="AQ140" s="97"/>
      <c r="AR140" s="97"/>
      <c r="AS140" s="97"/>
      <c r="AT140" s="97"/>
      <c r="AU140" s="97"/>
      <c r="AV140" s="97"/>
      <c r="AW140" s="97"/>
      <c r="AX140" s="97"/>
      <c r="AY140" s="97"/>
      <c r="AZ140" s="97"/>
      <c r="BA140" s="97"/>
      <c r="BB140" s="97"/>
      <c r="BC140" s="97"/>
      <c r="BD140" s="97"/>
      <c r="BE140" s="97"/>
      <c r="BF140" s="97"/>
      <c r="BG140" s="97"/>
      <c r="BH140" s="97"/>
      <c r="BI140" s="97"/>
      <c r="BJ140" s="97"/>
      <c r="BK140" s="97"/>
      <c r="BL140" s="97"/>
      <c r="BM140" s="97"/>
      <c r="BN140" s="97"/>
      <c r="BO140" s="97"/>
      <c r="BP140" s="97"/>
      <c r="BQ140" s="97"/>
      <c r="BR140" s="97"/>
      <c r="BS140" s="97"/>
      <c r="BT140" s="97"/>
      <c r="BU140" s="97"/>
      <c r="BV140" s="97"/>
    </row>
    <row r="141" spans="2:74" ht="15.75" customHeight="1">
      <c r="B141" s="93"/>
      <c r="C141" s="94"/>
      <c r="D141" s="95"/>
      <c r="F141" s="96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8"/>
      <c r="S141" s="97"/>
      <c r="T141" s="99"/>
      <c r="U141" s="99"/>
      <c r="V141" s="99"/>
      <c r="W141" s="97"/>
      <c r="X141" s="97"/>
      <c r="Y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  <c r="AN141" s="97"/>
      <c r="AO141" s="97"/>
      <c r="AP141" s="97"/>
      <c r="AQ141" s="97"/>
      <c r="AR141" s="97"/>
      <c r="AS141" s="97"/>
      <c r="AT141" s="97"/>
      <c r="AU141" s="97"/>
      <c r="AV141" s="97"/>
      <c r="AW141" s="97"/>
      <c r="AX141" s="97"/>
      <c r="AY141" s="97"/>
      <c r="AZ141" s="97"/>
      <c r="BA141" s="97"/>
      <c r="BB141" s="97"/>
      <c r="BC141" s="97"/>
      <c r="BD141" s="97"/>
      <c r="BE141" s="97"/>
      <c r="BF141" s="97"/>
      <c r="BG141" s="97"/>
      <c r="BH141" s="97"/>
      <c r="BI141" s="97"/>
      <c r="BJ141" s="97"/>
      <c r="BK141" s="97"/>
      <c r="BL141" s="97"/>
      <c r="BM141" s="97"/>
      <c r="BN141" s="97"/>
      <c r="BO141" s="97"/>
      <c r="BP141" s="97"/>
      <c r="BQ141" s="97"/>
      <c r="BR141" s="97"/>
      <c r="BS141" s="97"/>
      <c r="BT141" s="97"/>
      <c r="BU141" s="97"/>
      <c r="BV141" s="97"/>
    </row>
    <row r="142" spans="2:74" ht="15.75" customHeight="1">
      <c r="B142" s="93"/>
      <c r="C142" s="94"/>
      <c r="D142" s="95"/>
      <c r="F142" s="96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8"/>
      <c r="S142" s="97"/>
      <c r="T142" s="99"/>
      <c r="U142" s="99"/>
      <c r="V142" s="99"/>
      <c r="W142" s="97"/>
      <c r="X142" s="97"/>
      <c r="Y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  <c r="AR142" s="97"/>
      <c r="AS142" s="97"/>
      <c r="AT142" s="97"/>
      <c r="AU142" s="97"/>
      <c r="AV142" s="97"/>
      <c r="AW142" s="97"/>
      <c r="AX142" s="97"/>
      <c r="AY142" s="97"/>
      <c r="AZ142" s="97"/>
      <c r="BA142" s="97"/>
      <c r="BB142" s="97"/>
      <c r="BC142" s="97"/>
      <c r="BD142" s="97"/>
      <c r="BE142" s="97"/>
      <c r="BF142" s="97"/>
      <c r="BG142" s="97"/>
      <c r="BH142" s="97"/>
      <c r="BI142" s="97"/>
      <c r="BJ142" s="97"/>
      <c r="BK142" s="97"/>
      <c r="BL142" s="97"/>
      <c r="BM142" s="97"/>
      <c r="BN142" s="97"/>
      <c r="BO142" s="97"/>
      <c r="BP142" s="97"/>
      <c r="BQ142" s="97"/>
      <c r="BR142" s="97"/>
      <c r="BS142" s="97"/>
      <c r="BT142" s="97"/>
      <c r="BU142" s="97"/>
      <c r="BV142" s="97"/>
    </row>
    <row r="143" spans="2:74" ht="15.75" customHeight="1">
      <c r="B143" s="93"/>
      <c r="C143" s="94"/>
      <c r="D143" s="95"/>
      <c r="F143" s="96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8"/>
      <c r="S143" s="97"/>
      <c r="T143" s="99"/>
      <c r="U143" s="99"/>
      <c r="V143" s="99"/>
      <c r="W143" s="97"/>
      <c r="X143" s="97"/>
      <c r="Y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97"/>
      <c r="AM143" s="97"/>
      <c r="AN143" s="97"/>
      <c r="AO143" s="97"/>
      <c r="AP143" s="97"/>
      <c r="AQ143" s="97"/>
      <c r="AR143" s="97"/>
      <c r="AS143" s="97"/>
      <c r="AT143" s="97"/>
      <c r="AU143" s="97"/>
      <c r="AV143" s="97"/>
      <c r="AW143" s="97"/>
      <c r="AX143" s="97"/>
      <c r="AY143" s="97"/>
      <c r="AZ143" s="97"/>
      <c r="BA143" s="97"/>
      <c r="BB143" s="97"/>
      <c r="BC143" s="97"/>
      <c r="BD143" s="97"/>
      <c r="BE143" s="97"/>
      <c r="BF143" s="97"/>
      <c r="BG143" s="97"/>
      <c r="BH143" s="97"/>
      <c r="BI143" s="97"/>
      <c r="BJ143" s="97"/>
      <c r="BK143" s="97"/>
      <c r="BL143" s="97"/>
      <c r="BM143" s="97"/>
      <c r="BN143" s="97"/>
      <c r="BO143" s="97"/>
      <c r="BP143" s="97"/>
      <c r="BQ143" s="97"/>
      <c r="BR143" s="97"/>
      <c r="BS143" s="97"/>
      <c r="BT143" s="97"/>
      <c r="BU143" s="97"/>
      <c r="BV143" s="97"/>
    </row>
    <row r="144" spans="2:74" ht="15.75" customHeight="1">
      <c r="B144" s="93"/>
      <c r="C144" s="94"/>
      <c r="D144" s="95"/>
      <c r="F144" s="96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8"/>
      <c r="S144" s="97"/>
      <c r="T144" s="99"/>
      <c r="U144" s="99"/>
      <c r="V144" s="99"/>
      <c r="W144" s="97"/>
      <c r="X144" s="97"/>
      <c r="Y144" s="97"/>
      <c r="AC144" s="97"/>
      <c r="AD144" s="97"/>
      <c r="AE144" s="97"/>
      <c r="AF144" s="97"/>
      <c r="AG144" s="97"/>
      <c r="AH144" s="97"/>
      <c r="AI144" s="97"/>
      <c r="AJ144" s="97"/>
      <c r="AK144" s="97"/>
      <c r="AL144" s="97"/>
      <c r="AM144" s="97"/>
      <c r="AN144" s="97"/>
      <c r="AO144" s="97"/>
      <c r="AP144" s="97"/>
      <c r="AQ144" s="97"/>
      <c r="AR144" s="97"/>
      <c r="AS144" s="97"/>
      <c r="AT144" s="97"/>
      <c r="AU144" s="97"/>
      <c r="AV144" s="97"/>
      <c r="AW144" s="97"/>
      <c r="AX144" s="97"/>
      <c r="AY144" s="97"/>
      <c r="AZ144" s="97"/>
      <c r="BA144" s="97"/>
      <c r="BB144" s="97"/>
      <c r="BC144" s="97"/>
      <c r="BD144" s="97"/>
      <c r="BE144" s="97"/>
      <c r="BF144" s="97"/>
      <c r="BG144" s="97"/>
      <c r="BH144" s="97"/>
      <c r="BI144" s="97"/>
      <c r="BJ144" s="97"/>
      <c r="BK144" s="97"/>
      <c r="BL144" s="97"/>
      <c r="BM144" s="97"/>
      <c r="BN144" s="97"/>
      <c r="BO144" s="97"/>
      <c r="BP144" s="97"/>
      <c r="BQ144" s="97"/>
      <c r="BR144" s="97"/>
      <c r="BS144" s="97"/>
      <c r="BT144" s="97"/>
      <c r="BU144" s="97"/>
      <c r="BV144" s="97"/>
    </row>
    <row r="145" spans="2:74" ht="15.75" customHeight="1">
      <c r="B145" s="93"/>
      <c r="C145" s="94"/>
      <c r="D145" s="95"/>
      <c r="F145" s="96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8"/>
      <c r="S145" s="97"/>
      <c r="T145" s="99"/>
      <c r="U145" s="99"/>
      <c r="V145" s="99"/>
      <c r="W145" s="97"/>
      <c r="X145" s="97"/>
      <c r="Y145" s="97"/>
      <c r="AC145" s="97"/>
      <c r="AD145" s="97"/>
      <c r="AE145" s="97"/>
      <c r="AF145" s="97"/>
      <c r="AG145" s="97"/>
      <c r="AH145" s="97"/>
      <c r="AI145" s="97"/>
      <c r="AJ145" s="97"/>
      <c r="AK145" s="97"/>
      <c r="AL145" s="97"/>
      <c r="AM145" s="97"/>
      <c r="AN145" s="97"/>
      <c r="AO145" s="97"/>
      <c r="AP145" s="97"/>
      <c r="AQ145" s="97"/>
      <c r="AR145" s="97"/>
      <c r="AS145" s="97"/>
      <c r="AT145" s="97"/>
      <c r="AU145" s="97"/>
      <c r="AV145" s="97"/>
      <c r="AW145" s="97"/>
      <c r="AX145" s="97"/>
      <c r="AY145" s="97"/>
      <c r="AZ145" s="97"/>
      <c r="BA145" s="97"/>
      <c r="BB145" s="97"/>
      <c r="BC145" s="97"/>
      <c r="BD145" s="97"/>
      <c r="BE145" s="97"/>
      <c r="BF145" s="97"/>
      <c r="BG145" s="97"/>
      <c r="BH145" s="97"/>
      <c r="BI145" s="97"/>
      <c r="BJ145" s="97"/>
      <c r="BK145" s="97"/>
      <c r="BL145" s="97"/>
      <c r="BM145" s="97"/>
      <c r="BN145" s="97"/>
      <c r="BO145" s="97"/>
      <c r="BP145" s="97"/>
      <c r="BQ145" s="97"/>
      <c r="BR145" s="97"/>
      <c r="BS145" s="97"/>
      <c r="BT145" s="97"/>
      <c r="BU145" s="97"/>
      <c r="BV145" s="97"/>
    </row>
    <row r="146" spans="2:74" ht="15.75" customHeight="1">
      <c r="B146" s="93"/>
      <c r="C146" s="94"/>
      <c r="D146" s="95"/>
      <c r="F146" s="96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8"/>
      <c r="S146" s="97"/>
      <c r="T146" s="99"/>
      <c r="U146" s="99"/>
      <c r="V146" s="99"/>
      <c r="W146" s="97"/>
      <c r="X146" s="97"/>
      <c r="Y146" s="97"/>
      <c r="AC146" s="97"/>
      <c r="AD146" s="97"/>
      <c r="AE146" s="97"/>
      <c r="AF146" s="97"/>
      <c r="AG146" s="97"/>
      <c r="AH146" s="97"/>
      <c r="AI146" s="97"/>
      <c r="AJ146" s="97"/>
      <c r="AK146" s="97"/>
      <c r="AL146" s="97"/>
      <c r="AM146" s="97"/>
      <c r="AN146" s="97"/>
      <c r="AO146" s="97"/>
      <c r="AP146" s="97"/>
      <c r="AQ146" s="97"/>
      <c r="AR146" s="97"/>
      <c r="AS146" s="97"/>
      <c r="AT146" s="97"/>
      <c r="AU146" s="97"/>
      <c r="AV146" s="97"/>
      <c r="AW146" s="97"/>
      <c r="AX146" s="97"/>
      <c r="AY146" s="97"/>
      <c r="AZ146" s="97"/>
      <c r="BA146" s="97"/>
      <c r="BB146" s="97"/>
      <c r="BC146" s="97"/>
      <c r="BD146" s="97"/>
      <c r="BE146" s="97"/>
      <c r="BF146" s="97"/>
      <c r="BG146" s="97"/>
      <c r="BH146" s="97"/>
      <c r="BI146" s="97"/>
      <c r="BJ146" s="97"/>
      <c r="BK146" s="97"/>
      <c r="BL146" s="97"/>
      <c r="BM146" s="97"/>
      <c r="BN146" s="97"/>
      <c r="BO146" s="97"/>
      <c r="BP146" s="97"/>
      <c r="BQ146" s="97"/>
      <c r="BR146" s="97"/>
      <c r="BS146" s="97"/>
      <c r="BT146" s="97"/>
      <c r="BU146" s="97"/>
      <c r="BV146" s="97"/>
    </row>
    <row r="147" spans="2:74" ht="15.75" customHeight="1">
      <c r="B147" s="93"/>
      <c r="C147" s="94"/>
      <c r="D147" s="95"/>
      <c r="F147" s="96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8"/>
      <c r="S147" s="97"/>
      <c r="T147" s="99"/>
      <c r="U147" s="99"/>
      <c r="V147" s="99"/>
      <c r="W147" s="97"/>
      <c r="X147" s="97"/>
      <c r="Y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  <c r="AT147" s="97"/>
      <c r="AU147" s="97"/>
      <c r="AV147" s="97"/>
      <c r="AW147" s="97"/>
      <c r="AX147" s="97"/>
      <c r="AY147" s="97"/>
      <c r="AZ147" s="97"/>
      <c r="BA147" s="97"/>
      <c r="BB147" s="97"/>
      <c r="BC147" s="97"/>
      <c r="BD147" s="97"/>
      <c r="BE147" s="97"/>
      <c r="BF147" s="97"/>
      <c r="BG147" s="97"/>
      <c r="BH147" s="97"/>
      <c r="BI147" s="97"/>
      <c r="BJ147" s="97"/>
      <c r="BK147" s="97"/>
      <c r="BL147" s="97"/>
      <c r="BM147" s="97"/>
      <c r="BN147" s="97"/>
      <c r="BO147" s="97"/>
      <c r="BP147" s="97"/>
      <c r="BQ147" s="97"/>
      <c r="BR147" s="97"/>
      <c r="BS147" s="97"/>
      <c r="BT147" s="97"/>
      <c r="BU147" s="97"/>
      <c r="BV147" s="97"/>
    </row>
    <row r="148" spans="2:74" ht="15.75" customHeight="1">
      <c r="B148" s="93"/>
      <c r="C148" s="94"/>
      <c r="D148" s="95"/>
      <c r="F148" s="96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8"/>
      <c r="S148" s="97"/>
      <c r="T148" s="99"/>
      <c r="U148" s="99"/>
      <c r="V148" s="99"/>
      <c r="W148" s="97"/>
      <c r="X148" s="97"/>
      <c r="Y148" s="97"/>
      <c r="AC148" s="97"/>
      <c r="AD148" s="97"/>
      <c r="AE148" s="97"/>
      <c r="AF148" s="97"/>
      <c r="AG148" s="97"/>
      <c r="AH148" s="97"/>
      <c r="AI148" s="97"/>
      <c r="AJ148" s="97"/>
      <c r="AK148" s="97"/>
      <c r="AL148" s="97"/>
      <c r="AM148" s="97"/>
      <c r="AN148" s="97"/>
      <c r="AO148" s="97"/>
      <c r="AP148" s="97"/>
      <c r="AQ148" s="97"/>
      <c r="AR148" s="97"/>
      <c r="AS148" s="97"/>
      <c r="AT148" s="97"/>
      <c r="AU148" s="97"/>
      <c r="AV148" s="97"/>
      <c r="AW148" s="97"/>
      <c r="AX148" s="97"/>
      <c r="AY148" s="97"/>
      <c r="AZ148" s="97"/>
      <c r="BA148" s="97"/>
      <c r="BB148" s="97"/>
      <c r="BC148" s="97"/>
      <c r="BD148" s="97"/>
      <c r="BE148" s="97"/>
      <c r="BF148" s="97"/>
      <c r="BG148" s="97"/>
      <c r="BH148" s="97"/>
      <c r="BI148" s="97"/>
      <c r="BJ148" s="97"/>
      <c r="BK148" s="97"/>
      <c r="BL148" s="97"/>
      <c r="BM148" s="97"/>
      <c r="BN148" s="97"/>
      <c r="BO148" s="97"/>
      <c r="BP148" s="97"/>
      <c r="BQ148" s="97"/>
      <c r="BR148" s="97"/>
      <c r="BS148" s="97"/>
      <c r="BT148" s="97"/>
      <c r="BU148" s="97"/>
      <c r="BV148" s="97"/>
    </row>
    <row r="149" spans="2:74" ht="15.75" customHeight="1">
      <c r="B149" s="93"/>
      <c r="C149" s="94"/>
      <c r="D149" s="95"/>
      <c r="F149" s="96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8"/>
      <c r="S149" s="97"/>
      <c r="T149" s="99"/>
      <c r="U149" s="99"/>
      <c r="V149" s="99"/>
      <c r="W149" s="97"/>
      <c r="X149" s="97"/>
      <c r="Y149" s="97"/>
      <c r="AC149" s="97"/>
      <c r="AD149" s="97"/>
      <c r="AE149" s="97"/>
      <c r="AF149" s="97"/>
      <c r="AG149" s="97"/>
      <c r="AH149" s="97"/>
      <c r="AI149" s="97"/>
      <c r="AJ149" s="97"/>
      <c r="AK149" s="97"/>
      <c r="AL149" s="97"/>
      <c r="AM149" s="97"/>
      <c r="AN149" s="97"/>
      <c r="AO149" s="97"/>
      <c r="AP149" s="97"/>
      <c r="AQ149" s="97"/>
      <c r="AR149" s="97"/>
      <c r="AS149" s="97"/>
      <c r="AT149" s="97"/>
      <c r="AU149" s="97"/>
      <c r="AV149" s="97"/>
      <c r="AW149" s="97"/>
      <c r="AX149" s="97"/>
      <c r="AY149" s="97"/>
      <c r="AZ149" s="97"/>
      <c r="BA149" s="97"/>
      <c r="BB149" s="97"/>
      <c r="BC149" s="97"/>
      <c r="BD149" s="97"/>
      <c r="BE149" s="97"/>
      <c r="BF149" s="97"/>
      <c r="BG149" s="97"/>
      <c r="BH149" s="97"/>
      <c r="BI149" s="97"/>
      <c r="BJ149" s="97"/>
      <c r="BK149" s="97"/>
      <c r="BL149" s="97"/>
      <c r="BM149" s="97"/>
      <c r="BN149" s="97"/>
      <c r="BO149" s="97"/>
      <c r="BP149" s="97"/>
      <c r="BQ149" s="97"/>
      <c r="BR149" s="97"/>
      <c r="BS149" s="97"/>
      <c r="BT149" s="97"/>
      <c r="BU149" s="97"/>
      <c r="BV149" s="97"/>
    </row>
    <row r="150" spans="2:74" ht="15.75" customHeight="1">
      <c r="B150" s="93"/>
      <c r="C150" s="94"/>
      <c r="D150" s="95"/>
      <c r="F150" s="96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8"/>
      <c r="S150" s="97"/>
      <c r="T150" s="99"/>
      <c r="U150" s="99"/>
      <c r="V150" s="99"/>
      <c r="W150" s="97"/>
      <c r="X150" s="97"/>
      <c r="Y150" s="97"/>
      <c r="AC150" s="97"/>
      <c r="AD150" s="97"/>
      <c r="AE150" s="97"/>
      <c r="AF150" s="97"/>
      <c r="AG150" s="97"/>
      <c r="AH150" s="97"/>
      <c r="AI150" s="97"/>
      <c r="AJ150" s="97"/>
      <c r="AK150" s="97"/>
      <c r="AL150" s="97"/>
      <c r="AM150" s="97"/>
      <c r="AN150" s="97"/>
      <c r="AO150" s="97"/>
      <c r="AP150" s="97"/>
      <c r="AQ150" s="97"/>
      <c r="AR150" s="97"/>
      <c r="AS150" s="97"/>
      <c r="AT150" s="97"/>
      <c r="AU150" s="97"/>
      <c r="AV150" s="97"/>
      <c r="AW150" s="97"/>
      <c r="AX150" s="97"/>
      <c r="AY150" s="97"/>
      <c r="AZ150" s="97"/>
      <c r="BA150" s="97"/>
      <c r="BB150" s="97"/>
      <c r="BC150" s="97"/>
      <c r="BD150" s="97"/>
      <c r="BE150" s="97"/>
      <c r="BF150" s="97"/>
      <c r="BG150" s="97"/>
      <c r="BH150" s="97"/>
      <c r="BI150" s="97"/>
      <c r="BJ150" s="97"/>
      <c r="BK150" s="97"/>
      <c r="BL150" s="97"/>
      <c r="BM150" s="97"/>
      <c r="BN150" s="97"/>
      <c r="BO150" s="97"/>
      <c r="BP150" s="97"/>
      <c r="BQ150" s="97"/>
      <c r="BR150" s="97"/>
      <c r="BS150" s="97"/>
      <c r="BT150" s="97"/>
      <c r="BU150" s="97"/>
      <c r="BV150" s="97"/>
    </row>
    <row r="151" spans="2:74" ht="15.75" customHeight="1">
      <c r="B151" s="93"/>
      <c r="C151" s="94"/>
      <c r="D151" s="95"/>
      <c r="F151" s="96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8"/>
      <c r="S151" s="97"/>
      <c r="T151" s="99"/>
      <c r="U151" s="99"/>
      <c r="V151" s="99"/>
      <c r="W151" s="97"/>
      <c r="X151" s="97"/>
      <c r="Y151" s="97"/>
      <c r="AC151" s="97"/>
      <c r="AD151" s="97"/>
      <c r="AE151" s="97"/>
      <c r="AF151" s="97"/>
      <c r="AG151" s="97"/>
      <c r="AH151" s="97"/>
      <c r="AI151" s="97"/>
      <c r="AJ151" s="97"/>
      <c r="AK151" s="97"/>
      <c r="AL151" s="97"/>
      <c r="AM151" s="97"/>
      <c r="AN151" s="97"/>
      <c r="AO151" s="97"/>
      <c r="AP151" s="97"/>
      <c r="AQ151" s="97"/>
      <c r="AR151" s="97"/>
      <c r="AS151" s="97"/>
      <c r="AT151" s="97"/>
      <c r="AU151" s="97"/>
      <c r="AV151" s="97"/>
      <c r="AW151" s="97"/>
      <c r="AX151" s="97"/>
      <c r="AY151" s="97"/>
      <c r="AZ151" s="97"/>
      <c r="BA151" s="97"/>
      <c r="BB151" s="97"/>
      <c r="BC151" s="97"/>
      <c r="BD151" s="97"/>
      <c r="BE151" s="97"/>
      <c r="BF151" s="97"/>
      <c r="BG151" s="97"/>
      <c r="BH151" s="97"/>
      <c r="BI151" s="97"/>
      <c r="BJ151" s="97"/>
      <c r="BK151" s="97"/>
      <c r="BL151" s="97"/>
      <c r="BM151" s="97"/>
      <c r="BN151" s="97"/>
      <c r="BO151" s="97"/>
      <c r="BP151" s="97"/>
      <c r="BQ151" s="97"/>
      <c r="BR151" s="97"/>
      <c r="BS151" s="97"/>
      <c r="BT151" s="97"/>
      <c r="BU151" s="97"/>
      <c r="BV151" s="97"/>
    </row>
    <row r="152" spans="2:74" ht="15.75" customHeight="1">
      <c r="B152" s="93"/>
      <c r="C152" s="94"/>
      <c r="D152" s="95"/>
      <c r="F152" s="96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8"/>
      <c r="S152" s="97"/>
      <c r="T152" s="99"/>
      <c r="U152" s="99"/>
      <c r="V152" s="99"/>
      <c r="W152" s="97"/>
      <c r="X152" s="97"/>
      <c r="Y152" s="97"/>
      <c r="AC152" s="97"/>
      <c r="AD152" s="97"/>
      <c r="AE152" s="97"/>
      <c r="AF152" s="97"/>
      <c r="AG152" s="97"/>
      <c r="AH152" s="97"/>
      <c r="AI152" s="97"/>
      <c r="AJ152" s="97"/>
      <c r="AK152" s="97"/>
      <c r="AL152" s="97"/>
      <c r="AM152" s="97"/>
      <c r="AN152" s="97"/>
      <c r="AO152" s="97"/>
      <c r="AP152" s="97"/>
      <c r="AQ152" s="97"/>
      <c r="AR152" s="97"/>
      <c r="AS152" s="97"/>
      <c r="AT152" s="97"/>
      <c r="AU152" s="97"/>
      <c r="AV152" s="97"/>
      <c r="AW152" s="97"/>
      <c r="AX152" s="97"/>
      <c r="AY152" s="97"/>
      <c r="AZ152" s="97"/>
      <c r="BA152" s="97"/>
      <c r="BB152" s="97"/>
      <c r="BC152" s="97"/>
      <c r="BD152" s="97"/>
      <c r="BE152" s="97"/>
      <c r="BF152" s="97"/>
      <c r="BG152" s="97"/>
      <c r="BH152" s="97"/>
      <c r="BI152" s="97"/>
      <c r="BJ152" s="97"/>
      <c r="BK152" s="97"/>
      <c r="BL152" s="97"/>
      <c r="BM152" s="97"/>
      <c r="BN152" s="97"/>
      <c r="BO152" s="97"/>
      <c r="BP152" s="97"/>
      <c r="BQ152" s="97"/>
      <c r="BR152" s="97"/>
      <c r="BS152" s="97"/>
      <c r="BT152" s="97"/>
      <c r="BU152" s="97"/>
      <c r="BV152" s="97"/>
    </row>
    <row r="153" spans="2:74" ht="15.75" customHeight="1">
      <c r="B153" s="93"/>
      <c r="C153" s="94"/>
      <c r="D153" s="95"/>
      <c r="F153" s="96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8"/>
      <c r="S153" s="97"/>
      <c r="T153" s="99"/>
      <c r="U153" s="99"/>
      <c r="V153" s="99"/>
      <c r="W153" s="97"/>
      <c r="X153" s="97"/>
      <c r="Y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  <c r="AR153" s="97"/>
      <c r="AS153" s="97"/>
      <c r="AT153" s="97"/>
      <c r="AU153" s="97"/>
      <c r="AV153" s="97"/>
      <c r="AW153" s="97"/>
      <c r="AX153" s="97"/>
      <c r="AY153" s="97"/>
      <c r="AZ153" s="97"/>
      <c r="BA153" s="97"/>
      <c r="BB153" s="97"/>
      <c r="BC153" s="97"/>
      <c r="BD153" s="97"/>
      <c r="BE153" s="97"/>
      <c r="BF153" s="97"/>
      <c r="BG153" s="97"/>
      <c r="BH153" s="97"/>
      <c r="BI153" s="97"/>
      <c r="BJ153" s="97"/>
      <c r="BK153" s="97"/>
      <c r="BL153" s="97"/>
      <c r="BM153" s="97"/>
      <c r="BN153" s="97"/>
      <c r="BO153" s="97"/>
      <c r="BP153" s="97"/>
      <c r="BQ153" s="97"/>
      <c r="BR153" s="97"/>
      <c r="BS153" s="97"/>
      <c r="BT153" s="97"/>
      <c r="BU153" s="97"/>
      <c r="BV153" s="97"/>
    </row>
    <row r="154" spans="2:74" ht="15.75" customHeight="1">
      <c r="B154" s="93"/>
      <c r="C154" s="94"/>
      <c r="D154" s="95"/>
      <c r="F154" s="96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8"/>
      <c r="S154" s="97"/>
      <c r="T154" s="99"/>
      <c r="U154" s="99"/>
      <c r="V154" s="99"/>
      <c r="W154" s="97"/>
      <c r="X154" s="97"/>
      <c r="Y154" s="97"/>
      <c r="AC154" s="97"/>
      <c r="AD154" s="97"/>
      <c r="AE154" s="97"/>
      <c r="AF154" s="97"/>
      <c r="AG154" s="97"/>
      <c r="AH154" s="97"/>
      <c r="AI154" s="97"/>
      <c r="AJ154" s="97"/>
      <c r="AK154" s="97"/>
      <c r="AL154" s="97"/>
      <c r="AM154" s="97"/>
      <c r="AN154" s="97"/>
      <c r="AO154" s="97"/>
      <c r="AP154" s="97"/>
      <c r="AQ154" s="97"/>
      <c r="AR154" s="97"/>
      <c r="AS154" s="97"/>
      <c r="AT154" s="97"/>
      <c r="AU154" s="97"/>
      <c r="AV154" s="97"/>
      <c r="AW154" s="97"/>
      <c r="AX154" s="97"/>
      <c r="AY154" s="97"/>
      <c r="AZ154" s="97"/>
      <c r="BA154" s="97"/>
      <c r="BB154" s="97"/>
      <c r="BC154" s="97"/>
      <c r="BD154" s="97"/>
      <c r="BE154" s="97"/>
      <c r="BF154" s="97"/>
      <c r="BG154" s="97"/>
      <c r="BH154" s="97"/>
      <c r="BI154" s="97"/>
      <c r="BJ154" s="97"/>
      <c r="BK154" s="97"/>
      <c r="BL154" s="97"/>
      <c r="BM154" s="97"/>
      <c r="BN154" s="97"/>
      <c r="BO154" s="97"/>
      <c r="BP154" s="97"/>
      <c r="BQ154" s="97"/>
      <c r="BR154" s="97"/>
      <c r="BS154" s="97"/>
      <c r="BT154" s="97"/>
      <c r="BU154" s="97"/>
      <c r="BV154" s="97"/>
    </row>
    <row r="155" spans="2:74" ht="15.75" customHeight="1">
      <c r="B155" s="93"/>
      <c r="C155" s="94"/>
      <c r="D155" s="95"/>
      <c r="F155" s="96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8"/>
      <c r="S155" s="97"/>
      <c r="T155" s="99"/>
      <c r="U155" s="99"/>
      <c r="V155" s="99"/>
      <c r="W155" s="97"/>
      <c r="X155" s="97"/>
      <c r="Y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  <c r="AM155" s="97"/>
      <c r="AN155" s="97"/>
      <c r="AO155" s="97"/>
      <c r="AP155" s="97"/>
      <c r="AQ155" s="97"/>
      <c r="AR155" s="97"/>
      <c r="AS155" s="97"/>
      <c r="AT155" s="97"/>
      <c r="AU155" s="97"/>
      <c r="AV155" s="97"/>
      <c r="AW155" s="97"/>
      <c r="AX155" s="97"/>
      <c r="AY155" s="97"/>
      <c r="AZ155" s="97"/>
      <c r="BA155" s="97"/>
      <c r="BB155" s="97"/>
      <c r="BC155" s="97"/>
      <c r="BD155" s="97"/>
      <c r="BE155" s="97"/>
      <c r="BF155" s="97"/>
      <c r="BG155" s="97"/>
      <c r="BH155" s="97"/>
      <c r="BI155" s="97"/>
      <c r="BJ155" s="97"/>
      <c r="BK155" s="97"/>
      <c r="BL155" s="97"/>
      <c r="BM155" s="97"/>
      <c r="BN155" s="97"/>
      <c r="BO155" s="97"/>
      <c r="BP155" s="97"/>
      <c r="BQ155" s="97"/>
      <c r="BR155" s="97"/>
      <c r="BS155" s="97"/>
      <c r="BT155" s="97"/>
      <c r="BU155" s="97"/>
      <c r="BV155" s="97"/>
    </row>
    <row r="156" spans="2:74" ht="15.75" customHeight="1">
      <c r="B156" s="93"/>
      <c r="C156" s="94"/>
      <c r="D156" s="95"/>
      <c r="F156" s="96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8"/>
      <c r="S156" s="97"/>
      <c r="T156" s="99"/>
      <c r="U156" s="99"/>
      <c r="V156" s="99"/>
      <c r="W156" s="97"/>
      <c r="X156" s="97"/>
      <c r="Y156" s="97"/>
      <c r="AC156" s="97"/>
      <c r="AD156" s="97"/>
      <c r="AE156" s="97"/>
      <c r="AF156" s="97"/>
      <c r="AG156" s="97"/>
      <c r="AH156" s="97"/>
      <c r="AI156" s="97"/>
      <c r="AJ156" s="97"/>
      <c r="AK156" s="97"/>
      <c r="AL156" s="97"/>
      <c r="AM156" s="97"/>
      <c r="AN156" s="97"/>
      <c r="AO156" s="97"/>
      <c r="AP156" s="97"/>
      <c r="AQ156" s="97"/>
      <c r="AR156" s="97"/>
      <c r="AS156" s="97"/>
      <c r="AT156" s="97"/>
      <c r="AU156" s="97"/>
      <c r="AV156" s="97"/>
      <c r="AW156" s="97"/>
      <c r="AX156" s="97"/>
      <c r="AY156" s="97"/>
      <c r="AZ156" s="97"/>
      <c r="BA156" s="97"/>
      <c r="BB156" s="97"/>
      <c r="BC156" s="97"/>
      <c r="BD156" s="97"/>
      <c r="BE156" s="97"/>
      <c r="BF156" s="97"/>
      <c r="BG156" s="97"/>
      <c r="BH156" s="97"/>
      <c r="BI156" s="97"/>
      <c r="BJ156" s="97"/>
      <c r="BK156" s="97"/>
      <c r="BL156" s="97"/>
      <c r="BM156" s="97"/>
      <c r="BN156" s="97"/>
      <c r="BO156" s="97"/>
      <c r="BP156" s="97"/>
      <c r="BQ156" s="97"/>
      <c r="BR156" s="97"/>
      <c r="BS156" s="97"/>
      <c r="BT156" s="97"/>
      <c r="BU156" s="97"/>
      <c r="BV156" s="97"/>
    </row>
    <row r="157" spans="2:74" ht="15.75" customHeight="1">
      <c r="B157" s="93"/>
      <c r="C157" s="94"/>
      <c r="D157" s="95"/>
      <c r="F157" s="96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8"/>
      <c r="S157" s="97"/>
      <c r="T157" s="99"/>
      <c r="U157" s="99"/>
      <c r="V157" s="99"/>
      <c r="W157" s="97"/>
      <c r="X157" s="97"/>
      <c r="Y157" s="97"/>
      <c r="AC157" s="97"/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7"/>
      <c r="AQ157" s="97"/>
      <c r="AR157" s="97"/>
      <c r="AS157" s="97"/>
      <c r="AT157" s="97"/>
      <c r="AU157" s="97"/>
      <c r="AV157" s="97"/>
      <c r="AW157" s="97"/>
      <c r="AX157" s="97"/>
      <c r="AY157" s="97"/>
      <c r="AZ157" s="97"/>
      <c r="BA157" s="97"/>
      <c r="BB157" s="97"/>
      <c r="BC157" s="97"/>
      <c r="BD157" s="97"/>
      <c r="BE157" s="97"/>
      <c r="BF157" s="97"/>
      <c r="BG157" s="97"/>
      <c r="BH157" s="97"/>
      <c r="BI157" s="97"/>
      <c r="BJ157" s="97"/>
      <c r="BK157" s="97"/>
      <c r="BL157" s="97"/>
      <c r="BM157" s="97"/>
      <c r="BN157" s="97"/>
      <c r="BO157" s="97"/>
      <c r="BP157" s="97"/>
      <c r="BQ157" s="97"/>
      <c r="BR157" s="97"/>
      <c r="BS157" s="97"/>
      <c r="BT157" s="97"/>
      <c r="BU157" s="97"/>
      <c r="BV157" s="97"/>
    </row>
    <row r="158" spans="2:74" ht="15.75" customHeight="1">
      <c r="B158" s="93"/>
      <c r="C158" s="94"/>
      <c r="D158" s="95"/>
      <c r="F158" s="96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8"/>
      <c r="S158" s="97"/>
      <c r="T158" s="99"/>
      <c r="U158" s="99"/>
      <c r="V158" s="99"/>
      <c r="W158" s="97"/>
      <c r="X158" s="97"/>
      <c r="Y158" s="97"/>
      <c r="AC158" s="97"/>
      <c r="AD158" s="97"/>
      <c r="AE158" s="97"/>
      <c r="AF158" s="97"/>
      <c r="AG158" s="97"/>
      <c r="AH158" s="97"/>
      <c r="AI158" s="97"/>
      <c r="AJ158" s="97"/>
      <c r="AK158" s="97"/>
      <c r="AL158" s="97"/>
      <c r="AM158" s="97"/>
      <c r="AN158" s="97"/>
      <c r="AO158" s="97"/>
      <c r="AP158" s="97"/>
      <c r="AQ158" s="97"/>
      <c r="AR158" s="97"/>
      <c r="AS158" s="97"/>
      <c r="AT158" s="97"/>
      <c r="AU158" s="97"/>
      <c r="AV158" s="97"/>
      <c r="AW158" s="97"/>
      <c r="AX158" s="97"/>
      <c r="AY158" s="97"/>
      <c r="AZ158" s="97"/>
      <c r="BA158" s="97"/>
      <c r="BB158" s="97"/>
      <c r="BC158" s="97"/>
      <c r="BD158" s="97"/>
      <c r="BE158" s="97"/>
      <c r="BF158" s="97"/>
      <c r="BG158" s="97"/>
      <c r="BH158" s="97"/>
      <c r="BI158" s="97"/>
      <c r="BJ158" s="97"/>
      <c r="BK158" s="97"/>
      <c r="BL158" s="97"/>
      <c r="BM158" s="97"/>
      <c r="BN158" s="97"/>
      <c r="BO158" s="97"/>
      <c r="BP158" s="97"/>
      <c r="BQ158" s="97"/>
      <c r="BR158" s="97"/>
      <c r="BS158" s="97"/>
      <c r="BT158" s="97"/>
      <c r="BU158" s="97"/>
      <c r="BV158" s="97"/>
    </row>
    <row r="159" spans="2:74" ht="15.75" customHeight="1">
      <c r="B159" s="93"/>
      <c r="C159" s="94"/>
      <c r="D159" s="95"/>
      <c r="F159" s="96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8"/>
      <c r="S159" s="97"/>
      <c r="T159" s="99"/>
      <c r="U159" s="99"/>
      <c r="V159" s="99"/>
      <c r="W159" s="97"/>
      <c r="X159" s="97"/>
      <c r="Y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/>
      <c r="AP159" s="97"/>
      <c r="AQ159" s="97"/>
      <c r="AR159" s="97"/>
      <c r="AS159" s="97"/>
      <c r="AT159" s="97"/>
      <c r="AU159" s="97"/>
      <c r="AV159" s="97"/>
      <c r="AW159" s="97"/>
      <c r="AX159" s="97"/>
      <c r="AY159" s="97"/>
      <c r="AZ159" s="97"/>
      <c r="BA159" s="97"/>
      <c r="BB159" s="97"/>
      <c r="BC159" s="97"/>
      <c r="BD159" s="97"/>
      <c r="BE159" s="97"/>
      <c r="BF159" s="97"/>
      <c r="BG159" s="97"/>
      <c r="BH159" s="97"/>
      <c r="BI159" s="97"/>
      <c r="BJ159" s="97"/>
      <c r="BK159" s="97"/>
      <c r="BL159" s="97"/>
      <c r="BM159" s="97"/>
      <c r="BN159" s="97"/>
      <c r="BO159" s="97"/>
      <c r="BP159" s="97"/>
      <c r="BQ159" s="97"/>
      <c r="BR159" s="97"/>
      <c r="BS159" s="97"/>
      <c r="BT159" s="97"/>
      <c r="BU159" s="97"/>
      <c r="BV159" s="97"/>
    </row>
    <row r="160" spans="2:74" ht="15.75" customHeight="1">
      <c r="B160" s="93"/>
      <c r="C160" s="94"/>
      <c r="D160" s="95"/>
      <c r="F160" s="96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8"/>
      <c r="S160" s="97"/>
      <c r="T160" s="99"/>
      <c r="U160" s="99"/>
      <c r="V160" s="99"/>
      <c r="W160" s="97"/>
      <c r="X160" s="97"/>
      <c r="Y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  <c r="AM160" s="97"/>
      <c r="AN160" s="97"/>
      <c r="AO160" s="97"/>
      <c r="AP160" s="97"/>
      <c r="AQ160" s="97"/>
      <c r="AR160" s="97"/>
      <c r="AS160" s="97"/>
      <c r="AT160" s="97"/>
      <c r="AU160" s="97"/>
      <c r="AV160" s="97"/>
      <c r="AW160" s="97"/>
      <c r="AX160" s="97"/>
      <c r="AY160" s="97"/>
      <c r="AZ160" s="97"/>
      <c r="BA160" s="97"/>
      <c r="BB160" s="97"/>
      <c r="BC160" s="97"/>
      <c r="BD160" s="97"/>
      <c r="BE160" s="97"/>
      <c r="BF160" s="97"/>
      <c r="BG160" s="97"/>
      <c r="BH160" s="97"/>
      <c r="BI160" s="97"/>
      <c r="BJ160" s="97"/>
      <c r="BK160" s="97"/>
      <c r="BL160" s="97"/>
      <c r="BM160" s="97"/>
      <c r="BN160" s="97"/>
      <c r="BO160" s="97"/>
      <c r="BP160" s="97"/>
      <c r="BQ160" s="97"/>
      <c r="BR160" s="97"/>
      <c r="BS160" s="97"/>
      <c r="BT160" s="97"/>
      <c r="BU160" s="97"/>
      <c r="BV160" s="97"/>
    </row>
    <row r="161" spans="2:74" ht="15.75" customHeight="1">
      <c r="B161" s="93"/>
      <c r="C161" s="94"/>
      <c r="D161" s="95"/>
      <c r="F161" s="96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8"/>
      <c r="S161" s="97"/>
      <c r="T161" s="99"/>
      <c r="U161" s="99"/>
      <c r="V161" s="99"/>
      <c r="W161" s="97"/>
      <c r="X161" s="97"/>
      <c r="Y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97"/>
      <c r="AO161" s="97"/>
      <c r="AP161" s="97"/>
      <c r="AQ161" s="97"/>
      <c r="AR161" s="97"/>
      <c r="AS161" s="97"/>
      <c r="AT161" s="97"/>
      <c r="AU161" s="97"/>
      <c r="AV161" s="97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</row>
    <row r="162" spans="2:74" ht="15.75" customHeight="1">
      <c r="B162" s="93"/>
      <c r="C162" s="94"/>
      <c r="D162" s="95"/>
      <c r="F162" s="96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8"/>
      <c r="S162" s="97"/>
      <c r="T162" s="99"/>
      <c r="U162" s="99"/>
      <c r="V162" s="99"/>
      <c r="W162" s="97"/>
      <c r="X162" s="97"/>
      <c r="Y162" s="97"/>
      <c r="AC162" s="97"/>
      <c r="AD162" s="97"/>
      <c r="AE162" s="97"/>
      <c r="AF162" s="97"/>
      <c r="AG162" s="97"/>
      <c r="AH162" s="97"/>
      <c r="AI162" s="97"/>
      <c r="AJ162" s="97"/>
      <c r="AK162" s="97"/>
      <c r="AL162" s="97"/>
      <c r="AM162" s="97"/>
      <c r="AN162" s="97"/>
      <c r="AO162" s="97"/>
      <c r="AP162" s="97"/>
      <c r="AQ162" s="97"/>
      <c r="AR162" s="97"/>
      <c r="AS162" s="97"/>
      <c r="AT162" s="97"/>
      <c r="AU162" s="97"/>
      <c r="AV162" s="97"/>
      <c r="AW162" s="97"/>
      <c r="AX162" s="97"/>
      <c r="AY162" s="97"/>
      <c r="AZ162" s="97"/>
      <c r="BA162" s="97"/>
      <c r="BB162" s="97"/>
      <c r="BC162" s="97"/>
      <c r="BD162" s="97"/>
      <c r="BE162" s="97"/>
      <c r="BF162" s="97"/>
      <c r="BG162" s="97"/>
      <c r="BH162" s="97"/>
      <c r="BI162" s="97"/>
      <c r="BJ162" s="97"/>
      <c r="BK162" s="97"/>
      <c r="BL162" s="97"/>
      <c r="BM162" s="97"/>
      <c r="BN162" s="97"/>
      <c r="BO162" s="97"/>
      <c r="BP162" s="97"/>
      <c r="BQ162" s="97"/>
      <c r="BR162" s="97"/>
      <c r="BS162" s="97"/>
      <c r="BT162" s="97"/>
      <c r="BU162" s="97"/>
      <c r="BV162" s="97"/>
    </row>
    <row r="163" spans="2:74" ht="15.75" customHeight="1">
      <c r="B163" s="93"/>
      <c r="C163" s="94"/>
      <c r="D163" s="95"/>
      <c r="F163" s="96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8"/>
      <c r="S163" s="97"/>
      <c r="T163" s="99"/>
      <c r="U163" s="99"/>
      <c r="V163" s="99"/>
      <c r="W163" s="97"/>
      <c r="X163" s="97"/>
      <c r="Y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  <c r="AT163" s="97"/>
      <c r="AU163" s="97"/>
      <c r="AV163" s="97"/>
      <c r="AW163" s="97"/>
      <c r="AX163" s="97"/>
      <c r="AY163" s="97"/>
      <c r="AZ163" s="97"/>
      <c r="BA163" s="97"/>
      <c r="BB163" s="97"/>
      <c r="BC163" s="97"/>
      <c r="BD163" s="97"/>
      <c r="BE163" s="97"/>
      <c r="BF163" s="97"/>
      <c r="BG163" s="97"/>
      <c r="BH163" s="97"/>
      <c r="BI163" s="97"/>
      <c r="BJ163" s="97"/>
      <c r="BK163" s="97"/>
      <c r="BL163" s="97"/>
      <c r="BM163" s="97"/>
      <c r="BN163" s="97"/>
      <c r="BO163" s="97"/>
      <c r="BP163" s="97"/>
      <c r="BQ163" s="97"/>
      <c r="BR163" s="97"/>
      <c r="BS163" s="97"/>
      <c r="BT163" s="97"/>
      <c r="BU163" s="97"/>
      <c r="BV163" s="97"/>
    </row>
    <row r="164" spans="2:74" ht="15.75" customHeight="1">
      <c r="B164" s="93"/>
      <c r="C164" s="94"/>
      <c r="D164" s="95"/>
      <c r="F164" s="96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8"/>
      <c r="S164" s="97"/>
      <c r="T164" s="99"/>
      <c r="U164" s="99"/>
      <c r="V164" s="99"/>
      <c r="W164" s="97"/>
      <c r="X164" s="97"/>
      <c r="Y164" s="97"/>
      <c r="AC164" s="97"/>
      <c r="AD164" s="97"/>
      <c r="AE164" s="97"/>
      <c r="AF164" s="97"/>
      <c r="AG164" s="97"/>
      <c r="AH164" s="97"/>
      <c r="AI164" s="97"/>
      <c r="AJ164" s="97"/>
      <c r="AK164" s="97"/>
      <c r="AL164" s="97"/>
      <c r="AM164" s="97"/>
      <c r="AN164" s="97"/>
      <c r="AO164" s="97"/>
      <c r="AP164" s="97"/>
      <c r="AQ164" s="97"/>
      <c r="AR164" s="97"/>
      <c r="AS164" s="97"/>
      <c r="AT164" s="97"/>
      <c r="AU164" s="97"/>
      <c r="AV164" s="97"/>
      <c r="AW164" s="97"/>
      <c r="AX164" s="97"/>
      <c r="AY164" s="97"/>
      <c r="AZ164" s="97"/>
      <c r="BA164" s="97"/>
      <c r="BB164" s="97"/>
      <c r="BC164" s="97"/>
      <c r="BD164" s="97"/>
      <c r="BE164" s="97"/>
      <c r="BF164" s="97"/>
      <c r="BG164" s="97"/>
      <c r="BH164" s="97"/>
      <c r="BI164" s="97"/>
      <c r="BJ164" s="97"/>
      <c r="BK164" s="97"/>
      <c r="BL164" s="97"/>
      <c r="BM164" s="97"/>
      <c r="BN164" s="97"/>
      <c r="BO164" s="97"/>
      <c r="BP164" s="97"/>
      <c r="BQ164" s="97"/>
      <c r="BR164" s="97"/>
      <c r="BS164" s="97"/>
      <c r="BT164" s="97"/>
      <c r="BU164" s="97"/>
      <c r="BV164" s="97"/>
    </row>
    <row r="165" spans="2:74" ht="15.75" customHeight="1">
      <c r="B165" s="93"/>
      <c r="C165" s="94"/>
      <c r="D165" s="95"/>
      <c r="F165" s="96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8"/>
      <c r="S165" s="97"/>
      <c r="T165" s="99"/>
      <c r="U165" s="99"/>
      <c r="V165" s="99"/>
      <c r="W165" s="97"/>
      <c r="X165" s="97"/>
      <c r="Y165" s="97"/>
      <c r="AC165" s="97"/>
      <c r="AD165" s="97"/>
      <c r="AE165" s="97"/>
      <c r="AF165" s="97"/>
      <c r="AG165" s="97"/>
      <c r="AH165" s="97"/>
      <c r="AI165" s="97"/>
      <c r="AJ165" s="97"/>
      <c r="AK165" s="97"/>
      <c r="AL165" s="97"/>
      <c r="AM165" s="97"/>
      <c r="AN165" s="97"/>
      <c r="AO165" s="97"/>
      <c r="AP165" s="97"/>
      <c r="AQ165" s="97"/>
      <c r="AR165" s="97"/>
      <c r="AS165" s="97"/>
      <c r="AT165" s="97"/>
      <c r="AU165" s="97"/>
      <c r="AV165" s="97"/>
      <c r="AW165" s="97"/>
      <c r="AX165" s="97"/>
      <c r="AY165" s="97"/>
      <c r="AZ165" s="97"/>
      <c r="BA165" s="97"/>
      <c r="BB165" s="97"/>
      <c r="BC165" s="97"/>
      <c r="BD165" s="97"/>
      <c r="BE165" s="97"/>
      <c r="BF165" s="97"/>
      <c r="BG165" s="97"/>
      <c r="BH165" s="97"/>
      <c r="BI165" s="97"/>
      <c r="BJ165" s="97"/>
      <c r="BK165" s="97"/>
      <c r="BL165" s="97"/>
      <c r="BM165" s="97"/>
      <c r="BN165" s="97"/>
      <c r="BO165" s="97"/>
      <c r="BP165" s="97"/>
      <c r="BQ165" s="97"/>
      <c r="BR165" s="97"/>
      <c r="BS165" s="97"/>
      <c r="BT165" s="97"/>
      <c r="BU165" s="97"/>
      <c r="BV165" s="97"/>
    </row>
    <row r="166" spans="2:74" ht="15.75" customHeight="1">
      <c r="B166" s="93"/>
      <c r="C166" s="94"/>
      <c r="D166" s="95"/>
      <c r="F166" s="96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8"/>
      <c r="S166" s="97"/>
      <c r="T166" s="99"/>
      <c r="U166" s="99"/>
      <c r="V166" s="99"/>
      <c r="W166" s="97"/>
      <c r="X166" s="97"/>
      <c r="Y166" s="97"/>
      <c r="AC166" s="97"/>
      <c r="AD166" s="97"/>
      <c r="AE166" s="97"/>
      <c r="AF166" s="97"/>
      <c r="AG166" s="97"/>
      <c r="AH166" s="97"/>
      <c r="AI166" s="97"/>
      <c r="AJ166" s="97"/>
      <c r="AK166" s="97"/>
      <c r="AL166" s="97"/>
      <c r="AM166" s="97"/>
      <c r="AN166" s="97"/>
      <c r="AO166" s="97"/>
      <c r="AP166" s="97"/>
      <c r="AQ166" s="97"/>
      <c r="AR166" s="97"/>
      <c r="AS166" s="97"/>
      <c r="AT166" s="97"/>
      <c r="AU166" s="97"/>
      <c r="AV166" s="97"/>
      <c r="AW166" s="97"/>
      <c r="AX166" s="97"/>
      <c r="AY166" s="97"/>
      <c r="AZ166" s="97"/>
      <c r="BA166" s="97"/>
      <c r="BB166" s="97"/>
      <c r="BC166" s="97"/>
      <c r="BD166" s="97"/>
      <c r="BE166" s="97"/>
      <c r="BF166" s="97"/>
      <c r="BG166" s="97"/>
      <c r="BH166" s="97"/>
      <c r="BI166" s="97"/>
      <c r="BJ166" s="97"/>
      <c r="BK166" s="97"/>
      <c r="BL166" s="97"/>
      <c r="BM166" s="97"/>
      <c r="BN166" s="97"/>
      <c r="BO166" s="97"/>
      <c r="BP166" s="97"/>
      <c r="BQ166" s="97"/>
      <c r="BR166" s="97"/>
      <c r="BS166" s="97"/>
      <c r="BT166" s="97"/>
      <c r="BU166" s="97"/>
      <c r="BV166" s="97"/>
    </row>
    <row r="167" spans="2:74" ht="15.75" customHeight="1">
      <c r="B167" s="93"/>
      <c r="C167" s="94"/>
      <c r="D167" s="95"/>
      <c r="F167" s="96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8"/>
      <c r="S167" s="97"/>
      <c r="T167" s="99"/>
      <c r="U167" s="99"/>
      <c r="V167" s="99"/>
      <c r="W167" s="97"/>
      <c r="X167" s="97"/>
      <c r="Y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7"/>
      <c r="AN167" s="97"/>
      <c r="AO167" s="97"/>
      <c r="AP167" s="97"/>
      <c r="AQ167" s="97"/>
      <c r="AR167" s="97"/>
      <c r="AS167" s="97"/>
      <c r="AT167" s="97"/>
      <c r="AU167" s="97"/>
      <c r="AV167" s="97"/>
      <c r="AW167" s="97"/>
      <c r="AX167" s="97"/>
      <c r="AY167" s="97"/>
      <c r="AZ167" s="97"/>
      <c r="BA167" s="97"/>
      <c r="BB167" s="97"/>
      <c r="BC167" s="97"/>
      <c r="BD167" s="97"/>
      <c r="BE167" s="97"/>
      <c r="BF167" s="97"/>
      <c r="BG167" s="97"/>
      <c r="BH167" s="97"/>
      <c r="BI167" s="97"/>
      <c r="BJ167" s="97"/>
      <c r="BK167" s="97"/>
      <c r="BL167" s="97"/>
      <c r="BM167" s="97"/>
      <c r="BN167" s="97"/>
      <c r="BO167" s="97"/>
      <c r="BP167" s="97"/>
      <c r="BQ167" s="97"/>
      <c r="BR167" s="97"/>
      <c r="BS167" s="97"/>
      <c r="BT167" s="97"/>
      <c r="BU167" s="97"/>
      <c r="BV167" s="97"/>
    </row>
    <row r="168" spans="2:74" ht="15.75" customHeight="1">
      <c r="B168" s="93"/>
      <c r="C168" s="94"/>
      <c r="D168" s="95"/>
      <c r="F168" s="96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8"/>
      <c r="S168" s="97"/>
      <c r="T168" s="99"/>
      <c r="U168" s="99"/>
      <c r="V168" s="99"/>
      <c r="W168" s="97"/>
      <c r="X168" s="97"/>
      <c r="Y168" s="97"/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  <c r="AM168" s="97"/>
      <c r="AN168" s="97"/>
      <c r="AO168" s="97"/>
      <c r="AP168" s="97"/>
      <c r="AQ168" s="97"/>
      <c r="AR168" s="97"/>
      <c r="AS168" s="97"/>
      <c r="AT168" s="97"/>
      <c r="AU168" s="97"/>
      <c r="AV168" s="97"/>
      <c r="AW168" s="97"/>
      <c r="AX168" s="97"/>
      <c r="AY168" s="97"/>
      <c r="AZ168" s="97"/>
      <c r="BA168" s="97"/>
      <c r="BB168" s="97"/>
      <c r="BC168" s="97"/>
      <c r="BD168" s="97"/>
      <c r="BE168" s="97"/>
      <c r="BF168" s="97"/>
      <c r="BG168" s="97"/>
      <c r="BH168" s="97"/>
      <c r="BI168" s="97"/>
      <c r="BJ168" s="97"/>
      <c r="BK168" s="97"/>
      <c r="BL168" s="97"/>
      <c r="BM168" s="97"/>
      <c r="BN168" s="97"/>
      <c r="BO168" s="97"/>
      <c r="BP168" s="97"/>
      <c r="BQ168" s="97"/>
      <c r="BR168" s="97"/>
      <c r="BS168" s="97"/>
      <c r="BT168" s="97"/>
      <c r="BU168" s="97"/>
      <c r="BV168" s="97"/>
    </row>
    <row r="169" spans="2:74" ht="15.75" customHeight="1">
      <c r="B169" s="93"/>
      <c r="C169" s="94"/>
      <c r="D169" s="95"/>
      <c r="F169" s="96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8"/>
      <c r="S169" s="97"/>
      <c r="T169" s="99"/>
      <c r="U169" s="99"/>
      <c r="V169" s="99"/>
      <c r="W169" s="97"/>
      <c r="X169" s="97"/>
      <c r="Y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97"/>
      <c r="AT169" s="97"/>
      <c r="AU169" s="97"/>
      <c r="AV169" s="97"/>
      <c r="AW169" s="97"/>
      <c r="AX169" s="97"/>
      <c r="AY169" s="97"/>
      <c r="AZ169" s="97"/>
      <c r="BA169" s="97"/>
      <c r="BB169" s="97"/>
      <c r="BC169" s="97"/>
      <c r="BD169" s="97"/>
      <c r="BE169" s="97"/>
      <c r="BF169" s="97"/>
      <c r="BG169" s="97"/>
      <c r="BH169" s="97"/>
      <c r="BI169" s="97"/>
      <c r="BJ169" s="97"/>
      <c r="BK169" s="97"/>
      <c r="BL169" s="97"/>
      <c r="BM169" s="97"/>
      <c r="BN169" s="97"/>
      <c r="BO169" s="97"/>
      <c r="BP169" s="97"/>
      <c r="BQ169" s="97"/>
      <c r="BR169" s="97"/>
      <c r="BS169" s="97"/>
      <c r="BT169" s="97"/>
      <c r="BU169" s="97"/>
      <c r="BV169" s="97"/>
    </row>
    <row r="170" spans="2:74" ht="15.75" customHeight="1">
      <c r="B170" s="93"/>
      <c r="C170" s="94"/>
      <c r="D170" s="95"/>
      <c r="F170" s="96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8"/>
      <c r="S170" s="97"/>
      <c r="T170" s="99"/>
      <c r="U170" s="99"/>
      <c r="V170" s="99"/>
      <c r="W170" s="97"/>
      <c r="X170" s="97"/>
      <c r="Y170" s="97"/>
      <c r="AC170" s="97"/>
      <c r="AD170" s="97"/>
      <c r="AE170" s="97"/>
      <c r="AF170" s="97"/>
      <c r="AG170" s="97"/>
      <c r="AH170" s="97"/>
      <c r="AI170" s="97"/>
      <c r="AJ170" s="97"/>
      <c r="AK170" s="97"/>
      <c r="AL170" s="97"/>
      <c r="AM170" s="97"/>
      <c r="AN170" s="97"/>
      <c r="AO170" s="97"/>
      <c r="AP170" s="97"/>
      <c r="AQ170" s="97"/>
      <c r="AR170" s="97"/>
      <c r="AS170" s="97"/>
      <c r="AT170" s="97"/>
      <c r="AU170" s="97"/>
      <c r="AV170" s="97"/>
      <c r="AW170" s="97"/>
      <c r="AX170" s="97"/>
      <c r="AY170" s="97"/>
      <c r="AZ170" s="97"/>
      <c r="BA170" s="97"/>
      <c r="BB170" s="97"/>
      <c r="BC170" s="97"/>
      <c r="BD170" s="97"/>
      <c r="BE170" s="97"/>
      <c r="BF170" s="97"/>
      <c r="BG170" s="97"/>
      <c r="BH170" s="97"/>
      <c r="BI170" s="97"/>
      <c r="BJ170" s="97"/>
      <c r="BK170" s="97"/>
      <c r="BL170" s="97"/>
      <c r="BM170" s="97"/>
      <c r="BN170" s="97"/>
      <c r="BO170" s="97"/>
      <c r="BP170" s="97"/>
      <c r="BQ170" s="97"/>
      <c r="BR170" s="97"/>
      <c r="BS170" s="97"/>
      <c r="BT170" s="97"/>
      <c r="BU170" s="97"/>
      <c r="BV170" s="97"/>
    </row>
    <row r="171" spans="2:74" ht="15.75" customHeight="1">
      <c r="B171" s="93"/>
      <c r="C171" s="94"/>
      <c r="D171" s="95"/>
      <c r="F171" s="96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8"/>
      <c r="S171" s="97"/>
      <c r="T171" s="99"/>
      <c r="U171" s="99"/>
      <c r="V171" s="99"/>
      <c r="W171" s="97"/>
      <c r="X171" s="97"/>
      <c r="Y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  <c r="AM171" s="97"/>
      <c r="AN171" s="97"/>
      <c r="AO171" s="97"/>
      <c r="AP171" s="97"/>
      <c r="AQ171" s="97"/>
      <c r="AR171" s="97"/>
      <c r="AS171" s="97"/>
      <c r="AT171" s="97"/>
      <c r="AU171" s="97"/>
      <c r="AV171" s="97"/>
      <c r="AW171" s="97"/>
      <c r="AX171" s="97"/>
      <c r="AY171" s="97"/>
      <c r="AZ171" s="97"/>
      <c r="BA171" s="97"/>
      <c r="BB171" s="97"/>
      <c r="BC171" s="97"/>
      <c r="BD171" s="97"/>
      <c r="BE171" s="97"/>
      <c r="BF171" s="97"/>
      <c r="BG171" s="97"/>
      <c r="BH171" s="97"/>
      <c r="BI171" s="97"/>
      <c r="BJ171" s="97"/>
      <c r="BK171" s="97"/>
      <c r="BL171" s="97"/>
      <c r="BM171" s="97"/>
      <c r="BN171" s="97"/>
      <c r="BO171" s="97"/>
      <c r="BP171" s="97"/>
      <c r="BQ171" s="97"/>
      <c r="BR171" s="97"/>
      <c r="BS171" s="97"/>
      <c r="BT171" s="97"/>
      <c r="BU171" s="97"/>
      <c r="BV171" s="97"/>
    </row>
    <row r="172" spans="2:74" ht="15.75" customHeight="1">
      <c r="B172" s="93"/>
      <c r="C172" s="94"/>
      <c r="D172" s="95"/>
      <c r="F172" s="96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8"/>
      <c r="S172" s="97"/>
      <c r="T172" s="99"/>
      <c r="U172" s="99"/>
      <c r="V172" s="99"/>
      <c r="W172" s="97"/>
      <c r="X172" s="97"/>
      <c r="Y172" s="97"/>
      <c r="AC172" s="97"/>
      <c r="AD172" s="97"/>
      <c r="AE172" s="97"/>
      <c r="AF172" s="97"/>
      <c r="AG172" s="97"/>
      <c r="AH172" s="97"/>
      <c r="AI172" s="97"/>
      <c r="AJ172" s="97"/>
      <c r="AK172" s="97"/>
      <c r="AL172" s="97"/>
      <c r="AM172" s="97"/>
      <c r="AN172" s="97"/>
      <c r="AO172" s="97"/>
      <c r="AP172" s="97"/>
      <c r="AQ172" s="97"/>
      <c r="AR172" s="97"/>
      <c r="AS172" s="97"/>
      <c r="AT172" s="97"/>
      <c r="AU172" s="97"/>
      <c r="AV172" s="97"/>
      <c r="AW172" s="97"/>
      <c r="AX172" s="97"/>
      <c r="AY172" s="97"/>
      <c r="AZ172" s="97"/>
      <c r="BA172" s="97"/>
      <c r="BB172" s="97"/>
      <c r="BC172" s="97"/>
      <c r="BD172" s="97"/>
      <c r="BE172" s="97"/>
      <c r="BF172" s="97"/>
      <c r="BG172" s="97"/>
      <c r="BH172" s="97"/>
      <c r="BI172" s="97"/>
      <c r="BJ172" s="97"/>
      <c r="BK172" s="97"/>
      <c r="BL172" s="97"/>
      <c r="BM172" s="97"/>
      <c r="BN172" s="97"/>
      <c r="BO172" s="97"/>
      <c r="BP172" s="97"/>
      <c r="BQ172" s="97"/>
      <c r="BR172" s="97"/>
      <c r="BS172" s="97"/>
      <c r="BT172" s="97"/>
      <c r="BU172" s="97"/>
      <c r="BV172" s="97"/>
    </row>
    <row r="173" spans="2:74" ht="15.75" customHeight="1">
      <c r="B173" s="93"/>
      <c r="C173" s="94"/>
      <c r="D173" s="95"/>
      <c r="F173" s="96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8"/>
      <c r="S173" s="97"/>
      <c r="T173" s="99"/>
      <c r="U173" s="99"/>
      <c r="V173" s="99"/>
      <c r="W173" s="97"/>
      <c r="X173" s="97"/>
      <c r="Y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  <c r="AN173" s="97"/>
      <c r="AO173" s="97"/>
      <c r="AP173" s="97"/>
      <c r="AQ173" s="97"/>
      <c r="AR173" s="97"/>
      <c r="AS173" s="97"/>
      <c r="AT173" s="97"/>
      <c r="AU173" s="97"/>
      <c r="AV173" s="97"/>
      <c r="AW173" s="97"/>
      <c r="AX173" s="97"/>
      <c r="AY173" s="97"/>
      <c r="AZ173" s="97"/>
      <c r="BA173" s="97"/>
      <c r="BB173" s="97"/>
      <c r="BC173" s="97"/>
      <c r="BD173" s="97"/>
      <c r="BE173" s="97"/>
      <c r="BF173" s="97"/>
      <c r="BG173" s="97"/>
      <c r="BH173" s="97"/>
      <c r="BI173" s="97"/>
      <c r="BJ173" s="97"/>
      <c r="BK173" s="97"/>
      <c r="BL173" s="97"/>
      <c r="BM173" s="97"/>
      <c r="BN173" s="97"/>
      <c r="BO173" s="97"/>
      <c r="BP173" s="97"/>
      <c r="BQ173" s="97"/>
      <c r="BR173" s="97"/>
      <c r="BS173" s="97"/>
      <c r="BT173" s="97"/>
      <c r="BU173" s="97"/>
      <c r="BV173" s="97"/>
    </row>
    <row r="174" spans="2:74" ht="15.75" customHeight="1">
      <c r="B174" s="93"/>
      <c r="C174" s="94"/>
      <c r="D174" s="95"/>
      <c r="F174" s="96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8"/>
      <c r="S174" s="97"/>
      <c r="T174" s="99"/>
      <c r="U174" s="99"/>
      <c r="V174" s="99"/>
      <c r="W174" s="97"/>
      <c r="X174" s="97"/>
      <c r="Y174" s="97"/>
      <c r="AC174" s="97"/>
      <c r="AD174" s="97"/>
      <c r="AE174" s="97"/>
      <c r="AF174" s="97"/>
      <c r="AG174" s="97"/>
      <c r="AH174" s="97"/>
      <c r="AI174" s="97"/>
      <c r="AJ174" s="97"/>
      <c r="AK174" s="97"/>
      <c r="AL174" s="97"/>
      <c r="AM174" s="97"/>
      <c r="AN174" s="97"/>
      <c r="AO174" s="97"/>
      <c r="AP174" s="97"/>
      <c r="AQ174" s="97"/>
      <c r="AR174" s="97"/>
      <c r="AS174" s="97"/>
      <c r="AT174" s="97"/>
      <c r="AU174" s="97"/>
      <c r="AV174" s="97"/>
      <c r="AW174" s="97"/>
      <c r="AX174" s="97"/>
      <c r="AY174" s="97"/>
      <c r="AZ174" s="97"/>
      <c r="BA174" s="97"/>
      <c r="BB174" s="97"/>
      <c r="BC174" s="97"/>
      <c r="BD174" s="97"/>
      <c r="BE174" s="97"/>
      <c r="BF174" s="97"/>
      <c r="BG174" s="97"/>
      <c r="BH174" s="97"/>
      <c r="BI174" s="97"/>
      <c r="BJ174" s="97"/>
      <c r="BK174" s="97"/>
      <c r="BL174" s="97"/>
      <c r="BM174" s="97"/>
      <c r="BN174" s="97"/>
      <c r="BO174" s="97"/>
      <c r="BP174" s="97"/>
      <c r="BQ174" s="97"/>
      <c r="BR174" s="97"/>
      <c r="BS174" s="97"/>
      <c r="BT174" s="97"/>
      <c r="BU174" s="97"/>
      <c r="BV174" s="97"/>
    </row>
    <row r="175" spans="2:74" ht="15.75" customHeight="1">
      <c r="B175" s="93"/>
      <c r="C175" s="94"/>
      <c r="D175" s="95"/>
      <c r="F175" s="96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8"/>
      <c r="S175" s="97"/>
      <c r="T175" s="99"/>
      <c r="U175" s="99"/>
      <c r="V175" s="99"/>
      <c r="W175" s="97"/>
      <c r="X175" s="97"/>
      <c r="Y175" s="97"/>
      <c r="AC175" s="97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/>
      <c r="AO175" s="97"/>
      <c r="AP175" s="97"/>
      <c r="AQ175" s="97"/>
      <c r="AR175" s="97"/>
      <c r="AS175" s="97"/>
      <c r="AT175" s="97"/>
      <c r="AU175" s="97"/>
      <c r="AV175" s="97"/>
      <c r="AW175" s="97"/>
      <c r="AX175" s="97"/>
      <c r="AY175" s="97"/>
      <c r="AZ175" s="97"/>
      <c r="BA175" s="97"/>
      <c r="BB175" s="97"/>
      <c r="BC175" s="97"/>
      <c r="BD175" s="97"/>
      <c r="BE175" s="97"/>
      <c r="BF175" s="97"/>
      <c r="BG175" s="97"/>
      <c r="BH175" s="97"/>
      <c r="BI175" s="97"/>
      <c r="BJ175" s="97"/>
      <c r="BK175" s="97"/>
      <c r="BL175" s="97"/>
      <c r="BM175" s="97"/>
      <c r="BN175" s="97"/>
      <c r="BO175" s="97"/>
      <c r="BP175" s="97"/>
      <c r="BQ175" s="97"/>
      <c r="BR175" s="97"/>
      <c r="BS175" s="97"/>
      <c r="BT175" s="97"/>
      <c r="BU175" s="97"/>
      <c r="BV175" s="97"/>
    </row>
    <row r="176" spans="2:74" ht="15.75" customHeight="1">
      <c r="B176" s="93"/>
      <c r="C176" s="94"/>
      <c r="D176" s="95"/>
      <c r="F176" s="96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8"/>
      <c r="S176" s="97"/>
      <c r="T176" s="99"/>
      <c r="U176" s="99"/>
      <c r="V176" s="99"/>
      <c r="W176" s="97"/>
      <c r="X176" s="97"/>
      <c r="Y176" s="97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  <c r="AM176" s="97"/>
      <c r="AN176" s="97"/>
      <c r="AO176" s="97"/>
      <c r="AP176" s="97"/>
      <c r="AQ176" s="97"/>
      <c r="AR176" s="97"/>
      <c r="AS176" s="97"/>
      <c r="AT176" s="97"/>
      <c r="AU176" s="97"/>
      <c r="AV176" s="97"/>
      <c r="AW176" s="97"/>
      <c r="AX176" s="97"/>
      <c r="AY176" s="97"/>
      <c r="AZ176" s="97"/>
      <c r="BA176" s="97"/>
      <c r="BB176" s="97"/>
      <c r="BC176" s="97"/>
      <c r="BD176" s="97"/>
      <c r="BE176" s="97"/>
      <c r="BF176" s="97"/>
      <c r="BG176" s="97"/>
      <c r="BH176" s="97"/>
      <c r="BI176" s="97"/>
      <c r="BJ176" s="97"/>
      <c r="BK176" s="97"/>
      <c r="BL176" s="97"/>
      <c r="BM176" s="97"/>
      <c r="BN176" s="97"/>
      <c r="BO176" s="97"/>
      <c r="BP176" s="97"/>
      <c r="BQ176" s="97"/>
      <c r="BR176" s="97"/>
      <c r="BS176" s="97"/>
      <c r="BT176" s="97"/>
      <c r="BU176" s="97"/>
      <c r="BV176" s="97"/>
    </row>
    <row r="177" spans="2:74" ht="15.75" customHeight="1">
      <c r="B177" s="93"/>
      <c r="C177" s="94"/>
      <c r="D177" s="95"/>
      <c r="F177" s="96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8"/>
      <c r="S177" s="97"/>
      <c r="T177" s="99"/>
      <c r="U177" s="99"/>
      <c r="V177" s="99"/>
      <c r="W177" s="97"/>
      <c r="X177" s="97"/>
      <c r="Y177" s="97"/>
      <c r="AC177" s="97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  <c r="AQ177" s="97"/>
      <c r="AR177" s="97"/>
      <c r="AS177" s="97"/>
      <c r="AT177" s="97"/>
      <c r="AU177" s="97"/>
      <c r="AV177" s="97"/>
      <c r="AW177" s="97"/>
      <c r="AX177" s="97"/>
      <c r="AY177" s="97"/>
      <c r="AZ177" s="97"/>
      <c r="BA177" s="97"/>
      <c r="BB177" s="97"/>
      <c r="BC177" s="97"/>
      <c r="BD177" s="97"/>
      <c r="BE177" s="97"/>
      <c r="BF177" s="97"/>
      <c r="BG177" s="97"/>
      <c r="BH177" s="97"/>
      <c r="BI177" s="97"/>
      <c r="BJ177" s="97"/>
      <c r="BK177" s="97"/>
      <c r="BL177" s="97"/>
      <c r="BM177" s="97"/>
      <c r="BN177" s="97"/>
      <c r="BO177" s="97"/>
      <c r="BP177" s="97"/>
      <c r="BQ177" s="97"/>
      <c r="BR177" s="97"/>
      <c r="BS177" s="97"/>
      <c r="BT177" s="97"/>
      <c r="BU177" s="97"/>
      <c r="BV177" s="97"/>
    </row>
    <row r="178" spans="2:74" ht="15.75" customHeight="1">
      <c r="B178" s="93"/>
      <c r="C178" s="94"/>
      <c r="D178" s="95"/>
      <c r="F178" s="96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8"/>
      <c r="S178" s="97"/>
      <c r="T178" s="99"/>
      <c r="U178" s="99"/>
      <c r="V178" s="99"/>
      <c r="W178" s="97"/>
      <c r="X178" s="97"/>
      <c r="Y178" s="97"/>
      <c r="AC178" s="97"/>
      <c r="AD178" s="97"/>
      <c r="AE178" s="97"/>
      <c r="AF178" s="97"/>
      <c r="AG178" s="97"/>
      <c r="AH178" s="97"/>
      <c r="AI178" s="97"/>
      <c r="AJ178" s="97"/>
      <c r="AK178" s="97"/>
      <c r="AL178" s="97"/>
      <c r="AM178" s="97"/>
      <c r="AN178" s="97"/>
      <c r="AO178" s="97"/>
      <c r="AP178" s="97"/>
      <c r="AQ178" s="97"/>
      <c r="AR178" s="97"/>
      <c r="AS178" s="97"/>
      <c r="AT178" s="97"/>
      <c r="AU178" s="97"/>
      <c r="AV178" s="97"/>
      <c r="AW178" s="97"/>
      <c r="AX178" s="97"/>
      <c r="AY178" s="97"/>
      <c r="AZ178" s="97"/>
      <c r="BA178" s="97"/>
      <c r="BB178" s="97"/>
      <c r="BC178" s="97"/>
      <c r="BD178" s="97"/>
      <c r="BE178" s="97"/>
      <c r="BF178" s="97"/>
      <c r="BG178" s="97"/>
      <c r="BH178" s="97"/>
      <c r="BI178" s="97"/>
      <c r="BJ178" s="97"/>
      <c r="BK178" s="97"/>
      <c r="BL178" s="97"/>
      <c r="BM178" s="97"/>
      <c r="BN178" s="97"/>
      <c r="BO178" s="97"/>
      <c r="BP178" s="97"/>
      <c r="BQ178" s="97"/>
      <c r="BR178" s="97"/>
      <c r="BS178" s="97"/>
      <c r="BT178" s="97"/>
      <c r="BU178" s="97"/>
      <c r="BV178" s="97"/>
    </row>
    <row r="179" spans="2:74" ht="15.75" customHeight="1">
      <c r="B179" s="93"/>
      <c r="C179" s="94"/>
      <c r="D179" s="95"/>
      <c r="F179" s="96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8"/>
      <c r="S179" s="97"/>
      <c r="T179" s="99"/>
      <c r="U179" s="99"/>
      <c r="V179" s="99"/>
      <c r="W179" s="97"/>
      <c r="X179" s="97"/>
      <c r="Y179" s="97"/>
      <c r="AC179" s="97"/>
      <c r="AD179" s="97"/>
      <c r="AE179" s="97"/>
      <c r="AF179" s="97"/>
      <c r="AG179" s="97"/>
      <c r="AH179" s="97"/>
      <c r="AI179" s="97"/>
      <c r="AJ179" s="97"/>
      <c r="AK179" s="97"/>
      <c r="AL179" s="97"/>
      <c r="AM179" s="97"/>
      <c r="AN179" s="97"/>
      <c r="AO179" s="97"/>
      <c r="AP179" s="97"/>
      <c r="AQ179" s="97"/>
      <c r="AR179" s="97"/>
      <c r="AS179" s="97"/>
      <c r="AT179" s="97"/>
      <c r="AU179" s="97"/>
      <c r="AV179" s="97"/>
      <c r="AW179" s="97"/>
      <c r="AX179" s="97"/>
      <c r="AY179" s="97"/>
      <c r="AZ179" s="97"/>
      <c r="BA179" s="97"/>
      <c r="BB179" s="97"/>
      <c r="BC179" s="97"/>
      <c r="BD179" s="97"/>
      <c r="BE179" s="97"/>
      <c r="BF179" s="97"/>
      <c r="BG179" s="97"/>
      <c r="BH179" s="97"/>
      <c r="BI179" s="97"/>
      <c r="BJ179" s="97"/>
      <c r="BK179" s="97"/>
      <c r="BL179" s="97"/>
      <c r="BM179" s="97"/>
      <c r="BN179" s="97"/>
      <c r="BO179" s="97"/>
      <c r="BP179" s="97"/>
      <c r="BQ179" s="97"/>
      <c r="BR179" s="97"/>
      <c r="BS179" s="97"/>
      <c r="BT179" s="97"/>
      <c r="BU179" s="97"/>
      <c r="BV179" s="97"/>
    </row>
    <row r="180" spans="2:74" ht="15.75" customHeight="1">
      <c r="B180" s="93"/>
      <c r="C180" s="94"/>
      <c r="D180" s="95"/>
      <c r="F180" s="96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8"/>
      <c r="S180" s="97"/>
      <c r="T180" s="99"/>
      <c r="U180" s="99"/>
      <c r="V180" s="99"/>
      <c r="W180" s="97"/>
      <c r="X180" s="97"/>
      <c r="Y180" s="97"/>
      <c r="AC180" s="97"/>
      <c r="AD180" s="97"/>
      <c r="AE180" s="97"/>
      <c r="AF180" s="97"/>
      <c r="AG180" s="97"/>
      <c r="AH180" s="97"/>
      <c r="AI180" s="97"/>
      <c r="AJ180" s="97"/>
      <c r="AK180" s="97"/>
      <c r="AL180" s="97"/>
      <c r="AM180" s="97"/>
      <c r="AN180" s="97"/>
      <c r="AO180" s="97"/>
      <c r="AP180" s="97"/>
      <c r="AQ180" s="97"/>
      <c r="AR180" s="97"/>
      <c r="AS180" s="97"/>
      <c r="AT180" s="97"/>
      <c r="AU180" s="97"/>
      <c r="AV180" s="97"/>
      <c r="AW180" s="97"/>
      <c r="AX180" s="97"/>
      <c r="AY180" s="97"/>
      <c r="AZ180" s="97"/>
      <c r="BA180" s="97"/>
      <c r="BB180" s="97"/>
      <c r="BC180" s="97"/>
      <c r="BD180" s="97"/>
      <c r="BE180" s="97"/>
      <c r="BF180" s="97"/>
      <c r="BG180" s="97"/>
      <c r="BH180" s="97"/>
      <c r="BI180" s="97"/>
      <c r="BJ180" s="97"/>
      <c r="BK180" s="97"/>
      <c r="BL180" s="97"/>
      <c r="BM180" s="97"/>
      <c r="BN180" s="97"/>
      <c r="BO180" s="97"/>
      <c r="BP180" s="97"/>
      <c r="BQ180" s="97"/>
      <c r="BR180" s="97"/>
      <c r="BS180" s="97"/>
      <c r="BT180" s="97"/>
      <c r="BU180" s="97"/>
      <c r="BV180" s="97"/>
    </row>
    <row r="181" spans="2:74" ht="15.75" customHeight="1">
      <c r="B181" s="93"/>
      <c r="C181" s="94"/>
      <c r="D181" s="95"/>
      <c r="F181" s="96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8"/>
      <c r="S181" s="97"/>
      <c r="T181" s="99"/>
      <c r="U181" s="99"/>
      <c r="V181" s="99"/>
      <c r="W181" s="97"/>
      <c r="X181" s="97"/>
      <c r="Y181" s="97"/>
      <c r="AC181" s="97"/>
      <c r="AD181" s="97"/>
      <c r="AE181" s="97"/>
      <c r="AF181" s="97"/>
      <c r="AG181" s="97"/>
      <c r="AH181" s="97"/>
      <c r="AI181" s="97"/>
      <c r="AJ181" s="97"/>
      <c r="AK181" s="97"/>
      <c r="AL181" s="97"/>
      <c r="AM181" s="97"/>
      <c r="AN181" s="97"/>
      <c r="AO181" s="97"/>
      <c r="AP181" s="97"/>
      <c r="AQ181" s="97"/>
      <c r="AR181" s="97"/>
      <c r="AS181" s="97"/>
      <c r="AT181" s="97"/>
      <c r="AU181" s="97"/>
      <c r="AV181" s="97"/>
      <c r="AW181" s="97"/>
      <c r="AX181" s="97"/>
      <c r="AY181" s="97"/>
      <c r="AZ181" s="97"/>
      <c r="BA181" s="97"/>
      <c r="BB181" s="97"/>
      <c r="BC181" s="97"/>
      <c r="BD181" s="97"/>
      <c r="BE181" s="97"/>
      <c r="BF181" s="97"/>
      <c r="BG181" s="97"/>
      <c r="BH181" s="97"/>
      <c r="BI181" s="97"/>
      <c r="BJ181" s="97"/>
      <c r="BK181" s="97"/>
      <c r="BL181" s="97"/>
      <c r="BM181" s="97"/>
      <c r="BN181" s="97"/>
      <c r="BO181" s="97"/>
      <c r="BP181" s="97"/>
      <c r="BQ181" s="97"/>
      <c r="BR181" s="97"/>
      <c r="BS181" s="97"/>
      <c r="BT181" s="97"/>
      <c r="BU181" s="97"/>
      <c r="BV181" s="97"/>
    </row>
    <row r="182" spans="2:74" ht="15.75" customHeight="1">
      <c r="B182" s="93"/>
      <c r="C182" s="94"/>
      <c r="D182" s="95"/>
      <c r="F182" s="96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8"/>
      <c r="S182" s="97"/>
      <c r="T182" s="99"/>
      <c r="U182" s="99"/>
      <c r="V182" s="99"/>
      <c r="W182" s="97"/>
      <c r="X182" s="97"/>
      <c r="Y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  <c r="AO182" s="97"/>
      <c r="AP182" s="97"/>
      <c r="AQ182" s="97"/>
      <c r="AR182" s="97"/>
      <c r="AS182" s="97"/>
      <c r="AT182" s="97"/>
      <c r="AU182" s="97"/>
      <c r="AV182" s="97"/>
      <c r="AW182" s="97"/>
      <c r="AX182" s="97"/>
      <c r="AY182" s="97"/>
      <c r="AZ182" s="97"/>
      <c r="BA182" s="97"/>
      <c r="BB182" s="97"/>
      <c r="BC182" s="97"/>
      <c r="BD182" s="97"/>
      <c r="BE182" s="97"/>
      <c r="BF182" s="97"/>
      <c r="BG182" s="97"/>
      <c r="BH182" s="97"/>
      <c r="BI182" s="97"/>
      <c r="BJ182" s="97"/>
      <c r="BK182" s="97"/>
      <c r="BL182" s="97"/>
      <c r="BM182" s="97"/>
      <c r="BN182" s="97"/>
      <c r="BO182" s="97"/>
      <c r="BP182" s="97"/>
      <c r="BQ182" s="97"/>
      <c r="BR182" s="97"/>
      <c r="BS182" s="97"/>
      <c r="BT182" s="97"/>
      <c r="BU182" s="97"/>
      <c r="BV182" s="97"/>
    </row>
    <row r="183" spans="2:74" ht="15.75" customHeight="1">
      <c r="B183" s="93"/>
      <c r="C183" s="94"/>
      <c r="D183" s="95"/>
      <c r="F183" s="96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8"/>
      <c r="S183" s="97"/>
      <c r="T183" s="99"/>
      <c r="U183" s="99"/>
      <c r="V183" s="99"/>
      <c r="W183" s="97"/>
      <c r="X183" s="97"/>
      <c r="Y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  <c r="AU183" s="97"/>
      <c r="AV183" s="97"/>
      <c r="AW183" s="97"/>
      <c r="AX183" s="97"/>
      <c r="AY183" s="97"/>
      <c r="AZ183" s="97"/>
      <c r="BA183" s="97"/>
      <c r="BB183" s="97"/>
      <c r="BC183" s="97"/>
      <c r="BD183" s="97"/>
      <c r="BE183" s="97"/>
      <c r="BF183" s="97"/>
      <c r="BG183" s="97"/>
      <c r="BH183" s="97"/>
      <c r="BI183" s="97"/>
      <c r="BJ183" s="97"/>
      <c r="BK183" s="97"/>
      <c r="BL183" s="97"/>
      <c r="BM183" s="97"/>
      <c r="BN183" s="97"/>
      <c r="BO183" s="97"/>
      <c r="BP183" s="97"/>
      <c r="BQ183" s="97"/>
      <c r="BR183" s="97"/>
      <c r="BS183" s="97"/>
      <c r="BT183" s="97"/>
      <c r="BU183" s="97"/>
      <c r="BV183" s="97"/>
    </row>
    <row r="184" spans="2:74" ht="15.75" customHeight="1">
      <c r="B184" s="93"/>
      <c r="C184" s="94"/>
      <c r="D184" s="95"/>
      <c r="F184" s="96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8"/>
      <c r="S184" s="97"/>
      <c r="T184" s="99"/>
      <c r="U184" s="99"/>
      <c r="V184" s="99"/>
      <c r="W184" s="97"/>
      <c r="X184" s="97"/>
      <c r="Y184" s="97"/>
      <c r="AC184" s="97"/>
      <c r="AD184" s="97"/>
      <c r="AE184" s="97"/>
      <c r="AF184" s="97"/>
      <c r="AG184" s="97"/>
      <c r="AH184" s="97"/>
      <c r="AI184" s="97"/>
      <c r="AJ184" s="97"/>
      <c r="AK184" s="97"/>
      <c r="AL184" s="97"/>
      <c r="AM184" s="97"/>
      <c r="AN184" s="97"/>
      <c r="AO184" s="97"/>
      <c r="AP184" s="97"/>
      <c r="AQ184" s="97"/>
      <c r="AR184" s="97"/>
      <c r="AS184" s="97"/>
      <c r="AT184" s="97"/>
      <c r="AU184" s="97"/>
      <c r="AV184" s="97"/>
      <c r="AW184" s="97"/>
      <c r="AX184" s="97"/>
      <c r="AY184" s="97"/>
      <c r="AZ184" s="97"/>
      <c r="BA184" s="97"/>
      <c r="BB184" s="97"/>
      <c r="BC184" s="97"/>
      <c r="BD184" s="97"/>
      <c r="BE184" s="97"/>
      <c r="BF184" s="97"/>
      <c r="BG184" s="97"/>
      <c r="BH184" s="97"/>
      <c r="BI184" s="97"/>
      <c r="BJ184" s="97"/>
      <c r="BK184" s="97"/>
      <c r="BL184" s="97"/>
      <c r="BM184" s="97"/>
      <c r="BN184" s="97"/>
      <c r="BO184" s="97"/>
      <c r="BP184" s="97"/>
      <c r="BQ184" s="97"/>
      <c r="BR184" s="97"/>
      <c r="BS184" s="97"/>
      <c r="BT184" s="97"/>
      <c r="BU184" s="97"/>
      <c r="BV184" s="97"/>
    </row>
    <row r="185" spans="2:74" ht="15.75" customHeight="1">
      <c r="B185" s="93"/>
      <c r="C185" s="94"/>
      <c r="D185" s="95"/>
      <c r="F185" s="96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8"/>
      <c r="S185" s="97"/>
      <c r="T185" s="99"/>
      <c r="U185" s="99"/>
      <c r="V185" s="99"/>
      <c r="W185" s="97"/>
      <c r="X185" s="97"/>
      <c r="Y185" s="97"/>
      <c r="AC185" s="97"/>
      <c r="AD185" s="97"/>
      <c r="AE185" s="97"/>
      <c r="AF185" s="97"/>
      <c r="AG185" s="97"/>
      <c r="AH185" s="97"/>
      <c r="AI185" s="97"/>
      <c r="AJ185" s="97"/>
      <c r="AK185" s="97"/>
      <c r="AL185" s="97"/>
      <c r="AM185" s="97"/>
      <c r="AN185" s="97"/>
      <c r="AO185" s="97"/>
      <c r="AP185" s="97"/>
      <c r="AQ185" s="97"/>
      <c r="AR185" s="97"/>
      <c r="AS185" s="97"/>
      <c r="AT185" s="97"/>
      <c r="AU185" s="97"/>
      <c r="AV185" s="97"/>
      <c r="AW185" s="97"/>
      <c r="AX185" s="97"/>
      <c r="AY185" s="97"/>
      <c r="AZ185" s="97"/>
      <c r="BA185" s="97"/>
      <c r="BB185" s="97"/>
      <c r="BC185" s="97"/>
      <c r="BD185" s="97"/>
      <c r="BE185" s="97"/>
      <c r="BF185" s="97"/>
      <c r="BG185" s="97"/>
      <c r="BH185" s="97"/>
      <c r="BI185" s="97"/>
      <c r="BJ185" s="97"/>
      <c r="BK185" s="97"/>
      <c r="BL185" s="97"/>
      <c r="BM185" s="97"/>
      <c r="BN185" s="97"/>
      <c r="BO185" s="97"/>
      <c r="BP185" s="97"/>
      <c r="BQ185" s="97"/>
      <c r="BR185" s="97"/>
      <c r="BS185" s="97"/>
      <c r="BT185" s="97"/>
      <c r="BU185" s="97"/>
      <c r="BV185" s="97"/>
    </row>
    <row r="186" spans="2:74" ht="15.75" customHeight="1">
      <c r="B186" s="93"/>
      <c r="C186" s="94"/>
      <c r="D186" s="95"/>
      <c r="F186" s="96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8"/>
      <c r="S186" s="97"/>
      <c r="T186" s="99"/>
      <c r="U186" s="99"/>
      <c r="V186" s="99"/>
      <c r="W186" s="97"/>
      <c r="X186" s="97"/>
      <c r="Y186" s="97"/>
      <c r="AC186" s="97"/>
      <c r="AD186" s="97"/>
      <c r="AE186" s="97"/>
      <c r="AF186" s="97"/>
      <c r="AG186" s="97"/>
      <c r="AH186" s="97"/>
      <c r="AI186" s="97"/>
      <c r="AJ186" s="97"/>
      <c r="AK186" s="97"/>
      <c r="AL186" s="97"/>
      <c r="AM186" s="97"/>
      <c r="AN186" s="97"/>
      <c r="AO186" s="97"/>
      <c r="AP186" s="97"/>
      <c r="AQ186" s="97"/>
      <c r="AR186" s="97"/>
      <c r="AS186" s="97"/>
      <c r="AT186" s="97"/>
      <c r="AU186" s="97"/>
      <c r="AV186" s="97"/>
      <c r="AW186" s="97"/>
      <c r="AX186" s="97"/>
      <c r="AY186" s="97"/>
      <c r="AZ186" s="97"/>
      <c r="BA186" s="97"/>
      <c r="BB186" s="97"/>
      <c r="BC186" s="97"/>
      <c r="BD186" s="97"/>
      <c r="BE186" s="97"/>
      <c r="BF186" s="97"/>
      <c r="BG186" s="97"/>
      <c r="BH186" s="97"/>
      <c r="BI186" s="97"/>
      <c r="BJ186" s="97"/>
      <c r="BK186" s="97"/>
      <c r="BL186" s="97"/>
      <c r="BM186" s="97"/>
      <c r="BN186" s="97"/>
      <c r="BO186" s="97"/>
      <c r="BP186" s="97"/>
      <c r="BQ186" s="97"/>
      <c r="BR186" s="97"/>
      <c r="BS186" s="97"/>
      <c r="BT186" s="97"/>
      <c r="BU186" s="97"/>
      <c r="BV186" s="97"/>
    </row>
    <row r="187" spans="2:74" ht="15.75" customHeight="1">
      <c r="B187" s="93"/>
      <c r="C187" s="94"/>
      <c r="D187" s="95"/>
      <c r="F187" s="96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8"/>
      <c r="S187" s="97"/>
      <c r="T187" s="99"/>
      <c r="U187" s="99"/>
      <c r="V187" s="99"/>
      <c r="W187" s="97"/>
      <c r="X187" s="97"/>
      <c r="Y187" s="97"/>
      <c r="AC187" s="97"/>
      <c r="AD187" s="97"/>
      <c r="AE187" s="97"/>
      <c r="AF187" s="97"/>
      <c r="AG187" s="97"/>
      <c r="AH187" s="97"/>
      <c r="AI187" s="97"/>
      <c r="AJ187" s="97"/>
      <c r="AK187" s="97"/>
      <c r="AL187" s="97"/>
      <c r="AM187" s="97"/>
      <c r="AN187" s="97"/>
      <c r="AO187" s="97"/>
      <c r="AP187" s="97"/>
      <c r="AQ187" s="97"/>
      <c r="AR187" s="97"/>
      <c r="AS187" s="97"/>
      <c r="AT187" s="97"/>
      <c r="AU187" s="97"/>
      <c r="AV187" s="97"/>
      <c r="AW187" s="97"/>
      <c r="AX187" s="97"/>
      <c r="AY187" s="97"/>
      <c r="AZ187" s="97"/>
      <c r="BA187" s="97"/>
      <c r="BB187" s="97"/>
      <c r="BC187" s="97"/>
      <c r="BD187" s="97"/>
      <c r="BE187" s="97"/>
      <c r="BF187" s="97"/>
      <c r="BG187" s="97"/>
      <c r="BH187" s="97"/>
      <c r="BI187" s="97"/>
      <c r="BJ187" s="97"/>
      <c r="BK187" s="97"/>
      <c r="BL187" s="97"/>
      <c r="BM187" s="97"/>
      <c r="BN187" s="97"/>
      <c r="BO187" s="97"/>
      <c r="BP187" s="97"/>
      <c r="BQ187" s="97"/>
      <c r="BR187" s="97"/>
      <c r="BS187" s="97"/>
      <c r="BT187" s="97"/>
      <c r="BU187" s="97"/>
      <c r="BV187" s="97"/>
    </row>
    <row r="188" spans="2:74" ht="15.75" customHeight="1">
      <c r="B188" s="93"/>
      <c r="C188" s="94"/>
      <c r="D188" s="95"/>
      <c r="F188" s="96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8"/>
      <c r="S188" s="97"/>
      <c r="T188" s="99"/>
      <c r="U188" s="99"/>
      <c r="V188" s="99"/>
      <c r="W188" s="97"/>
      <c r="X188" s="97"/>
      <c r="Y188" s="97"/>
      <c r="AC188" s="97"/>
      <c r="AD188" s="97"/>
      <c r="AE188" s="97"/>
      <c r="AF188" s="97"/>
      <c r="AG188" s="97"/>
      <c r="AH188" s="97"/>
      <c r="AI188" s="97"/>
      <c r="AJ188" s="97"/>
      <c r="AK188" s="97"/>
      <c r="AL188" s="97"/>
      <c r="AM188" s="97"/>
      <c r="AN188" s="97"/>
      <c r="AO188" s="97"/>
      <c r="AP188" s="97"/>
      <c r="AQ188" s="97"/>
      <c r="AR188" s="97"/>
      <c r="AS188" s="97"/>
      <c r="AT188" s="97"/>
      <c r="AU188" s="97"/>
      <c r="AV188" s="97"/>
      <c r="AW188" s="97"/>
      <c r="AX188" s="97"/>
      <c r="AY188" s="97"/>
      <c r="AZ188" s="97"/>
      <c r="BA188" s="97"/>
      <c r="BB188" s="97"/>
      <c r="BC188" s="97"/>
      <c r="BD188" s="97"/>
      <c r="BE188" s="97"/>
      <c r="BF188" s="97"/>
      <c r="BG188" s="97"/>
      <c r="BH188" s="97"/>
      <c r="BI188" s="97"/>
      <c r="BJ188" s="97"/>
      <c r="BK188" s="97"/>
      <c r="BL188" s="97"/>
      <c r="BM188" s="97"/>
      <c r="BN188" s="97"/>
      <c r="BO188" s="97"/>
      <c r="BP188" s="97"/>
      <c r="BQ188" s="97"/>
      <c r="BR188" s="97"/>
      <c r="BS188" s="97"/>
      <c r="BT188" s="97"/>
      <c r="BU188" s="97"/>
      <c r="BV188" s="97"/>
    </row>
    <row r="189" spans="2:74" ht="15.75" customHeight="1">
      <c r="B189" s="93"/>
      <c r="C189" s="94"/>
      <c r="D189" s="95"/>
      <c r="F189" s="96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8"/>
      <c r="S189" s="97"/>
      <c r="T189" s="99"/>
      <c r="U189" s="99"/>
      <c r="V189" s="99"/>
      <c r="W189" s="97"/>
      <c r="X189" s="97"/>
      <c r="Y189" s="97"/>
      <c r="AC189" s="97"/>
      <c r="AD189" s="97"/>
      <c r="AE189" s="97"/>
      <c r="AF189" s="97"/>
      <c r="AG189" s="97"/>
      <c r="AH189" s="97"/>
      <c r="AI189" s="97"/>
      <c r="AJ189" s="97"/>
      <c r="AK189" s="97"/>
      <c r="AL189" s="97"/>
      <c r="AM189" s="97"/>
      <c r="AN189" s="97"/>
      <c r="AO189" s="97"/>
      <c r="AP189" s="97"/>
      <c r="AQ189" s="97"/>
      <c r="AR189" s="97"/>
      <c r="AS189" s="97"/>
      <c r="AT189" s="97"/>
      <c r="AU189" s="97"/>
      <c r="AV189" s="97"/>
      <c r="AW189" s="97"/>
      <c r="AX189" s="97"/>
      <c r="AY189" s="97"/>
      <c r="AZ189" s="97"/>
      <c r="BA189" s="97"/>
      <c r="BB189" s="97"/>
      <c r="BC189" s="97"/>
      <c r="BD189" s="97"/>
      <c r="BE189" s="97"/>
      <c r="BF189" s="97"/>
      <c r="BG189" s="97"/>
      <c r="BH189" s="97"/>
      <c r="BI189" s="97"/>
      <c r="BJ189" s="97"/>
      <c r="BK189" s="97"/>
      <c r="BL189" s="97"/>
      <c r="BM189" s="97"/>
      <c r="BN189" s="97"/>
      <c r="BO189" s="97"/>
      <c r="BP189" s="97"/>
      <c r="BQ189" s="97"/>
      <c r="BR189" s="97"/>
      <c r="BS189" s="97"/>
      <c r="BT189" s="97"/>
      <c r="BU189" s="97"/>
      <c r="BV189" s="97"/>
    </row>
    <row r="190" spans="2:74" ht="15.75" customHeight="1">
      <c r="B190" s="93"/>
      <c r="C190" s="94"/>
      <c r="D190" s="95"/>
      <c r="F190" s="96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8"/>
      <c r="S190" s="97"/>
      <c r="T190" s="99"/>
      <c r="U190" s="99"/>
      <c r="V190" s="99"/>
      <c r="W190" s="97"/>
      <c r="X190" s="97"/>
      <c r="Y190" s="97"/>
      <c r="AC190" s="97"/>
      <c r="AD190" s="97"/>
      <c r="AE190" s="97"/>
      <c r="AF190" s="97"/>
      <c r="AG190" s="97"/>
      <c r="AH190" s="97"/>
      <c r="AI190" s="97"/>
      <c r="AJ190" s="97"/>
      <c r="AK190" s="97"/>
      <c r="AL190" s="97"/>
      <c r="AM190" s="97"/>
      <c r="AN190" s="97"/>
      <c r="AO190" s="97"/>
      <c r="AP190" s="97"/>
      <c r="AQ190" s="97"/>
      <c r="AR190" s="97"/>
      <c r="AS190" s="97"/>
      <c r="AT190" s="97"/>
      <c r="AU190" s="97"/>
      <c r="AV190" s="97"/>
      <c r="AW190" s="97"/>
      <c r="AX190" s="97"/>
      <c r="AY190" s="97"/>
      <c r="AZ190" s="97"/>
      <c r="BA190" s="97"/>
      <c r="BB190" s="97"/>
      <c r="BC190" s="97"/>
      <c r="BD190" s="97"/>
      <c r="BE190" s="97"/>
      <c r="BF190" s="97"/>
      <c r="BG190" s="97"/>
      <c r="BH190" s="97"/>
      <c r="BI190" s="97"/>
      <c r="BJ190" s="97"/>
      <c r="BK190" s="97"/>
      <c r="BL190" s="97"/>
      <c r="BM190" s="97"/>
      <c r="BN190" s="97"/>
      <c r="BO190" s="97"/>
      <c r="BP190" s="97"/>
      <c r="BQ190" s="97"/>
      <c r="BR190" s="97"/>
      <c r="BS190" s="97"/>
      <c r="BT190" s="97"/>
      <c r="BU190" s="97"/>
      <c r="BV190" s="97"/>
    </row>
    <row r="191" spans="2:74" ht="15.75" customHeight="1">
      <c r="B191" s="93"/>
      <c r="C191" s="94"/>
      <c r="D191" s="95"/>
      <c r="F191" s="96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8"/>
      <c r="S191" s="97"/>
      <c r="T191" s="99"/>
      <c r="U191" s="99"/>
      <c r="V191" s="99"/>
      <c r="W191" s="97"/>
      <c r="X191" s="97"/>
      <c r="Y191" s="97"/>
      <c r="AC191" s="97"/>
      <c r="AD191" s="97"/>
      <c r="AE191" s="97"/>
      <c r="AF191" s="97"/>
      <c r="AG191" s="97"/>
      <c r="AH191" s="97"/>
      <c r="AI191" s="97"/>
      <c r="AJ191" s="97"/>
      <c r="AK191" s="97"/>
      <c r="AL191" s="97"/>
      <c r="AM191" s="97"/>
      <c r="AN191" s="97"/>
      <c r="AO191" s="97"/>
      <c r="AP191" s="97"/>
      <c r="AQ191" s="97"/>
      <c r="AR191" s="97"/>
      <c r="AS191" s="97"/>
      <c r="AT191" s="97"/>
      <c r="AU191" s="97"/>
      <c r="AV191" s="97"/>
      <c r="AW191" s="97"/>
      <c r="AX191" s="97"/>
      <c r="AY191" s="97"/>
      <c r="AZ191" s="97"/>
      <c r="BA191" s="97"/>
      <c r="BB191" s="97"/>
      <c r="BC191" s="97"/>
      <c r="BD191" s="97"/>
      <c r="BE191" s="97"/>
      <c r="BF191" s="97"/>
      <c r="BG191" s="97"/>
      <c r="BH191" s="97"/>
      <c r="BI191" s="97"/>
      <c r="BJ191" s="97"/>
      <c r="BK191" s="97"/>
      <c r="BL191" s="97"/>
      <c r="BM191" s="97"/>
      <c r="BN191" s="97"/>
      <c r="BO191" s="97"/>
      <c r="BP191" s="97"/>
      <c r="BQ191" s="97"/>
      <c r="BR191" s="97"/>
      <c r="BS191" s="97"/>
      <c r="BT191" s="97"/>
      <c r="BU191" s="97"/>
      <c r="BV191" s="97"/>
    </row>
    <row r="192" spans="2:74" ht="15.75" customHeight="1">
      <c r="B192" s="93"/>
      <c r="C192" s="94"/>
      <c r="D192" s="95"/>
      <c r="F192" s="96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8"/>
      <c r="S192" s="97"/>
      <c r="T192" s="99"/>
      <c r="U192" s="99"/>
      <c r="V192" s="99"/>
      <c r="W192" s="97"/>
      <c r="X192" s="97"/>
      <c r="Y192" s="97"/>
      <c r="AC192" s="97"/>
      <c r="AD192" s="97"/>
      <c r="AE192" s="97"/>
      <c r="AF192" s="97"/>
      <c r="AG192" s="97"/>
      <c r="AH192" s="97"/>
      <c r="AI192" s="97"/>
      <c r="AJ192" s="97"/>
      <c r="AK192" s="97"/>
      <c r="AL192" s="97"/>
      <c r="AM192" s="97"/>
      <c r="AN192" s="97"/>
      <c r="AO192" s="97"/>
      <c r="AP192" s="97"/>
      <c r="AQ192" s="97"/>
      <c r="AR192" s="97"/>
      <c r="AS192" s="97"/>
      <c r="AT192" s="97"/>
      <c r="AU192" s="97"/>
      <c r="AV192" s="97"/>
      <c r="AW192" s="97"/>
      <c r="AX192" s="97"/>
      <c r="AY192" s="97"/>
      <c r="AZ192" s="97"/>
      <c r="BA192" s="97"/>
      <c r="BB192" s="97"/>
      <c r="BC192" s="97"/>
      <c r="BD192" s="97"/>
      <c r="BE192" s="97"/>
      <c r="BF192" s="97"/>
      <c r="BG192" s="97"/>
      <c r="BH192" s="97"/>
      <c r="BI192" s="97"/>
      <c r="BJ192" s="97"/>
      <c r="BK192" s="97"/>
      <c r="BL192" s="97"/>
      <c r="BM192" s="97"/>
      <c r="BN192" s="97"/>
      <c r="BO192" s="97"/>
      <c r="BP192" s="97"/>
      <c r="BQ192" s="97"/>
      <c r="BR192" s="97"/>
      <c r="BS192" s="97"/>
      <c r="BT192" s="97"/>
      <c r="BU192" s="97"/>
      <c r="BV192" s="97"/>
    </row>
    <row r="193" spans="2:74" ht="15.75" customHeight="1">
      <c r="B193" s="93"/>
      <c r="C193" s="94"/>
      <c r="D193" s="95"/>
      <c r="F193" s="96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8"/>
      <c r="S193" s="97"/>
      <c r="T193" s="99"/>
      <c r="U193" s="99"/>
      <c r="V193" s="99"/>
      <c r="W193" s="97"/>
      <c r="X193" s="97"/>
      <c r="Y193" s="97"/>
      <c r="AC193" s="97"/>
      <c r="AD193" s="97"/>
      <c r="AE193" s="97"/>
      <c r="AF193" s="97"/>
      <c r="AG193" s="97"/>
      <c r="AH193" s="97"/>
      <c r="AI193" s="97"/>
      <c r="AJ193" s="97"/>
      <c r="AK193" s="97"/>
      <c r="AL193" s="97"/>
      <c r="AM193" s="97"/>
      <c r="AN193" s="97"/>
      <c r="AO193" s="97"/>
      <c r="AP193" s="97"/>
      <c r="AQ193" s="97"/>
      <c r="AR193" s="97"/>
      <c r="AS193" s="97"/>
      <c r="AT193" s="97"/>
      <c r="AU193" s="97"/>
      <c r="AV193" s="97"/>
      <c r="AW193" s="97"/>
      <c r="AX193" s="97"/>
      <c r="AY193" s="97"/>
      <c r="AZ193" s="97"/>
      <c r="BA193" s="97"/>
      <c r="BB193" s="97"/>
      <c r="BC193" s="97"/>
      <c r="BD193" s="97"/>
      <c r="BE193" s="97"/>
      <c r="BF193" s="97"/>
      <c r="BG193" s="97"/>
      <c r="BH193" s="97"/>
      <c r="BI193" s="97"/>
      <c r="BJ193" s="97"/>
      <c r="BK193" s="97"/>
      <c r="BL193" s="97"/>
      <c r="BM193" s="97"/>
      <c r="BN193" s="97"/>
      <c r="BO193" s="97"/>
      <c r="BP193" s="97"/>
      <c r="BQ193" s="97"/>
      <c r="BR193" s="97"/>
      <c r="BS193" s="97"/>
      <c r="BT193" s="97"/>
      <c r="BU193" s="97"/>
      <c r="BV193" s="97"/>
    </row>
    <row r="194" spans="2:74" ht="15.75" customHeight="1">
      <c r="B194" s="93"/>
      <c r="C194" s="94"/>
      <c r="D194" s="95"/>
      <c r="F194" s="96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8"/>
      <c r="S194" s="97"/>
      <c r="T194" s="99"/>
      <c r="U194" s="99"/>
      <c r="V194" s="99"/>
      <c r="W194" s="97"/>
      <c r="X194" s="97"/>
      <c r="Y194" s="97"/>
      <c r="AC194" s="97"/>
      <c r="AD194" s="97"/>
      <c r="AE194" s="97"/>
      <c r="AF194" s="97"/>
      <c r="AG194" s="97"/>
      <c r="AH194" s="97"/>
      <c r="AI194" s="97"/>
      <c r="AJ194" s="97"/>
      <c r="AK194" s="97"/>
      <c r="AL194" s="97"/>
      <c r="AM194" s="97"/>
      <c r="AN194" s="97"/>
      <c r="AO194" s="97"/>
      <c r="AP194" s="97"/>
      <c r="AQ194" s="97"/>
      <c r="AR194" s="97"/>
      <c r="AS194" s="97"/>
      <c r="AT194" s="97"/>
      <c r="AU194" s="97"/>
      <c r="AV194" s="97"/>
      <c r="AW194" s="97"/>
      <c r="AX194" s="97"/>
      <c r="AY194" s="97"/>
      <c r="AZ194" s="97"/>
      <c r="BA194" s="97"/>
      <c r="BB194" s="97"/>
      <c r="BC194" s="97"/>
      <c r="BD194" s="97"/>
      <c r="BE194" s="97"/>
      <c r="BF194" s="97"/>
      <c r="BG194" s="97"/>
      <c r="BH194" s="97"/>
      <c r="BI194" s="97"/>
      <c r="BJ194" s="97"/>
      <c r="BK194" s="97"/>
      <c r="BL194" s="97"/>
      <c r="BM194" s="97"/>
      <c r="BN194" s="97"/>
      <c r="BO194" s="97"/>
      <c r="BP194" s="97"/>
      <c r="BQ194" s="97"/>
      <c r="BR194" s="97"/>
      <c r="BS194" s="97"/>
      <c r="BT194" s="97"/>
      <c r="BU194" s="97"/>
      <c r="BV194" s="97"/>
    </row>
    <row r="195" spans="2:74" ht="15.75" customHeight="1">
      <c r="B195" s="93"/>
      <c r="C195" s="94"/>
      <c r="D195" s="95"/>
      <c r="F195" s="96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8"/>
      <c r="S195" s="97"/>
      <c r="T195" s="99"/>
      <c r="U195" s="99"/>
      <c r="V195" s="99"/>
      <c r="W195" s="97"/>
      <c r="X195" s="97"/>
      <c r="Y195" s="97"/>
      <c r="AC195" s="97"/>
      <c r="AD195" s="97"/>
      <c r="AE195" s="97"/>
      <c r="AF195" s="97"/>
      <c r="AG195" s="97"/>
      <c r="AH195" s="97"/>
      <c r="AI195" s="97"/>
      <c r="AJ195" s="97"/>
      <c r="AK195" s="97"/>
      <c r="AL195" s="97"/>
      <c r="AM195" s="97"/>
      <c r="AN195" s="97"/>
      <c r="AO195" s="97"/>
      <c r="AP195" s="97"/>
      <c r="AQ195" s="97"/>
      <c r="AR195" s="97"/>
      <c r="AS195" s="97"/>
      <c r="AT195" s="97"/>
      <c r="AU195" s="97"/>
      <c r="AV195" s="97"/>
      <c r="AW195" s="97"/>
      <c r="AX195" s="97"/>
      <c r="AY195" s="97"/>
      <c r="AZ195" s="97"/>
      <c r="BA195" s="97"/>
      <c r="BB195" s="97"/>
      <c r="BC195" s="97"/>
      <c r="BD195" s="97"/>
      <c r="BE195" s="97"/>
      <c r="BF195" s="97"/>
      <c r="BG195" s="97"/>
      <c r="BH195" s="97"/>
      <c r="BI195" s="97"/>
      <c r="BJ195" s="97"/>
      <c r="BK195" s="97"/>
      <c r="BL195" s="97"/>
      <c r="BM195" s="97"/>
      <c r="BN195" s="97"/>
      <c r="BO195" s="97"/>
      <c r="BP195" s="97"/>
      <c r="BQ195" s="97"/>
      <c r="BR195" s="97"/>
      <c r="BS195" s="97"/>
      <c r="BT195" s="97"/>
      <c r="BU195" s="97"/>
      <c r="BV195" s="97"/>
    </row>
    <row r="196" spans="2:74" ht="15.75" customHeight="1">
      <c r="B196" s="93"/>
      <c r="C196" s="94"/>
      <c r="D196" s="95"/>
      <c r="F196" s="96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8"/>
      <c r="S196" s="97"/>
      <c r="T196" s="99"/>
      <c r="U196" s="99"/>
      <c r="V196" s="99"/>
      <c r="W196" s="97"/>
      <c r="X196" s="97"/>
      <c r="Y196" s="97"/>
      <c r="AC196" s="97"/>
      <c r="AD196" s="97"/>
      <c r="AE196" s="97"/>
      <c r="AF196" s="97"/>
      <c r="AG196" s="97"/>
      <c r="AH196" s="97"/>
      <c r="AI196" s="97"/>
      <c r="AJ196" s="97"/>
      <c r="AK196" s="97"/>
      <c r="AL196" s="97"/>
      <c r="AM196" s="97"/>
      <c r="AN196" s="97"/>
      <c r="AO196" s="97"/>
      <c r="AP196" s="97"/>
      <c r="AQ196" s="97"/>
      <c r="AR196" s="97"/>
      <c r="AS196" s="97"/>
      <c r="AT196" s="97"/>
      <c r="AU196" s="97"/>
      <c r="AV196" s="97"/>
      <c r="AW196" s="97"/>
      <c r="AX196" s="97"/>
      <c r="AY196" s="97"/>
      <c r="AZ196" s="97"/>
      <c r="BA196" s="97"/>
      <c r="BB196" s="97"/>
      <c r="BC196" s="97"/>
      <c r="BD196" s="97"/>
      <c r="BE196" s="97"/>
      <c r="BF196" s="97"/>
      <c r="BG196" s="97"/>
      <c r="BH196" s="97"/>
      <c r="BI196" s="97"/>
      <c r="BJ196" s="97"/>
      <c r="BK196" s="97"/>
      <c r="BL196" s="97"/>
      <c r="BM196" s="97"/>
      <c r="BN196" s="97"/>
      <c r="BO196" s="97"/>
      <c r="BP196" s="97"/>
      <c r="BQ196" s="97"/>
      <c r="BR196" s="97"/>
      <c r="BS196" s="97"/>
      <c r="BT196" s="97"/>
      <c r="BU196" s="97"/>
      <c r="BV196" s="97"/>
    </row>
    <row r="197" spans="2:74" ht="15.75" customHeight="1">
      <c r="B197" s="93"/>
      <c r="C197" s="94"/>
      <c r="D197" s="95"/>
      <c r="F197" s="96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8"/>
      <c r="S197" s="97"/>
      <c r="T197" s="99"/>
      <c r="U197" s="99"/>
      <c r="V197" s="99"/>
      <c r="W197" s="97"/>
      <c r="X197" s="97"/>
      <c r="Y197" s="97"/>
      <c r="AC197" s="97"/>
      <c r="AD197" s="97"/>
      <c r="AE197" s="97"/>
      <c r="AF197" s="97"/>
      <c r="AG197" s="97"/>
      <c r="AH197" s="97"/>
      <c r="AI197" s="97"/>
      <c r="AJ197" s="97"/>
      <c r="AK197" s="97"/>
      <c r="AL197" s="97"/>
      <c r="AM197" s="97"/>
      <c r="AN197" s="97"/>
      <c r="AO197" s="97"/>
      <c r="AP197" s="97"/>
      <c r="AQ197" s="97"/>
      <c r="AR197" s="97"/>
      <c r="AS197" s="97"/>
      <c r="AT197" s="97"/>
      <c r="AU197" s="97"/>
      <c r="AV197" s="97"/>
      <c r="AW197" s="97"/>
      <c r="AX197" s="97"/>
      <c r="AY197" s="97"/>
      <c r="AZ197" s="97"/>
      <c r="BA197" s="97"/>
      <c r="BB197" s="97"/>
      <c r="BC197" s="97"/>
      <c r="BD197" s="97"/>
      <c r="BE197" s="97"/>
      <c r="BF197" s="97"/>
      <c r="BG197" s="97"/>
      <c r="BH197" s="97"/>
      <c r="BI197" s="97"/>
      <c r="BJ197" s="97"/>
      <c r="BK197" s="97"/>
      <c r="BL197" s="97"/>
      <c r="BM197" s="97"/>
      <c r="BN197" s="97"/>
      <c r="BO197" s="97"/>
      <c r="BP197" s="97"/>
      <c r="BQ197" s="97"/>
      <c r="BR197" s="97"/>
      <c r="BS197" s="97"/>
      <c r="BT197" s="97"/>
      <c r="BU197" s="97"/>
      <c r="BV197" s="97"/>
    </row>
    <row r="198" spans="2:74" ht="15.75" customHeight="1">
      <c r="B198" s="93"/>
      <c r="C198" s="94"/>
      <c r="D198" s="95"/>
      <c r="F198" s="96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8"/>
      <c r="S198" s="97"/>
      <c r="T198" s="99"/>
      <c r="U198" s="99"/>
      <c r="V198" s="99"/>
      <c r="W198" s="97"/>
      <c r="X198" s="97"/>
      <c r="Y198" s="97"/>
      <c r="AC198" s="97"/>
      <c r="AD198" s="97"/>
      <c r="AE198" s="97"/>
      <c r="AF198" s="97"/>
      <c r="AG198" s="97"/>
      <c r="AH198" s="97"/>
      <c r="AI198" s="97"/>
      <c r="AJ198" s="97"/>
      <c r="AK198" s="97"/>
      <c r="AL198" s="97"/>
      <c r="AM198" s="97"/>
      <c r="AN198" s="97"/>
      <c r="AO198" s="97"/>
      <c r="AP198" s="97"/>
      <c r="AQ198" s="97"/>
      <c r="AR198" s="97"/>
      <c r="AS198" s="97"/>
      <c r="AT198" s="97"/>
      <c r="AU198" s="97"/>
      <c r="AV198" s="97"/>
      <c r="AW198" s="97"/>
      <c r="AX198" s="97"/>
      <c r="AY198" s="97"/>
      <c r="AZ198" s="97"/>
      <c r="BA198" s="97"/>
      <c r="BB198" s="97"/>
      <c r="BC198" s="97"/>
      <c r="BD198" s="97"/>
      <c r="BE198" s="97"/>
      <c r="BF198" s="97"/>
      <c r="BG198" s="97"/>
      <c r="BH198" s="97"/>
      <c r="BI198" s="97"/>
      <c r="BJ198" s="97"/>
      <c r="BK198" s="97"/>
      <c r="BL198" s="97"/>
      <c r="BM198" s="97"/>
      <c r="BN198" s="97"/>
      <c r="BO198" s="97"/>
      <c r="BP198" s="97"/>
      <c r="BQ198" s="97"/>
      <c r="BR198" s="97"/>
      <c r="BS198" s="97"/>
      <c r="BT198" s="97"/>
      <c r="BU198" s="97"/>
      <c r="BV198" s="97"/>
    </row>
    <row r="199" spans="2:74" ht="15.75" customHeight="1">
      <c r="B199" s="93"/>
      <c r="C199" s="94"/>
      <c r="D199" s="95"/>
      <c r="F199" s="96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8"/>
      <c r="S199" s="97"/>
      <c r="T199" s="99"/>
      <c r="U199" s="99"/>
      <c r="V199" s="99"/>
      <c r="W199" s="97"/>
      <c r="X199" s="97"/>
      <c r="Y199" s="97"/>
      <c r="AC199" s="97"/>
      <c r="AD199" s="97"/>
      <c r="AE199" s="97"/>
      <c r="AF199" s="97"/>
      <c r="AG199" s="97"/>
      <c r="AH199" s="97"/>
      <c r="AI199" s="97"/>
      <c r="AJ199" s="97"/>
      <c r="AK199" s="97"/>
      <c r="AL199" s="97"/>
      <c r="AM199" s="97"/>
      <c r="AN199" s="97"/>
      <c r="AO199" s="97"/>
      <c r="AP199" s="97"/>
      <c r="AQ199" s="97"/>
      <c r="AR199" s="97"/>
      <c r="AS199" s="97"/>
      <c r="AT199" s="97"/>
      <c r="AU199" s="97"/>
      <c r="AV199" s="97"/>
      <c r="AW199" s="97"/>
      <c r="AX199" s="97"/>
      <c r="AY199" s="97"/>
      <c r="AZ199" s="97"/>
      <c r="BA199" s="97"/>
      <c r="BB199" s="97"/>
      <c r="BC199" s="97"/>
      <c r="BD199" s="97"/>
      <c r="BE199" s="97"/>
      <c r="BF199" s="97"/>
      <c r="BG199" s="97"/>
      <c r="BH199" s="97"/>
      <c r="BI199" s="97"/>
      <c r="BJ199" s="97"/>
      <c r="BK199" s="97"/>
      <c r="BL199" s="97"/>
      <c r="BM199" s="97"/>
      <c r="BN199" s="97"/>
      <c r="BO199" s="97"/>
      <c r="BP199" s="97"/>
      <c r="BQ199" s="97"/>
      <c r="BR199" s="97"/>
      <c r="BS199" s="97"/>
      <c r="BT199" s="97"/>
      <c r="BU199" s="97"/>
      <c r="BV199" s="97"/>
    </row>
    <row r="200" spans="2:74" ht="15.75" customHeight="1">
      <c r="B200" s="93"/>
      <c r="C200" s="94"/>
      <c r="D200" s="95"/>
      <c r="F200" s="96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8"/>
      <c r="S200" s="97"/>
      <c r="T200" s="99"/>
      <c r="U200" s="99"/>
      <c r="V200" s="99"/>
      <c r="W200" s="97"/>
      <c r="X200" s="97"/>
      <c r="Y200" s="97"/>
      <c r="AC200" s="97"/>
      <c r="AD200" s="97"/>
      <c r="AE200" s="97"/>
      <c r="AF200" s="97"/>
      <c r="AG200" s="97"/>
      <c r="AH200" s="97"/>
      <c r="AI200" s="97"/>
      <c r="AJ200" s="97"/>
      <c r="AK200" s="97"/>
      <c r="AL200" s="97"/>
      <c r="AM200" s="97"/>
      <c r="AN200" s="97"/>
      <c r="AO200" s="97"/>
      <c r="AP200" s="97"/>
      <c r="AQ200" s="97"/>
      <c r="AR200" s="97"/>
      <c r="AS200" s="97"/>
      <c r="AT200" s="97"/>
      <c r="AU200" s="97"/>
      <c r="AV200" s="97"/>
      <c r="AW200" s="97"/>
      <c r="AX200" s="97"/>
      <c r="AY200" s="97"/>
      <c r="AZ200" s="97"/>
      <c r="BA200" s="97"/>
      <c r="BB200" s="97"/>
      <c r="BC200" s="97"/>
      <c r="BD200" s="97"/>
      <c r="BE200" s="97"/>
      <c r="BF200" s="97"/>
      <c r="BG200" s="97"/>
      <c r="BH200" s="97"/>
      <c r="BI200" s="97"/>
      <c r="BJ200" s="97"/>
      <c r="BK200" s="97"/>
      <c r="BL200" s="97"/>
      <c r="BM200" s="97"/>
      <c r="BN200" s="97"/>
      <c r="BO200" s="97"/>
      <c r="BP200" s="97"/>
      <c r="BQ200" s="97"/>
      <c r="BR200" s="97"/>
      <c r="BS200" s="97"/>
      <c r="BT200" s="97"/>
      <c r="BU200" s="97"/>
      <c r="BV200" s="97"/>
    </row>
    <row r="201" spans="2:74" ht="15.75" customHeight="1">
      <c r="B201" s="93"/>
      <c r="C201" s="94"/>
      <c r="D201" s="95"/>
      <c r="F201" s="96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8"/>
      <c r="S201" s="97"/>
      <c r="T201" s="99"/>
      <c r="U201" s="99"/>
      <c r="V201" s="99"/>
      <c r="W201" s="97"/>
      <c r="X201" s="97"/>
      <c r="Y201" s="97"/>
      <c r="AC201" s="97"/>
      <c r="AD201" s="97"/>
      <c r="AE201" s="97"/>
      <c r="AF201" s="97"/>
      <c r="AG201" s="97"/>
      <c r="AH201" s="97"/>
      <c r="AI201" s="97"/>
      <c r="AJ201" s="97"/>
      <c r="AK201" s="97"/>
      <c r="AL201" s="97"/>
      <c r="AM201" s="97"/>
      <c r="AN201" s="97"/>
      <c r="AO201" s="97"/>
      <c r="AP201" s="97"/>
      <c r="AQ201" s="97"/>
      <c r="AR201" s="97"/>
      <c r="AS201" s="97"/>
      <c r="AT201" s="97"/>
      <c r="AU201" s="97"/>
      <c r="AV201" s="97"/>
      <c r="AW201" s="97"/>
      <c r="AX201" s="97"/>
      <c r="AY201" s="97"/>
      <c r="AZ201" s="97"/>
      <c r="BA201" s="97"/>
      <c r="BB201" s="97"/>
      <c r="BC201" s="97"/>
      <c r="BD201" s="97"/>
      <c r="BE201" s="97"/>
      <c r="BF201" s="97"/>
      <c r="BG201" s="97"/>
      <c r="BH201" s="97"/>
      <c r="BI201" s="97"/>
      <c r="BJ201" s="97"/>
      <c r="BK201" s="97"/>
      <c r="BL201" s="97"/>
      <c r="BM201" s="97"/>
      <c r="BN201" s="97"/>
      <c r="BO201" s="97"/>
      <c r="BP201" s="97"/>
      <c r="BQ201" s="97"/>
      <c r="BR201" s="97"/>
      <c r="BS201" s="97"/>
      <c r="BT201" s="97"/>
      <c r="BU201" s="97"/>
      <c r="BV201" s="97"/>
    </row>
    <row r="202" spans="2:74" ht="15.75" customHeight="1">
      <c r="B202" s="93"/>
      <c r="C202" s="94"/>
      <c r="D202" s="95"/>
      <c r="F202" s="96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8"/>
      <c r="S202" s="97"/>
      <c r="T202" s="99"/>
      <c r="U202" s="99"/>
      <c r="V202" s="99"/>
      <c r="W202" s="97"/>
      <c r="X202" s="97"/>
      <c r="Y202" s="97"/>
      <c r="AC202" s="97"/>
      <c r="AD202" s="97"/>
      <c r="AE202" s="97"/>
      <c r="AF202" s="97"/>
      <c r="AG202" s="97"/>
      <c r="AH202" s="97"/>
      <c r="AI202" s="97"/>
      <c r="AJ202" s="97"/>
      <c r="AK202" s="97"/>
      <c r="AL202" s="97"/>
      <c r="AM202" s="97"/>
      <c r="AN202" s="97"/>
      <c r="AO202" s="97"/>
      <c r="AP202" s="97"/>
      <c r="AQ202" s="97"/>
      <c r="AR202" s="97"/>
      <c r="AS202" s="97"/>
      <c r="AT202" s="97"/>
      <c r="AU202" s="97"/>
      <c r="AV202" s="97"/>
      <c r="AW202" s="97"/>
      <c r="AX202" s="97"/>
      <c r="AY202" s="97"/>
      <c r="AZ202" s="97"/>
      <c r="BA202" s="97"/>
      <c r="BB202" s="97"/>
      <c r="BC202" s="97"/>
      <c r="BD202" s="97"/>
      <c r="BE202" s="97"/>
      <c r="BF202" s="97"/>
      <c r="BG202" s="97"/>
      <c r="BH202" s="97"/>
      <c r="BI202" s="97"/>
      <c r="BJ202" s="97"/>
      <c r="BK202" s="97"/>
      <c r="BL202" s="97"/>
      <c r="BM202" s="97"/>
      <c r="BN202" s="97"/>
      <c r="BO202" s="97"/>
      <c r="BP202" s="97"/>
      <c r="BQ202" s="97"/>
      <c r="BR202" s="97"/>
      <c r="BS202" s="97"/>
      <c r="BT202" s="97"/>
      <c r="BU202" s="97"/>
      <c r="BV202" s="97"/>
    </row>
    <row r="203" spans="2:74" ht="15.75" customHeight="1">
      <c r="B203" s="93"/>
      <c r="C203" s="94"/>
      <c r="D203" s="95"/>
      <c r="F203" s="96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8"/>
      <c r="S203" s="97"/>
      <c r="T203" s="99"/>
      <c r="U203" s="99"/>
      <c r="V203" s="99"/>
      <c r="W203" s="97"/>
      <c r="X203" s="97"/>
      <c r="Y203" s="97"/>
      <c r="AC203" s="97"/>
      <c r="AD203" s="97"/>
      <c r="AE203" s="97"/>
      <c r="AF203" s="97"/>
      <c r="AG203" s="97"/>
      <c r="AH203" s="97"/>
      <c r="AI203" s="97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  <c r="AT203" s="97"/>
      <c r="AU203" s="97"/>
      <c r="AV203" s="97"/>
      <c r="AW203" s="97"/>
      <c r="AX203" s="97"/>
      <c r="AY203" s="97"/>
      <c r="AZ203" s="97"/>
      <c r="BA203" s="97"/>
      <c r="BB203" s="97"/>
      <c r="BC203" s="97"/>
      <c r="BD203" s="97"/>
      <c r="BE203" s="97"/>
      <c r="BF203" s="97"/>
      <c r="BG203" s="97"/>
      <c r="BH203" s="97"/>
      <c r="BI203" s="97"/>
      <c r="BJ203" s="97"/>
      <c r="BK203" s="97"/>
      <c r="BL203" s="97"/>
      <c r="BM203" s="97"/>
      <c r="BN203" s="97"/>
      <c r="BO203" s="97"/>
      <c r="BP203" s="97"/>
      <c r="BQ203" s="97"/>
      <c r="BR203" s="97"/>
      <c r="BS203" s="97"/>
      <c r="BT203" s="97"/>
      <c r="BU203" s="97"/>
      <c r="BV203" s="97"/>
    </row>
    <row r="204" spans="2:74" ht="15.75" customHeight="1">
      <c r="B204" s="93"/>
      <c r="C204" s="94"/>
      <c r="D204" s="95"/>
      <c r="F204" s="96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8"/>
      <c r="S204" s="97"/>
      <c r="T204" s="99"/>
      <c r="U204" s="99"/>
      <c r="V204" s="99"/>
      <c r="W204" s="97"/>
      <c r="X204" s="97"/>
      <c r="Y204" s="97"/>
      <c r="AC204" s="97"/>
      <c r="AD204" s="97"/>
      <c r="AE204" s="97"/>
      <c r="AF204" s="97"/>
      <c r="AG204" s="97"/>
      <c r="AH204" s="97"/>
      <c r="AI204" s="97"/>
      <c r="AJ204" s="97"/>
      <c r="AK204" s="97"/>
      <c r="AL204" s="97"/>
      <c r="AM204" s="97"/>
      <c r="AN204" s="97"/>
      <c r="AO204" s="97"/>
      <c r="AP204" s="97"/>
      <c r="AQ204" s="97"/>
      <c r="AR204" s="97"/>
      <c r="AS204" s="97"/>
      <c r="AT204" s="97"/>
      <c r="AU204" s="97"/>
      <c r="AV204" s="97"/>
      <c r="AW204" s="97"/>
      <c r="AX204" s="97"/>
      <c r="AY204" s="97"/>
      <c r="AZ204" s="97"/>
      <c r="BA204" s="97"/>
      <c r="BB204" s="97"/>
      <c r="BC204" s="97"/>
      <c r="BD204" s="97"/>
      <c r="BE204" s="97"/>
      <c r="BF204" s="97"/>
      <c r="BG204" s="97"/>
      <c r="BH204" s="97"/>
      <c r="BI204" s="97"/>
      <c r="BJ204" s="97"/>
      <c r="BK204" s="97"/>
      <c r="BL204" s="97"/>
      <c r="BM204" s="97"/>
      <c r="BN204" s="97"/>
      <c r="BO204" s="97"/>
      <c r="BP204" s="97"/>
      <c r="BQ204" s="97"/>
      <c r="BR204" s="97"/>
      <c r="BS204" s="97"/>
      <c r="BT204" s="97"/>
      <c r="BU204" s="97"/>
      <c r="BV204" s="97"/>
    </row>
    <row r="205" spans="2:74" ht="15.75" customHeight="1">
      <c r="B205" s="93"/>
      <c r="C205" s="94"/>
      <c r="D205" s="95"/>
      <c r="F205" s="96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8"/>
      <c r="S205" s="97"/>
      <c r="T205" s="99"/>
      <c r="U205" s="99"/>
      <c r="V205" s="99"/>
      <c r="W205" s="97"/>
      <c r="X205" s="97"/>
      <c r="Y205" s="97"/>
      <c r="AC205" s="97"/>
      <c r="AD205" s="97"/>
      <c r="AE205" s="97"/>
      <c r="AF205" s="97"/>
      <c r="AG205" s="97"/>
      <c r="AH205" s="97"/>
      <c r="AI205" s="97"/>
      <c r="AJ205" s="97"/>
      <c r="AK205" s="97"/>
      <c r="AL205" s="97"/>
      <c r="AM205" s="97"/>
      <c r="AN205" s="97"/>
      <c r="AO205" s="97"/>
      <c r="AP205" s="97"/>
      <c r="AQ205" s="97"/>
      <c r="AR205" s="97"/>
      <c r="AS205" s="97"/>
      <c r="AT205" s="97"/>
      <c r="AU205" s="97"/>
      <c r="AV205" s="97"/>
      <c r="AW205" s="97"/>
      <c r="AX205" s="97"/>
      <c r="AY205" s="97"/>
      <c r="AZ205" s="97"/>
      <c r="BA205" s="97"/>
      <c r="BB205" s="97"/>
      <c r="BC205" s="97"/>
      <c r="BD205" s="97"/>
      <c r="BE205" s="97"/>
      <c r="BF205" s="97"/>
      <c r="BG205" s="97"/>
      <c r="BH205" s="97"/>
      <c r="BI205" s="97"/>
      <c r="BJ205" s="97"/>
      <c r="BK205" s="97"/>
      <c r="BL205" s="97"/>
      <c r="BM205" s="97"/>
      <c r="BN205" s="97"/>
      <c r="BO205" s="97"/>
      <c r="BP205" s="97"/>
      <c r="BQ205" s="97"/>
      <c r="BR205" s="97"/>
      <c r="BS205" s="97"/>
      <c r="BT205" s="97"/>
      <c r="BU205" s="97"/>
      <c r="BV205" s="97"/>
    </row>
    <row r="206" spans="2:74" ht="15.75" customHeight="1">
      <c r="B206" s="93"/>
      <c r="C206" s="94"/>
      <c r="D206" s="95"/>
      <c r="F206" s="96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8"/>
      <c r="S206" s="97"/>
      <c r="T206" s="99"/>
      <c r="U206" s="99"/>
      <c r="V206" s="99"/>
      <c r="W206" s="97"/>
      <c r="X206" s="97"/>
      <c r="Y206" s="97"/>
      <c r="AC206" s="97"/>
      <c r="AD206" s="97"/>
      <c r="AE206" s="97"/>
      <c r="AF206" s="97"/>
      <c r="AG206" s="97"/>
      <c r="AH206" s="97"/>
      <c r="AI206" s="97"/>
      <c r="AJ206" s="97"/>
      <c r="AK206" s="97"/>
      <c r="AL206" s="97"/>
      <c r="AM206" s="97"/>
      <c r="AN206" s="97"/>
      <c r="AO206" s="97"/>
      <c r="AP206" s="97"/>
      <c r="AQ206" s="97"/>
      <c r="AR206" s="97"/>
      <c r="AS206" s="97"/>
      <c r="AT206" s="97"/>
      <c r="AU206" s="97"/>
      <c r="AV206" s="97"/>
      <c r="AW206" s="97"/>
      <c r="AX206" s="97"/>
      <c r="AY206" s="97"/>
      <c r="AZ206" s="97"/>
      <c r="BA206" s="97"/>
      <c r="BB206" s="97"/>
      <c r="BC206" s="97"/>
      <c r="BD206" s="97"/>
      <c r="BE206" s="97"/>
      <c r="BF206" s="97"/>
      <c r="BG206" s="97"/>
      <c r="BH206" s="97"/>
      <c r="BI206" s="97"/>
      <c r="BJ206" s="97"/>
      <c r="BK206" s="97"/>
      <c r="BL206" s="97"/>
      <c r="BM206" s="97"/>
      <c r="BN206" s="97"/>
      <c r="BO206" s="97"/>
      <c r="BP206" s="97"/>
      <c r="BQ206" s="97"/>
      <c r="BR206" s="97"/>
      <c r="BS206" s="97"/>
      <c r="BT206" s="97"/>
      <c r="BU206" s="97"/>
      <c r="BV206" s="97"/>
    </row>
    <row r="207" spans="2:74" ht="15.75" customHeight="1">
      <c r="B207" s="93"/>
      <c r="C207" s="94"/>
      <c r="D207" s="95"/>
      <c r="F207" s="96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8"/>
      <c r="S207" s="97"/>
      <c r="T207" s="99"/>
      <c r="U207" s="99"/>
      <c r="V207" s="99"/>
      <c r="W207" s="97"/>
      <c r="X207" s="97"/>
      <c r="Y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97"/>
      <c r="AO207" s="97"/>
      <c r="AP207" s="97"/>
      <c r="AQ207" s="97"/>
      <c r="AR207" s="97"/>
      <c r="AS207" s="97"/>
      <c r="AT207" s="97"/>
      <c r="AU207" s="97"/>
      <c r="AV207" s="97"/>
      <c r="AW207" s="97"/>
      <c r="AX207" s="97"/>
      <c r="AY207" s="97"/>
      <c r="AZ207" s="97"/>
      <c r="BA207" s="97"/>
      <c r="BB207" s="97"/>
      <c r="BC207" s="97"/>
      <c r="BD207" s="97"/>
      <c r="BE207" s="97"/>
      <c r="BF207" s="97"/>
      <c r="BG207" s="97"/>
      <c r="BH207" s="97"/>
      <c r="BI207" s="97"/>
      <c r="BJ207" s="97"/>
      <c r="BK207" s="97"/>
      <c r="BL207" s="97"/>
      <c r="BM207" s="97"/>
      <c r="BN207" s="97"/>
      <c r="BO207" s="97"/>
      <c r="BP207" s="97"/>
      <c r="BQ207" s="97"/>
      <c r="BR207" s="97"/>
      <c r="BS207" s="97"/>
      <c r="BT207" s="97"/>
      <c r="BU207" s="97"/>
      <c r="BV207" s="97"/>
    </row>
    <row r="208" spans="2:74" ht="15.75" customHeight="1">
      <c r="B208" s="93"/>
      <c r="C208" s="94"/>
      <c r="D208" s="95"/>
      <c r="F208" s="96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8"/>
      <c r="S208" s="97"/>
      <c r="T208" s="99"/>
      <c r="U208" s="99"/>
      <c r="V208" s="99"/>
      <c r="W208" s="97"/>
      <c r="X208" s="97"/>
      <c r="Y208" s="97"/>
      <c r="AC208" s="97"/>
      <c r="AD208" s="97"/>
      <c r="AE208" s="97"/>
      <c r="AF208" s="97"/>
      <c r="AG208" s="97"/>
      <c r="AH208" s="97"/>
      <c r="AI208" s="97"/>
      <c r="AJ208" s="97"/>
      <c r="AK208" s="97"/>
      <c r="AL208" s="97"/>
      <c r="AM208" s="97"/>
      <c r="AN208" s="97"/>
      <c r="AO208" s="97"/>
      <c r="AP208" s="97"/>
      <c r="AQ208" s="97"/>
      <c r="AR208" s="97"/>
      <c r="AS208" s="97"/>
      <c r="AT208" s="97"/>
      <c r="AU208" s="97"/>
      <c r="AV208" s="97"/>
      <c r="AW208" s="97"/>
      <c r="AX208" s="97"/>
      <c r="AY208" s="97"/>
      <c r="AZ208" s="97"/>
      <c r="BA208" s="97"/>
      <c r="BB208" s="97"/>
      <c r="BC208" s="97"/>
      <c r="BD208" s="97"/>
      <c r="BE208" s="97"/>
      <c r="BF208" s="97"/>
      <c r="BG208" s="97"/>
      <c r="BH208" s="97"/>
      <c r="BI208" s="97"/>
      <c r="BJ208" s="97"/>
      <c r="BK208" s="97"/>
      <c r="BL208" s="97"/>
      <c r="BM208" s="97"/>
      <c r="BN208" s="97"/>
      <c r="BO208" s="97"/>
      <c r="BP208" s="97"/>
      <c r="BQ208" s="97"/>
      <c r="BR208" s="97"/>
      <c r="BS208" s="97"/>
      <c r="BT208" s="97"/>
      <c r="BU208" s="97"/>
      <c r="BV208" s="97"/>
    </row>
    <row r="209" spans="2:74" ht="15.75" customHeight="1">
      <c r="B209" s="93"/>
      <c r="C209" s="94"/>
      <c r="D209" s="95"/>
      <c r="F209" s="96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8"/>
      <c r="S209" s="97"/>
      <c r="T209" s="99"/>
      <c r="U209" s="99"/>
      <c r="V209" s="99"/>
      <c r="W209" s="97"/>
      <c r="X209" s="97"/>
      <c r="Y209" s="97"/>
      <c r="AC209" s="97"/>
      <c r="AD209" s="97"/>
      <c r="AE209" s="97"/>
      <c r="AF209" s="97"/>
      <c r="AG209" s="97"/>
      <c r="AH209" s="97"/>
      <c r="AI209" s="97"/>
      <c r="AJ209" s="97"/>
      <c r="AK209" s="97"/>
      <c r="AL209" s="97"/>
      <c r="AM209" s="97"/>
      <c r="AN209" s="97"/>
      <c r="AO209" s="97"/>
      <c r="AP209" s="97"/>
      <c r="AQ209" s="97"/>
      <c r="AR209" s="97"/>
      <c r="AS209" s="97"/>
      <c r="AT209" s="97"/>
      <c r="AU209" s="97"/>
      <c r="AV209" s="97"/>
      <c r="AW209" s="97"/>
      <c r="AX209" s="97"/>
      <c r="AY209" s="97"/>
      <c r="AZ209" s="97"/>
      <c r="BA209" s="97"/>
      <c r="BB209" s="97"/>
      <c r="BC209" s="97"/>
      <c r="BD209" s="97"/>
      <c r="BE209" s="97"/>
      <c r="BF209" s="97"/>
      <c r="BG209" s="97"/>
      <c r="BH209" s="97"/>
      <c r="BI209" s="97"/>
      <c r="BJ209" s="97"/>
      <c r="BK209" s="97"/>
      <c r="BL209" s="97"/>
      <c r="BM209" s="97"/>
      <c r="BN209" s="97"/>
      <c r="BO209" s="97"/>
      <c r="BP209" s="97"/>
      <c r="BQ209" s="97"/>
      <c r="BR209" s="97"/>
      <c r="BS209" s="97"/>
      <c r="BT209" s="97"/>
      <c r="BU209" s="97"/>
      <c r="BV209" s="97"/>
    </row>
    <row r="210" spans="2:74" ht="15.75" customHeight="1">
      <c r="B210" s="93"/>
      <c r="C210" s="94"/>
      <c r="D210" s="95"/>
      <c r="F210" s="96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8"/>
      <c r="S210" s="97"/>
      <c r="T210" s="99"/>
      <c r="U210" s="99"/>
      <c r="V210" s="99"/>
      <c r="W210" s="97"/>
      <c r="X210" s="97"/>
      <c r="Y210" s="97"/>
      <c r="AC210" s="97"/>
      <c r="AD210" s="97"/>
      <c r="AE210" s="97"/>
      <c r="AF210" s="97"/>
      <c r="AG210" s="97"/>
      <c r="AH210" s="97"/>
      <c r="AI210" s="97"/>
      <c r="AJ210" s="97"/>
      <c r="AK210" s="97"/>
      <c r="AL210" s="97"/>
      <c r="AM210" s="97"/>
      <c r="AN210" s="97"/>
      <c r="AO210" s="97"/>
      <c r="AP210" s="97"/>
      <c r="AQ210" s="97"/>
      <c r="AR210" s="97"/>
      <c r="AS210" s="97"/>
      <c r="AT210" s="97"/>
      <c r="AU210" s="97"/>
      <c r="AV210" s="97"/>
      <c r="AW210" s="97"/>
      <c r="AX210" s="97"/>
      <c r="AY210" s="97"/>
      <c r="AZ210" s="97"/>
      <c r="BA210" s="97"/>
      <c r="BB210" s="97"/>
      <c r="BC210" s="97"/>
      <c r="BD210" s="97"/>
      <c r="BE210" s="97"/>
      <c r="BF210" s="97"/>
      <c r="BG210" s="97"/>
      <c r="BH210" s="97"/>
      <c r="BI210" s="97"/>
      <c r="BJ210" s="97"/>
      <c r="BK210" s="97"/>
      <c r="BL210" s="97"/>
      <c r="BM210" s="97"/>
      <c r="BN210" s="97"/>
      <c r="BO210" s="97"/>
      <c r="BP210" s="97"/>
      <c r="BQ210" s="97"/>
      <c r="BR210" s="97"/>
      <c r="BS210" s="97"/>
      <c r="BT210" s="97"/>
      <c r="BU210" s="97"/>
      <c r="BV210" s="97"/>
    </row>
    <row r="211" spans="2:74" ht="15.75" customHeight="1">
      <c r="B211" s="93"/>
      <c r="C211" s="94"/>
      <c r="D211" s="95"/>
      <c r="F211" s="96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8"/>
      <c r="S211" s="97"/>
      <c r="T211" s="99"/>
      <c r="U211" s="99"/>
      <c r="V211" s="99"/>
      <c r="W211" s="97"/>
      <c r="X211" s="97"/>
      <c r="Y211" s="97"/>
      <c r="AC211" s="97"/>
      <c r="AD211" s="97"/>
      <c r="AE211" s="97"/>
      <c r="AF211" s="97"/>
      <c r="AG211" s="97"/>
      <c r="AH211" s="97"/>
      <c r="AI211" s="97"/>
      <c r="AJ211" s="97"/>
      <c r="AK211" s="97"/>
      <c r="AL211" s="97"/>
      <c r="AM211" s="97"/>
      <c r="AN211" s="97"/>
      <c r="AO211" s="97"/>
      <c r="AP211" s="97"/>
      <c r="AQ211" s="97"/>
      <c r="AR211" s="97"/>
      <c r="AS211" s="97"/>
      <c r="AT211" s="97"/>
      <c r="AU211" s="97"/>
      <c r="AV211" s="97"/>
      <c r="AW211" s="97"/>
      <c r="AX211" s="97"/>
      <c r="AY211" s="97"/>
      <c r="AZ211" s="97"/>
      <c r="BA211" s="97"/>
      <c r="BB211" s="97"/>
      <c r="BC211" s="97"/>
      <c r="BD211" s="97"/>
      <c r="BE211" s="97"/>
      <c r="BF211" s="97"/>
      <c r="BG211" s="97"/>
      <c r="BH211" s="97"/>
      <c r="BI211" s="97"/>
      <c r="BJ211" s="97"/>
      <c r="BK211" s="97"/>
      <c r="BL211" s="97"/>
      <c r="BM211" s="97"/>
      <c r="BN211" s="97"/>
      <c r="BO211" s="97"/>
      <c r="BP211" s="97"/>
      <c r="BQ211" s="97"/>
      <c r="BR211" s="97"/>
      <c r="BS211" s="97"/>
      <c r="BT211" s="97"/>
      <c r="BU211" s="97"/>
      <c r="BV211" s="97"/>
    </row>
    <row r="212" spans="2:74" ht="15.75" customHeight="1">
      <c r="B212" s="93"/>
      <c r="C212" s="94"/>
      <c r="D212" s="95"/>
      <c r="F212" s="96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8"/>
      <c r="S212" s="97"/>
      <c r="T212" s="99"/>
      <c r="U212" s="99"/>
      <c r="V212" s="99"/>
      <c r="W212" s="97"/>
      <c r="X212" s="97"/>
      <c r="Y212" s="97"/>
      <c r="AC212" s="97"/>
      <c r="AD212" s="97"/>
      <c r="AE212" s="97"/>
      <c r="AF212" s="97"/>
      <c r="AG212" s="97"/>
      <c r="AH212" s="97"/>
      <c r="AI212" s="97"/>
      <c r="AJ212" s="97"/>
      <c r="AK212" s="97"/>
      <c r="AL212" s="97"/>
      <c r="AM212" s="97"/>
      <c r="AN212" s="97"/>
      <c r="AO212" s="97"/>
      <c r="AP212" s="97"/>
      <c r="AQ212" s="97"/>
      <c r="AR212" s="97"/>
      <c r="AS212" s="97"/>
      <c r="AT212" s="97"/>
      <c r="AU212" s="97"/>
      <c r="AV212" s="97"/>
      <c r="AW212" s="97"/>
      <c r="AX212" s="97"/>
      <c r="AY212" s="97"/>
      <c r="AZ212" s="97"/>
      <c r="BA212" s="97"/>
      <c r="BB212" s="97"/>
      <c r="BC212" s="97"/>
      <c r="BD212" s="97"/>
      <c r="BE212" s="97"/>
      <c r="BF212" s="97"/>
      <c r="BG212" s="97"/>
      <c r="BH212" s="97"/>
      <c r="BI212" s="97"/>
      <c r="BJ212" s="97"/>
      <c r="BK212" s="97"/>
      <c r="BL212" s="97"/>
      <c r="BM212" s="97"/>
      <c r="BN212" s="97"/>
      <c r="BO212" s="97"/>
      <c r="BP212" s="97"/>
      <c r="BQ212" s="97"/>
      <c r="BR212" s="97"/>
      <c r="BS212" s="97"/>
      <c r="BT212" s="97"/>
      <c r="BU212" s="97"/>
      <c r="BV212" s="97"/>
    </row>
    <row r="213" spans="2:74" ht="15.75" customHeight="1">
      <c r="B213" s="93"/>
      <c r="C213" s="94"/>
      <c r="D213" s="95"/>
      <c r="F213" s="96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8"/>
      <c r="S213" s="97"/>
      <c r="T213" s="99"/>
      <c r="U213" s="99"/>
      <c r="V213" s="99"/>
      <c r="W213" s="97"/>
      <c r="X213" s="97"/>
      <c r="Y213" s="97"/>
      <c r="AC213" s="97"/>
      <c r="AD213" s="97"/>
      <c r="AE213" s="97"/>
      <c r="AF213" s="97"/>
      <c r="AG213" s="97"/>
      <c r="AH213" s="97"/>
      <c r="AI213" s="97"/>
      <c r="AJ213" s="97"/>
      <c r="AK213" s="97"/>
      <c r="AL213" s="97"/>
      <c r="AM213" s="97"/>
      <c r="AN213" s="97"/>
      <c r="AO213" s="97"/>
      <c r="AP213" s="97"/>
      <c r="AQ213" s="97"/>
      <c r="AR213" s="97"/>
      <c r="AS213" s="97"/>
      <c r="AT213" s="97"/>
      <c r="AU213" s="97"/>
      <c r="AV213" s="97"/>
      <c r="AW213" s="97"/>
      <c r="AX213" s="97"/>
      <c r="AY213" s="97"/>
      <c r="AZ213" s="97"/>
      <c r="BA213" s="97"/>
      <c r="BB213" s="97"/>
      <c r="BC213" s="97"/>
      <c r="BD213" s="97"/>
      <c r="BE213" s="97"/>
      <c r="BF213" s="97"/>
      <c r="BG213" s="97"/>
      <c r="BH213" s="97"/>
      <c r="BI213" s="97"/>
      <c r="BJ213" s="97"/>
      <c r="BK213" s="97"/>
      <c r="BL213" s="97"/>
      <c r="BM213" s="97"/>
      <c r="BN213" s="97"/>
      <c r="BO213" s="97"/>
      <c r="BP213" s="97"/>
      <c r="BQ213" s="97"/>
      <c r="BR213" s="97"/>
      <c r="BS213" s="97"/>
      <c r="BT213" s="97"/>
      <c r="BU213" s="97"/>
      <c r="BV213" s="97"/>
    </row>
    <row r="214" spans="2:74" ht="15.75" customHeight="1">
      <c r="B214" s="93"/>
      <c r="C214" s="94"/>
      <c r="D214" s="95"/>
      <c r="F214" s="96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8"/>
      <c r="S214" s="97"/>
      <c r="T214" s="99"/>
      <c r="U214" s="99"/>
      <c r="V214" s="99"/>
      <c r="W214" s="97"/>
      <c r="X214" s="97"/>
      <c r="Y214" s="97"/>
      <c r="AC214" s="97"/>
      <c r="AD214" s="97"/>
      <c r="AE214" s="97"/>
      <c r="AF214" s="97"/>
      <c r="AG214" s="97"/>
      <c r="AH214" s="97"/>
      <c r="AI214" s="97"/>
      <c r="AJ214" s="97"/>
      <c r="AK214" s="97"/>
      <c r="AL214" s="97"/>
      <c r="AM214" s="97"/>
      <c r="AN214" s="97"/>
      <c r="AO214" s="97"/>
      <c r="AP214" s="97"/>
      <c r="AQ214" s="97"/>
      <c r="AR214" s="97"/>
      <c r="AS214" s="97"/>
      <c r="AT214" s="97"/>
      <c r="AU214" s="97"/>
      <c r="AV214" s="97"/>
      <c r="AW214" s="97"/>
      <c r="AX214" s="97"/>
      <c r="AY214" s="97"/>
      <c r="AZ214" s="97"/>
      <c r="BA214" s="97"/>
      <c r="BB214" s="97"/>
      <c r="BC214" s="97"/>
      <c r="BD214" s="97"/>
      <c r="BE214" s="97"/>
      <c r="BF214" s="97"/>
      <c r="BG214" s="97"/>
      <c r="BH214" s="97"/>
      <c r="BI214" s="97"/>
      <c r="BJ214" s="97"/>
      <c r="BK214" s="97"/>
      <c r="BL214" s="97"/>
      <c r="BM214" s="97"/>
      <c r="BN214" s="97"/>
      <c r="BO214" s="97"/>
      <c r="BP214" s="97"/>
      <c r="BQ214" s="97"/>
      <c r="BR214" s="97"/>
      <c r="BS214" s="97"/>
      <c r="BT214" s="97"/>
      <c r="BU214" s="97"/>
      <c r="BV214" s="97"/>
    </row>
    <row r="215" spans="2:74" ht="15.75" customHeight="1">
      <c r="B215" s="93"/>
      <c r="C215" s="94"/>
      <c r="D215" s="95"/>
      <c r="F215" s="96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8"/>
      <c r="S215" s="97"/>
      <c r="T215" s="99"/>
      <c r="U215" s="99"/>
      <c r="V215" s="99"/>
      <c r="W215" s="97"/>
      <c r="X215" s="97"/>
      <c r="Y215" s="97"/>
      <c r="AC215" s="97"/>
      <c r="AD215" s="97"/>
      <c r="AE215" s="97"/>
      <c r="AF215" s="97"/>
      <c r="AG215" s="97"/>
      <c r="AH215" s="97"/>
      <c r="AI215" s="97"/>
      <c r="AJ215" s="97"/>
      <c r="AK215" s="97"/>
      <c r="AL215" s="97"/>
      <c r="AM215" s="97"/>
      <c r="AN215" s="97"/>
      <c r="AO215" s="97"/>
      <c r="AP215" s="97"/>
      <c r="AQ215" s="97"/>
      <c r="AR215" s="97"/>
      <c r="AS215" s="97"/>
      <c r="AT215" s="97"/>
      <c r="AU215" s="97"/>
      <c r="AV215" s="97"/>
      <c r="AW215" s="97"/>
      <c r="AX215" s="97"/>
      <c r="AY215" s="97"/>
      <c r="AZ215" s="97"/>
      <c r="BA215" s="97"/>
      <c r="BB215" s="97"/>
      <c r="BC215" s="97"/>
      <c r="BD215" s="97"/>
      <c r="BE215" s="97"/>
      <c r="BF215" s="97"/>
      <c r="BG215" s="97"/>
      <c r="BH215" s="97"/>
      <c r="BI215" s="97"/>
      <c r="BJ215" s="97"/>
      <c r="BK215" s="97"/>
      <c r="BL215" s="97"/>
      <c r="BM215" s="97"/>
      <c r="BN215" s="97"/>
      <c r="BO215" s="97"/>
      <c r="BP215" s="97"/>
      <c r="BQ215" s="97"/>
      <c r="BR215" s="97"/>
      <c r="BS215" s="97"/>
      <c r="BT215" s="97"/>
      <c r="BU215" s="97"/>
      <c r="BV215" s="97"/>
    </row>
    <row r="216" spans="2:74" ht="15.75" customHeight="1">
      <c r="B216" s="93"/>
      <c r="C216" s="94"/>
      <c r="D216" s="95"/>
      <c r="F216" s="96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8"/>
      <c r="S216" s="97"/>
      <c r="T216" s="99"/>
      <c r="U216" s="99"/>
      <c r="V216" s="99"/>
      <c r="W216" s="97"/>
      <c r="X216" s="97"/>
      <c r="Y216" s="97"/>
      <c r="AC216" s="97"/>
      <c r="AD216" s="97"/>
      <c r="AE216" s="97"/>
      <c r="AF216" s="97"/>
      <c r="AG216" s="97"/>
      <c r="AH216" s="97"/>
      <c r="AI216" s="97"/>
      <c r="AJ216" s="97"/>
      <c r="AK216" s="97"/>
      <c r="AL216" s="97"/>
      <c r="AM216" s="97"/>
      <c r="AN216" s="97"/>
      <c r="AO216" s="97"/>
      <c r="AP216" s="97"/>
      <c r="AQ216" s="97"/>
      <c r="AR216" s="97"/>
      <c r="AS216" s="97"/>
      <c r="AT216" s="97"/>
      <c r="AU216" s="97"/>
      <c r="AV216" s="97"/>
      <c r="AW216" s="97"/>
      <c r="AX216" s="97"/>
      <c r="AY216" s="97"/>
      <c r="AZ216" s="97"/>
      <c r="BA216" s="97"/>
      <c r="BB216" s="97"/>
      <c r="BC216" s="97"/>
      <c r="BD216" s="97"/>
      <c r="BE216" s="97"/>
      <c r="BF216" s="97"/>
      <c r="BG216" s="97"/>
      <c r="BH216" s="97"/>
      <c r="BI216" s="97"/>
      <c r="BJ216" s="97"/>
      <c r="BK216" s="97"/>
      <c r="BL216" s="97"/>
      <c r="BM216" s="97"/>
      <c r="BN216" s="97"/>
      <c r="BO216" s="97"/>
      <c r="BP216" s="97"/>
      <c r="BQ216" s="97"/>
      <c r="BR216" s="97"/>
      <c r="BS216" s="97"/>
      <c r="BT216" s="97"/>
      <c r="BU216" s="97"/>
      <c r="BV216" s="97"/>
    </row>
    <row r="217" spans="2:74" ht="15.75" customHeight="1">
      <c r="B217" s="93"/>
      <c r="C217" s="94"/>
      <c r="D217" s="95"/>
      <c r="F217" s="96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8"/>
      <c r="S217" s="97"/>
      <c r="T217" s="99"/>
      <c r="U217" s="99"/>
      <c r="V217" s="99"/>
      <c r="W217" s="97"/>
      <c r="X217" s="97"/>
      <c r="Y217" s="97"/>
      <c r="AC217" s="97"/>
      <c r="AD217" s="97"/>
      <c r="AE217" s="97"/>
      <c r="AF217" s="97"/>
      <c r="AG217" s="97"/>
      <c r="AH217" s="97"/>
      <c r="AI217" s="97"/>
      <c r="AJ217" s="97"/>
      <c r="AK217" s="97"/>
      <c r="AL217" s="97"/>
      <c r="AM217" s="97"/>
      <c r="AN217" s="97"/>
      <c r="AO217" s="97"/>
      <c r="AP217" s="97"/>
      <c r="AQ217" s="97"/>
      <c r="AR217" s="97"/>
      <c r="AS217" s="97"/>
      <c r="AT217" s="97"/>
      <c r="AU217" s="97"/>
      <c r="AV217" s="97"/>
      <c r="AW217" s="97"/>
      <c r="AX217" s="97"/>
      <c r="AY217" s="97"/>
      <c r="AZ217" s="97"/>
      <c r="BA217" s="97"/>
      <c r="BB217" s="97"/>
      <c r="BC217" s="97"/>
      <c r="BD217" s="97"/>
      <c r="BE217" s="97"/>
      <c r="BF217" s="97"/>
      <c r="BG217" s="97"/>
      <c r="BH217" s="97"/>
      <c r="BI217" s="97"/>
      <c r="BJ217" s="97"/>
      <c r="BK217" s="97"/>
      <c r="BL217" s="97"/>
      <c r="BM217" s="97"/>
      <c r="BN217" s="97"/>
      <c r="BO217" s="97"/>
      <c r="BP217" s="97"/>
      <c r="BQ217" s="97"/>
      <c r="BR217" s="97"/>
      <c r="BS217" s="97"/>
      <c r="BT217" s="97"/>
      <c r="BU217" s="97"/>
      <c r="BV217" s="97"/>
    </row>
    <row r="218" spans="2:74" ht="15.75" customHeight="1">
      <c r="B218" s="93"/>
      <c r="C218" s="94"/>
      <c r="D218" s="95"/>
      <c r="F218" s="96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8"/>
      <c r="S218" s="97"/>
      <c r="T218" s="99"/>
      <c r="U218" s="99"/>
      <c r="V218" s="99"/>
      <c r="W218" s="97"/>
      <c r="X218" s="97"/>
      <c r="Y218" s="97"/>
      <c r="AC218" s="97"/>
      <c r="AD218" s="97"/>
      <c r="AE218" s="97"/>
      <c r="AF218" s="97"/>
      <c r="AG218" s="97"/>
      <c r="AH218" s="97"/>
      <c r="AI218" s="97"/>
      <c r="AJ218" s="97"/>
      <c r="AK218" s="97"/>
      <c r="AL218" s="97"/>
      <c r="AM218" s="97"/>
      <c r="AN218" s="97"/>
      <c r="AO218" s="97"/>
      <c r="AP218" s="97"/>
      <c r="AQ218" s="97"/>
      <c r="AR218" s="97"/>
      <c r="AS218" s="97"/>
      <c r="AT218" s="97"/>
      <c r="AU218" s="97"/>
      <c r="AV218" s="97"/>
      <c r="AW218" s="97"/>
      <c r="AX218" s="97"/>
      <c r="AY218" s="97"/>
      <c r="AZ218" s="97"/>
      <c r="BA218" s="97"/>
      <c r="BB218" s="97"/>
      <c r="BC218" s="97"/>
      <c r="BD218" s="97"/>
      <c r="BE218" s="97"/>
      <c r="BF218" s="97"/>
      <c r="BG218" s="97"/>
      <c r="BH218" s="97"/>
      <c r="BI218" s="97"/>
      <c r="BJ218" s="97"/>
      <c r="BK218" s="97"/>
      <c r="BL218" s="97"/>
      <c r="BM218" s="97"/>
      <c r="BN218" s="97"/>
      <c r="BO218" s="97"/>
      <c r="BP218" s="97"/>
      <c r="BQ218" s="97"/>
      <c r="BR218" s="97"/>
      <c r="BS218" s="97"/>
      <c r="BT218" s="97"/>
      <c r="BU218" s="97"/>
      <c r="BV218" s="97"/>
    </row>
    <row r="219" spans="2:74" ht="15.75" customHeight="1">
      <c r="B219" s="93"/>
      <c r="C219" s="94"/>
      <c r="D219" s="95"/>
      <c r="F219" s="96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8"/>
      <c r="S219" s="97"/>
      <c r="T219" s="99"/>
      <c r="U219" s="99"/>
      <c r="V219" s="99"/>
      <c r="W219" s="97"/>
      <c r="X219" s="97"/>
      <c r="Y219" s="97"/>
      <c r="AC219" s="97"/>
      <c r="AD219" s="97"/>
      <c r="AE219" s="97"/>
      <c r="AF219" s="97"/>
      <c r="AG219" s="97"/>
      <c r="AH219" s="97"/>
      <c r="AI219" s="97"/>
      <c r="AJ219" s="97"/>
      <c r="AK219" s="97"/>
      <c r="AL219" s="97"/>
      <c r="AM219" s="97"/>
      <c r="AN219" s="97"/>
      <c r="AO219" s="97"/>
      <c r="AP219" s="97"/>
      <c r="AQ219" s="97"/>
      <c r="AR219" s="97"/>
      <c r="AS219" s="97"/>
      <c r="AT219" s="97"/>
      <c r="AU219" s="97"/>
      <c r="AV219" s="97"/>
      <c r="AW219" s="97"/>
      <c r="AX219" s="97"/>
      <c r="AY219" s="97"/>
      <c r="AZ219" s="97"/>
      <c r="BA219" s="97"/>
      <c r="BB219" s="97"/>
      <c r="BC219" s="97"/>
      <c r="BD219" s="97"/>
      <c r="BE219" s="97"/>
      <c r="BF219" s="97"/>
      <c r="BG219" s="97"/>
      <c r="BH219" s="97"/>
      <c r="BI219" s="97"/>
      <c r="BJ219" s="97"/>
      <c r="BK219" s="97"/>
      <c r="BL219" s="97"/>
      <c r="BM219" s="97"/>
      <c r="BN219" s="97"/>
      <c r="BO219" s="97"/>
      <c r="BP219" s="97"/>
      <c r="BQ219" s="97"/>
      <c r="BR219" s="97"/>
      <c r="BS219" s="97"/>
      <c r="BT219" s="97"/>
      <c r="BU219" s="97"/>
      <c r="BV219" s="97"/>
    </row>
    <row r="220" spans="2:74" ht="15.75" customHeight="1">
      <c r="B220" s="93"/>
      <c r="C220" s="94"/>
      <c r="D220" s="95"/>
      <c r="F220" s="96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8"/>
      <c r="S220" s="97"/>
      <c r="T220" s="99"/>
      <c r="U220" s="99"/>
      <c r="V220" s="99"/>
      <c r="W220" s="97"/>
      <c r="X220" s="97"/>
      <c r="Y220" s="97"/>
      <c r="AC220" s="97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  <c r="AQ220" s="97"/>
      <c r="AR220" s="97"/>
      <c r="AS220" s="97"/>
      <c r="AT220" s="97"/>
      <c r="AU220" s="97"/>
      <c r="AV220" s="97"/>
      <c r="AW220" s="97"/>
      <c r="AX220" s="97"/>
      <c r="AY220" s="97"/>
      <c r="AZ220" s="97"/>
      <c r="BA220" s="97"/>
      <c r="BB220" s="97"/>
      <c r="BC220" s="97"/>
      <c r="BD220" s="97"/>
      <c r="BE220" s="97"/>
      <c r="BF220" s="97"/>
      <c r="BG220" s="97"/>
      <c r="BH220" s="97"/>
      <c r="BI220" s="97"/>
      <c r="BJ220" s="97"/>
      <c r="BK220" s="97"/>
      <c r="BL220" s="97"/>
      <c r="BM220" s="97"/>
      <c r="BN220" s="97"/>
      <c r="BO220" s="97"/>
      <c r="BP220" s="97"/>
      <c r="BQ220" s="97"/>
      <c r="BR220" s="97"/>
      <c r="BS220" s="97"/>
      <c r="BT220" s="97"/>
      <c r="BU220" s="97"/>
      <c r="BV220" s="97"/>
    </row>
    <row r="221" spans="2:74" ht="15.75" customHeight="1">
      <c r="B221" s="93"/>
      <c r="C221" s="94"/>
      <c r="D221" s="95"/>
      <c r="F221" s="96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8"/>
      <c r="S221" s="97"/>
      <c r="T221" s="99"/>
      <c r="U221" s="99"/>
      <c r="V221" s="99"/>
      <c r="W221" s="97"/>
      <c r="X221" s="97"/>
      <c r="Y221" s="97"/>
      <c r="AC221" s="97"/>
      <c r="AD221" s="97"/>
      <c r="AE221" s="97"/>
      <c r="AF221" s="97"/>
      <c r="AG221" s="97"/>
      <c r="AH221" s="97"/>
      <c r="AI221" s="97"/>
      <c r="AJ221" s="97"/>
      <c r="AK221" s="97"/>
      <c r="AL221" s="97"/>
      <c r="AM221" s="97"/>
      <c r="AN221" s="97"/>
      <c r="AO221" s="97"/>
      <c r="AP221" s="97"/>
      <c r="AQ221" s="97"/>
      <c r="AR221" s="97"/>
      <c r="AS221" s="97"/>
      <c r="AT221" s="97"/>
      <c r="AU221" s="97"/>
      <c r="AV221" s="97"/>
      <c r="AW221" s="97"/>
      <c r="AX221" s="97"/>
      <c r="AY221" s="97"/>
      <c r="AZ221" s="97"/>
      <c r="BA221" s="97"/>
      <c r="BB221" s="97"/>
      <c r="BC221" s="97"/>
      <c r="BD221" s="97"/>
      <c r="BE221" s="97"/>
      <c r="BF221" s="97"/>
      <c r="BG221" s="97"/>
      <c r="BH221" s="97"/>
      <c r="BI221" s="97"/>
      <c r="BJ221" s="97"/>
      <c r="BK221" s="97"/>
      <c r="BL221" s="97"/>
      <c r="BM221" s="97"/>
      <c r="BN221" s="97"/>
      <c r="BO221" s="97"/>
      <c r="BP221" s="97"/>
      <c r="BQ221" s="97"/>
      <c r="BR221" s="97"/>
      <c r="BS221" s="97"/>
      <c r="BT221" s="97"/>
      <c r="BU221" s="97"/>
      <c r="BV221" s="97"/>
    </row>
    <row r="222" spans="2:74" ht="15.75" customHeight="1">
      <c r="B222" s="93"/>
      <c r="C222" s="94"/>
      <c r="D222" s="95"/>
      <c r="F222" s="96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8"/>
      <c r="S222" s="97"/>
      <c r="T222" s="99"/>
      <c r="U222" s="99"/>
      <c r="V222" s="99"/>
      <c r="W222" s="97"/>
      <c r="X222" s="97"/>
      <c r="Y222" s="97"/>
      <c r="AC222" s="97"/>
      <c r="AD222" s="97"/>
      <c r="AE222" s="97"/>
      <c r="AF222" s="97"/>
      <c r="AG222" s="97"/>
      <c r="AH222" s="97"/>
      <c r="AI222" s="97"/>
      <c r="AJ222" s="97"/>
      <c r="AK222" s="97"/>
      <c r="AL222" s="97"/>
      <c r="AM222" s="97"/>
      <c r="AN222" s="97"/>
      <c r="AO222" s="97"/>
      <c r="AP222" s="97"/>
      <c r="AQ222" s="97"/>
      <c r="AR222" s="97"/>
      <c r="AS222" s="97"/>
      <c r="AT222" s="97"/>
      <c r="AU222" s="97"/>
      <c r="AV222" s="97"/>
      <c r="AW222" s="97"/>
      <c r="AX222" s="97"/>
      <c r="AY222" s="97"/>
      <c r="AZ222" s="97"/>
      <c r="BA222" s="97"/>
      <c r="BB222" s="97"/>
      <c r="BC222" s="97"/>
      <c r="BD222" s="97"/>
      <c r="BE222" s="97"/>
      <c r="BF222" s="97"/>
      <c r="BG222" s="97"/>
      <c r="BH222" s="97"/>
      <c r="BI222" s="97"/>
      <c r="BJ222" s="97"/>
      <c r="BK222" s="97"/>
      <c r="BL222" s="97"/>
      <c r="BM222" s="97"/>
      <c r="BN222" s="97"/>
      <c r="BO222" s="97"/>
      <c r="BP222" s="97"/>
      <c r="BQ222" s="97"/>
      <c r="BR222" s="97"/>
      <c r="BS222" s="97"/>
      <c r="BT222" s="97"/>
      <c r="BU222" s="97"/>
      <c r="BV222" s="97"/>
    </row>
    <row r="223" spans="2:74" ht="15.75" customHeight="1">
      <c r="B223" s="93"/>
      <c r="C223" s="94"/>
      <c r="D223" s="95"/>
      <c r="F223" s="96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8"/>
      <c r="S223" s="97"/>
      <c r="T223" s="99"/>
      <c r="U223" s="99"/>
      <c r="V223" s="99"/>
      <c r="W223" s="97"/>
      <c r="X223" s="97"/>
      <c r="Y223" s="97"/>
      <c r="AC223" s="97"/>
      <c r="AD223" s="97"/>
      <c r="AE223" s="97"/>
      <c r="AF223" s="97"/>
      <c r="AG223" s="97"/>
      <c r="AH223" s="97"/>
      <c r="AI223" s="97"/>
      <c r="AJ223" s="97"/>
      <c r="AK223" s="97"/>
      <c r="AL223" s="97"/>
      <c r="AM223" s="97"/>
      <c r="AN223" s="97"/>
      <c r="AO223" s="97"/>
      <c r="AP223" s="97"/>
      <c r="AQ223" s="97"/>
      <c r="AR223" s="97"/>
      <c r="AS223" s="97"/>
      <c r="AT223" s="97"/>
      <c r="AU223" s="97"/>
      <c r="AV223" s="97"/>
      <c r="AW223" s="97"/>
      <c r="AX223" s="97"/>
      <c r="AY223" s="97"/>
      <c r="AZ223" s="97"/>
      <c r="BA223" s="97"/>
      <c r="BB223" s="97"/>
      <c r="BC223" s="97"/>
      <c r="BD223" s="97"/>
      <c r="BE223" s="97"/>
      <c r="BF223" s="97"/>
      <c r="BG223" s="97"/>
      <c r="BH223" s="97"/>
      <c r="BI223" s="97"/>
      <c r="BJ223" s="97"/>
      <c r="BK223" s="97"/>
      <c r="BL223" s="97"/>
      <c r="BM223" s="97"/>
      <c r="BN223" s="97"/>
      <c r="BO223" s="97"/>
      <c r="BP223" s="97"/>
      <c r="BQ223" s="97"/>
      <c r="BR223" s="97"/>
      <c r="BS223" s="97"/>
      <c r="BT223" s="97"/>
      <c r="BU223" s="97"/>
      <c r="BV223" s="97"/>
    </row>
    <row r="224" spans="2:74" ht="15.75" customHeight="1">
      <c r="B224" s="93"/>
      <c r="C224" s="94"/>
      <c r="D224" s="95"/>
      <c r="F224" s="96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8"/>
      <c r="S224" s="97"/>
      <c r="T224" s="99"/>
      <c r="U224" s="99"/>
      <c r="V224" s="99"/>
      <c r="W224" s="97"/>
      <c r="X224" s="97"/>
      <c r="Y224" s="97"/>
      <c r="AC224" s="97"/>
      <c r="AD224" s="97"/>
      <c r="AE224" s="97"/>
      <c r="AF224" s="97"/>
      <c r="AG224" s="97"/>
      <c r="AH224" s="97"/>
      <c r="AI224" s="97"/>
      <c r="AJ224" s="97"/>
      <c r="AK224" s="97"/>
      <c r="AL224" s="97"/>
      <c r="AM224" s="97"/>
      <c r="AN224" s="97"/>
      <c r="AO224" s="97"/>
      <c r="AP224" s="97"/>
      <c r="AQ224" s="97"/>
      <c r="AR224" s="97"/>
      <c r="AS224" s="97"/>
      <c r="AT224" s="97"/>
      <c r="AU224" s="97"/>
      <c r="AV224" s="97"/>
      <c r="AW224" s="97"/>
      <c r="AX224" s="97"/>
      <c r="AY224" s="97"/>
      <c r="AZ224" s="97"/>
      <c r="BA224" s="97"/>
      <c r="BB224" s="97"/>
      <c r="BC224" s="97"/>
      <c r="BD224" s="97"/>
      <c r="BE224" s="97"/>
      <c r="BF224" s="97"/>
      <c r="BG224" s="97"/>
      <c r="BH224" s="97"/>
      <c r="BI224" s="97"/>
      <c r="BJ224" s="97"/>
      <c r="BK224" s="97"/>
      <c r="BL224" s="97"/>
      <c r="BM224" s="97"/>
      <c r="BN224" s="97"/>
      <c r="BO224" s="97"/>
      <c r="BP224" s="97"/>
      <c r="BQ224" s="97"/>
      <c r="BR224" s="97"/>
      <c r="BS224" s="97"/>
      <c r="BT224" s="97"/>
      <c r="BU224" s="97"/>
      <c r="BV224" s="97"/>
    </row>
    <row r="225" spans="2:74" ht="15.75" customHeight="1">
      <c r="B225" s="93"/>
      <c r="C225" s="94"/>
      <c r="D225" s="95"/>
      <c r="F225" s="96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8"/>
      <c r="S225" s="97"/>
      <c r="T225" s="99"/>
      <c r="U225" s="99"/>
      <c r="V225" s="99"/>
      <c r="W225" s="97"/>
      <c r="X225" s="97"/>
      <c r="Y225" s="97"/>
      <c r="AC225" s="97"/>
      <c r="AD225" s="97"/>
      <c r="AE225" s="97"/>
      <c r="AF225" s="97"/>
      <c r="AG225" s="97"/>
      <c r="AH225" s="97"/>
      <c r="AI225" s="97"/>
      <c r="AJ225" s="97"/>
      <c r="AK225" s="97"/>
      <c r="AL225" s="97"/>
      <c r="AM225" s="97"/>
      <c r="AN225" s="97"/>
      <c r="AO225" s="97"/>
      <c r="AP225" s="97"/>
      <c r="AQ225" s="97"/>
      <c r="AR225" s="97"/>
      <c r="AS225" s="97"/>
      <c r="AT225" s="97"/>
      <c r="AU225" s="97"/>
      <c r="AV225" s="97"/>
      <c r="AW225" s="97"/>
      <c r="AX225" s="97"/>
      <c r="AY225" s="97"/>
      <c r="AZ225" s="97"/>
      <c r="BA225" s="97"/>
      <c r="BB225" s="97"/>
      <c r="BC225" s="97"/>
      <c r="BD225" s="97"/>
      <c r="BE225" s="97"/>
      <c r="BF225" s="97"/>
      <c r="BG225" s="97"/>
      <c r="BH225" s="97"/>
      <c r="BI225" s="97"/>
      <c r="BJ225" s="97"/>
      <c r="BK225" s="97"/>
      <c r="BL225" s="97"/>
      <c r="BM225" s="97"/>
      <c r="BN225" s="97"/>
      <c r="BO225" s="97"/>
      <c r="BP225" s="97"/>
      <c r="BQ225" s="97"/>
      <c r="BR225" s="97"/>
      <c r="BS225" s="97"/>
      <c r="BT225" s="97"/>
      <c r="BU225" s="97"/>
      <c r="BV225" s="97"/>
    </row>
    <row r="226" spans="2:74" ht="15.75" customHeight="1">
      <c r="B226" s="93"/>
      <c r="C226" s="94"/>
      <c r="D226" s="95"/>
      <c r="F226" s="96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8"/>
      <c r="S226" s="97"/>
      <c r="T226" s="99"/>
      <c r="U226" s="99"/>
      <c r="V226" s="99"/>
      <c r="W226" s="97"/>
      <c r="X226" s="97"/>
      <c r="Y226" s="97"/>
      <c r="AC226" s="97"/>
      <c r="AD226" s="97"/>
      <c r="AE226" s="97"/>
      <c r="AF226" s="97"/>
      <c r="AG226" s="97"/>
      <c r="AH226" s="97"/>
      <c r="AI226" s="97"/>
      <c r="AJ226" s="97"/>
      <c r="AK226" s="97"/>
      <c r="AL226" s="97"/>
      <c r="AM226" s="97"/>
      <c r="AN226" s="97"/>
      <c r="AO226" s="97"/>
      <c r="AP226" s="97"/>
      <c r="AQ226" s="97"/>
      <c r="AR226" s="97"/>
      <c r="AS226" s="97"/>
      <c r="AT226" s="97"/>
      <c r="AU226" s="97"/>
      <c r="AV226" s="97"/>
      <c r="AW226" s="97"/>
      <c r="AX226" s="97"/>
      <c r="AY226" s="97"/>
      <c r="AZ226" s="97"/>
      <c r="BA226" s="97"/>
      <c r="BB226" s="97"/>
      <c r="BC226" s="97"/>
      <c r="BD226" s="97"/>
      <c r="BE226" s="97"/>
      <c r="BF226" s="97"/>
      <c r="BG226" s="97"/>
      <c r="BH226" s="97"/>
      <c r="BI226" s="97"/>
      <c r="BJ226" s="97"/>
      <c r="BK226" s="97"/>
      <c r="BL226" s="97"/>
      <c r="BM226" s="97"/>
      <c r="BN226" s="97"/>
      <c r="BO226" s="97"/>
      <c r="BP226" s="97"/>
      <c r="BQ226" s="97"/>
      <c r="BR226" s="97"/>
      <c r="BS226" s="97"/>
      <c r="BT226" s="97"/>
      <c r="BU226" s="97"/>
      <c r="BV226" s="97"/>
    </row>
    <row r="227" spans="2:74" ht="15.75" customHeight="1">
      <c r="B227" s="93"/>
      <c r="C227" s="94"/>
      <c r="D227" s="95"/>
      <c r="F227" s="96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8"/>
      <c r="S227" s="97"/>
      <c r="T227" s="99"/>
      <c r="U227" s="99"/>
      <c r="V227" s="99"/>
      <c r="W227" s="97"/>
      <c r="X227" s="97"/>
      <c r="Y227" s="97"/>
      <c r="AC227" s="97"/>
      <c r="AD227" s="97"/>
      <c r="AE227" s="97"/>
      <c r="AF227" s="97"/>
      <c r="AG227" s="97"/>
      <c r="AH227" s="97"/>
      <c r="AI227" s="97"/>
      <c r="AJ227" s="97"/>
      <c r="AK227" s="97"/>
      <c r="AL227" s="97"/>
      <c r="AM227" s="97"/>
      <c r="AN227" s="97"/>
      <c r="AO227" s="97"/>
      <c r="AP227" s="97"/>
      <c r="AQ227" s="97"/>
      <c r="AR227" s="97"/>
      <c r="AS227" s="97"/>
      <c r="AT227" s="97"/>
      <c r="AU227" s="97"/>
      <c r="AV227" s="97"/>
      <c r="AW227" s="97"/>
      <c r="AX227" s="97"/>
      <c r="AY227" s="97"/>
      <c r="AZ227" s="97"/>
      <c r="BA227" s="97"/>
      <c r="BB227" s="97"/>
      <c r="BC227" s="97"/>
      <c r="BD227" s="97"/>
      <c r="BE227" s="97"/>
      <c r="BF227" s="97"/>
      <c r="BG227" s="97"/>
      <c r="BH227" s="97"/>
      <c r="BI227" s="97"/>
      <c r="BJ227" s="97"/>
      <c r="BK227" s="97"/>
      <c r="BL227" s="97"/>
      <c r="BM227" s="97"/>
      <c r="BN227" s="97"/>
      <c r="BO227" s="97"/>
      <c r="BP227" s="97"/>
      <c r="BQ227" s="97"/>
      <c r="BR227" s="97"/>
      <c r="BS227" s="97"/>
      <c r="BT227" s="97"/>
      <c r="BU227" s="97"/>
      <c r="BV227" s="97"/>
    </row>
    <row r="228" spans="2:74" ht="15.75" customHeight="1"/>
    <row r="229" spans="2:74" ht="15.75" customHeight="1"/>
    <row r="230" spans="2:74" ht="15.75" customHeight="1"/>
    <row r="231" spans="2:74" ht="15.75" customHeight="1"/>
    <row r="232" spans="2:74" ht="15.75" customHeight="1"/>
    <row r="233" spans="2:74" ht="15.75" customHeight="1"/>
    <row r="234" spans="2:74" ht="15.75" customHeight="1"/>
    <row r="235" spans="2:74" ht="15.75" customHeight="1"/>
    <row r="236" spans="2:74" ht="15.75" customHeight="1"/>
    <row r="237" spans="2:74" ht="15.75" customHeight="1"/>
    <row r="238" spans="2:74" ht="15.75" customHeight="1"/>
    <row r="239" spans="2:74" ht="15.75" customHeight="1"/>
    <row r="240" spans="2:74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  <row r="1001" customFormat="1" ht="15.75" customHeight="1"/>
    <row r="1002" customFormat="1" ht="15.75" customHeight="1"/>
  </sheetData>
  <mergeCells count="39">
    <mergeCell ref="K6:L7"/>
    <mergeCell ref="M6:M8"/>
    <mergeCell ref="N6:N8"/>
    <mergeCell ref="AS6:AT6"/>
    <mergeCell ref="W6:Y6"/>
    <mergeCell ref="Z6:AB6"/>
    <mergeCell ref="X7:Y7"/>
    <mergeCell ref="AD7:AE7"/>
    <mergeCell ref="T6:V6"/>
    <mergeCell ref="O6:O8"/>
    <mergeCell ref="P6:P8"/>
    <mergeCell ref="Q6:Q8"/>
    <mergeCell ref="R6:R8"/>
    <mergeCell ref="S6:S8"/>
    <mergeCell ref="AF6:AH6"/>
    <mergeCell ref="AI6:AK6"/>
    <mergeCell ref="AJ7:AK7"/>
    <mergeCell ref="AO6:AO8"/>
    <mergeCell ref="AP7:AP8"/>
    <mergeCell ref="AC6:AE6"/>
    <mergeCell ref="AY6:AY8"/>
    <mergeCell ref="AM7:AN7"/>
    <mergeCell ref="AQ7:AQ8"/>
    <mergeCell ref="AX7:AX8"/>
    <mergeCell ref="AV7:AV8"/>
    <mergeCell ref="AW7:AW8"/>
    <mergeCell ref="AU7:AU8"/>
    <mergeCell ref="AL6:AN6"/>
    <mergeCell ref="AP6:AQ6"/>
    <mergeCell ref="AR6:AR8"/>
    <mergeCell ref="G6:G8"/>
    <mergeCell ref="H6:H8"/>
    <mergeCell ref="I6:I8"/>
    <mergeCell ref="J6:J8"/>
    <mergeCell ref="A6:A8"/>
    <mergeCell ref="B6:B8"/>
    <mergeCell ref="C6:C8"/>
    <mergeCell ref="E6:E8"/>
    <mergeCell ref="F6:F8"/>
  </mergeCells>
  <conditionalFormatting sqref="T10:V26 AP10:AP26">
    <cfRule type="cellIs" dxfId="1" priority="1" operator="greaterThan">
      <formula>0</formula>
    </cfRule>
  </conditionalFormatting>
  <conditionalFormatting sqref="Z10:AB26 AF10:AH26">
    <cfRule type="cellIs" dxfId="0" priority="2" operator="greaterThan">
      <formula>0</formula>
    </cfRule>
  </conditionalFormatting>
  <dataValidations count="1">
    <dataValidation type="list" allowBlank="1" sqref="AZ23:AZ24" xr:uid="{439E2EA7-8B64-40EA-883F-5AAEB52E8FB0}">
      <formula1>"Payroll,Voucher"</formula1>
    </dataValidation>
  </dataValidations>
  <pageMargins left="0.7" right="0.7" top="0.75" bottom="0.75" header="0" footer="0"/>
  <pageSetup paperSize="9" orientation="portrait" r:id="rId1"/>
  <colBreaks count="2" manualBreakCount="2">
    <brk id="4" man="1"/>
    <brk id="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4745-DFC3-4179-917B-F2337AC75AB3}">
  <sheetPr codeName="Sheet3"/>
  <dimension ref="A1:Z72"/>
  <sheetViews>
    <sheetView view="pageBreakPreview" topLeftCell="A7" zoomScale="71" zoomScaleNormal="85" zoomScaleSheetLayoutView="71" workbookViewId="0">
      <selection activeCell="D9" sqref="D9"/>
    </sheetView>
  </sheetViews>
  <sheetFormatPr defaultColWidth="9.140625" defaultRowHeight="15.75"/>
  <cols>
    <col min="1" max="2" width="4.7109375" style="2" customWidth="1"/>
    <col min="3" max="3" width="2.85546875" style="27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2.85546875" style="3" customWidth="1"/>
    <col min="10" max="10" width="25.5703125" style="2" customWidth="1"/>
    <col min="11" max="11" width="13.5703125" style="2" customWidth="1"/>
    <col min="12" max="12" width="13.7109375" style="2" customWidth="1"/>
    <col min="13" max="14" width="4.7109375" style="2" customWidth="1"/>
    <col min="15" max="15" width="2.85546875" style="2" customWidth="1"/>
    <col min="16" max="16" width="25.5703125" style="2" customWidth="1"/>
    <col min="17" max="17" width="13.5703125" style="2" customWidth="1"/>
    <col min="18" max="18" width="13.7109375" style="2" customWidth="1"/>
    <col min="19" max="19" width="16.140625" style="2" customWidth="1"/>
    <col min="20" max="20" width="11.5703125" style="2" bestFit="1" customWidth="1"/>
    <col min="21" max="21" width="11.28515625" style="2" bestFit="1" customWidth="1"/>
    <col min="22" max="16384" width="9.140625" style="2"/>
  </cols>
  <sheetData>
    <row r="1" spans="1:18" s="27" customFormat="1">
      <c r="A1" s="78"/>
      <c r="B1" s="71"/>
      <c r="C1" s="71"/>
      <c r="D1" s="71"/>
      <c r="E1" s="71"/>
      <c r="F1" s="79" t="s">
        <v>235</v>
      </c>
      <c r="G1" s="78"/>
      <c r="H1" s="71"/>
      <c r="I1" s="80"/>
      <c r="J1" s="71"/>
      <c r="K1" s="71"/>
      <c r="L1" s="79" t="s">
        <v>235</v>
      </c>
      <c r="M1" s="78"/>
      <c r="N1" s="71"/>
      <c r="O1" s="80"/>
      <c r="P1" s="71"/>
      <c r="Q1" s="71"/>
      <c r="R1" s="79" t="s">
        <v>235</v>
      </c>
    </row>
    <row r="2" spans="1:18" ht="18">
      <c r="A2" s="44"/>
      <c r="B2" s="34"/>
      <c r="C2" s="34"/>
      <c r="D2" s="34"/>
      <c r="E2" s="34"/>
      <c r="F2" s="49"/>
      <c r="G2" s="44"/>
      <c r="H2" s="34"/>
      <c r="I2" s="36"/>
      <c r="J2" s="34"/>
      <c r="K2" s="34"/>
      <c r="L2" s="49"/>
      <c r="M2" s="44"/>
      <c r="N2" s="34"/>
      <c r="O2" s="36"/>
      <c r="P2" s="34"/>
      <c r="Q2" s="34"/>
      <c r="R2" s="49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6"/>
      <c r="J3" s="35" t="s">
        <v>0</v>
      </c>
      <c r="K3" s="36"/>
      <c r="L3" s="46"/>
      <c r="M3" s="44"/>
      <c r="N3" s="34"/>
      <c r="O3" s="36"/>
      <c r="P3" s="35" t="s">
        <v>0</v>
      </c>
      <c r="Q3" s="36"/>
      <c r="R3" s="46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6"/>
      <c r="J4" s="35" t="s">
        <v>1</v>
      </c>
      <c r="K4" s="36"/>
      <c r="L4" s="46"/>
      <c r="M4" s="44"/>
      <c r="N4" s="34"/>
      <c r="O4" s="36"/>
      <c r="P4" s="35" t="s">
        <v>1</v>
      </c>
      <c r="Q4" s="36"/>
      <c r="R4" s="46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6"/>
      <c r="J5" s="35" t="s">
        <v>162</v>
      </c>
      <c r="K5" s="36"/>
      <c r="L5" s="46"/>
      <c r="M5" s="44"/>
      <c r="N5" s="34"/>
      <c r="O5" s="36"/>
      <c r="P5" s="35" t="s">
        <v>162</v>
      </c>
      <c r="Q5" s="36"/>
      <c r="R5" s="46"/>
    </row>
    <row r="6" spans="1:18" ht="18">
      <c r="A6" s="44"/>
      <c r="B6" s="34"/>
      <c r="C6" s="34"/>
      <c r="D6" s="34"/>
      <c r="E6" s="34"/>
      <c r="F6" s="45"/>
      <c r="G6" s="44"/>
      <c r="H6" s="34"/>
      <c r="I6" s="36"/>
      <c r="J6" s="34"/>
      <c r="K6" s="34"/>
      <c r="L6" s="45"/>
      <c r="M6" s="44"/>
      <c r="N6" s="34"/>
      <c r="O6" s="36"/>
      <c r="P6" s="34"/>
      <c r="Q6" s="34"/>
      <c r="R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6"/>
      <c r="J7" s="34"/>
      <c r="K7" s="34"/>
      <c r="L7" s="45"/>
      <c r="M7" s="44"/>
      <c r="N7" s="34"/>
      <c r="O7" s="36"/>
      <c r="P7" s="34"/>
      <c r="Q7" s="34"/>
      <c r="R7" s="45"/>
    </row>
    <row r="8" spans="1:18">
      <c r="A8" s="47"/>
      <c r="B8" s="27"/>
      <c r="D8" s="3" t="s">
        <v>3</v>
      </c>
      <c r="E8" s="3"/>
      <c r="F8" s="48"/>
      <c r="G8" s="47"/>
      <c r="H8" s="27"/>
      <c r="J8" s="3" t="s">
        <v>3</v>
      </c>
      <c r="K8" s="3"/>
      <c r="L8" s="48"/>
      <c r="M8" s="47"/>
      <c r="N8" s="27"/>
      <c r="O8" s="3"/>
      <c r="P8" s="3" t="s">
        <v>3</v>
      </c>
      <c r="Q8" s="3"/>
      <c r="R8" s="48"/>
    </row>
    <row r="9" spans="1:18">
      <c r="A9" s="47"/>
      <c r="B9" s="27"/>
      <c r="D9" s="27" t="s">
        <v>319</v>
      </c>
      <c r="E9" s="27"/>
      <c r="F9" s="49"/>
      <c r="G9" s="58"/>
      <c r="H9" s="3"/>
      <c r="J9" s="27" t="str">
        <f>D9</f>
        <v>FEB 16-28, 2026</v>
      </c>
      <c r="K9" s="27"/>
      <c r="L9" s="49"/>
      <c r="M9" s="58"/>
      <c r="N9" s="3"/>
      <c r="O9" s="3"/>
      <c r="P9" s="27" t="str">
        <f>J9</f>
        <v>FEB 16-28, 2026</v>
      </c>
      <c r="Q9" s="27"/>
      <c r="R9" s="49"/>
    </row>
    <row r="10" spans="1:18">
      <c r="A10" s="47"/>
      <c r="B10" s="27"/>
      <c r="D10" s="27"/>
      <c r="E10" s="27"/>
      <c r="F10" s="49"/>
      <c r="G10" s="47"/>
      <c r="H10" s="27"/>
      <c r="J10" s="27"/>
      <c r="K10" s="27"/>
      <c r="L10" s="49"/>
      <c r="M10" s="47"/>
      <c r="N10" s="27"/>
      <c r="O10" s="3"/>
      <c r="P10" s="27"/>
      <c r="Q10" s="27"/>
      <c r="R10" s="49"/>
    </row>
    <row r="11" spans="1:18">
      <c r="A11" s="47"/>
      <c r="B11" s="27"/>
      <c r="C11" s="3">
        <f>'[1]MASTER DATA'!$C$10</f>
        <v>1</v>
      </c>
      <c r="D11" s="3" t="str">
        <f>VLOOKUP(C11,'MASTER DATA'!$A:$E,5,FALSE)</f>
        <v>AUSTRIA, CHRISTIAN JOCEF B.</v>
      </c>
      <c r="E11" s="27"/>
      <c r="F11" s="49"/>
      <c r="G11" s="47"/>
      <c r="H11" s="27"/>
      <c r="I11" s="3">
        <v>2</v>
      </c>
      <c r="J11" s="3" t="str">
        <f>VLOOKUP(I11,'MASTER DATA'!$A:$E,5,FALSE)</f>
        <v>PASTOR, JANELLE E.</v>
      </c>
      <c r="K11" s="27"/>
      <c r="L11" s="49"/>
      <c r="M11" s="47"/>
      <c r="N11" s="27"/>
      <c r="O11" s="3">
        <v>3</v>
      </c>
      <c r="P11" s="3" t="str">
        <f>VLOOKUP(O11,'MASTER DATA'!$A:$E,5,FALSE)</f>
        <v xml:space="preserve">RODRIGUEZ, MA. RUFFA A. </v>
      </c>
      <c r="Q11" s="27"/>
      <c r="R11" s="49"/>
    </row>
    <row r="12" spans="1:18">
      <c r="A12" s="47"/>
      <c r="B12" s="27"/>
      <c r="C12" s="3"/>
      <c r="D12" s="3" t="str">
        <f>VLOOKUP(C11,'MASTER DATA'!$A:$F,6,FALSE)</f>
        <v>CDMD</v>
      </c>
      <c r="E12" s="27"/>
      <c r="F12" s="49"/>
      <c r="G12" s="47"/>
      <c r="H12" s="27"/>
      <c r="J12" s="3" t="str">
        <f>VLOOKUP(I11,'MASTER DATA'!$A:$F,6,FALSE)</f>
        <v>CDMD</v>
      </c>
      <c r="K12" s="27"/>
      <c r="L12" s="49"/>
      <c r="M12" s="47"/>
      <c r="N12" s="27"/>
      <c r="O12" s="3"/>
      <c r="P12" s="3" t="str">
        <f>VLOOKUP(O11,'MASTER DATA'!$A:$F,6,FALSE)</f>
        <v>CDMD</v>
      </c>
      <c r="Q12" s="27"/>
      <c r="R12" s="49"/>
    </row>
    <row r="13" spans="1:18">
      <c r="A13" s="47"/>
      <c r="B13" s="27"/>
      <c r="D13" s="29" t="str">
        <f>VLOOKUP(C11,'MASTER DATA'!$A:$G,7,FALSE)</f>
        <v>Administrative Asst. II</v>
      </c>
      <c r="E13" s="27"/>
      <c r="F13" s="49"/>
      <c r="G13" s="47"/>
      <c r="H13" s="27"/>
      <c r="J13" s="29" t="str">
        <f>VLOOKUP(I11,'MASTER DATA'!$A:$G,7,FALSE)</f>
        <v>Development Management Officer I</v>
      </c>
      <c r="K13" s="27"/>
      <c r="L13" s="49"/>
      <c r="M13" s="47"/>
      <c r="N13" s="27"/>
      <c r="O13" s="3"/>
      <c r="P13" s="29" t="str">
        <f>VLOOKUP(O11,'MASTER DATA'!$A:$G,7,FALSE)</f>
        <v>Development Management Officer II</v>
      </c>
      <c r="Q13" s="27"/>
      <c r="R13" s="49"/>
    </row>
    <row r="14" spans="1:18">
      <c r="A14" s="47"/>
      <c r="B14" s="27"/>
      <c r="D14" s="27" t="s">
        <v>4</v>
      </c>
      <c r="E14" s="30">
        <f>SUMIF('MASTER DATA'!$A:$A,CDMD!C11,'MASTER DATA'!$N:$N)</f>
        <v>9872</v>
      </c>
      <c r="F14" s="50"/>
      <c r="G14" s="47"/>
      <c r="H14" s="27"/>
      <c r="J14" s="27" t="s">
        <v>4</v>
      </c>
      <c r="K14" s="30">
        <f>SUMIF('MASTER DATA'!$A:$A,CDMD!I11,'MASTER DATA'!$N:$N)</f>
        <v>13500</v>
      </c>
      <c r="L14" s="50"/>
      <c r="M14" s="47"/>
      <c r="N14" s="27"/>
      <c r="O14" s="3"/>
      <c r="P14" s="27" t="s">
        <v>4</v>
      </c>
      <c r="Q14" s="30">
        <f>SUMIF('MASTER DATA'!$A:$A,CDMD!O11,'MASTER DATA'!$N:$N)</f>
        <v>18309.5</v>
      </c>
      <c r="R14" s="50"/>
    </row>
    <row r="15" spans="1:18" ht="17.25">
      <c r="A15" s="47"/>
      <c r="B15" s="27"/>
      <c r="D15" s="27"/>
      <c r="E15" s="37"/>
      <c r="F15" s="51"/>
      <c r="G15" s="59"/>
      <c r="H15" s="39"/>
      <c r="I15" s="38"/>
      <c r="J15" s="27"/>
      <c r="K15" s="37"/>
      <c r="L15" s="51"/>
      <c r="M15" s="59"/>
      <c r="N15" s="39"/>
      <c r="O15" s="38"/>
      <c r="P15" s="27"/>
      <c r="Q15" s="37"/>
      <c r="R15" s="51"/>
    </row>
    <row r="16" spans="1:18">
      <c r="A16" s="47"/>
      <c r="B16" s="27"/>
      <c r="D16" s="27"/>
      <c r="E16" s="30"/>
      <c r="F16" s="50"/>
      <c r="G16" s="59"/>
      <c r="H16" s="39"/>
      <c r="I16" s="38"/>
      <c r="J16" s="27"/>
      <c r="K16" s="30"/>
      <c r="L16" s="50"/>
      <c r="M16" s="59"/>
      <c r="N16" s="39"/>
      <c r="O16" s="38"/>
      <c r="P16" s="27"/>
      <c r="Q16" s="30"/>
      <c r="R16" s="50"/>
    </row>
    <row r="17" spans="1:26" ht="17.25">
      <c r="A17" s="47"/>
      <c r="B17" s="27"/>
      <c r="D17" s="27"/>
      <c r="E17" s="37"/>
      <c r="F17" s="51"/>
      <c r="G17" s="59"/>
      <c r="H17" s="39"/>
      <c r="I17" s="38"/>
      <c r="J17" s="27"/>
      <c r="K17" s="37"/>
      <c r="L17" s="51"/>
      <c r="M17" s="59"/>
      <c r="N17" s="39"/>
      <c r="O17" s="38"/>
      <c r="P17" s="27"/>
      <c r="Q17" s="37"/>
      <c r="R17" s="51"/>
    </row>
    <row r="18" spans="1:26">
      <c r="A18" s="47"/>
      <c r="B18" s="27"/>
      <c r="D18" s="39" t="s">
        <v>5</v>
      </c>
      <c r="E18" s="40" t="s">
        <v>6</v>
      </c>
      <c r="F18" s="52"/>
      <c r="G18" s="47"/>
      <c r="H18" s="27"/>
      <c r="J18" s="39" t="s">
        <v>5</v>
      </c>
      <c r="K18" s="40" t="s">
        <v>6</v>
      </c>
      <c r="L18" s="52"/>
      <c r="M18" s="47"/>
      <c r="N18" s="27"/>
      <c r="O18" s="3"/>
      <c r="P18" s="39" t="s">
        <v>5</v>
      </c>
      <c r="Q18" s="40" t="s">
        <v>6</v>
      </c>
      <c r="R18" s="52"/>
    </row>
    <row r="19" spans="1:26">
      <c r="A19" s="47"/>
      <c r="B19" s="27"/>
      <c r="D19" s="27"/>
      <c r="E19" s="27"/>
      <c r="F19" s="49"/>
      <c r="G19" s="60"/>
      <c r="H19" s="30"/>
      <c r="I19" s="28"/>
      <c r="J19" s="27"/>
      <c r="K19" s="27"/>
      <c r="L19" s="49"/>
      <c r="M19" s="60"/>
      <c r="N19" s="30"/>
      <c r="O19" s="28"/>
      <c r="P19" s="27"/>
      <c r="Q19" s="27"/>
      <c r="R19" s="49"/>
    </row>
    <row r="20" spans="1:26">
      <c r="A20" s="47"/>
      <c r="B20" s="27"/>
      <c r="D20" s="30" t="s">
        <v>7</v>
      </c>
      <c r="E20" s="30">
        <f>SUMIF('MASTER DATA'!$A:$A,CDMD!C11,'MASTER DATA'!$AL:$AL)</f>
        <v>0</v>
      </c>
      <c r="F20" s="50"/>
      <c r="G20" s="60"/>
      <c r="H20" s="30"/>
      <c r="I20" s="28"/>
      <c r="J20" s="30" t="s">
        <v>7</v>
      </c>
      <c r="K20" s="30">
        <f>SUMIF('MASTER DATA'!$A:$A,CDMD!I11,'MASTER DATA'!$AL:$AL)</f>
        <v>0</v>
      </c>
      <c r="L20" s="50"/>
      <c r="M20" s="60"/>
      <c r="N20" s="30"/>
      <c r="O20" s="28"/>
      <c r="P20" s="30" t="s">
        <v>7</v>
      </c>
      <c r="Q20" s="30">
        <f>SUMIF('MASTER DATA'!$A:$A,CDMD!O11,'MASTER DATA'!$AL:$AL)</f>
        <v>0</v>
      </c>
      <c r="R20" s="50"/>
    </row>
    <row r="21" spans="1:26">
      <c r="A21" s="47"/>
      <c r="B21" s="27"/>
      <c r="D21" s="31" t="s">
        <v>8</v>
      </c>
      <c r="E21" s="30">
        <f>SUMIF('MASTER DATA'!$A:$A,CDMD!C11,'MASTER DATA'!$AM:$AM)+(SUMIF('MASTER DATA'!$A:$A,CDMD!C11,'MASTER DATA'!$AN:$AN))</f>
        <v>0</v>
      </c>
      <c r="F21" s="50"/>
      <c r="G21" s="60"/>
      <c r="H21" s="30"/>
      <c r="I21" s="28"/>
      <c r="J21" s="31" t="s">
        <v>8</v>
      </c>
      <c r="K21" s="30">
        <f>SUMIF('MASTER DATA'!$A:$A,CDMD!I11,'MASTER DATA'!$AM:$AM)+(SUMIF('MASTER DATA'!$A:$A,CDMD!I11,'MASTER DATA'!$AN:$AN))</f>
        <v>0</v>
      </c>
      <c r="L21" s="50"/>
      <c r="M21" s="60"/>
      <c r="N21" s="30"/>
      <c r="O21" s="28"/>
      <c r="P21" s="31" t="s">
        <v>8</v>
      </c>
      <c r="Q21" s="30">
        <f>SUMIF('MASTER DATA'!$A:$A,CDMD!O11,'MASTER DATA'!$AM:$AM)+(SUMIF('MASTER DATA'!$A:$A,CDMD!O11,'MASTER DATA'!$AN:$AN))</f>
        <v>0</v>
      </c>
      <c r="R21" s="50"/>
    </row>
    <row r="22" spans="1:26" ht="17.25">
      <c r="A22" s="47"/>
      <c r="B22" s="27"/>
      <c r="D22" s="30" t="s">
        <v>9</v>
      </c>
      <c r="E22" s="37">
        <f>SUMIF('MASTER DATA'!$A:$A,CDMD!C11,'MASTER DATA'!$AP:$AP)</f>
        <v>0</v>
      </c>
      <c r="F22" s="50"/>
      <c r="G22" s="60"/>
      <c r="H22" s="30"/>
      <c r="I22" s="28"/>
      <c r="J22" s="30" t="s">
        <v>9</v>
      </c>
      <c r="K22" s="37">
        <f>SUMIF('MASTER DATA'!$A:$A,CDMD!I11,'MASTER DATA'!$AP:$AP)</f>
        <v>0</v>
      </c>
      <c r="L22" s="50"/>
      <c r="M22" s="60"/>
      <c r="N22" s="30"/>
      <c r="O22" s="28"/>
      <c r="P22" s="30" t="s">
        <v>9</v>
      </c>
      <c r="Q22" s="37">
        <f>SUMIF('MASTER DATA'!$A:$A,CDMD!O11,'MASTER DATA'!$AP:$AP)</f>
        <v>0</v>
      </c>
      <c r="R22" s="50"/>
    </row>
    <row r="23" spans="1:26">
      <c r="A23" s="47"/>
      <c r="B23" s="27"/>
      <c r="D23" s="30" t="s">
        <v>10</v>
      </c>
      <c r="E23" s="30">
        <f>SUM(E20:E22)</f>
        <v>0</v>
      </c>
      <c r="F23" s="50"/>
      <c r="G23" s="60"/>
      <c r="H23" s="30"/>
      <c r="I23" s="28"/>
      <c r="J23" s="30" t="s">
        <v>10</v>
      </c>
      <c r="K23" s="30">
        <f>SUM(K20:K22)</f>
        <v>0</v>
      </c>
      <c r="L23" s="50"/>
      <c r="M23" s="60"/>
      <c r="N23" s="30"/>
      <c r="O23" s="28"/>
      <c r="P23" s="30" t="s">
        <v>10</v>
      </c>
      <c r="Q23" s="30">
        <f>SUM(Q20:Q22)</f>
        <v>0</v>
      </c>
      <c r="R23" s="50"/>
    </row>
    <row r="24" spans="1:26">
      <c r="A24" s="47"/>
      <c r="B24" s="27"/>
      <c r="D24" s="30"/>
      <c r="E24" s="30"/>
      <c r="F24" s="50"/>
      <c r="G24" s="60"/>
      <c r="H24" s="30"/>
      <c r="I24" s="28"/>
      <c r="J24" s="30"/>
      <c r="K24" s="30"/>
      <c r="L24" s="50"/>
      <c r="M24" s="60"/>
      <c r="N24" s="30"/>
      <c r="O24" s="28"/>
      <c r="P24" s="30"/>
      <c r="Q24" s="30"/>
      <c r="R24" s="50"/>
      <c r="Z24" s="3" t="s">
        <v>11</v>
      </c>
    </row>
    <row r="25" spans="1:26">
      <c r="A25" s="47"/>
      <c r="B25" s="27"/>
      <c r="D25" s="30" t="s">
        <v>12</v>
      </c>
      <c r="E25" s="30">
        <f>E14-E23</f>
        <v>9872</v>
      </c>
      <c r="F25" s="50"/>
      <c r="G25" s="60"/>
      <c r="H25" s="30"/>
      <c r="I25" s="28"/>
      <c r="J25" s="30" t="s">
        <v>12</v>
      </c>
      <c r="K25" s="30">
        <f>K14-K23</f>
        <v>13500</v>
      </c>
      <c r="L25" s="50"/>
      <c r="M25" s="60"/>
      <c r="N25" s="30"/>
      <c r="O25" s="28"/>
      <c r="P25" s="30" t="s">
        <v>12</v>
      </c>
      <c r="Q25" s="30">
        <f>Q14-Q23</f>
        <v>18309.5</v>
      </c>
      <c r="R25" s="50"/>
    </row>
    <row r="26" spans="1:26">
      <c r="A26" s="47"/>
      <c r="B26" s="27"/>
      <c r="D26" s="30" t="s">
        <v>13</v>
      </c>
      <c r="E26" s="30"/>
      <c r="F26" s="50"/>
      <c r="G26" s="60"/>
      <c r="H26" s="30"/>
      <c r="I26" s="28"/>
      <c r="J26" s="30" t="s">
        <v>13</v>
      </c>
      <c r="K26" s="30"/>
      <c r="L26" s="50"/>
      <c r="M26" s="60"/>
      <c r="N26" s="30"/>
      <c r="O26" s="28"/>
      <c r="P26" s="30" t="s">
        <v>13</v>
      </c>
      <c r="Q26" s="30"/>
      <c r="R26" s="50"/>
    </row>
    <row r="27" spans="1:26">
      <c r="A27" s="47"/>
      <c r="B27" s="27"/>
      <c r="D27" s="30" t="s">
        <v>14</v>
      </c>
      <c r="E27" s="30">
        <f>SUMIF('MASTER DATA'!$A:$A,CDMD!C11,'MASTER DATA'!$AS:$AS)</f>
        <v>0</v>
      </c>
      <c r="F27" s="50"/>
      <c r="G27" s="60"/>
      <c r="H27" s="30"/>
      <c r="I27" s="28"/>
      <c r="J27" s="30" t="s">
        <v>14</v>
      </c>
      <c r="K27" s="30">
        <f>SUMIF('MASTER DATA'!$A:$A,CDMD!I11,'MASTER DATA'!$AS:$AS)</f>
        <v>0</v>
      </c>
      <c r="L27" s="50"/>
      <c r="M27" s="60"/>
      <c r="N27" s="30"/>
      <c r="O27" s="28"/>
      <c r="P27" s="30" t="s">
        <v>14</v>
      </c>
      <c r="Q27" s="30">
        <f>SUMIF('MASTER DATA'!$A:$A,CDMD!O11,'MASTER DATA'!$AS:$AS)</f>
        <v>0</v>
      </c>
      <c r="R27" s="50"/>
    </row>
    <row r="28" spans="1:26">
      <c r="A28" s="47"/>
      <c r="B28" s="27"/>
      <c r="D28" s="69" t="s">
        <v>160</v>
      </c>
      <c r="E28" s="30">
        <f>SUMIF('MASTER DATA'!$A:$A,CDMD!C11,'MASTER DATA'!$AT:$AT)</f>
        <v>0</v>
      </c>
      <c r="F28" s="50"/>
      <c r="G28" s="60"/>
      <c r="H28" s="30"/>
      <c r="I28" s="28"/>
      <c r="J28" s="69" t="s">
        <v>160</v>
      </c>
      <c r="K28" s="30">
        <f>SUMIF('MASTER DATA'!$A:$A,CDMD!I11,'MASTER DATA'!$AT:$AT)</f>
        <v>0</v>
      </c>
      <c r="L28" s="50"/>
      <c r="M28" s="60"/>
      <c r="N28" s="30"/>
      <c r="O28" s="28"/>
      <c r="P28" s="69" t="s">
        <v>160</v>
      </c>
      <c r="Q28" s="30">
        <f>SUMIF('MASTER DATA'!$A:$A,CDMD!O11,'MASTER DATA'!$AT:$AT)</f>
        <v>0</v>
      </c>
      <c r="R28" s="50"/>
    </row>
    <row r="29" spans="1:26">
      <c r="A29" s="47"/>
      <c r="B29" s="27"/>
      <c r="D29" s="30" t="s">
        <v>15</v>
      </c>
      <c r="E29" s="30">
        <f>SUMIF('MASTER DATA'!$A:$A,CDMD!C11,'MASTER DATA'!$AU:$AU)</f>
        <v>0</v>
      </c>
      <c r="F29" s="50"/>
      <c r="G29" s="60"/>
      <c r="H29" s="30"/>
      <c r="I29" s="28"/>
      <c r="J29" s="30" t="s">
        <v>15</v>
      </c>
      <c r="K29" s="30">
        <f>SUMIF('MASTER DATA'!$A:$A,CDMD!I11,'MASTER DATA'!$AU:$AU)</f>
        <v>0</v>
      </c>
      <c r="L29" s="50"/>
      <c r="M29" s="60"/>
      <c r="N29" s="30"/>
      <c r="O29" s="28"/>
      <c r="P29" s="30" t="s">
        <v>15</v>
      </c>
      <c r="Q29" s="30">
        <f>SUMIF('MASTER DATA'!$A:$A,CDMD!O11,'MASTER DATA'!$AU:$AU)</f>
        <v>0</v>
      </c>
      <c r="R29" s="50"/>
      <c r="U29" s="13"/>
    </row>
    <row r="30" spans="1:26">
      <c r="A30" s="47"/>
      <c r="B30" s="27"/>
      <c r="D30" s="30" t="s">
        <v>19</v>
      </c>
      <c r="E30" s="30">
        <f>SUMIF('MASTER DATA'!$A:$A,CDMD!C11,'MASTER DATA'!$AV:$AV)</f>
        <v>0</v>
      </c>
      <c r="F30" s="50"/>
      <c r="G30" s="60"/>
      <c r="H30" s="30"/>
      <c r="I30" s="28"/>
      <c r="J30" s="30" t="s">
        <v>19</v>
      </c>
      <c r="K30" s="30">
        <f>SUMIF('MASTER DATA'!$A:$A,CDMD!I11,'MASTER DATA'!$AV:$AV)</f>
        <v>0</v>
      </c>
      <c r="L30" s="50"/>
      <c r="M30" s="60"/>
      <c r="N30" s="30"/>
      <c r="O30" s="28"/>
      <c r="P30" s="30" t="s">
        <v>19</v>
      </c>
      <c r="Q30" s="30">
        <f>SUMIF('MASTER DATA'!$A:$A,CDMD!O11,'MASTER DATA'!$AV:$AV)</f>
        <v>0</v>
      </c>
      <c r="R30" s="50"/>
      <c r="U30" s="13"/>
    </row>
    <row r="31" spans="1:26">
      <c r="A31" s="47"/>
      <c r="B31" s="27"/>
      <c r="D31" s="30" t="s">
        <v>20</v>
      </c>
      <c r="E31" s="30">
        <f>SUMIF('MASTER DATA'!$A:$A,CDMD!C11,'MASTER DATA'!$AW:$AW)</f>
        <v>0</v>
      </c>
      <c r="F31" s="50"/>
      <c r="G31" s="60"/>
      <c r="H31" s="30"/>
      <c r="I31" s="28"/>
      <c r="J31" s="30" t="s">
        <v>20</v>
      </c>
      <c r="K31" s="30">
        <f>SUMIF('MASTER DATA'!$A:$A,CDMD!I11,'MASTER DATA'!$AW:$AW)</f>
        <v>0</v>
      </c>
      <c r="L31" s="50"/>
      <c r="M31" s="60"/>
      <c r="N31" s="30"/>
      <c r="O31" s="28"/>
      <c r="P31" s="30" t="s">
        <v>20</v>
      </c>
      <c r="Q31" s="30">
        <f>SUMIF('MASTER DATA'!$A:$A,CDMD!O11,'MASTER DATA'!$AW:$AW)</f>
        <v>0</v>
      </c>
      <c r="R31" s="50"/>
      <c r="U31" s="13"/>
    </row>
    <row r="32" spans="1:26">
      <c r="A32" s="47"/>
      <c r="B32" s="27"/>
      <c r="D32" s="30" t="s">
        <v>23</v>
      </c>
      <c r="E32" s="30">
        <f>SUMIF('MASTER DATA'!$A:$A,CDMD!C11,'MASTER DATA'!$AX:$AX)</f>
        <v>0</v>
      </c>
      <c r="F32" s="50"/>
      <c r="G32" s="60"/>
      <c r="H32" s="30"/>
      <c r="I32" s="28"/>
      <c r="J32" s="30" t="s">
        <v>23</v>
      </c>
      <c r="K32" s="30">
        <f>SUMIF('MASTER DATA'!$A:$A,CDMD!I11,'MASTER DATA'!$AX:$AX)</f>
        <v>0</v>
      </c>
      <c r="L32" s="50"/>
      <c r="M32" s="60"/>
      <c r="N32" s="30"/>
      <c r="O32" s="28"/>
      <c r="P32" s="30" t="s">
        <v>23</v>
      </c>
      <c r="Q32" s="30">
        <f>SUMIF('MASTER DATA'!$A:$A,CDMD!O11,'MASTER DATA'!$AX:$AX)</f>
        <v>0</v>
      </c>
      <c r="R32" s="50"/>
      <c r="U32" s="13"/>
    </row>
    <row r="33" spans="1:21" ht="16.5" thickBot="1">
      <c r="A33" s="47"/>
      <c r="B33" s="27"/>
      <c r="D33" s="28" t="s">
        <v>16</v>
      </c>
      <c r="E33" s="33">
        <f>E25-SUM(E26:E32)</f>
        <v>9872</v>
      </c>
      <c r="F33" s="53"/>
      <c r="G33" s="60"/>
      <c r="H33" s="30"/>
      <c r="I33" s="28"/>
      <c r="J33" s="28" t="s">
        <v>16</v>
      </c>
      <c r="K33" s="33">
        <f>K25-SUM(K26:K32)</f>
        <v>13500</v>
      </c>
      <c r="L33" s="53"/>
      <c r="M33" s="60"/>
      <c r="N33" s="30"/>
      <c r="O33" s="28"/>
      <c r="P33" s="28" t="s">
        <v>16</v>
      </c>
      <c r="Q33" s="33">
        <f>Q25-SUM(Q26:Q32)</f>
        <v>18309.5</v>
      </c>
      <c r="R33" s="53"/>
      <c r="U33" s="13"/>
    </row>
    <row r="34" spans="1:21" ht="16.5" thickTop="1">
      <c r="A34" s="47"/>
      <c r="B34" s="27"/>
      <c r="D34" s="30"/>
      <c r="E34" s="30"/>
      <c r="F34" s="50"/>
      <c r="G34" s="60"/>
      <c r="H34" s="30"/>
      <c r="I34" s="28"/>
      <c r="J34" s="30"/>
      <c r="K34" s="30"/>
      <c r="L34" s="50"/>
      <c r="M34" s="60"/>
      <c r="N34" s="30"/>
      <c r="O34" s="28"/>
      <c r="P34" s="30"/>
      <c r="Q34" s="30"/>
      <c r="R34" s="50"/>
    </row>
    <row r="35" spans="1:21">
      <c r="A35" s="47"/>
      <c r="B35" s="27"/>
      <c r="D35" s="88"/>
      <c r="E35" s="27"/>
      <c r="F35" s="49"/>
      <c r="G35" s="47"/>
      <c r="H35" s="27"/>
      <c r="J35" s="88"/>
      <c r="K35" s="27"/>
      <c r="L35" s="49"/>
      <c r="M35" s="47"/>
      <c r="N35" s="27"/>
      <c r="O35" s="3"/>
      <c r="P35" s="88"/>
      <c r="Q35" s="27"/>
      <c r="R35" s="49"/>
      <c r="T35" s="13"/>
    </row>
    <row r="36" spans="1:21" ht="16.5" thickBot="1">
      <c r="A36" s="54"/>
      <c r="B36" s="55"/>
      <c r="C36" s="55"/>
      <c r="D36" s="55"/>
      <c r="E36" s="55"/>
      <c r="F36" s="56"/>
      <c r="G36" s="54"/>
      <c r="H36" s="55"/>
      <c r="I36" s="61"/>
      <c r="J36" s="55"/>
      <c r="K36" s="55"/>
      <c r="L36" s="56"/>
      <c r="M36" s="54"/>
      <c r="N36" s="55"/>
      <c r="O36" s="61"/>
      <c r="P36" s="55"/>
      <c r="Q36" s="55"/>
      <c r="R36" s="56"/>
      <c r="T36" s="14"/>
    </row>
    <row r="37" spans="1:21" ht="18">
      <c r="A37" s="41"/>
      <c r="B37" s="42"/>
      <c r="C37" s="57"/>
      <c r="D37" s="42"/>
      <c r="E37" s="42"/>
      <c r="F37" s="79" t="s">
        <v>235</v>
      </c>
      <c r="J37" s="13">
        <f>E33+K33+Q33+E69</f>
        <v>54589.45</v>
      </c>
      <c r="P37" s="13" t="e">
        <f>J37+PPD!J37+ISD!J110+ADO!J38+BGT!J37+ACCTG!#REF!+HR!J38+IAU!J38+RCRD!J38+GSS!P74+INFRA!J39+COA!J38+SMS!J38+BAC!J38+DO!E33+PAD!L146</f>
        <v>#REF!</v>
      </c>
    </row>
    <row r="38" spans="1:21" ht="18">
      <c r="A38" s="44"/>
      <c r="B38" s="34"/>
      <c r="C38" s="36"/>
      <c r="D38" s="34"/>
      <c r="E38" s="34"/>
      <c r="F38" s="45"/>
    </row>
    <row r="39" spans="1:21" ht="18">
      <c r="A39" s="44"/>
      <c r="B39" s="34"/>
      <c r="C39" s="36"/>
      <c r="D39" s="35" t="s">
        <v>0</v>
      </c>
      <c r="E39" s="36"/>
      <c r="F39" s="46"/>
    </row>
    <row r="40" spans="1:21" ht="18">
      <c r="A40" s="44"/>
      <c r="B40" s="34"/>
      <c r="C40" s="36"/>
      <c r="D40" s="35" t="s">
        <v>1</v>
      </c>
      <c r="E40" s="36"/>
      <c r="F40" s="46"/>
    </row>
    <row r="41" spans="1:21" ht="18">
      <c r="A41" s="44"/>
      <c r="B41" s="34"/>
      <c r="C41" s="36"/>
      <c r="D41" s="35" t="s">
        <v>162</v>
      </c>
      <c r="E41" s="36"/>
      <c r="F41" s="46"/>
    </row>
    <row r="42" spans="1:21" ht="18">
      <c r="A42" s="44"/>
      <c r="B42" s="34"/>
      <c r="C42" s="36"/>
      <c r="D42" s="34"/>
      <c r="E42" s="34"/>
      <c r="F42" s="45"/>
    </row>
    <row r="43" spans="1:21" ht="18">
      <c r="A43" s="44"/>
      <c r="B43" s="34"/>
      <c r="C43" s="36"/>
      <c r="D43" s="34"/>
      <c r="E43" s="34"/>
      <c r="F43" s="45"/>
    </row>
    <row r="44" spans="1:21">
      <c r="A44" s="47"/>
      <c r="B44" s="27"/>
      <c r="C44" s="3"/>
      <c r="D44" s="3" t="s">
        <v>3</v>
      </c>
      <c r="E44" s="3"/>
      <c r="F44" s="48"/>
    </row>
    <row r="45" spans="1:21">
      <c r="A45" s="58"/>
      <c r="B45" s="3"/>
      <c r="C45" s="3"/>
      <c r="D45" s="27" t="str">
        <f>D9</f>
        <v>FEB 16-28, 2026</v>
      </c>
      <c r="E45" s="27"/>
      <c r="F45" s="49"/>
    </row>
    <row r="46" spans="1:21">
      <c r="A46" s="47"/>
      <c r="B46" s="27"/>
      <c r="C46" s="3"/>
      <c r="D46" s="27"/>
      <c r="E46" s="27"/>
      <c r="F46" s="49"/>
    </row>
    <row r="47" spans="1:21">
      <c r="A47" s="47"/>
      <c r="B47" s="27"/>
      <c r="C47" s="3">
        <v>4</v>
      </c>
      <c r="D47" s="3" t="str">
        <f>VLOOKUP(C47,'MASTER DATA'!$A:$E,5,FALSE)</f>
        <v>OQUINDO, SHEILA JANE G.</v>
      </c>
      <c r="E47" s="27"/>
      <c r="F47" s="49"/>
    </row>
    <row r="48" spans="1:21">
      <c r="A48" s="47"/>
      <c r="B48" s="27"/>
      <c r="C48" s="3"/>
      <c r="D48" s="3" t="str">
        <f>VLOOKUP(C47,'MASTER DATA'!$A:$F,6,FALSE)</f>
        <v>CDMD</v>
      </c>
      <c r="E48" s="27"/>
      <c r="F48" s="49"/>
    </row>
    <row r="49" spans="1:6">
      <c r="A49" s="47"/>
      <c r="B49" s="27"/>
      <c r="C49" s="3"/>
      <c r="D49" s="29" t="str">
        <f>VLOOKUP(C47,'MASTER DATA'!$A:$G,7,FALSE)</f>
        <v>Development Management Officer I</v>
      </c>
      <c r="E49" s="27"/>
      <c r="F49" s="49"/>
    </row>
    <row r="50" spans="1:6">
      <c r="A50" s="47"/>
      <c r="B50" s="27"/>
      <c r="C50" s="3"/>
      <c r="D50" s="27" t="s">
        <v>4</v>
      </c>
      <c r="E50" s="30">
        <v>13500</v>
      </c>
      <c r="F50" s="50"/>
    </row>
    <row r="51" spans="1:6" ht="17.25">
      <c r="A51" s="59"/>
      <c r="B51" s="39"/>
      <c r="C51" s="38"/>
      <c r="D51" s="27"/>
      <c r="E51" s="37"/>
      <c r="F51" s="51"/>
    </row>
    <row r="52" spans="1:6">
      <c r="A52" s="59"/>
      <c r="B52" s="39"/>
      <c r="C52" s="38"/>
      <c r="D52" s="27"/>
      <c r="E52" s="30"/>
      <c r="F52" s="50"/>
    </row>
    <row r="53" spans="1:6" ht="17.25">
      <c r="A53" s="59"/>
      <c r="B53" s="39"/>
      <c r="C53" s="38"/>
      <c r="D53" s="27"/>
      <c r="E53" s="37"/>
      <c r="F53" s="51"/>
    </row>
    <row r="54" spans="1:6">
      <c r="A54" s="47"/>
      <c r="B54" s="27"/>
      <c r="C54" s="3"/>
      <c r="D54" s="39" t="s">
        <v>5</v>
      </c>
      <c r="E54" s="40" t="s">
        <v>6</v>
      </c>
      <c r="F54" s="52"/>
    </row>
    <row r="55" spans="1:6">
      <c r="A55" s="60"/>
      <c r="B55" s="30"/>
      <c r="C55" s="28"/>
      <c r="D55" s="27"/>
      <c r="E55" s="27"/>
      <c r="F55" s="49"/>
    </row>
    <row r="56" spans="1:6">
      <c r="A56" s="60"/>
      <c r="B56" s="30"/>
      <c r="C56" s="28"/>
      <c r="D56" s="30" t="s">
        <v>7</v>
      </c>
      <c r="E56" s="30">
        <f>SUMIF('MASTER DATA'!$A:$A,CDMD!C47,'MASTER DATA'!$AL:$AL)</f>
        <v>0</v>
      </c>
      <c r="F56" s="50"/>
    </row>
    <row r="57" spans="1:6">
      <c r="A57" s="60"/>
      <c r="B57" s="30"/>
      <c r="C57" s="28"/>
      <c r="D57" s="31" t="s">
        <v>8</v>
      </c>
      <c r="E57" s="30">
        <f>SUMIF('MASTER DATA'!$A:$A,CDMD!C47,'MASTER DATA'!$AM:$AM)+(SUMIF('MASTER DATA'!$A:$A,CDMD!C47,'MASTER DATA'!$AN:$AN))</f>
        <v>0</v>
      </c>
      <c r="F57" s="50"/>
    </row>
    <row r="58" spans="1:6" ht="17.25">
      <c r="A58" s="60"/>
      <c r="B58" s="30"/>
      <c r="C58" s="28"/>
      <c r="D58" s="30" t="s">
        <v>9</v>
      </c>
      <c r="E58" s="37">
        <f>SUMIF('MASTER DATA'!$A:$A,CDMD!C47,'MASTER DATA'!$AP:$AP)</f>
        <v>0</v>
      </c>
      <c r="F58" s="50"/>
    </row>
    <row r="59" spans="1:6">
      <c r="A59" s="60"/>
      <c r="B59" s="30"/>
      <c r="C59" s="28"/>
      <c r="D59" s="30" t="s">
        <v>10</v>
      </c>
      <c r="E59" s="30">
        <f>SUM(E56:E58)</f>
        <v>0</v>
      </c>
      <c r="F59" s="50"/>
    </row>
    <row r="60" spans="1:6">
      <c r="A60" s="60"/>
      <c r="B60" s="30"/>
      <c r="C60" s="28"/>
      <c r="D60" s="30"/>
      <c r="E60" s="30"/>
      <c r="F60" s="50"/>
    </row>
    <row r="61" spans="1:6">
      <c r="A61" s="60"/>
      <c r="B61" s="30"/>
      <c r="C61" s="28"/>
      <c r="D61" s="30" t="s">
        <v>12</v>
      </c>
      <c r="E61" s="30">
        <f>E50-E59</f>
        <v>13500</v>
      </c>
      <c r="F61" s="50"/>
    </row>
    <row r="62" spans="1:6">
      <c r="A62" s="60"/>
      <c r="B62" s="30"/>
      <c r="C62" s="28"/>
      <c r="D62" s="30" t="s">
        <v>13</v>
      </c>
      <c r="E62" s="30"/>
      <c r="F62" s="50"/>
    </row>
    <row r="63" spans="1:6">
      <c r="A63" s="60"/>
      <c r="B63" s="30"/>
      <c r="C63" s="28"/>
      <c r="D63" s="30" t="s">
        <v>14</v>
      </c>
      <c r="E63" s="30">
        <f>SUMIF('MASTER DATA'!$A:$A,CDMD!C47,'MASTER DATA'!$AS:$AS)</f>
        <v>0</v>
      </c>
      <c r="F63" s="50"/>
    </row>
    <row r="64" spans="1:6">
      <c r="A64" s="60"/>
      <c r="B64" s="30"/>
      <c r="C64" s="28"/>
      <c r="D64" s="69" t="s">
        <v>160</v>
      </c>
      <c r="E64" s="30">
        <f>SUMIF('MASTER DATA'!$A:$A,CDMD!C47,'MASTER DATA'!$AT:$AT)</f>
        <v>0</v>
      </c>
      <c r="F64" s="50"/>
    </row>
    <row r="65" spans="1:6">
      <c r="A65" s="60"/>
      <c r="B65" s="30"/>
      <c r="C65" s="28"/>
      <c r="D65" s="30" t="s">
        <v>15</v>
      </c>
      <c r="E65" s="30">
        <v>0</v>
      </c>
      <c r="F65" s="50"/>
    </row>
    <row r="66" spans="1:6">
      <c r="A66" s="60"/>
      <c r="B66" s="30"/>
      <c r="C66" s="28"/>
      <c r="D66" s="30" t="s">
        <v>19</v>
      </c>
      <c r="E66" s="30">
        <v>0</v>
      </c>
      <c r="F66" s="50"/>
    </row>
    <row r="67" spans="1:6">
      <c r="A67" s="60"/>
      <c r="B67" s="30"/>
      <c r="C67" s="28"/>
      <c r="D67" s="30" t="s">
        <v>20</v>
      </c>
      <c r="E67" s="30">
        <v>592.04999999999995</v>
      </c>
      <c r="F67" s="50"/>
    </row>
    <row r="68" spans="1:6">
      <c r="A68" s="60"/>
      <c r="B68" s="30"/>
      <c r="C68" s="28"/>
      <c r="D68" s="30" t="s">
        <v>23</v>
      </c>
      <c r="E68" s="30">
        <f>SUMIF('MASTER DATA'!$A:$A,CDMD!C47,'MASTER DATA'!$AX:$AX)</f>
        <v>0</v>
      </c>
      <c r="F68" s="50"/>
    </row>
    <row r="69" spans="1:6" ht="16.5" thickBot="1">
      <c r="A69" s="60"/>
      <c r="B69" s="30"/>
      <c r="C69" s="28"/>
      <c r="D69" s="28" t="s">
        <v>16</v>
      </c>
      <c r="E69" s="33">
        <f>E61-SUM(E62:E68)</f>
        <v>12907.95</v>
      </c>
      <c r="F69" s="53"/>
    </row>
    <row r="70" spans="1:6" ht="16.5" thickTop="1">
      <c r="A70" s="60"/>
      <c r="B70" s="30"/>
      <c r="C70" s="28"/>
      <c r="D70" s="30"/>
      <c r="E70" s="30"/>
      <c r="F70" s="50"/>
    </row>
    <row r="71" spans="1:6">
      <c r="A71" s="47"/>
      <c r="B71" s="27"/>
      <c r="C71" s="3"/>
      <c r="D71" s="66"/>
      <c r="E71" s="27"/>
      <c r="F71" s="49"/>
    </row>
    <row r="72" spans="1:6" ht="16.5" thickBot="1">
      <c r="A72" s="54"/>
      <c r="B72" s="55"/>
      <c r="C72" s="61"/>
      <c r="D72" s="55"/>
      <c r="E72" s="55"/>
      <c r="F72" s="56"/>
    </row>
  </sheetData>
  <pageMargins left="0.70866141732283472" right="0.70866141732283472" top="0.74803149606299213" bottom="0.74803149606299213" header="0.31496062992125984" footer="0.31496062992125984"/>
  <pageSetup scale="75" orientation="portrait" r:id="rId1"/>
  <rowBreaks count="1" manualBreakCount="1">
    <brk id="36" max="17" man="1"/>
  </rowBreaks>
  <colBreaks count="2" manualBreakCount="2">
    <brk id="6" max="71" man="1"/>
    <brk id="12" max="7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3E5E-1444-4B7F-99EE-9C92E20FBE88}">
  <sheetPr codeName="Sheet4"/>
  <dimension ref="A1:S127"/>
  <sheetViews>
    <sheetView view="pageBreakPreview" topLeftCell="A31" zoomScale="70" zoomScaleNormal="85" zoomScaleSheetLayoutView="70" workbookViewId="0">
      <selection activeCell="J35" sqref="J35"/>
    </sheetView>
  </sheetViews>
  <sheetFormatPr defaultColWidth="9.140625" defaultRowHeight="15"/>
  <cols>
    <col min="1" max="2" width="4.7109375" style="2" customWidth="1"/>
    <col min="3" max="3" width="2.85546875" style="27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2.7109375" style="2" customWidth="1"/>
    <col min="10" max="10" width="25.5703125" style="2" customWidth="1"/>
    <col min="11" max="11" width="13.5703125" style="2" customWidth="1"/>
    <col min="12" max="12" width="13.7109375" style="2" customWidth="1"/>
    <col min="13" max="14" width="4.7109375" style="2" customWidth="1"/>
    <col min="15" max="15" width="2.7109375" style="2" customWidth="1"/>
    <col min="16" max="16" width="25.5703125" style="2" customWidth="1"/>
    <col min="17" max="17" width="13.5703125" style="2" customWidth="1"/>
    <col min="18" max="18" width="13.7109375" style="2" customWidth="1"/>
    <col min="19" max="16384" width="9.140625" style="2"/>
  </cols>
  <sheetData>
    <row r="1" spans="1:18" s="27" customFormat="1" ht="15.75">
      <c r="A1" s="78"/>
      <c r="B1" s="71"/>
      <c r="C1" s="71"/>
      <c r="D1" s="71"/>
      <c r="E1" s="71"/>
      <c r="F1" s="79" t="s">
        <v>235</v>
      </c>
      <c r="G1" s="78"/>
      <c r="H1" s="71"/>
      <c r="I1" s="80"/>
      <c r="J1" s="71"/>
      <c r="K1" s="71"/>
      <c r="L1" s="79" t="s">
        <v>235</v>
      </c>
      <c r="M1" s="78"/>
      <c r="N1" s="71"/>
      <c r="O1" s="80"/>
      <c r="P1" s="71"/>
      <c r="Q1" s="71"/>
      <c r="R1" s="79" t="s">
        <v>235</v>
      </c>
    </row>
    <row r="2" spans="1:18" ht="18">
      <c r="A2" s="44"/>
      <c r="B2" s="34"/>
      <c r="C2" s="34"/>
      <c r="D2" s="34"/>
      <c r="E2" s="34"/>
      <c r="F2" s="45"/>
      <c r="G2" s="44"/>
      <c r="H2" s="34"/>
      <c r="I2" s="34"/>
      <c r="J2" s="34"/>
      <c r="K2" s="34"/>
      <c r="L2" s="45"/>
      <c r="M2" s="44"/>
      <c r="N2" s="34"/>
      <c r="O2" s="34"/>
      <c r="P2" s="34"/>
      <c r="Q2" s="34"/>
      <c r="R2" s="45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4"/>
      <c r="J3" s="35" t="s">
        <v>0</v>
      </c>
      <c r="K3" s="36"/>
      <c r="L3" s="45"/>
      <c r="M3" s="44"/>
      <c r="N3" s="34"/>
      <c r="O3" s="34"/>
      <c r="P3" s="35" t="s">
        <v>0</v>
      </c>
      <c r="Q3" s="36"/>
      <c r="R3" s="45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4"/>
      <c r="J4" s="35" t="s">
        <v>1</v>
      </c>
      <c r="K4" s="36"/>
      <c r="L4" s="45"/>
      <c r="M4" s="44"/>
      <c r="N4" s="34"/>
      <c r="O4" s="34"/>
      <c r="P4" s="35" t="s">
        <v>1</v>
      </c>
      <c r="Q4" s="36"/>
      <c r="R4" s="45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4"/>
      <c r="J5" s="35" t="s">
        <v>162</v>
      </c>
      <c r="K5" s="36"/>
      <c r="L5" s="45"/>
      <c r="M5" s="44"/>
      <c r="N5" s="34"/>
      <c r="O5" s="34"/>
      <c r="P5" s="35" t="s">
        <v>162</v>
      </c>
      <c r="Q5" s="36"/>
      <c r="R5" s="45"/>
    </row>
    <row r="6" spans="1:18" ht="18">
      <c r="A6" s="44"/>
      <c r="B6" s="34"/>
      <c r="C6" s="34"/>
      <c r="D6" s="34"/>
      <c r="E6" s="34"/>
      <c r="F6" s="45"/>
      <c r="G6" s="44"/>
      <c r="H6" s="34"/>
      <c r="I6" s="34"/>
      <c r="J6" s="34"/>
      <c r="K6" s="34"/>
      <c r="L6" s="45"/>
      <c r="M6" s="44"/>
      <c r="N6" s="34"/>
      <c r="O6" s="34"/>
      <c r="P6" s="34"/>
      <c r="Q6" s="34"/>
      <c r="R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4"/>
      <c r="J7" s="34"/>
      <c r="K7" s="34"/>
      <c r="L7" s="45"/>
      <c r="M7" s="44"/>
      <c r="N7" s="34"/>
      <c r="O7" s="34"/>
      <c r="P7" s="34"/>
      <c r="Q7" s="34"/>
      <c r="R7" s="45"/>
    </row>
    <row r="8" spans="1:18" ht="15.75">
      <c r="A8" s="47"/>
      <c r="B8" s="27"/>
      <c r="D8" s="3" t="s">
        <v>3</v>
      </c>
      <c r="E8" s="3"/>
      <c r="F8" s="48"/>
      <c r="G8" s="47"/>
      <c r="H8" s="27"/>
      <c r="I8" s="27"/>
      <c r="J8" s="3" t="s">
        <v>3</v>
      </c>
      <c r="K8" s="3"/>
      <c r="L8" s="49"/>
      <c r="M8" s="47"/>
      <c r="N8" s="27"/>
      <c r="O8" s="27"/>
      <c r="P8" s="3" t="s">
        <v>3</v>
      </c>
      <c r="Q8" s="3"/>
      <c r="R8" s="49"/>
    </row>
    <row r="9" spans="1:18">
      <c r="A9" s="47"/>
      <c r="B9" s="27"/>
      <c r="D9" s="27" t="s">
        <v>319</v>
      </c>
      <c r="E9" s="27"/>
      <c r="F9" s="49"/>
      <c r="G9" s="47"/>
      <c r="H9" s="27"/>
      <c r="I9" s="27"/>
      <c r="J9" s="27" t="str">
        <f>D9</f>
        <v>FEB 16-28, 2026</v>
      </c>
      <c r="K9" s="27"/>
      <c r="L9" s="49"/>
      <c r="M9" s="47"/>
      <c r="N9" s="27"/>
      <c r="O9" s="27"/>
      <c r="P9" s="27" t="str">
        <f>J9</f>
        <v>FEB 16-28, 2026</v>
      </c>
      <c r="Q9" s="27"/>
      <c r="R9" s="49"/>
    </row>
    <row r="10" spans="1:18">
      <c r="A10" s="47"/>
      <c r="B10" s="27"/>
      <c r="D10" s="27"/>
      <c r="E10" s="27"/>
      <c r="F10" s="49"/>
      <c r="G10" s="47"/>
      <c r="H10" s="27"/>
      <c r="I10" s="27"/>
      <c r="J10" s="27"/>
      <c r="K10" s="27"/>
      <c r="L10" s="49"/>
      <c r="M10" s="47"/>
      <c r="N10" s="27"/>
      <c r="O10" s="27"/>
      <c r="P10" s="27"/>
      <c r="Q10" s="27"/>
      <c r="R10" s="49"/>
    </row>
    <row r="11" spans="1:18" ht="15.75">
      <c r="A11" s="47"/>
      <c r="B11" s="27"/>
      <c r="C11" s="3">
        <v>5</v>
      </c>
      <c r="D11" s="3" t="str">
        <f>VLOOKUP(C11,'MASTER DATA'!$A:$E,5,FALSE)</f>
        <v>ESMER, GLECY R.</v>
      </c>
      <c r="E11" s="27"/>
      <c r="F11" s="49"/>
      <c r="G11" s="47"/>
      <c r="H11" s="27"/>
      <c r="I11" s="3">
        <v>6</v>
      </c>
      <c r="J11" s="3" t="str">
        <f>VLOOKUP(I11,'MASTER DATA'!$A:$E,5,FALSE)</f>
        <v>GALABAY, CHRISTIANEL B.</v>
      </c>
      <c r="K11" s="27"/>
      <c r="L11" s="49"/>
      <c r="M11" s="47"/>
      <c r="N11" s="27"/>
      <c r="O11" s="3">
        <v>7</v>
      </c>
      <c r="P11" s="3" t="str">
        <f>VLOOKUP(O11,'MASTER DATA'!$A:$E,5,FALSE)</f>
        <v>NILO, FAITH PERL A.</v>
      </c>
      <c r="Q11" s="27"/>
      <c r="R11" s="49"/>
    </row>
    <row r="12" spans="1:18" ht="15.75">
      <c r="A12" s="47"/>
      <c r="B12" s="27"/>
      <c r="C12" s="3"/>
      <c r="D12" s="3" t="str">
        <f>VLOOKUP(C11,'MASTER DATA'!$A:$F,6,FALSE)</f>
        <v>PPD</v>
      </c>
      <c r="E12" s="27"/>
      <c r="F12" s="49"/>
      <c r="G12" s="47"/>
      <c r="H12" s="27"/>
      <c r="I12" s="27"/>
      <c r="J12" s="3" t="str">
        <f>VLOOKUP(I11,'MASTER DATA'!$A:$F,6,FALSE)</f>
        <v>PPD</v>
      </c>
      <c r="K12" s="27"/>
      <c r="L12" s="49"/>
      <c r="M12" s="47"/>
      <c r="N12" s="27"/>
      <c r="O12" s="27"/>
      <c r="P12" s="3" t="str">
        <f>VLOOKUP(O11,'MASTER DATA'!$A:$F,6,FALSE)</f>
        <v>PPD</v>
      </c>
      <c r="Q12" s="27"/>
      <c r="R12" s="49"/>
    </row>
    <row r="13" spans="1:18">
      <c r="A13" s="47"/>
      <c r="B13" s="27"/>
      <c r="D13" s="29" t="str">
        <f>VLOOKUP(C11,'MASTER DATA'!$A:$G,7,FALSE)</f>
        <v>Administrative Asst. II</v>
      </c>
      <c r="E13" s="27"/>
      <c r="F13" s="49"/>
      <c r="G13" s="47"/>
      <c r="H13" s="27"/>
      <c r="I13" s="27"/>
      <c r="J13" s="29" t="str">
        <f>VLOOKUP(I11,'MASTER DATA'!$A:$G,7,FALSE)</f>
        <v>Planning Officer II</v>
      </c>
      <c r="K13" s="27"/>
      <c r="L13" s="49"/>
      <c r="M13" s="47"/>
      <c r="N13" s="27"/>
      <c r="O13" s="27"/>
      <c r="P13" s="29" t="str">
        <f>VLOOKUP(O11,'MASTER DATA'!$A:$G,7,FALSE)</f>
        <v>Planning Officer I</v>
      </c>
      <c r="Q13" s="27"/>
      <c r="R13" s="49"/>
    </row>
    <row r="14" spans="1:18">
      <c r="A14" s="47"/>
      <c r="B14" s="27"/>
      <c r="D14" s="27" t="s">
        <v>4</v>
      </c>
      <c r="E14" s="30">
        <f>SUMIF('MASTER DATA'!$A:$A,PPD!C11,'MASTER DATA'!$N:$N)</f>
        <v>9872</v>
      </c>
      <c r="F14" s="50"/>
      <c r="G14" s="47"/>
      <c r="H14" s="27"/>
      <c r="I14" s="27"/>
      <c r="J14" s="27" t="s">
        <v>4</v>
      </c>
      <c r="K14" s="30">
        <v>18309.5</v>
      </c>
      <c r="L14" s="49"/>
      <c r="M14" s="47"/>
      <c r="N14" s="27"/>
      <c r="O14" s="27"/>
      <c r="P14" s="27" t="s">
        <v>4</v>
      </c>
      <c r="Q14" s="30">
        <f>SUMIF('MASTER DATA'!$A:$A,PPD!O11,'MASTER DATA'!$N:$N)</f>
        <v>13500</v>
      </c>
      <c r="R14" s="49"/>
    </row>
    <row r="15" spans="1:18" ht="17.25">
      <c r="A15" s="47"/>
      <c r="B15" s="27"/>
      <c r="D15" s="27"/>
      <c r="E15" s="37"/>
      <c r="F15" s="51"/>
      <c r="G15" s="47"/>
      <c r="H15" s="27"/>
      <c r="I15" s="27"/>
      <c r="J15" s="27"/>
      <c r="K15" s="37"/>
      <c r="L15" s="49"/>
      <c r="M15" s="47"/>
      <c r="N15" s="27"/>
      <c r="O15" s="27"/>
      <c r="P15" s="27"/>
      <c r="Q15" s="37"/>
      <c r="R15" s="49"/>
    </row>
    <row r="16" spans="1:18">
      <c r="A16" s="47"/>
      <c r="B16" s="27"/>
      <c r="D16" s="27"/>
      <c r="E16" s="30"/>
      <c r="F16" s="50"/>
      <c r="G16" s="47"/>
      <c r="H16" s="27"/>
      <c r="I16" s="27"/>
      <c r="J16" s="27"/>
      <c r="K16" s="30"/>
      <c r="L16" s="49"/>
      <c r="M16" s="47"/>
      <c r="N16" s="27"/>
      <c r="O16" s="27"/>
      <c r="P16" s="27"/>
      <c r="Q16" s="30"/>
      <c r="R16" s="49"/>
    </row>
    <row r="17" spans="1:19" ht="17.25">
      <c r="A17" s="47"/>
      <c r="B17" s="27"/>
      <c r="D17" s="27"/>
      <c r="E17" s="37"/>
      <c r="F17" s="51"/>
      <c r="G17" s="47"/>
      <c r="H17" s="27"/>
      <c r="I17" s="27"/>
      <c r="J17" s="27"/>
      <c r="K17" s="37"/>
      <c r="L17" s="49"/>
      <c r="M17" s="47"/>
      <c r="N17" s="27"/>
      <c r="O17" s="27"/>
      <c r="P17" s="27"/>
      <c r="Q17" s="37"/>
      <c r="R17" s="49"/>
    </row>
    <row r="18" spans="1:19">
      <c r="A18" s="47"/>
      <c r="B18" s="27"/>
      <c r="D18" s="39" t="s">
        <v>5</v>
      </c>
      <c r="E18" s="40" t="s">
        <v>6</v>
      </c>
      <c r="F18" s="52"/>
      <c r="G18" s="47"/>
      <c r="H18" s="27"/>
      <c r="I18" s="27"/>
      <c r="J18" s="39" t="s">
        <v>5</v>
      </c>
      <c r="K18" s="40" t="s">
        <v>6</v>
      </c>
      <c r="L18" s="49"/>
      <c r="M18" s="47"/>
      <c r="N18" s="27"/>
      <c r="O18" s="27"/>
      <c r="P18" s="39" t="s">
        <v>5</v>
      </c>
      <c r="Q18" s="40" t="s">
        <v>6</v>
      </c>
      <c r="R18" s="49"/>
    </row>
    <row r="19" spans="1:19">
      <c r="A19" s="47"/>
      <c r="B19" s="27"/>
      <c r="D19" s="27"/>
      <c r="E19" s="27"/>
      <c r="F19" s="49"/>
      <c r="G19" s="60"/>
      <c r="H19" s="30"/>
      <c r="I19" s="30"/>
      <c r="J19" s="27"/>
      <c r="K19" s="27"/>
      <c r="L19" s="49"/>
      <c r="M19" s="60"/>
      <c r="N19" s="30"/>
      <c r="O19" s="30"/>
      <c r="P19" s="27"/>
      <c r="Q19" s="27"/>
      <c r="R19" s="49"/>
    </row>
    <row r="20" spans="1:19">
      <c r="A20" s="47"/>
      <c r="B20" s="27"/>
      <c r="D20" s="30" t="s">
        <v>7</v>
      </c>
      <c r="E20" s="30">
        <f>SUMIF('MASTER DATA'!$A:$A,PPD!C11,'MASTER DATA'!$AL:$AL)</f>
        <v>0</v>
      </c>
      <c r="F20" s="50"/>
      <c r="G20" s="60"/>
      <c r="H20" s="30"/>
      <c r="I20" s="30"/>
      <c r="J20" s="30" t="s">
        <v>7</v>
      </c>
      <c r="K20" s="30">
        <f>SUMIF('MASTER DATA'!$A:$A,PPD!I11,'MASTER DATA'!$AL:$AL)</f>
        <v>0</v>
      </c>
      <c r="L20" s="49"/>
      <c r="M20" s="60"/>
      <c r="N20" s="30"/>
      <c r="O20" s="30"/>
      <c r="P20" s="30" t="s">
        <v>7</v>
      </c>
      <c r="Q20" s="30">
        <f>SUMIF('MASTER DATA'!$A:$A,PPD!O11,'MASTER DATA'!$AL:$AL)</f>
        <v>0</v>
      </c>
      <c r="R20" s="49"/>
    </row>
    <row r="21" spans="1:19">
      <c r="A21" s="47"/>
      <c r="B21" s="27"/>
      <c r="D21" s="31" t="s">
        <v>8</v>
      </c>
      <c r="E21" s="30">
        <f>SUMIF('MASTER DATA'!$A:$A,PPD!C11,'MASTER DATA'!$AM:$AM)+SUMIF('MASTER DATA'!$A:$A,PPD!C11,'MASTER DATA'!$AN:$AN)</f>
        <v>0</v>
      </c>
      <c r="F21" s="50"/>
      <c r="G21" s="60"/>
      <c r="H21" s="30"/>
      <c r="I21" s="30"/>
      <c r="J21" s="31" t="s">
        <v>8</v>
      </c>
      <c r="K21" s="30">
        <v>152.58000000000001</v>
      </c>
      <c r="L21" s="49"/>
      <c r="M21" s="60"/>
      <c r="N21" s="30"/>
      <c r="O21" s="30"/>
      <c r="P21" s="31" t="s">
        <v>8</v>
      </c>
      <c r="Q21" s="30">
        <f>SUMIF('MASTER DATA'!$A:$A,PPD!O11,'MASTER DATA'!$AM:$AM)+SUMIF('MASTER DATA'!$A:$A,PPD!O11,'MASTER DATA'!$AN:$AN)</f>
        <v>10.23</v>
      </c>
      <c r="R21" s="49"/>
    </row>
    <row r="22" spans="1:19">
      <c r="A22" s="47"/>
      <c r="B22" s="27"/>
      <c r="D22" s="30" t="s">
        <v>9</v>
      </c>
      <c r="E22" s="32">
        <f>SUMIF('MASTER DATA'!$A:$A,PPD!C11,'MASTER DATA'!$AP:$AP)</f>
        <v>0</v>
      </c>
      <c r="F22" s="50"/>
      <c r="G22" s="60"/>
      <c r="H22" s="30"/>
      <c r="I22" s="30"/>
      <c r="J22" s="69" t="s">
        <v>9</v>
      </c>
      <c r="K22" s="32">
        <v>0</v>
      </c>
      <c r="L22" s="49"/>
      <c r="M22" s="60"/>
      <c r="N22" s="30"/>
      <c r="O22" s="30"/>
      <c r="P22" s="69" t="s">
        <v>9</v>
      </c>
      <c r="Q22" s="32">
        <f>SUMIF('MASTER DATA'!$A:$A,PPD!O11,'MASTER DATA'!$AP:$AP)</f>
        <v>0</v>
      </c>
      <c r="R22" s="49"/>
    </row>
    <row r="23" spans="1:19">
      <c r="A23" s="47"/>
      <c r="B23" s="27"/>
      <c r="D23" s="30" t="s">
        <v>10</v>
      </c>
      <c r="E23" s="30">
        <f>SUM(E20:E22)</f>
        <v>0</v>
      </c>
      <c r="F23" s="50"/>
      <c r="G23" s="60"/>
      <c r="H23" s="30"/>
      <c r="I23" s="30"/>
      <c r="J23" s="30" t="s">
        <v>10</v>
      </c>
      <c r="K23" s="30">
        <f>SUM(K20:K22)</f>
        <v>152.58000000000001</v>
      </c>
      <c r="L23" s="49"/>
      <c r="M23" s="60"/>
      <c r="N23" s="30"/>
      <c r="O23" s="30"/>
      <c r="P23" s="30" t="s">
        <v>10</v>
      </c>
      <c r="Q23" s="30">
        <f>SUM(Q20:Q22)</f>
        <v>10.23</v>
      </c>
      <c r="R23" s="49"/>
    </row>
    <row r="24" spans="1:19" ht="15.75">
      <c r="A24" s="47"/>
      <c r="B24" s="27"/>
      <c r="D24" s="30"/>
      <c r="E24" s="30"/>
      <c r="F24" s="50"/>
      <c r="G24" s="60"/>
      <c r="H24" s="30"/>
      <c r="I24" s="30"/>
      <c r="J24" s="30"/>
      <c r="K24" s="30"/>
      <c r="L24" s="49"/>
      <c r="M24" s="60"/>
      <c r="N24" s="30"/>
      <c r="O24" s="30"/>
      <c r="P24" s="30"/>
      <c r="Q24" s="30"/>
      <c r="R24" s="49"/>
      <c r="S24" s="3" t="s">
        <v>11</v>
      </c>
    </row>
    <row r="25" spans="1:19">
      <c r="A25" s="47"/>
      <c r="B25" s="27"/>
      <c r="D25" s="30" t="s">
        <v>12</v>
      </c>
      <c r="E25" s="30">
        <f>E14-E23</f>
        <v>9872</v>
      </c>
      <c r="F25" s="50"/>
      <c r="G25" s="60"/>
      <c r="H25" s="30"/>
      <c r="I25" s="30"/>
      <c r="J25" s="30" t="s">
        <v>12</v>
      </c>
      <c r="K25" s="30">
        <f>K14-K23</f>
        <v>18156.919999999998</v>
      </c>
      <c r="L25" s="49"/>
      <c r="M25" s="60"/>
      <c r="N25" s="30"/>
      <c r="O25" s="30"/>
      <c r="P25" s="30" t="s">
        <v>12</v>
      </c>
      <c r="Q25" s="30">
        <f>Q14-Q23</f>
        <v>13489.77</v>
      </c>
      <c r="R25" s="49"/>
    </row>
    <row r="26" spans="1:19">
      <c r="A26" s="47"/>
      <c r="B26" s="27"/>
      <c r="D26" s="30" t="s">
        <v>13</v>
      </c>
      <c r="E26" s="30"/>
      <c r="F26" s="50"/>
      <c r="G26" s="60"/>
      <c r="H26" s="30"/>
      <c r="I26" s="30"/>
      <c r="J26" s="30" t="s">
        <v>13</v>
      </c>
      <c r="K26" s="30"/>
      <c r="L26" s="49"/>
      <c r="M26" s="60"/>
      <c r="N26" s="30"/>
      <c r="O26" s="30"/>
      <c r="P26" s="30" t="s">
        <v>13</v>
      </c>
      <c r="Q26" s="30"/>
      <c r="R26" s="49"/>
    </row>
    <row r="27" spans="1:19">
      <c r="A27" s="47"/>
      <c r="B27" s="27"/>
      <c r="D27" s="30" t="s">
        <v>14</v>
      </c>
      <c r="E27" s="30">
        <f>SUMIF('MASTER DATA'!$A:$A,PPD!C11,'MASTER DATA'!$AS:$AS)</f>
        <v>0</v>
      </c>
      <c r="F27" s="50"/>
      <c r="G27" s="60"/>
      <c r="H27" s="30"/>
      <c r="I27" s="30"/>
      <c r="J27" s="30" t="s">
        <v>14</v>
      </c>
      <c r="K27" s="30">
        <f>SUMIF('MASTER DATA'!$A:$A,PPD!I11,'MASTER DATA'!$AS:$AS)</f>
        <v>0</v>
      </c>
      <c r="L27" s="49"/>
      <c r="M27" s="60"/>
      <c r="N27" s="30"/>
      <c r="O27" s="30"/>
      <c r="P27" s="30" t="s">
        <v>14</v>
      </c>
      <c r="Q27" s="30">
        <f>SUMIF('MASTER DATA'!$A:$A,PPD!O11,'MASTER DATA'!$AS:$AS)</f>
        <v>0</v>
      </c>
      <c r="R27" s="49"/>
    </row>
    <row r="28" spans="1:19" ht="21.75" customHeight="1">
      <c r="A28" s="47"/>
      <c r="B28" s="27"/>
      <c r="D28" s="69" t="s">
        <v>160</v>
      </c>
      <c r="E28" s="30">
        <f>SUMIF('MASTER DATA'!$A:$A,PPD!C11,'MASTER DATA'!$AT:$AT)</f>
        <v>0</v>
      </c>
      <c r="F28" s="50"/>
      <c r="G28" s="60"/>
      <c r="H28" s="30"/>
      <c r="I28" s="30"/>
      <c r="J28" s="69" t="s">
        <v>160</v>
      </c>
      <c r="K28" s="30">
        <f>SUMIF('MASTER DATA'!$A:$A,PPD!I11,'MASTER DATA'!$AT:$AT)</f>
        <v>0</v>
      </c>
      <c r="L28" s="49"/>
      <c r="M28" s="60"/>
      <c r="N28" s="30"/>
      <c r="O28" s="30"/>
      <c r="P28" s="69" t="s">
        <v>160</v>
      </c>
      <c r="Q28" s="30">
        <f>SUMIF('MASTER DATA'!$A:$A,PPD!O11,'MASTER DATA'!$AT:$AT)</f>
        <v>0</v>
      </c>
      <c r="R28" s="49"/>
    </row>
    <row r="29" spans="1:19">
      <c r="A29" s="47"/>
      <c r="B29" s="27"/>
      <c r="D29" s="30" t="s">
        <v>15</v>
      </c>
      <c r="E29" s="30">
        <f>SUMIF('MASTER DATA'!$A:$A,PPD!C11,'MASTER DATA'!$AU:$AU)</f>
        <v>2000</v>
      </c>
      <c r="F29" s="50"/>
      <c r="G29" s="60"/>
      <c r="H29" s="30"/>
      <c r="I29" s="30"/>
      <c r="J29" s="30" t="s">
        <v>15</v>
      </c>
      <c r="K29" s="30">
        <f>SUMIF('MASTER DATA'!$A:$A,PPD!I11,'MASTER DATA'!$AU:$AU)</f>
        <v>0</v>
      </c>
      <c r="L29" s="49"/>
      <c r="M29" s="60"/>
      <c r="N29" s="30"/>
      <c r="O29" s="30"/>
      <c r="P29" s="30" t="s">
        <v>15</v>
      </c>
      <c r="Q29" s="30">
        <f>SUMIF('MASTER DATA'!$A:$A,PPD!O11,'MASTER DATA'!$AU:$AU)</f>
        <v>0</v>
      </c>
      <c r="R29" s="49"/>
    </row>
    <row r="30" spans="1:19">
      <c r="A30" s="47"/>
      <c r="B30" s="27"/>
      <c r="D30" s="30" t="s">
        <v>19</v>
      </c>
      <c r="E30" s="30">
        <f>SUMIF('MASTER DATA'!$A:$A,PPD!C11,'MASTER DATA'!$AV:$AV)</f>
        <v>395.48</v>
      </c>
      <c r="F30" s="50"/>
      <c r="G30" s="60"/>
      <c r="H30" s="30"/>
      <c r="I30" s="30"/>
      <c r="J30" s="30" t="s">
        <v>19</v>
      </c>
      <c r="K30" s="30">
        <f>SUMIF('MASTER DATA'!$A:$A,PPD!I11,'MASTER DATA'!$AV:$AV)</f>
        <v>0</v>
      </c>
      <c r="L30" s="49"/>
      <c r="M30" s="60"/>
      <c r="N30" s="30"/>
      <c r="O30" s="30"/>
      <c r="P30" s="30" t="s">
        <v>19</v>
      </c>
      <c r="Q30" s="30">
        <f>SUMIF('MASTER DATA'!$A:$A,PPD!O11,'MASTER DATA'!$AV:$AV)</f>
        <v>0</v>
      </c>
      <c r="R30" s="49"/>
    </row>
    <row r="31" spans="1:19">
      <c r="A31" s="47"/>
      <c r="B31" s="27"/>
      <c r="D31" s="30" t="s">
        <v>20</v>
      </c>
      <c r="E31" s="30">
        <f>SUMIF('MASTER DATA'!$A:$A,PPD!C11,'MASTER DATA'!$AW:$AW)</f>
        <v>0</v>
      </c>
      <c r="F31" s="50"/>
      <c r="G31" s="60"/>
      <c r="H31" s="30"/>
      <c r="I31" s="30"/>
      <c r="J31" s="30" t="s">
        <v>20</v>
      </c>
      <c r="K31" s="30">
        <f>SUMIF('MASTER DATA'!$A:$A,PPD!I11,'MASTER DATA'!$AW:$AW)</f>
        <v>0</v>
      </c>
      <c r="L31" s="49"/>
      <c r="M31" s="60"/>
      <c r="N31" s="30"/>
      <c r="O31" s="30"/>
      <c r="P31" s="30" t="s">
        <v>20</v>
      </c>
      <c r="Q31" s="30">
        <f>SUMIF('MASTER DATA'!$A:$A,PPD!O11,'MASTER DATA'!$AW:$AW)</f>
        <v>0</v>
      </c>
      <c r="R31" s="49"/>
    </row>
    <row r="32" spans="1:19">
      <c r="A32" s="47"/>
      <c r="B32" s="27"/>
      <c r="D32" s="30" t="s">
        <v>23</v>
      </c>
      <c r="E32" s="30">
        <f>SUMIF('MASTER DATA'!$A:$A,PPD!C11,'MASTER DATA'!$AX:$AX)</f>
        <v>0</v>
      </c>
      <c r="F32" s="50"/>
      <c r="G32" s="60"/>
      <c r="H32" s="30"/>
      <c r="I32" s="30"/>
      <c r="J32" s="30" t="s">
        <v>23</v>
      </c>
      <c r="K32" s="30">
        <f>SUMIF('MASTER DATA'!$A:$A,PPD!I11,'MASTER DATA'!$AX:$AX)</f>
        <v>0</v>
      </c>
      <c r="L32" s="49"/>
      <c r="M32" s="60"/>
      <c r="N32" s="30"/>
      <c r="O32" s="30"/>
      <c r="P32" s="30" t="s">
        <v>23</v>
      </c>
      <c r="Q32" s="30">
        <f>SUMIF('MASTER DATA'!$A:$A,PPD!O11,'MASTER DATA'!$AX:$AX)</f>
        <v>0</v>
      </c>
      <c r="R32" s="49"/>
    </row>
    <row r="33" spans="1:18" ht="16.5" thickBot="1">
      <c r="A33" s="47"/>
      <c r="B33" s="27"/>
      <c r="D33" s="28" t="s">
        <v>16</v>
      </c>
      <c r="E33" s="33">
        <f>E25-SUM(E26:E32)</f>
        <v>7476.52</v>
      </c>
      <c r="F33" s="53"/>
      <c r="G33" s="60"/>
      <c r="H33" s="30"/>
      <c r="I33" s="30"/>
      <c r="J33" s="28" t="s">
        <v>16</v>
      </c>
      <c r="K33" s="33">
        <f>K25-SUM(K26:K32)</f>
        <v>18156.919999999998</v>
      </c>
      <c r="L33" s="49"/>
      <c r="M33" s="60"/>
      <c r="N33" s="30"/>
      <c r="O33" s="30"/>
      <c r="P33" s="28" t="s">
        <v>16</v>
      </c>
      <c r="Q33" s="33">
        <f>Q25-SUM(Q26:Q32)</f>
        <v>13489.77</v>
      </c>
      <c r="R33" s="49"/>
    </row>
    <row r="34" spans="1:18" ht="15.75" thickTop="1">
      <c r="A34" s="47"/>
      <c r="B34" s="27"/>
      <c r="D34" s="30"/>
      <c r="E34" s="30"/>
      <c r="F34" s="50"/>
      <c r="G34" s="60"/>
      <c r="H34" s="30"/>
      <c r="I34" s="30"/>
      <c r="J34" s="30"/>
      <c r="K34" s="30"/>
      <c r="L34" s="49"/>
      <c r="M34" s="60"/>
      <c r="N34" s="30"/>
      <c r="O34" s="30"/>
      <c r="P34" s="30"/>
      <c r="Q34" s="30"/>
      <c r="R34" s="49"/>
    </row>
    <row r="35" spans="1:18" ht="60">
      <c r="A35" s="47"/>
      <c r="B35" s="27"/>
      <c r="D35" s="66"/>
      <c r="E35" s="86"/>
      <c r="F35" s="49"/>
      <c r="G35" s="60"/>
      <c r="H35" s="30"/>
      <c r="I35" s="30"/>
      <c r="J35" s="88" t="s">
        <v>318</v>
      </c>
      <c r="K35" s="27"/>
      <c r="L35" s="49"/>
      <c r="M35" s="60"/>
      <c r="N35" s="30"/>
      <c r="O35" s="30"/>
      <c r="P35" s="88"/>
      <c r="Q35" s="27"/>
      <c r="R35" s="49"/>
    </row>
    <row r="36" spans="1:18" ht="15.75" thickBot="1">
      <c r="A36" s="54"/>
      <c r="B36" s="55"/>
      <c r="C36" s="55"/>
      <c r="D36" s="55"/>
      <c r="E36" s="55"/>
      <c r="F36" s="56"/>
      <c r="G36" s="62"/>
      <c r="H36" s="63"/>
      <c r="I36" s="63"/>
      <c r="J36" s="55"/>
      <c r="K36" s="55"/>
      <c r="L36" s="56"/>
      <c r="M36" s="62"/>
      <c r="N36" s="63"/>
      <c r="O36" s="63"/>
      <c r="P36" s="55"/>
      <c r="Q36" s="55"/>
      <c r="R36" s="56"/>
    </row>
    <row r="37" spans="1:18" ht="15.75">
      <c r="A37" s="78"/>
      <c r="B37" s="71"/>
      <c r="C37" s="80"/>
      <c r="D37" s="71"/>
      <c r="E37" s="70"/>
      <c r="F37" s="79" t="s">
        <v>235</v>
      </c>
      <c r="G37" s="78"/>
      <c r="H37" s="71"/>
      <c r="I37" s="80"/>
      <c r="J37" s="71"/>
      <c r="K37" s="70"/>
      <c r="L37" s="79"/>
    </row>
    <row r="38" spans="1:18" ht="18">
      <c r="A38" s="44"/>
      <c r="B38" s="34"/>
      <c r="C38" s="34"/>
      <c r="D38" s="34"/>
      <c r="E38" s="34"/>
      <c r="F38" s="45"/>
      <c r="G38" s="44"/>
      <c r="H38" s="34"/>
      <c r="I38" s="34"/>
      <c r="J38" s="34"/>
      <c r="K38" s="34"/>
      <c r="L38" s="45"/>
    </row>
    <row r="39" spans="1:18" ht="18">
      <c r="A39" s="44"/>
      <c r="B39" s="34"/>
      <c r="C39" s="34"/>
      <c r="D39" s="35" t="s">
        <v>0</v>
      </c>
      <c r="E39" s="36"/>
      <c r="F39" s="45"/>
      <c r="G39" s="44"/>
      <c r="H39" s="34"/>
      <c r="I39" s="34"/>
      <c r="J39" s="35"/>
      <c r="K39" s="36"/>
      <c r="L39" s="45"/>
    </row>
    <row r="40" spans="1:18" ht="18">
      <c r="A40" s="44"/>
      <c r="B40" s="34"/>
      <c r="C40" s="34"/>
      <c r="D40" s="35" t="s">
        <v>1</v>
      </c>
      <c r="E40" s="36"/>
      <c r="F40" s="45"/>
      <c r="G40" s="44"/>
      <c r="H40" s="34"/>
      <c r="I40" s="34"/>
      <c r="J40" s="35"/>
      <c r="K40" s="36"/>
      <c r="L40" s="45"/>
    </row>
    <row r="41" spans="1:18" ht="18">
      <c r="A41" s="44"/>
      <c r="B41" s="34"/>
      <c r="C41" s="34"/>
      <c r="D41" s="35" t="s">
        <v>162</v>
      </c>
      <c r="E41" s="36"/>
      <c r="F41" s="45"/>
      <c r="G41" s="44"/>
      <c r="H41" s="34"/>
      <c r="I41" s="34"/>
      <c r="J41" s="35"/>
      <c r="K41" s="36"/>
      <c r="L41" s="45"/>
    </row>
    <row r="42" spans="1:18" ht="18">
      <c r="A42" s="44"/>
      <c r="B42" s="34"/>
      <c r="C42" s="34"/>
      <c r="D42" s="34"/>
      <c r="E42" s="34"/>
      <c r="F42" s="45"/>
      <c r="G42" s="44"/>
      <c r="H42" s="34"/>
      <c r="I42" s="34"/>
      <c r="J42" s="34"/>
      <c r="K42" s="34"/>
      <c r="L42" s="45"/>
    </row>
    <row r="43" spans="1:18" ht="18">
      <c r="A43" s="44"/>
      <c r="B43" s="34"/>
      <c r="C43" s="34"/>
      <c r="D43" s="34"/>
      <c r="E43" s="34"/>
      <c r="F43" s="45"/>
      <c r="G43" s="44"/>
      <c r="H43" s="34"/>
      <c r="I43" s="34"/>
      <c r="J43" s="34"/>
      <c r="K43" s="34"/>
      <c r="L43" s="45"/>
    </row>
    <row r="44" spans="1:18" ht="15.75">
      <c r="A44" s="47"/>
      <c r="B44" s="27"/>
      <c r="D44" s="3" t="s">
        <v>3</v>
      </c>
      <c r="E44" s="3"/>
      <c r="F44" s="49"/>
      <c r="G44" s="47"/>
      <c r="H44" s="27"/>
      <c r="I44" s="27"/>
      <c r="J44" s="3"/>
      <c r="K44" s="3"/>
      <c r="L44" s="49"/>
    </row>
    <row r="45" spans="1:18">
      <c r="A45" s="47"/>
      <c r="B45" s="27"/>
      <c r="D45" s="27" t="str">
        <f>D9</f>
        <v>FEB 16-28, 2026</v>
      </c>
      <c r="E45" s="27"/>
      <c r="F45" s="49"/>
      <c r="G45" s="47"/>
      <c r="H45" s="27"/>
      <c r="I45" s="27"/>
      <c r="J45" s="27"/>
      <c r="K45" s="27"/>
      <c r="L45" s="49"/>
    </row>
    <row r="46" spans="1:18">
      <c r="A46" s="47"/>
      <c r="B46" s="27"/>
      <c r="D46" s="27"/>
      <c r="E46" s="27"/>
      <c r="F46" s="49"/>
      <c r="G46" s="47"/>
      <c r="H46" s="27"/>
      <c r="I46" s="27"/>
      <c r="J46" s="27"/>
      <c r="K46" s="27"/>
      <c r="L46" s="49"/>
    </row>
    <row r="47" spans="1:18" ht="15.75">
      <c r="A47" s="47"/>
      <c r="B47" s="27"/>
      <c r="C47" s="3">
        <v>8</v>
      </c>
      <c r="D47" s="3" t="str">
        <f>VLOOKUP(C47,'MASTER DATA'!$A:$E,5,FALSE)</f>
        <v>VERINO, ALLYSON RYAN T.</v>
      </c>
      <c r="E47" s="27"/>
      <c r="F47" s="49"/>
      <c r="G47" s="47"/>
      <c r="H47" s="27"/>
      <c r="I47" s="3"/>
      <c r="J47" s="3"/>
      <c r="K47" s="27"/>
      <c r="L47" s="49"/>
    </row>
    <row r="48" spans="1:18" ht="15.75">
      <c r="A48" s="47"/>
      <c r="B48" s="27"/>
      <c r="D48" s="3" t="str">
        <f>VLOOKUP(C47,'MASTER DATA'!$A:$F,6,FALSE)</f>
        <v>PPD</v>
      </c>
      <c r="E48" s="27"/>
      <c r="F48" s="49"/>
      <c r="G48" s="47"/>
      <c r="H48" s="27"/>
      <c r="I48" s="27"/>
      <c r="J48" s="3"/>
      <c r="K48" s="27"/>
      <c r="L48" s="49"/>
    </row>
    <row r="49" spans="1:12">
      <c r="A49" s="47"/>
      <c r="B49" s="27"/>
      <c r="D49" s="29" t="str">
        <f>VLOOKUP(C47,'MASTER DATA'!$A:$G,7,FALSE)</f>
        <v>Planning Development Officer I</v>
      </c>
      <c r="E49" s="27"/>
      <c r="F49" s="49"/>
      <c r="G49" s="47"/>
      <c r="H49" s="27"/>
      <c r="I49" s="27"/>
      <c r="J49" s="29"/>
      <c r="K49" s="27"/>
      <c r="L49" s="49"/>
    </row>
    <row r="50" spans="1:12">
      <c r="A50" s="47"/>
      <c r="B50" s="27"/>
      <c r="D50" s="27" t="s">
        <v>4</v>
      </c>
      <c r="E50" s="30">
        <f>SUMIF('MASTER DATA'!$A:$A,PPD!C47,'MASTER DATA'!$N:$N)</f>
        <v>13500</v>
      </c>
      <c r="F50" s="49"/>
      <c r="G50" s="47"/>
      <c r="H50" s="27"/>
      <c r="I50" s="27"/>
      <c r="J50" s="27"/>
      <c r="K50" s="30"/>
      <c r="L50" s="49"/>
    </row>
    <row r="51" spans="1:12" ht="17.25">
      <c r="A51" s="47"/>
      <c r="B51" s="27"/>
      <c r="D51" s="27"/>
      <c r="E51" s="37"/>
      <c r="F51" s="49"/>
      <c r="G51" s="47"/>
      <c r="H51" s="27"/>
      <c r="I51" s="27"/>
      <c r="J51" s="27"/>
      <c r="K51" s="37"/>
      <c r="L51" s="49"/>
    </row>
    <row r="52" spans="1:12">
      <c r="A52" s="47"/>
      <c r="B52" s="27"/>
      <c r="D52" s="27"/>
      <c r="E52" s="30"/>
      <c r="F52" s="49"/>
      <c r="G52" s="47"/>
      <c r="H52" s="27"/>
      <c r="I52" s="27"/>
      <c r="J52" s="27"/>
      <c r="K52" s="30"/>
      <c r="L52" s="49"/>
    </row>
    <row r="53" spans="1:12" ht="17.25">
      <c r="A53" s="47"/>
      <c r="B53" s="27"/>
      <c r="D53" s="27"/>
      <c r="E53" s="37"/>
      <c r="F53" s="49"/>
      <c r="G53" s="47"/>
      <c r="H53" s="27"/>
      <c r="I53" s="27"/>
      <c r="J53" s="27"/>
      <c r="K53" s="37"/>
      <c r="L53" s="49"/>
    </row>
    <row r="54" spans="1:12">
      <c r="A54" s="47"/>
      <c r="B54" s="27"/>
      <c r="D54" s="39" t="s">
        <v>5</v>
      </c>
      <c r="E54" s="40" t="s">
        <v>6</v>
      </c>
      <c r="F54" s="49"/>
      <c r="G54" s="47"/>
      <c r="H54" s="27"/>
      <c r="I54" s="27"/>
      <c r="J54" s="39"/>
      <c r="K54" s="40"/>
      <c r="L54" s="49"/>
    </row>
    <row r="55" spans="1:12">
      <c r="A55" s="60"/>
      <c r="B55" s="30"/>
      <c r="C55" s="30"/>
      <c r="D55" s="27"/>
      <c r="E55" s="27"/>
      <c r="F55" s="49"/>
      <c r="G55" s="60"/>
      <c r="H55" s="30"/>
      <c r="I55" s="30"/>
      <c r="J55" s="27"/>
      <c r="K55" s="27"/>
      <c r="L55" s="49"/>
    </row>
    <row r="56" spans="1:12">
      <c r="A56" s="60"/>
      <c r="B56" s="30"/>
      <c r="C56" s="30"/>
      <c r="D56" s="30" t="s">
        <v>7</v>
      </c>
      <c r="E56" s="30">
        <f>SUMIF('MASTER DATA'!$A:$A,PPD!C47,'MASTER DATA'!$AL:$AL)</f>
        <v>0</v>
      </c>
      <c r="F56" s="49"/>
      <c r="G56" s="60"/>
      <c r="H56" s="30"/>
      <c r="I56" s="30"/>
      <c r="J56" s="30"/>
      <c r="K56" s="30"/>
      <c r="L56" s="49"/>
    </row>
    <row r="57" spans="1:12">
      <c r="A57" s="60"/>
      <c r="B57" s="30"/>
      <c r="C57" s="30"/>
      <c r="D57" s="31" t="s">
        <v>8</v>
      </c>
      <c r="E57" s="30">
        <f>SUMIF('MASTER DATA'!$A:$A,PPD!C47,'MASTER DATA'!$AM:$AM)+SUMIF('MASTER DATA'!$A:$A,PPD!C47,'MASTER DATA'!$AN:$AN)</f>
        <v>0</v>
      </c>
      <c r="F57" s="49"/>
      <c r="G57" s="60"/>
      <c r="H57" s="30"/>
      <c r="I57" s="30"/>
      <c r="J57" s="31"/>
      <c r="K57" s="30"/>
      <c r="L57" s="49"/>
    </row>
    <row r="58" spans="1:12">
      <c r="A58" s="60"/>
      <c r="B58" s="30"/>
      <c r="C58" s="30"/>
      <c r="D58" s="69" t="s">
        <v>9</v>
      </c>
      <c r="E58" s="32">
        <f>SUMIF('MASTER DATA'!$A:$A,PPD!C47,'MASTER DATA'!$AP:$AP)</f>
        <v>0</v>
      </c>
      <c r="F58" s="49"/>
      <c r="G58" s="60"/>
      <c r="H58" s="30"/>
      <c r="I58" s="30"/>
      <c r="J58" s="69"/>
      <c r="K58" s="30"/>
      <c r="L58" s="49"/>
    </row>
    <row r="59" spans="1:12">
      <c r="A59" s="60"/>
      <c r="B59" s="30"/>
      <c r="C59" s="30"/>
      <c r="D59" s="30" t="s">
        <v>10</v>
      </c>
      <c r="E59" s="30">
        <f>SUM(E56:E58)</f>
        <v>0</v>
      </c>
      <c r="F59" s="49"/>
      <c r="G59" s="60"/>
      <c r="H59" s="30"/>
      <c r="I59" s="30"/>
      <c r="J59" s="30"/>
      <c r="K59" s="30"/>
      <c r="L59" s="49"/>
    </row>
    <row r="60" spans="1:12">
      <c r="A60" s="60"/>
      <c r="B60" s="30"/>
      <c r="C60" s="30"/>
      <c r="D60" s="30"/>
      <c r="E60" s="30"/>
      <c r="F60" s="49"/>
      <c r="G60" s="60"/>
      <c r="H60" s="30"/>
      <c r="I60" s="30"/>
      <c r="J60" s="30"/>
      <c r="K60" s="30"/>
      <c r="L60" s="49"/>
    </row>
    <row r="61" spans="1:12">
      <c r="A61" s="60"/>
      <c r="B61" s="30"/>
      <c r="C61" s="30"/>
      <c r="D61" s="30" t="s">
        <v>12</v>
      </c>
      <c r="E61" s="30">
        <f>E50-E59</f>
        <v>13500</v>
      </c>
      <c r="F61" s="49"/>
      <c r="G61" s="60"/>
      <c r="H61" s="30"/>
      <c r="I61" s="30"/>
      <c r="J61" s="30"/>
      <c r="K61" s="30"/>
      <c r="L61" s="49"/>
    </row>
    <row r="62" spans="1:12">
      <c r="A62" s="60"/>
      <c r="B62" s="30"/>
      <c r="C62" s="30"/>
      <c r="D62" s="30" t="s">
        <v>13</v>
      </c>
      <c r="E62" s="30"/>
      <c r="F62" s="49"/>
      <c r="G62" s="60"/>
      <c r="H62" s="30"/>
      <c r="I62" s="30"/>
      <c r="J62" s="30"/>
      <c r="K62" s="30"/>
      <c r="L62" s="49"/>
    </row>
    <row r="63" spans="1:12">
      <c r="A63" s="60"/>
      <c r="B63" s="30"/>
      <c r="C63" s="30"/>
      <c r="D63" s="30" t="s">
        <v>14</v>
      </c>
      <c r="E63" s="30">
        <f>SUMIF('MASTER DATA'!$A:$A,PPD!C47,'MASTER DATA'!$AS:$AS)</f>
        <v>0</v>
      </c>
      <c r="F63" s="49"/>
      <c r="G63" s="60"/>
      <c r="H63" s="30"/>
      <c r="I63" s="30"/>
      <c r="J63" s="30"/>
      <c r="K63" s="30"/>
      <c r="L63" s="49"/>
    </row>
    <row r="64" spans="1:12">
      <c r="A64" s="60"/>
      <c r="B64" s="30"/>
      <c r="C64" s="30"/>
      <c r="D64" s="69" t="s">
        <v>160</v>
      </c>
      <c r="E64" s="30">
        <f>SUMIF('MASTER DATA'!$A:$A,PPD!C47,'MASTER DATA'!$AT:$AT)</f>
        <v>0</v>
      </c>
      <c r="F64" s="49"/>
      <c r="G64" s="60"/>
      <c r="H64" s="30"/>
      <c r="I64" s="30"/>
      <c r="J64" s="69"/>
      <c r="K64" s="30"/>
      <c r="L64" s="49"/>
    </row>
    <row r="65" spans="1:12">
      <c r="A65" s="60"/>
      <c r="B65" s="30"/>
      <c r="C65" s="30"/>
      <c r="D65" s="30" t="s">
        <v>15</v>
      </c>
      <c r="E65" s="30">
        <f>SUMIF('MASTER DATA'!$A:$A,PPD!C47,'MASTER DATA'!$AU:$AU)</f>
        <v>0</v>
      </c>
      <c r="F65" s="49"/>
      <c r="G65" s="60"/>
      <c r="H65" s="30"/>
      <c r="I65" s="30"/>
      <c r="J65" s="30"/>
      <c r="K65" s="30"/>
      <c r="L65" s="49"/>
    </row>
    <row r="66" spans="1:12">
      <c r="A66" s="60"/>
      <c r="B66" s="30"/>
      <c r="C66" s="30"/>
      <c r="D66" s="30" t="s">
        <v>19</v>
      </c>
      <c r="E66" s="30">
        <f>SUMIF('MASTER DATA'!$A:$A,PPD!C47,'MASTER DATA'!$AV:$AV)</f>
        <v>0</v>
      </c>
      <c r="F66" s="49"/>
      <c r="G66" s="60"/>
      <c r="H66" s="30"/>
      <c r="I66" s="30"/>
      <c r="J66" s="30"/>
      <c r="K66" s="30"/>
      <c r="L66" s="49"/>
    </row>
    <row r="67" spans="1:12">
      <c r="A67" s="60"/>
      <c r="B67" s="30"/>
      <c r="C67" s="30"/>
      <c r="D67" s="30" t="s">
        <v>20</v>
      </c>
      <c r="E67" s="30">
        <f>SUMIF('MASTER DATA'!$A:$A,PPD!C47,'MASTER DATA'!$AW:$AW)</f>
        <v>0</v>
      </c>
      <c r="F67" s="49"/>
      <c r="G67" s="60"/>
      <c r="H67" s="30"/>
      <c r="I67" s="30"/>
      <c r="J67" s="30"/>
      <c r="K67" s="30"/>
      <c r="L67" s="49"/>
    </row>
    <row r="68" spans="1:12">
      <c r="A68" s="60"/>
      <c r="B68" s="30"/>
      <c r="C68" s="30"/>
      <c r="D68" s="30" t="s">
        <v>23</v>
      </c>
      <c r="E68" s="30">
        <f>SUMIF('MASTER DATA'!$A:$A,PPD!C47,'MASTER DATA'!$AX:$AX)</f>
        <v>0</v>
      </c>
      <c r="F68" s="49"/>
      <c r="G68" s="60"/>
      <c r="H68" s="30"/>
      <c r="I68" s="30"/>
      <c r="J68" s="30"/>
      <c r="K68" s="30"/>
      <c r="L68" s="49"/>
    </row>
    <row r="69" spans="1:12" ht="16.5" thickBot="1">
      <c r="A69" s="60"/>
      <c r="B69" s="30"/>
      <c r="C69" s="30"/>
      <c r="D69" s="28" t="s">
        <v>16</v>
      </c>
      <c r="E69" s="33">
        <f>E61-SUM(E62:E68)</f>
        <v>13500</v>
      </c>
      <c r="F69" s="49"/>
      <c r="G69" s="60"/>
      <c r="H69" s="30"/>
      <c r="I69" s="30"/>
      <c r="J69" s="28"/>
      <c r="K69" s="33"/>
      <c r="L69" s="49"/>
    </row>
    <row r="70" spans="1:12" ht="15.75" thickTop="1">
      <c r="A70" s="60"/>
      <c r="B70" s="30"/>
      <c r="C70" s="30"/>
      <c r="D70" s="30"/>
      <c r="E70" s="30"/>
      <c r="F70" s="49"/>
      <c r="G70" s="60"/>
      <c r="H70" s="30"/>
      <c r="I70" s="30"/>
      <c r="J70" s="30"/>
      <c r="K70" s="30"/>
      <c r="L70" s="49"/>
    </row>
    <row r="71" spans="1:12">
      <c r="A71" s="60"/>
      <c r="B71" s="30"/>
      <c r="C71" s="30"/>
      <c r="D71" s="66"/>
      <c r="E71" s="27"/>
      <c r="F71" s="49"/>
      <c r="G71" s="60"/>
      <c r="H71" s="30"/>
      <c r="I71" s="30"/>
      <c r="J71" s="66"/>
      <c r="K71" s="27"/>
      <c r="L71" s="49"/>
    </row>
    <row r="72" spans="1:12" ht="15.75" thickBot="1">
      <c r="A72" s="62"/>
      <c r="B72" s="63"/>
      <c r="C72" s="63"/>
      <c r="D72" s="55"/>
      <c r="E72" s="55"/>
      <c r="F72" s="56"/>
      <c r="G72" s="62"/>
      <c r="H72" s="63"/>
      <c r="I72" s="63"/>
      <c r="J72" s="55"/>
      <c r="K72" s="55"/>
      <c r="L72" s="56"/>
    </row>
    <row r="73" spans="1:12">
      <c r="D73" s="6"/>
      <c r="E73" s="6"/>
      <c r="F73" s="6"/>
      <c r="G73" s="1"/>
      <c r="H73" s="1"/>
      <c r="I73" s="1"/>
      <c r="J73" s="6"/>
      <c r="K73" s="10"/>
    </row>
    <row r="74" spans="1:12" ht="15.75">
      <c r="D74" s="6"/>
      <c r="E74" s="10"/>
      <c r="F74" s="10"/>
      <c r="G74" s="1"/>
      <c r="H74" s="1"/>
      <c r="I74" s="1"/>
      <c r="J74" s="354"/>
      <c r="K74" s="354"/>
    </row>
    <row r="75" spans="1:12" ht="15.75">
      <c r="D75" s="82"/>
      <c r="E75" s="82"/>
      <c r="F75" s="82"/>
      <c r="G75" s="1"/>
      <c r="H75" s="1"/>
      <c r="I75" s="1"/>
      <c r="J75" s="11"/>
      <c r="K75" s="22"/>
    </row>
    <row r="76" spans="1:12" ht="15.75">
      <c r="D76" s="11"/>
      <c r="E76" s="22"/>
      <c r="F76" s="22"/>
      <c r="G76" s="1"/>
      <c r="H76" s="1"/>
      <c r="I76" s="1"/>
      <c r="J76" s="11"/>
      <c r="K76" s="22"/>
    </row>
    <row r="77" spans="1:12" ht="17.25">
      <c r="D77" s="11"/>
      <c r="E77" s="22"/>
      <c r="F77" s="22"/>
      <c r="G77" s="1"/>
      <c r="H77" s="1"/>
      <c r="I77" s="1"/>
      <c r="J77" s="11"/>
      <c r="K77" s="21"/>
    </row>
    <row r="78" spans="1:12" ht="15.75">
      <c r="D78" s="4"/>
      <c r="E78" s="1"/>
      <c r="F78" s="1"/>
      <c r="G78" s="1"/>
      <c r="H78" s="1"/>
      <c r="I78" s="1"/>
      <c r="J78" s="1"/>
      <c r="K78" s="1"/>
    </row>
    <row r="79" spans="1:12" ht="15.75">
      <c r="D79" s="83"/>
      <c r="E79" s="5"/>
      <c r="F79" s="5"/>
      <c r="G79" s="1"/>
      <c r="H79" s="1"/>
      <c r="I79" s="1"/>
      <c r="J79" s="83"/>
      <c r="K79" s="1"/>
    </row>
    <row r="80" spans="1:12" ht="15.75">
      <c r="D80" s="23"/>
      <c r="E80" s="11"/>
      <c r="F80" s="11"/>
      <c r="G80" s="1"/>
      <c r="H80" s="1"/>
      <c r="I80" s="1"/>
      <c r="J80" s="23"/>
      <c r="K80" s="1"/>
    </row>
    <row r="81" spans="4:11" ht="15.75">
      <c r="D81" s="84"/>
      <c r="E81" s="85"/>
      <c r="F81" s="85"/>
      <c r="G81" s="1"/>
      <c r="H81" s="1"/>
      <c r="I81" s="1"/>
      <c r="J81" s="1"/>
      <c r="K81" s="1"/>
    </row>
    <row r="82" spans="4:11">
      <c r="D82" s="1"/>
      <c r="E82" s="1"/>
      <c r="F82" s="1"/>
    </row>
    <row r="83" spans="4:11">
      <c r="D83" s="1"/>
      <c r="E83" s="1"/>
      <c r="F83" s="1"/>
    </row>
    <row r="84" spans="4:11">
      <c r="D84" s="1"/>
      <c r="E84" s="1"/>
      <c r="F84" s="1"/>
    </row>
    <row r="85" spans="4:11">
      <c r="D85" s="17"/>
      <c r="E85" s="1"/>
      <c r="F85" s="1"/>
    </row>
    <row r="86" spans="4:11">
      <c r="D86" s="17"/>
      <c r="E86" s="1"/>
      <c r="F86" s="1"/>
    </row>
    <row r="87" spans="4:11">
      <c r="D87" s="17"/>
      <c r="E87" s="1"/>
      <c r="F87" s="1"/>
    </row>
    <row r="88" spans="4:11" ht="15.75">
      <c r="D88" s="24"/>
      <c r="E88" s="25"/>
      <c r="F88" s="25"/>
    </row>
    <row r="90" spans="4:11" ht="15.75">
      <c r="D90" s="355"/>
      <c r="E90" s="355"/>
      <c r="F90" s="15"/>
    </row>
    <row r="91" spans="4:11">
      <c r="D91" s="356"/>
      <c r="E91" s="356"/>
      <c r="F91" s="16"/>
    </row>
    <row r="92" spans="4:11">
      <c r="D92" s="1"/>
      <c r="E92" s="1"/>
      <c r="F92" s="1"/>
    </row>
    <row r="93" spans="4:11" ht="15.75">
      <c r="D93" s="4"/>
      <c r="E93" s="1"/>
      <c r="F93" s="1"/>
    </row>
    <row r="94" spans="4:11">
      <c r="D94" s="1"/>
      <c r="E94" s="1"/>
      <c r="F94" s="1"/>
    </row>
    <row r="95" spans="4:11">
      <c r="D95" s="1"/>
      <c r="E95" s="6"/>
      <c r="F95" s="6"/>
    </row>
    <row r="96" spans="4:11" ht="17.25">
      <c r="D96" s="1"/>
      <c r="E96" s="7"/>
      <c r="F96" s="7"/>
    </row>
    <row r="97" spans="4:6">
      <c r="D97" s="1"/>
      <c r="E97" s="6"/>
      <c r="F97" s="6"/>
    </row>
    <row r="98" spans="4:6" ht="17.25">
      <c r="D98" s="1"/>
      <c r="E98" s="7"/>
      <c r="F98" s="7"/>
    </row>
    <row r="99" spans="4:6">
      <c r="D99" s="8"/>
      <c r="E99" s="9"/>
      <c r="F99" s="9"/>
    </row>
    <row r="100" spans="4:6">
      <c r="D100" s="1"/>
      <c r="E100" s="1"/>
      <c r="F100" s="1"/>
    </row>
    <row r="101" spans="4:6">
      <c r="D101" s="10"/>
      <c r="E101" s="10"/>
      <c r="F101" s="10"/>
    </row>
    <row r="102" spans="4:6">
      <c r="D102" s="11"/>
      <c r="E102" s="10"/>
      <c r="F102" s="10"/>
    </row>
    <row r="103" spans="4:6">
      <c r="D103" s="10"/>
      <c r="E103" s="10"/>
      <c r="F103" s="10"/>
    </row>
    <row r="104" spans="4:6">
      <c r="D104" s="10"/>
      <c r="E104" s="10"/>
      <c r="F104" s="10"/>
    </row>
    <row r="105" spans="4:6">
      <c r="D105" s="10"/>
      <c r="E105" s="10"/>
      <c r="F105" s="10"/>
    </row>
    <row r="106" spans="4:6">
      <c r="D106" s="10"/>
      <c r="E106" s="10"/>
      <c r="F106" s="10"/>
    </row>
    <row r="107" spans="4:6">
      <c r="D107" s="10"/>
      <c r="E107" s="10"/>
      <c r="F107" s="10"/>
    </row>
    <row r="108" spans="4:6">
      <c r="D108" s="10"/>
      <c r="E108" s="10"/>
      <c r="F108" s="10"/>
    </row>
    <row r="109" spans="4:6">
      <c r="D109" s="10"/>
      <c r="E109" s="10"/>
      <c r="F109" s="10"/>
    </row>
    <row r="110" spans="4:6">
      <c r="D110" s="10"/>
      <c r="E110" s="10"/>
      <c r="F110" s="10"/>
    </row>
    <row r="111" spans="4:6">
      <c r="D111" s="10"/>
      <c r="E111" s="10"/>
      <c r="F111" s="10"/>
    </row>
    <row r="112" spans="4:6">
      <c r="D112" s="10"/>
      <c r="E112" s="10"/>
      <c r="F112" s="10"/>
    </row>
    <row r="113" spans="4:6">
      <c r="D113" s="10"/>
      <c r="E113" s="10"/>
      <c r="F113" s="10"/>
    </row>
    <row r="114" spans="4:6">
      <c r="D114" s="10"/>
      <c r="E114" s="10"/>
      <c r="F114" s="10"/>
    </row>
    <row r="115" spans="4:6">
      <c r="D115" s="10"/>
      <c r="E115" s="10"/>
      <c r="F115" s="10"/>
    </row>
    <row r="116" spans="4:6">
      <c r="D116" s="10"/>
      <c r="E116" s="10"/>
      <c r="F116" s="10"/>
    </row>
    <row r="117" spans="4:6">
      <c r="D117" s="10"/>
      <c r="E117" s="10"/>
      <c r="F117" s="10"/>
    </row>
    <row r="118" spans="4:6">
      <c r="D118" s="11"/>
      <c r="E118" s="10"/>
      <c r="F118" s="10"/>
    </row>
    <row r="119" spans="4:6">
      <c r="D119" s="10"/>
      <c r="E119" s="10"/>
      <c r="F119" s="10"/>
    </row>
    <row r="120" spans="4:6">
      <c r="D120" s="10"/>
      <c r="E120" s="10"/>
      <c r="F120" s="10"/>
    </row>
    <row r="121" spans="4:6">
      <c r="D121" s="10"/>
      <c r="E121" s="10"/>
      <c r="F121" s="10"/>
    </row>
    <row r="122" spans="4:6">
      <c r="D122" s="10"/>
      <c r="E122" s="10"/>
      <c r="F122" s="10"/>
    </row>
    <row r="123" spans="4:6">
      <c r="D123" s="6"/>
      <c r="E123" s="6"/>
      <c r="F123" s="6"/>
    </row>
    <row r="124" spans="4:6">
      <c r="D124" s="6"/>
      <c r="E124" s="12"/>
      <c r="F124" s="10"/>
    </row>
    <row r="125" spans="4:6" ht="15.75">
      <c r="D125" s="357"/>
      <c r="E125" s="357"/>
      <c r="F125" s="18"/>
    </row>
    <row r="126" spans="4:6" ht="15.75">
      <c r="D126" s="19"/>
      <c r="E126" s="20"/>
      <c r="F126" s="22"/>
    </row>
    <row r="127" spans="4:6" ht="15.75">
      <c r="D127" s="19"/>
      <c r="E127" s="20"/>
      <c r="F127" s="22"/>
    </row>
  </sheetData>
  <mergeCells count="4">
    <mergeCell ref="J74:K74"/>
    <mergeCell ref="D90:E90"/>
    <mergeCell ref="D91:E91"/>
    <mergeCell ref="D125:E125"/>
  </mergeCells>
  <pageMargins left="0.70866141732283472" right="0.70866141732283472" top="0.74803149606299213" bottom="0.74803149606299213" header="0.31496062992125984" footer="0.31496062992125984"/>
  <pageSetup scale="75" orientation="portrait" r:id="rId1"/>
  <rowBreaks count="1" manualBreakCount="1">
    <brk id="36" max="17" man="1"/>
  </rowBreaks>
  <colBreaks count="2" manualBreakCount="2">
    <brk id="6" max="1048575" man="1"/>
    <brk id="12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79A5-B6BB-4731-9F87-5EBC7833345A}">
  <sheetPr codeName="Sheet5"/>
  <dimension ref="A1:Y113"/>
  <sheetViews>
    <sheetView view="pageBreakPreview" topLeftCell="C37" zoomScale="70" zoomScaleNormal="70" zoomScaleSheetLayoutView="70" workbookViewId="0">
      <selection activeCell="J71" sqref="J71"/>
    </sheetView>
  </sheetViews>
  <sheetFormatPr defaultColWidth="9.140625" defaultRowHeight="15.75"/>
  <cols>
    <col min="1" max="2" width="4.7109375" style="2" customWidth="1"/>
    <col min="3" max="3" width="3.5703125" style="27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3.5703125" style="3" customWidth="1"/>
    <col min="10" max="10" width="25.5703125" style="2" customWidth="1"/>
    <col min="11" max="11" width="13.5703125" style="2" customWidth="1"/>
    <col min="12" max="12" width="13.7109375" style="2" customWidth="1"/>
    <col min="13" max="14" width="4.7109375" style="2" customWidth="1"/>
    <col min="15" max="15" width="3.5703125" style="26" customWidth="1"/>
    <col min="16" max="16" width="25.5703125" style="2" customWidth="1"/>
    <col min="17" max="17" width="13.5703125" style="2" customWidth="1"/>
    <col min="18" max="18" width="13.7109375" style="2" customWidth="1"/>
    <col min="19" max="19" width="11.5703125" style="2" bestFit="1" customWidth="1"/>
    <col min="20" max="20" width="11.28515625" style="2" bestFit="1" customWidth="1"/>
    <col min="21" max="16384" width="9.140625" style="2"/>
  </cols>
  <sheetData>
    <row r="1" spans="1:18" s="27" customFormat="1">
      <c r="A1" s="78"/>
      <c r="B1" s="71"/>
      <c r="C1" s="71"/>
      <c r="D1" s="71"/>
      <c r="E1" s="71"/>
      <c r="F1" s="79" t="s">
        <v>235</v>
      </c>
      <c r="G1" s="78"/>
      <c r="H1" s="71"/>
      <c r="I1" s="80"/>
      <c r="J1" s="71"/>
      <c r="K1" s="71"/>
      <c r="L1" s="79" t="s">
        <v>235</v>
      </c>
      <c r="M1" s="78"/>
      <c r="N1" s="71"/>
      <c r="O1" s="80"/>
      <c r="P1" s="71"/>
      <c r="Q1" s="71"/>
      <c r="R1" s="79" t="s">
        <v>235</v>
      </c>
    </row>
    <row r="2" spans="1:18" ht="18">
      <c r="A2" s="44"/>
      <c r="B2" s="34"/>
      <c r="C2" s="34"/>
      <c r="D2" s="34"/>
      <c r="E2" s="34"/>
      <c r="F2" s="45"/>
      <c r="G2" s="44"/>
      <c r="H2" s="34"/>
      <c r="I2" s="36"/>
      <c r="J2" s="34"/>
      <c r="K2" s="34"/>
      <c r="L2" s="45"/>
      <c r="M2" s="44"/>
      <c r="N2" s="34"/>
      <c r="O2" s="36"/>
      <c r="P2" s="34"/>
      <c r="Q2" s="34"/>
      <c r="R2" s="45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6"/>
      <c r="J3" s="35" t="s">
        <v>0</v>
      </c>
      <c r="K3" s="36"/>
      <c r="L3" s="46"/>
      <c r="M3" s="44"/>
      <c r="N3" s="34"/>
      <c r="O3" s="36"/>
      <c r="P3" s="35" t="s">
        <v>0</v>
      </c>
      <c r="Q3" s="36"/>
      <c r="R3" s="45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6"/>
      <c r="J4" s="35" t="s">
        <v>1</v>
      </c>
      <c r="K4" s="36"/>
      <c r="L4" s="46"/>
      <c r="M4" s="44"/>
      <c r="N4" s="34"/>
      <c r="O4" s="36"/>
      <c r="P4" s="35" t="s">
        <v>1</v>
      </c>
      <c r="Q4" s="36"/>
      <c r="R4" s="45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6"/>
      <c r="J5" s="35" t="s">
        <v>162</v>
      </c>
      <c r="K5" s="36"/>
      <c r="L5" s="46"/>
      <c r="M5" s="44"/>
      <c r="N5" s="34"/>
      <c r="O5" s="36"/>
      <c r="P5" s="35" t="s">
        <v>162</v>
      </c>
      <c r="Q5" s="36"/>
      <c r="R5" s="45"/>
    </row>
    <row r="6" spans="1:18" ht="18">
      <c r="A6" s="44"/>
      <c r="B6" s="34"/>
      <c r="C6" s="34"/>
      <c r="D6" s="34"/>
      <c r="E6" s="34"/>
      <c r="F6" s="45"/>
      <c r="G6" s="44"/>
      <c r="H6" s="34"/>
      <c r="I6" s="36"/>
      <c r="J6" s="34"/>
      <c r="K6" s="34"/>
      <c r="L6" s="45"/>
      <c r="M6" s="44"/>
      <c r="N6" s="34"/>
      <c r="O6" s="36"/>
      <c r="P6" s="34"/>
      <c r="Q6" s="34"/>
      <c r="R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6"/>
      <c r="J7" s="34"/>
      <c r="K7" s="34"/>
      <c r="L7" s="45"/>
      <c r="M7" s="44"/>
      <c r="N7" s="34"/>
      <c r="O7" s="36"/>
      <c r="P7" s="34"/>
      <c r="Q7" s="34"/>
      <c r="R7" s="45"/>
    </row>
    <row r="8" spans="1:18">
      <c r="A8" s="47"/>
      <c r="B8" s="27"/>
      <c r="C8" s="3"/>
      <c r="D8" s="3" t="s">
        <v>3</v>
      </c>
      <c r="E8" s="3"/>
      <c r="F8" s="48"/>
      <c r="G8" s="47"/>
      <c r="H8" s="27"/>
      <c r="J8" s="3" t="s">
        <v>3</v>
      </c>
      <c r="K8" s="3"/>
      <c r="L8" s="48"/>
      <c r="M8" s="47"/>
      <c r="N8" s="27"/>
      <c r="O8" s="3"/>
      <c r="P8" s="3" t="s">
        <v>3</v>
      </c>
      <c r="Q8" s="3"/>
      <c r="R8" s="49"/>
    </row>
    <row r="9" spans="1:18">
      <c r="A9" s="47"/>
      <c r="B9" s="27"/>
      <c r="C9" s="3"/>
      <c r="D9" s="27" t="s">
        <v>319</v>
      </c>
      <c r="E9" s="27"/>
      <c r="F9" s="49"/>
      <c r="G9" s="58"/>
      <c r="H9" s="3"/>
      <c r="J9" s="27" t="str">
        <f>D9</f>
        <v>FEB 16-28, 2026</v>
      </c>
      <c r="K9" s="27"/>
      <c r="L9" s="49"/>
      <c r="M9" s="47"/>
      <c r="N9" s="27"/>
      <c r="O9" s="3"/>
      <c r="P9" s="27" t="str">
        <f>D9</f>
        <v>FEB 16-28, 2026</v>
      </c>
      <c r="Q9" s="27"/>
      <c r="R9" s="49"/>
    </row>
    <row r="10" spans="1:18">
      <c r="A10" s="47"/>
      <c r="B10" s="27"/>
      <c r="C10" s="3"/>
      <c r="D10" s="27"/>
      <c r="E10" s="27"/>
      <c r="F10" s="49"/>
      <c r="G10" s="47"/>
      <c r="H10" s="27"/>
      <c r="J10" s="27"/>
      <c r="K10" s="27"/>
      <c r="L10" s="49"/>
      <c r="M10" s="47"/>
      <c r="N10" s="27"/>
      <c r="O10" s="3"/>
      <c r="P10" s="27"/>
      <c r="Q10" s="27"/>
      <c r="R10" s="49"/>
    </row>
    <row r="11" spans="1:18" s="27" customFormat="1">
      <c r="A11" s="47"/>
      <c r="C11" s="3">
        <v>9</v>
      </c>
      <c r="D11" s="3" t="str">
        <f>VLOOKUP(C11,'MASTER DATA'!$A:$E,5,FALSE)</f>
        <v>LAMPAS, CHRISTIAN JOSEPH P</v>
      </c>
      <c r="F11" s="49"/>
      <c r="G11" s="47"/>
      <c r="I11" s="3">
        <v>10</v>
      </c>
      <c r="J11" s="3" t="str">
        <f>VLOOKUP(I11,'MASTER DATA'!$A:$E,5,FALSE)</f>
        <v>MANDANI, AVE M.</v>
      </c>
      <c r="L11" s="49"/>
      <c r="M11" s="47"/>
      <c r="O11" s="3">
        <v>11</v>
      </c>
      <c r="P11" s="3" t="str">
        <f>VLOOKUP(O11,'MASTER DATA'!$A:$E,5,FALSE)</f>
        <v>PERNIA, JONAS S.</v>
      </c>
      <c r="R11" s="49"/>
    </row>
    <row r="12" spans="1:18" s="27" customFormat="1">
      <c r="A12" s="47"/>
      <c r="C12" s="3"/>
      <c r="D12" s="3" t="str">
        <f>VLOOKUP(C11,'MASTER DATA'!$A:$F,6,FALSE)</f>
        <v>ISD</v>
      </c>
      <c r="F12" s="49"/>
      <c r="G12" s="47"/>
      <c r="I12" s="3"/>
      <c r="J12" s="3" t="str">
        <f>VLOOKUP(I11,'MASTER DATA'!$A:$F,6,FALSE)</f>
        <v>ISD</v>
      </c>
      <c r="L12" s="49"/>
      <c r="M12" s="47"/>
      <c r="O12" s="3"/>
      <c r="P12" s="3" t="str">
        <f>VLOOKUP(O11,'MASTER DATA'!$A:$F,6,FALSE)</f>
        <v>ISD</v>
      </c>
      <c r="R12" s="49"/>
    </row>
    <row r="13" spans="1:18" s="27" customFormat="1">
      <c r="A13" s="47"/>
      <c r="C13" s="3"/>
      <c r="D13" s="29" t="str">
        <f>VLOOKUP(C11,'MASTER DATA'!$A:$G,7,FALSE)</f>
        <v>Computer Maintenance Technologist I</v>
      </c>
      <c r="F13" s="49"/>
      <c r="G13" s="47"/>
      <c r="I13" s="3"/>
      <c r="J13" s="29" t="str">
        <f>VLOOKUP(I11,'MASTER DATA'!$A:$G,7,FALSE)</f>
        <v>Bookbinder III</v>
      </c>
      <c r="L13" s="49"/>
      <c r="M13" s="47"/>
      <c r="O13" s="3"/>
      <c r="P13" s="29" t="str">
        <f>VLOOKUP(O11,'MASTER DATA'!$A:$G,7,FALSE)</f>
        <v>Administrative Asst. II</v>
      </c>
      <c r="R13" s="49"/>
    </row>
    <row r="14" spans="1:18" s="27" customFormat="1">
      <c r="A14" s="47"/>
      <c r="C14" s="3"/>
      <c r="D14" s="27" t="s">
        <v>4</v>
      </c>
      <c r="E14" s="30">
        <f>SUMIF('MASTER DATA'!$A:$A,ISD!C11,'MASTER DATA'!$N:$N)</f>
        <v>13500</v>
      </c>
      <c r="F14" s="50"/>
      <c r="G14" s="47"/>
      <c r="I14" s="3"/>
      <c r="J14" s="27" t="s">
        <v>4</v>
      </c>
      <c r="K14" s="30">
        <f>SUMIF('MASTER DATA'!$A:$A,ISD!I11,'MASTER DATA'!$N:$N)</f>
        <v>9310</v>
      </c>
      <c r="L14" s="50"/>
      <c r="M14" s="47"/>
      <c r="O14" s="3"/>
      <c r="P14" s="27" t="s">
        <v>4</v>
      </c>
      <c r="Q14" s="30">
        <f>SUMIF('MASTER DATA'!$A:$A,ISD!O11,'MASTER DATA'!$N:$N)</f>
        <v>9872</v>
      </c>
      <c r="R14" s="49"/>
    </row>
    <row r="15" spans="1:18" s="27" customFormat="1" ht="17.25">
      <c r="A15" s="47"/>
      <c r="C15" s="3"/>
      <c r="E15" s="37"/>
      <c r="F15" s="51"/>
      <c r="G15" s="59"/>
      <c r="H15" s="39"/>
      <c r="I15" s="38"/>
      <c r="K15" s="37"/>
      <c r="L15" s="51"/>
      <c r="M15" s="47"/>
      <c r="O15" s="3"/>
      <c r="Q15" s="37"/>
      <c r="R15" s="49"/>
    </row>
    <row r="16" spans="1:18" s="27" customFormat="1">
      <c r="A16" s="47"/>
      <c r="C16" s="3"/>
      <c r="E16" s="30"/>
      <c r="F16" s="50"/>
      <c r="G16" s="59"/>
      <c r="H16" s="39"/>
      <c r="I16" s="38"/>
      <c r="K16" s="30"/>
      <c r="L16" s="50"/>
      <c r="M16" s="47"/>
      <c r="O16" s="3"/>
      <c r="Q16" s="30"/>
      <c r="R16" s="49"/>
    </row>
    <row r="17" spans="1:25" s="27" customFormat="1" ht="17.25">
      <c r="A17" s="47"/>
      <c r="C17" s="3"/>
      <c r="E17" s="37"/>
      <c r="F17" s="51"/>
      <c r="G17" s="59"/>
      <c r="H17" s="39"/>
      <c r="I17" s="38"/>
      <c r="K17" s="37"/>
      <c r="L17" s="51"/>
      <c r="M17" s="47"/>
      <c r="O17" s="3"/>
      <c r="Q17" s="37"/>
      <c r="R17" s="49"/>
    </row>
    <row r="18" spans="1:25" s="27" customFormat="1">
      <c r="A18" s="47"/>
      <c r="C18" s="3"/>
      <c r="D18" s="39" t="s">
        <v>5</v>
      </c>
      <c r="E18" s="40" t="s">
        <v>6</v>
      </c>
      <c r="F18" s="52"/>
      <c r="G18" s="47"/>
      <c r="I18" s="3"/>
      <c r="J18" s="39" t="s">
        <v>5</v>
      </c>
      <c r="K18" s="40" t="s">
        <v>6</v>
      </c>
      <c r="L18" s="52"/>
      <c r="M18" s="47"/>
      <c r="O18" s="3"/>
      <c r="P18" s="39" t="s">
        <v>5</v>
      </c>
      <c r="Q18" s="40" t="s">
        <v>6</v>
      </c>
      <c r="R18" s="49"/>
    </row>
    <row r="19" spans="1:25" s="27" customFormat="1">
      <c r="A19" s="47"/>
      <c r="C19" s="28"/>
      <c r="F19" s="49"/>
      <c r="G19" s="60"/>
      <c r="H19" s="30"/>
      <c r="I19" s="28"/>
      <c r="L19" s="49"/>
      <c r="M19" s="60"/>
      <c r="N19" s="30"/>
      <c r="O19" s="28"/>
      <c r="R19" s="49"/>
    </row>
    <row r="20" spans="1:25" s="27" customFormat="1">
      <c r="A20" s="47"/>
      <c r="C20" s="28"/>
      <c r="D20" s="30" t="s">
        <v>7</v>
      </c>
      <c r="E20" s="30">
        <f>SUMIF('MASTER DATA'!$A:$A,ISD!C11,'MASTER DATA'!$AL:$AL)</f>
        <v>1227.27</v>
      </c>
      <c r="F20" s="50"/>
      <c r="G20" s="60"/>
      <c r="H20" s="30"/>
      <c r="I20" s="28"/>
      <c r="J20" s="30" t="s">
        <v>7</v>
      </c>
      <c r="K20" s="30">
        <f>SUMIF('MASTER DATA'!$A:$A,ISD!I11,'MASTER DATA'!$AL:$AL)</f>
        <v>0</v>
      </c>
      <c r="L20" s="50"/>
      <c r="M20" s="60"/>
      <c r="N20" s="30"/>
      <c r="O20" s="28"/>
      <c r="P20" s="30" t="s">
        <v>7</v>
      </c>
      <c r="Q20" s="30">
        <f>SUMIF('MASTER DATA'!$A:$A,ISD!O11,'MASTER DATA'!$AL:$AL)</f>
        <v>0</v>
      </c>
      <c r="R20" s="49"/>
    </row>
    <row r="21" spans="1:25" s="27" customFormat="1">
      <c r="A21" s="47"/>
      <c r="C21" s="28"/>
      <c r="D21" s="31" t="s">
        <v>8</v>
      </c>
      <c r="E21" s="30">
        <f>SUMIF('MASTER DATA'!$A:$A,ISD!C11,'MASTER DATA'!$AM:$AM)+SUMIF('MASTER DATA'!$A:$A,ISD!C11,'MASTER DATA'!$AN:$AN)</f>
        <v>0</v>
      </c>
      <c r="F21" s="50"/>
      <c r="G21" s="60"/>
      <c r="H21" s="30"/>
      <c r="I21" s="28"/>
      <c r="J21" s="31" t="s">
        <v>8</v>
      </c>
      <c r="K21" s="30">
        <f>SUMIF('MASTER DATA'!$A:$A,ISD!I11,'MASTER DATA'!$AM:$AM)+SUMIF('MASTER DATA'!$A:$A,ISD!I11,'MASTER DATA'!$AN:$AN)</f>
        <v>0</v>
      </c>
      <c r="L21" s="50"/>
      <c r="M21" s="60"/>
      <c r="N21" s="30"/>
      <c r="O21" s="28"/>
      <c r="P21" s="31" t="s">
        <v>8</v>
      </c>
      <c r="Q21" s="30">
        <f>SUMIF('MASTER DATA'!$A:$A,ISD!O11,'MASTER DATA'!$AM:$AM)+SUMIF('MASTER DATA'!$A:$A,ISD!O11,'MASTER DATA'!$AN:$AN)</f>
        <v>0</v>
      </c>
      <c r="R21" s="49"/>
    </row>
    <row r="22" spans="1:25" s="27" customFormat="1">
      <c r="A22" s="47"/>
      <c r="C22" s="28"/>
      <c r="D22" s="30" t="s">
        <v>9</v>
      </c>
      <c r="E22" s="32">
        <f>SUMIF('MASTER DATA'!$A:$A,ISD!C11,'MASTER DATA'!$AP:$AP)</f>
        <v>0</v>
      </c>
      <c r="F22" s="50"/>
      <c r="G22" s="60"/>
      <c r="H22" s="30"/>
      <c r="I22" s="28"/>
      <c r="J22" s="30" t="s">
        <v>9</v>
      </c>
      <c r="K22" s="32">
        <f>SUMIF('MASTER DATA'!$A:$A,ISD!I11,'MASTER DATA'!$AP:$AP)</f>
        <v>0</v>
      </c>
      <c r="L22" s="50"/>
      <c r="M22" s="60"/>
      <c r="N22" s="30"/>
      <c r="O22" s="28"/>
      <c r="P22" s="30" t="s">
        <v>9</v>
      </c>
      <c r="Q22" s="32">
        <f>SUMIF('MASTER DATA'!$A:$A,ISD!O11,'MASTER DATA'!$AP:$AP)</f>
        <v>0</v>
      </c>
      <c r="R22" s="49"/>
    </row>
    <row r="23" spans="1:25" s="27" customFormat="1">
      <c r="A23" s="47"/>
      <c r="C23" s="28"/>
      <c r="D23" s="30" t="s">
        <v>10</v>
      </c>
      <c r="E23" s="30">
        <f>SUM(E20:E22)</f>
        <v>1227.27</v>
      </c>
      <c r="F23" s="50"/>
      <c r="G23" s="60"/>
      <c r="H23" s="30"/>
      <c r="I23" s="28"/>
      <c r="J23" s="30" t="s">
        <v>10</v>
      </c>
      <c r="K23" s="30">
        <f>SUM(K20:K22)</f>
        <v>0</v>
      </c>
      <c r="L23" s="50"/>
      <c r="M23" s="60"/>
      <c r="N23" s="30"/>
      <c r="O23" s="28"/>
      <c r="P23" s="30" t="s">
        <v>10</v>
      </c>
      <c r="Q23" s="30">
        <f>SUM(Q20:Q22)</f>
        <v>0</v>
      </c>
      <c r="R23" s="49"/>
    </row>
    <row r="24" spans="1:25" s="27" customFormat="1">
      <c r="A24" s="47"/>
      <c r="C24" s="28"/>
      <c r="D24" s="30"/>
      <c r="E24" s="30"/>
      <c r="F24" s="50"/>
      <c r="G24" s="60"/>
      <c r="H24" s="30"/>
      <c r="I24" s="28"/>
      <c r="J24" s="30"/>
      <c r="K24" s="30"/>
      <c r="L24" s="50"/>
      <c r="M24" s="60"/>
      <c r="N24" s="30"/>
      <c r="O24" s="28"/>
      <c r="P24" s="30"/>
      <c r="Q24" s="30"/>
      <c r="R24" s="49"/>
      <c r="Y24" s="3" t="s">
        <v>11</v>
      </c>
    </row>
    <row r="25" spans="1:25" s="27" customFormat="1">
      <c r="A25" s="47"/>
      <c r="C25" s="28"/>
      <c r="D25" s="30" t="s">
        <v>12</v>
      </c>
      <c r="E25" s="30">
        <f>E14-E23</f>
        <v>12272.73</v>
      </c>
      <c r="F25" s="50"/>
      <c r="G25" s="60"/>
      <c r="H25" s="30"/>
      <c r="I25" s="28"/>
      <c r="J25" s="30" t="s">
        <v>12</v>
      </c>
      <c r="K25" s="30">
        <f>K14-K23</f>
        <v>9310</v>
      </c>
      <c r="L25" s="50"/>
      <c r="M25" s="60"/>
      <c r="N25" s="30"/>
      <c r="O25" s="28"/>
      <c r="P25" s="30" t="s">
        <v>12</v>
      </c>
      <c r="Q25" s="30">
        <f>Q14-Q23</f>
        <v>9872</v>
      </c>
      <c r="R25" s="49"/>
    </row>
    <row r="26" spans="1:25" s="27" customFormat="1">
      <c r="A26" s="47"/>
      <c r="C26" s="28"/>
      <c r="D26" s="30" t="s">
        <v>13</v>
      </c>
      <c r="E26" s="30"/>
      <c r="F26" s="50"/>
      <c r="G26" s="60"/>
      <c r="H26" s="30"/>
      <c r="I26" s="28"/>
      <c r="J26" s="30" t="s">
        <v>13</v>
      </c>
      <c r="K26" s="30"/>
      <c r="L26" s="50"/>
      <c r="M26" s="60"/>
      <c r="N26" s="30"/>
      <c r="O26" s="28"/>
      <c r="P26" s="30" t="s">
        <v>13</v>
      </c>
      <c r="Q26" s="30"/>
      <c r="R26" s="49"/>
    </row>
    <row r="27" spans="1:25" s="27" customFormat="1">
      <c r="A27" s="47"/>
      <c r="C27" s="28"/>
      <c r="D27" s="30" t="s">
        <v>14</v>
      </c>
      <c r="E27" s="30">
        <f>SUMIF('MASTER DATA'!$A:$A,ISD!C11,'MASTER DATA'!$AS:$AS)</f>
        <v>0</v>
      </c>
      <c r="F27" s="50"/>
      <c r="G27" s="60"/>
      <c r="H27" s="30"/>
      <c r="I27" s="28"/>
      <c r="J27" s="30" t="s">
        <v>14</v>
      </c>
      <c r="K27" s="30">
        <f>SUMIF('MASTER DATA'!$A:$A,ISD!I11,'MASTER DATA'!$AS:$AS)</f>
        <v>0</v>
      </c>
      <c r="L27" s="50"/>
      <c r="M27" s="60"/>
      <c r="N27" s="30"/>
      <c r="O27" s="28"/>
      <c r="P27" s="30" t="s">
        <v>14</v>
      </c>
      <c r="Q27" s="30">
        <f>SUMIF('MASTER DATA'!$A:$A,ISD!O11,'MASTER DATA'!$AS:$AS)</f>
        <v>0</v>
      </c>
      <c r="R27" s="49"/>
    </row>
    <row r="28" spans="1:25" s="27" customFormat="1">
      <c r="A28" s="47"/>
      <c r="C28" s="28"/>
      <c r="D28" s="69" t="s">
        <v>159</v>
      </c>
      <c r="E28" s="30">
        <f>SUMIF('MASTER DATA'!$A:$A,ISD!C11,'MASTER DATA'!$AT:$AT)</f>
        <v>0</v>
      </c>
      <c r="F28" s="50"/>
      <c r="G28" s="60"/>
      <c r="H28" s="30"/>
      <c r="I28" s="28"/>
      <c r="J28" s="69" t="s">
        <v>159</v>
      </c>
      <c r="K28" s="30">
        <f>SUMIF('MASTER DATA'!$A:$A,ISD!I11,'MASTER DATA'!$AT:$AT)</f>
        <v>0</v>
      </c>
      <c r="L28" s="50"/>
      <c r="M28" s="60"/>
      <c r="N28" s="30"/>
      <c r="O28" s="28"/>
      <c r="P28" s="69" t="s">
        <v>159</v>
      </c>
      <c r="Q28" s="30">
        <f>SUMIF('MASTER DATA'!$A:$A,ISD!O11,'MASTER DATA'!$AT:$AT)</f>
        <v>0</v>
      </c>
      <c r="R28" s="49"/>
    </row>
    <row r="29" spans="1:25" s="27" customFormat="1">
      <c r="A29" s="47"/>
      <c r="C29" s="28"/>
      <c r="D29" s="30" t="s">
        <v>15</v>
      </c>
      <c r="E29" s="30">
        <f>SUMIF('MASTER DATA'!$A:$A,ISD!C11,'MASTER DATA'!$AU:$AU)</f>
        <v>0</v>
      </c>
      <c r="F29" s="50"/>
      <c r="G29" s="60"/>
      <c r="H29" s="30"/>
      <c r="I29" s="28"/>
      <c r="J29" s="30" t="s">
        <v>15</v>
      </c>
      <c r="K29" s="30">
        <f>SUMIF('MASTER DATA'!$A:$A,ISD!I11,'MASTER DATA'!$AU:$AU)</f>
        <v>0</v>
      </c>
      <c r="L29" s="50"/>
      <c r="M29" s="60"/>
      <c r="N29" s="30"/>
      <c r="O29" s="28"/>
      <c r="P29" s="30" t="s">
        <v>15</v>
      </c>
      <c r="Q29" s="30">
        <f>SUMIF('MASTER DATA'!$A:$A,ISD!O11,'MASTER DATA'!$AU:$AU)</f>
        <v>0</v>
      </c>
      <c r="R29" s="49"/>
      <c r="T29" s="29"/>
    </row>
    <row r="30" spans="1:25" s="27" customFormat="1">
      <c r="A30" s="47"/>
      <c r="C30" s="28"/>
      <c r="D30" s="30" t="s">
        <v>19</v>
      </c>
      <c r="E30" s="30">
        <f>SUMIF('MASTER DATA'!$A:$A,ISD!C11,'MASTER DATA'!$AV:$AV)</f>
        <v>0</v>
      </c>
      <c r="F30" s="50"/>
      <c r="G30" s="60"/>
      <c r="H30" s="30"/>
      <c r="I30" s="28"/>
      <c r="J30" s="30" t="s">
        <v>19</v>
      </c>
      <c r="K30" s="30">
        <f>SUMIF('MASTER DATA'!$A:$A,ISD!I11,'MASTER DATA'!$AV:$AV)</f>
        <v>0</v>
      </c>
      <c r="L30" s="50"/>
      <c r="M30" s="60"/>
      <c r="N30" s="30"/>
      <c r="O30" s="28"/>
      <c r="P30" s="30" t="s">
        <v>19</v>
      </c>
      <c r="Q30" s="30">
        <f>SUMIF('MASTER DATA'!$A:$A,ISD!O11,'MASTER DATA'!$AV:$AV)</f>
        <v>0</v>
      </c>
      <c r="R30" s="49"/>
      <c r="T30" s="29"/>
    </row>
    <row r="31" spans="1:25" s="27" customFormat="1">
      <c r="A31" s="47"/>
      <c r="C31" s="28"/>
      <c r="D31" s="30" t="s">
        <v>20</v>
      </c>
      <c r="E31" s="30">
        <f>SUMIF('MASTER DATA'!$A:$A,ISD!C11,'MASTER DATA'!$AW:$AW)</f>
        <v>0</v>
      </c>
      <c r="F31" s="50"/>
      <c r="G31" s="60"/>
      <c r="H31" s="30"/>
      <c r="I31" s="28"/>
      <c r="J31" s="30" t="s">
        <v>20</v>
      </c>
      <c r="K31" s="30">
        <f>SUMIF('MASTER DATA'!$A:$A,ISD!I11,'MASTER DATA'!$AW:$AW)</f>
        <v>0</v>
      </c>
      <c r="L31" s="50"/>
      <c r="M31" s="60"/>
      <c r="N31" s="30"/>
      <c r="O31" s="28"/>
      <c r="P31" s="30" t="s">
        <v>20</v>
      </c>
      <c r="Q31" s="30">
        <f>SUMIF('MASTER DATA'!$A:$A,ISD!O11,'MASTER DATA'!$AW:$AW)</f>
        <v>0</v>
      </c>
      <c r="R31" s="49"/>
      <c r="T31" s="29"/>
    </row>
    <row r="32" spans="1:25" s="27" customFormat="1">
      <c r="A32" s="47"/>
      <c r="C32" s="28"/>
      <c r="D32" s="30" t="s">
        <v>23</v>
      </c>
      <c r="E32" s="30">
        <f>SUMIF('MASTER DATA'!$A:$A,ISD!C11,'MASTER DATA'!$AX:$AX)</f>
        <v>0</v>
      </c>
      <c r="F32" s="50"/>
      <c r="G32" s="60"/>
      <c r="H32" s="30"/>
      <c r="I32" s="28"/>
      <c r="J32" s="30" t="s">
        <v>23</v>
      </c>
      <c r="K32" s="30">
        <f>SUMIF('MASTER DATA'!$A:$A,ISD!I11,'MASTER DATA'!$AX:$AX)</f>
        <v>0</v>
      </c>
      <c r="L32" s="50"/>
      <c r="M32" s="60"/>
      <c r="N32" s="30"/>
      <c r="O32" s="28"/>
      <c r="P32" s="30" t="s">
        <v>23</v>
      </c>
      <c r="Q32" s="30">
        <f>SUMIF('MASTER DATA'!$A:$A,ISD!O11,'MASTER DATA'!$AX:$AX)</f>
        <v>0</v>
      </c>
      <c r="R32" s="49"/>
      <c r="T32" s="29"/>
    </row>
    <row r="33" spans="1:20" s="27" customFormat="1" ht="16.5" thickBot="1">
      <c r="A33" s="47"/>
      <c r="C33" s="28"/>
      <c r="D33" s="28" t="s">
        <v>16</v>
      </c>
      <c r="E33" s="33">
        <f>E25-SUM(E26:E32)</f>
        <v>12272.73</v>
      </c>
      <c r="F33" s="53"/>
      <c r="G33" s="60"/>
      <c r="H33" s="30"/>
      <c r="I33" s="28"/>
      <c r="J33" s="28" t="s">
        <v>16</v>
      </c>
      <c r="K33" s="33">
        <f>K25-SUM(K26:K32)</f>
        <v>9310</v>
      </c>
      <c r="L33" s="53"/>
      <c r="M33" s="60"/>
      <c r="N33" s="30"/>
      <c r="O33" s="28"/>
      <c r="P33" s="28" t="s">
        <v>16</v>
      </c>
      <c r="Q33" s="33">
        <f>Q25-SUM(Q26:Q32)</f>
        <v>9872</v>
      </c>
      <c r="R33" s="49"/>
      <c r="T33" s="29"/>
    </row>
    <row r="34" spans="1:20" s="27" customFormat="1" ht="16.5" thickTop="1">
      <c r="A34" s="47"/>
      <c r="D34" s="30"/>
      <c r="E34" s="30"/>
      <c r="F34" s="50"/>
      <c r="G34" s="60"/>
      <c r="H34" s="30"/>
      <c r="I34" s="28"/>
      <c r="J34" s="30"/>
      <c r="K34" s="30"/>
      <c r="L34" s="50"/>
      <c r="M34" s="60"/>
      <c r="N34" s="30"/>
      <c r="O34" s="28"/>
      <c r="P34" s="30"/>
      <c r="Q34" s="30"/>
      <c r="R34" s="49"/>
    </row>
    <row r="35" spans="1:20" s="27" customFormat="1" ht="60">
      <c r="A35" s="47"/>
      <c r="D35" s="88" t="s">
        <v>318</v>
      </c>
      <c r="E35" s="81"/>
      <c r="F35" s="49"/>
      <c r="G35" s="47"/>
      <c r="I35" s="3"/>
      <c r="J35" s="66"/>
      <c r="L35" s="49"/>
      <c r="M35" s="60"/>
      <c r="N35" s="30"/>
      <c r="O35" s="28"/>
      <c r="P35" s="66"/>
      <c r="R35" s="49"/>
      <c r="S35" s="29"/>
    </row>
    <row r="36" spans="1:20" s="27" customFormat="1" ht="16.5" thickBot="1">
      <c r="A36" s="54"/>
      <c r="B36" s="55"/>
      <c r="C36" s="55"/>
      <c r="D36" s="55"/>
      <c r="E36" s="55"/>
      <c r="F36" s="56"/>
      <c r="G36" s="54"/>
      <c r="H36" s="55"/>
      <c r="I36" s="61"/>
      <c r="J36" s="55"/>
      <c r="K36" s="55"/>
      <c r="L36" s="56"/>
      <c r="M36" s="62"/>
      <c r="N36" s="63"/>
      <c r="O36" s="64"/>
      <c r="P36" s="55"/>
      <c r="Q36" s="55"/>
      <c r="R36" s="56"/>
      <c r="S36" s="65"/>
    </row>
    <row r="37" spans="1:20" s="27" customFormat="1">
      <c r="A37" s="78"/>
      <c r="B37" s="71"/>
      <c r="C37" s="71"/>
      <c r="D37" s="71"/>
      <c r="E37" s="71"/>
      <c r="F37" s="79" t="s">
        <v>235</v>
      </c>
      <c r="G37" s="78"/>
      <c r="H37" s="71"/>
      <c r="I37" s="80"/>
      <c r="J37" s="71"/>
      <c r="K37" s="71"/>
      <c r="L37" s="79" t="s">
        <v>235</v>
      </c>
      <c r="M37" s="78"/>
      <c r="N37" s="71"/>
      <c r="O37" s="80"/>
      <c r="P37" s="71"/>
      <c r="Q37" s="71"/>
      <c r="R37" s="79" t="s">
        <v>235</v>
      </c>
    </row>
    <row r="38" spans="1:20" ht="18">
      <c r="A38" s="44"/>
      <c r="B38" s="34"/>
      <c r="C38" s="34"/>
      <c r="D38" s="34"/>
      <c r="E38" s="34"/>
      <c r="F38" s="45"/>
      <c r="G38" s="44"/>
      <c r="H38" s="34"/>
      <c r="I38" s="36"/>
      <c r="J38" s="34"/>
      <c r="K38" s="34"/>
      <c r="L38" s="45"/>
      <c r="M38" s="44"/>
      <c r="N38" s="34"/>
      <c r="O38" s="36"/>
      <c r="P38" s="34"/>
      <c r="Q38" s="34"/>
      <c r="R38" s="45"/>
    </row>
    <row r="39" spans="1:20" ht="18">
      <c r="A39" s="44"/>
      <c r="B39" s="34"/>
      <c r="C39" s="34"/>
      <c r="D39" s="35" t="s">
        <v>0</v>
      </c>
      <c r="E39" s="36"/>
      <c r="F39" s="46"/>
      <c r="G39" s="44"/>
      <c r="H39" s="34"/>
      <c r="I39" s="36"/>
      <c r="J39" s="35" t="s">
        <v>0</v>
      </c>
      <c r="K39" s="36"/>
      <c r="L39" s="46"/>
      <c r="M39" s="44"/>
      <c r="N39" s="34"/>
      <c r="O39" s="36"/>
      <c r="P39" s="35" t="s">
        <v>0</v>
      </c>
      <c r="Q39" s="36"/>
      <c r="R39" s="46"/>
    </row>
    <row r="40" spans="1:20" ht="18">
      <c r="A40" s="44"/>
      <c r="B40" s="34"/>
      <c r="C40" s="34"/>
      <c r="D40" s="35" t="s">
        <v>1</v>
      </c>
      <c r="E40" s="36"/>
      <c r="F40" s="46"/>
      <c r="G40" s="44"/>
      <c r="H40" s="34"/>
      <c r="I40" s="36"/>
      <c r="J40" s="35" t="s">
        <v>1</v>
      </c>
      <c r="K40" s="36"/>
      <c r="L40" s="46"/>
      <c r="M40" s="44"/>
      <c r="N40" s="34"/>
      <c r="O40" s="36"/>
      <c r="P40" s="35" t="s">
        <v>1</v>
      </c>
      <c r="Q40" s="36"/>
      <c r="R40" s="46"/>
    </row>
    <row r="41" spans="1:20" ht="18">
      <c r="A41" s="44"/>
      <c r="B41" s="34"/>
      <c r="C41" s="34"/>
      <c r="D41" s="35" t="s">
        <v>2</v>
      </c>
      <c r="E41" s="35"/>
      <c r="F41" s="46"/>
      <c r="G41" s="44"/>
      <c r="H41" s="34"/>
      <c r="I41" s="36"/>
      <c r="J41" s="35" t="s">
        <v>162</v>
      </c>
      <c r="K41" s="36"/>
      <c r="L41" s="46"/>
      <c r="M41" s="44"/>
      <c r="N41" s="34"/>
      <c r="O41" s="36"/>
      <c r="P41" s="35" t="s">
        <v>162</v>
      </c>
      <c r="Q41" s="36"/>
      <c r="R41" s="46"/>
    </row>
    <row r="42" spans="1:20" ht="18">
      <c r="A42" s="44"/>
      <c r="B42" s="34"/>
      <c r="C42" s="34"/>
      <c r="D42" s="34"/>
      <c r="E42" s="34"/>
      <c r="F42" s="45"/>
      <c r="G42" s="44"/>
      <c r="H42" s="34"/>
      <c r="I42" s="36"/>
      <c r="J42" s="34"/>
      <c r="K42" s="34"/>
      <c r="L42" s="45"/>
      <c r="M42" s="44"/>
      <c r="N42" s="34"/>
      <c r="O42" s="36"/>
      <c r="P42" s="34"/>
      <c r="Q42" s="34"/>
      <c r="R42" s="45"/>
    </row>
    <row r="43" spans="1:20" ht="18">
      <c r="A43" s="44"/>
      <c r="B43" s="34"/>
      <c r="C43" s="34"/>
      <c r="D43" s="34"/>
      <c r="E43" s="34"/>
      <c r="F43" s="45"/>
      <c r="G43" s="44"/>
      <c r="H43" s="34"/>
      <c r="I43" s="36"/>
      <c r="J43" s="34"/>
      <c r="K43" s="34"/>
      <c r="L43" s="45"/>
      <c r="M43" s="44"/>
      <c r="N43" s="34"/>
      <c r="O43" s="36"/>
      <c r="P43" s="34"/>
      <c r="Q43" s="34"/>
      <c r="R43" s="45"/>
    </row>
    <row r="44" spans="1:20">
      <c r="A44" s="47"/>
      <c r="B44" s="27"/>
      <c r="D44" s="3" t="s">
        <v>3</v>
      </c>
      <c r="E44" s="3"/>
      <c r="F44" s="48"/>
      <c r="G44" s="47"/>
      <c r="H44" s="27"/>
      <c r="J44" s="3" t="s">
        <v>3</v>
      </c>
      <c r="K44" s="3"/>
      <c r="L44" s="48"/>
      <c r="M44" s="47"/>
      <c r="N44" s="27"/>
      <c r="O44" s="3"/>
      <c r="P44" s="3" t="s">
        <v>3</v>
      </c>
      <c r="Q44" s="3"/>
      <c r="R44" s="48"/>
    </row>
    <row r="45" spans="1:20">
      <c r="A45" s="47"/>
      <c r="B45" s="27"/>
      <c r="D45" s="27" t="str">
        <f>D9</f>
        <v>FEB 16-28, 2026</v>
      </c>
      <c r="E45" s="27"/>
      <c r="F45" s="49"/>
      <c r="G45" s="58"/>
      <c r="H45" s="3"/>
      <c r="J45" s="27" t="str">
        <f>D45</f>
        <v>FEB 16-28, 2026</v>
      </c>
      <c r="K45" s="27"/>
      <c r="L45" s="49"/>
      <c r="M45" s="58"/>
      <c r="N45" s="3"/>
      <c r="O45" s="3"/>
      <c r="P45" s="27" t="str">
        <f>J45</f>
        <v>FEB 16-28, 2026</v>
      </c>
      <c r="Q45" s="27"/>
      <c r="R45" s="49"/>
    </row>
    <row r="46" spans="1:20">
      <c r="A46" s="47"/>
      <c r="B46" s="27"/>
      <c r="D46" s="27"/>
      <c r="E46" s="27"/>
      <c r="F46" s="49"/>
      <c r="G46" s="47"/>
      <c r="H46" s="27"/>
      <c r="J46" s="27"/>
      <c r="K46" s="27"/>
      <c r="L46" s="49"/>
      <c r="M46" s="47"/>
      <c r="N46" s="27"/>
      <c r="O46" s="3"/>
      <c r="P46" s="27"/>
      <c r="Q46" s="27"/>
      <c r="R46" s="49"/>
    </row>
    <row r="47" spans="1:20">
      <c r="A47" s="47"/>
      <c r="B47" s="27"/>
      <c r="C47" s="3">
        <v>12</v>
      </c>
      <c r="D47" s="3" t="str">
        <f>VLOOKUP(C47,'MASTER DATA'!$A:$E,5,FALSE)</f>
        <v>BALANGATAN, JUN CHRISTOPHER C.</v>
      </c>
      <c r="E47" s="27"/>
      <c r="F47" s="49"/>
      <c r="G47" s="47"/>
      <c r="H47" s="27"/>
      <c r="I47" s="3">
        <v>13</v>
      </c>
      <c r="J47" s="3" t="str">
        <f>VLOOKUP(I47,'MASTER DATA'!$A:$E,5,FALSE)</f>
        <v>LIM, KLEIN ANSON G.</v>
      </c>
      <c r="K47" s="27"/>
      <c r="L47" s="49"/>
      <c r="M47" s="47"/>
      <c r="N47" s="27"/>
      <c r="O47" s="3">
        <v>14</v>
      </c>
      <c r="P47" s="3" t="str">
        <f>VLOOKUP(O47,'MASTER DATA'!$A:$E,5,FALSE)</f>
        <v>AGUAS, DERICKE DUANE C.</v>
      </c>
      <c r="Q47" s="27"/>
      <c r="R47" s="49"/>
    </row>
    <row r="48" spans="1:20">
      <c r="A48" s="47"/>
      <c r="B48" s="27"/>
      <c r="C48" s="3"/>
      <c r="D48" s="3" t="str">
        <f>VLOOKUP(C47,'MASTER DATA'!$A:$F,6,FALSE)</f>
        <v>ISD</v>
      </c>
      <c r="E48" s="27"/>
      <c r="F48" s="49"/>
      <c r="G48" s="47"/>
      <c r="H48" s="27"/>
      <c r="J48" s="3" t="str">
        <f>VLOOKUP(I47,'MASTER DATA'!$A:$F,6,FALSE)</f>
        <v>ISD</v>
      </c>
      <c r="K48" s="27"/>
      <c r="L48" s="49"/>
      <c r="M48" s="47"/>
      <c r="N48" s="27"/>
      <c r="O48" s="3"/>
      <c r="P48" s="3" t="str">
        <f>VLOOKUP(O47,'MASTER DATA'!$A:$F,6,FALSE)</f>
        <v>ISD</v>
      </c>
      <c r="Q48" s="27"/>
      <c r="R48" s="49"/>
    </row>
    <row r="49" spans="1:18">
      <c r="A49" s="47"/>
      <c r="B49" s="27"/>
      <c r="D49" s="29" t="str">
        <f>VLOOKUP(C47,'MASTER DATA'!$A:$G,7,FALSE)</f>
        <v>Media Production Specialist I</v>
      </c>
      <c r="E49" s="27"/>
      <c r="F49" s="49"/>
      <c r="G49" s="47"/>
      <c r="H49" s="27"/>
      <c r="J49" s="29" t="str">
        <f>VLOOKUP(I47,'MASTER DATA'!$A:$G,7,FALSE)</f>
        <v>Agriculturist I</v>
      </c>
      <c r="K49" s="27"/>
      <c r="L49" s="49"/>
      <c r="M49" s="47"/>
      <c r="N49" s="27"/>
      <c r="O49" s="3"/>
      <c r="P49" s="29" t="str">
        <f>VLOOKUP(O47,'MASTER DATA'!$A:$G,7,FALSE)</f>
        <v>Information Officer I</v>
      </c>
      <c r="Q49" s="27"/>
      <c r="R49" s="49"/>
    </row>
    <row r="50" spans="1:18">
      <c r="A50" s="47"/>
      <c r="B50" s="27"/>
      <c r="D50" s="27" t="s">
        <v>4</v>
      </c>
      <c r="E50" s="30">
        <f>SUMIF('MASTER DATA'!$A:$A,ISD!C47,'MASTER DATA'!$N:$N)</f>
        <v>13500</v>
      </c>
      <c r="F50" s="50"/>
      <c r="G50" s="47"/>
      <c r="H50" s="27"/>
      <c r="J50" s="27" t="s">
        <v>4</v>
      </c>
      <c r="K50" s="30">
        <f>SUMIF('MASTER DATA'!$A:$A,ISD!I47,'MASTER DATA'!$N:$N)</f>
        <v>13500</v>
      </c>
      <c r="L50" s="50"/>
      <c r="M50" s="47"/>
      <c r="N50" s="27"/>
      <c r="O50" s="3"/>
      <c r="P50" s="27" t="s">
        <v>4</v>
      </c>
      <c r="Q50" s="30">
        <f>SUMIF('MASTER DATA'!$A:$A,ISD!O47,'MASTER DATA'!$N:$N)</f>
        <v>13500</v>
      </c>
      <c r="R50" s="50"/>
    </row>
    <row r="51" spans="1:18" ht="17.25">
      <c r="A51" s="47"/>
      <c r="B51" s="27"/>
      <c r="D51" s="27"/>
      <c r="E51" s="37"/>
      <c r="F51" s="51"/>
      <c r="G51" s="59"/>
      <c r="H51" s="39"/>
      <c r="I51" s="38"/>
      <c r="J51" s="27"/>
      <c r="K51" s="37"/>
      <c r="L51" s="51"/>
      <c r="M51" s="59"/>
      <c r="N51" s="39"/>
      <c r="O51" s="38"/>
      <c r="P51" s="27"/>
      <c r="Q51" s="37"/>
      <c r="R51" s="51"/>
    </row>
    <row r="52" spans="1:18">
      <c r="A52" s="47"/>
      <c r="B52" s="27"/>
      <c r="D52" s="27"/>
      <c r="E52" s="30"/>
      <c r="F52" s="50"/>
      <c r="G52" s="59"/>
      <c r="H52" s="39"/>
      <c r="I52" s="38"/>
      <c r="J52" s="27"/>
      <c r="K52" s="30"/>
      <c r="L52" s="50"/>
      <c r="M52" s="59"/>
      <c r="N52" s="39"/>
      <c r="O52" s="38"/>
      <c r="P52" s="27"/>
      <c r="Q52" s="30"/>
      <c r="R52" s="50"/>
    </row>
    <row r="53" spans="1:18" ht="17.25">
      <c r="A53" s="47"/>
      <c r="B53" s="27"/>
      <c r="D53" s="27"/>
      <c r="E53" s="37"/>
      <c r="F53" s="51"/>
      <c r="G53" s="59"/>
      <c r="H53" s="39"/>
      <c r="I53" s="38"/>
      <c r="J53" s="27"/>
      <c r="K53" s="37"/>
      <c r="L53" s="51"/>
      <c r="M53" s="59"/>
      <c r="N53" s="39"/>
      <c r="O53" s="38"/>
      <c r="P53" s="27"/>
      <c r="Q53" s="37"/>
      <c r="R53" s="51"/>
    </row>
    <row r="54" spans="1:18">
      <c r="A54" s="47"/>
      <c r="B54" s="27"/>
      <c r="D54" s="39" t="s">
        <v>5</v>
      </c>
      <c r="E54" s="40" t="s">
        <v>6</v>
      </c>
      <c r="F54" s="52"/>
      <c r="G54" s="47"/>
      <c r="H54" s="27"/>
      <c r="J54" s="39" t="s">
        <v>5</v>
      </c>
      <c r="K54" s="40" t="s">
        <v>6</v>
      </c>
      <c r="L54" s="52"/>
      <c r="M54" s="47"/>
      <c r="N54" s="27"/>
      <c r="O54" s="3"/>
      <c r="P54" s="39" t="s">
        <v>5</v>
      </c>
      <c r="Q54" s="40" t="s">
        <v>6</v>
      </c>
      <c r="R54" s="52"/>
    </row>
    <row r="55" spans="1:18">
      <c r="A55" s="47"/>
      <c r="B55" s="27"/>
      <c r="D55" s="27"/>
      <c r="E55" s="27"/>
      <c r="F55" s="49"/>
      <c r="G55" s="60"/>
      <c r="H55" s="30"/>
      <c r="I55" s="28"/>
      <c r="J55" s="27"/>
      <c r="K55" s="27"/>
      <c r="L55" s="49"/>
      <c r="M55" s="60"/>
      <c r="N55" s="30"/>
      <c r="O55" s="28"/>
      <c r="P55" s="27"/>
      <c r="Q55" s="27"/>
      <c r="R55" s="49"/>
    </row>
    <row r="56" spans="1:18">
      <c r="A56" s="47"/>
      <c r="B56" s="27"/>
      <c r="D56" s="30" t="s">
        <v>7</v>
      </c>
      <c r="E56" s="30">
        <f>SUMIF('MASTER DATA'!$A:$A,ISD!C47,'MASTER DATA'!$AL:$AL)</f>
        <v>0</v>
      </c>
      <c r="F56" s="50"/>
      <c r="G56" s="60"/>
      <c r="H56" s="30"/>
      <c r="I56" s="28"/>
      <c r="J56" s="30" t="s">
        <v>7</v>
      </c>
      <c r="K56" s="30">
        <f>SUMIF('MASTER DATA'!$A:$A,ISD!I47,'MASTER DATA'!$AL:$AL)</f>
        <v>0</v>
      </c>
      <c r="L56" s="50"/>
      <c r="M56" s="60"/>
      <c r="N56" s="30"/>
      <c r="O56" s="28"/>
      <c r="P56" s="30" t="s">
        <v>7</v>
      </c>
      <c r="Q56" s="30">
        <f>SUMIF('MASTER DATA'!$A:$A,ISD!O47,'MASTER DATA'!$AL:$AL)</f>
        <v>0</v>
      </c>
      <c r="R56" s="50"/>
    </row>
    <row r="57" spans="1:18">
      <c r="A57" s="47"/>
      <c r="B57" s="27"/>
      <c r="D57" s="31" t="s">
        <v>8</v>
      </c>
      <c r="E57" s="30">
        <f>SUMIF('MASTER DATA'!$A:$A,ISD!C47,'MASTER DATA'!$AM:$AM)+SUMIF('MASTER DATA'!$A:$A,ISD!C47,'MASTER DATA'!$AN:$AN)</f>
        <v>0</v>
      </c>
      <c r="F57" s="50"/>
      <c r="G57" s="60"/>
      <c r="H57" s="30"/>
      <c r="I57" s="28"/>
      <c r="J57" s="31" t="s">
        <v>8</v>
      </c>
      <c r="K57" s="30">
        <f>SUMIF('MASTER DATA'!$A:$A,ISD!I47,'MASTER DATA'!$AM:$AM)+SUMIF('MASTER DATA'!$A:$A,ISD!I47,'MASTER DATA'!$AN:$AN)</f>
        <v>23.01</v>
      </c>
      <c r="L57" s="50"/>
      <c r="M57" s="60"/>
      <c r="N57" s="30"/>
      <c r="O57" s="28"/>
      <c r="P57" s="31" t="s">
        <v>8</v>
      </c>
      <c r="Q57" s="30">
        <f>SUMIF('MASTER DATA'!$A:$A,ISD!O47,'MASTER DATA'!$AM:$AM)+SUMIF('MASTER DATA'!$A:$A,ISD!O47,'MASTER DATA'!$AN:$AN)</f>
        <v>0</v>
      </c>
      <c r="R57" s="50"/>
    </row>
    <row r="58" spans="1:18">
      <c r="A58" s="47"/>
      <c r="B58" s="27"/>
      <c r="D58" s="30" t="s">
        <v>9</v>
      </c>
      <c r="E58" s="32">
        <f>SUMIF('MASTER DATA'!$A:$A,ISD!C47,'MASTER DATA'!$AP:$AP)</f>
        <v>0</v>
      </c>
      <c r="F58" s="50"/>
      <c r="G58" s="60"/>
      <c r="H58" s="30"/>
      <c r="I58" s="28"/>
      <c r="J58" s="30" t="s">
        <v>9</v>
      </c>
      <c r="K58" s="32">
        <f>SUMIF('MASTER DATA'!$A:$A,ISD!I47,'MASTER DATA'!$AP:$AP)</f>
        <v>0</v>
      </c>
      <c r="L58" s="50"/>
      <c r="M58" s="60"/>
      <c r="N58" s="30"/>
      <c r="O58" s="28"/>
      <c r="P58" s="30" t="s">
        <v>9</v>
      </c>
      <c r="Q58" s="32">
        <f>SUMIF('MASTER DATA'!$A:$A,ISD!O47,'MASTER DATA'!$AP:$AP)</f>
        <v>0</v>
      </c>
      <c r="R58" s="50"/>
    </row>
    <row r="59" spans="1:18">
      <c r="A59" s="47"/>
      <c r="B59" s="27"/>
      <c r="D59" s="30" t="s">
        <v>10</v>
      </c>
      <c r="E59" s="30">
        <f>SUM(E56:E58)</f>
        <v>0</v>
      </c>
      <c r="F59" s="50"/>
      <c r="G59" s="60"/>
      <c r="H59" s="30"/>
      <c r="I59" s="28"/>
      <c r="J59" s="30" t="s">
        <v>10</v>
      </c>
      <c r="K59" s="30">
        <f>SUM(K56:K58)</f>
        <v>23.01</v>
      </c>
      <c r="L59" s="50"/>
      <c r="M59" s="60"/>
      <c r="N59" s="30"/>
      <c r="O59" s="28"/>
      <c r="P59" s="30" t="s">
        <v>10</v>
      </c>
      <c r="Q59" s="30">
        <f>SUM(Q56:Q58)</f>
        <v>0</v>
      </c>
      <c r="R59" s="50"/>
    </row>
    <row r="60" spans="1:18">
      <c r="A60" s="47"/>
      <c r="B60" s="27"/>
      <c r="D60" s="30"/>
      <c r="E60" s="30"/>
      <c r="F60" s="50"/>
      <c r="G60" s="60"/>
      <c r="H60" s="30"/>
      <c r="I60" s="28"/>
      <c r="J60" s="30"/>
      <c r="K60" s="30"/>
      <c r="L60" s="50"/>
      <c r="M60" s="60"/>
      <c r="N60" s="30"/>
      <c r="O60" s="28"/>
      <c r="P60" s="30"/>
      <c r="Q60" s="30"/>
      <c r="R60" s="50"/>
    </row>
    <row r="61" spans="1:18">
      <c r="A61" s="47"/>
      <c r="B61" s="27"/>
      <c r="D61" s="30" t="s">
        <v>12</v>
      </c>
      <c r="E61" s="30">
        <f>E50-E59</f>
        <v>13500</v>
      </c>
      <c r="F61" s="50"/>
      <c r="G61" s="60"/>
      <c r="H61" s="30"/>
      <c r="I61" s="28"/>
      <c r="J61" s="30" t="s">
        <v>12</v>
      </c>
      <c r="K61" s="30">
        <f>K50-K59</f>
        <v>13476.99</v>
      </c>
      <c r="L61" s="50"/>
      <c r="M61" s="60"/>
      <c r="N61" s="30"/>
      <c r="O61" s="28"/>
      <c r="P61" s="30" t="s">
        <v>12</v>
      </c>
      <c r="Q61" s="30">
        <f>Q50-Q59</f>
        <v>13500</v>
      </c>
      <c r="R61" s="50"/>
    </row>
    <row r="62" spans="1:18">
      <c r="A62" s="47"/>
      <c r="B62" s="27"/>
      <c r="D62" s="30" t="s">
        <v>13</v>
      </c>
      <c r="E62" s="30"/>
      <c r="F62" s="50"/>
      <c r="G62" s="60"/>
      <c r="H62" s="30"/>
      <c r="I62" s="28"/>
      <c r="J62" s="30" t="s">
        <v>13</v>
      </c>
      <c r="K62" s="30"/>
      <c r="L62" s="50"/>
      <c r="M62" s="60"/>
      <c r="N62" s="30"/>
      <c r="O62" s="28"/>
      <c r="P62" s="30" t="s">
        <v>13</v>
      </c>
      <c r="Q62" s="30"/>
      <c r="R62" s="50"/>
    </row>
    <row r="63" spans="1:18">
      <c r="A63" s="47"/>
      <c r="B63" s="27"/>
      <c r="D63" s="30" t="s">
        <v>14</v>
      </c>
      <c r="E63" s="30">
        <f>SUMIF('MASTER DATA'!$A:$A,ISD!C47,'MASTER DATA'!$AS:$AS)</f>
        <v>0</v>
      </c>
      <c r="F63" s="50"/>
      <c r="G63" s="60"/>
      <c r="H63" s="30"/>
      <c r="I63" s="28"/>
      <c r="J63" s="30" t="s">
        <v>14</v>
      </c>
      <c r="K63" s="30">
        <f>SUMIF('MASTER DATA'!$A:$A,ISD!I47,'MASTER DATA'!$AS:$AS)</f>
        <v>0</v>
      </c>
      <c r="L63" s="50"/>
      <c r="M63" s="60"/>
      <c r="N63" s="30"/>
      <c r="O63" s="28"/>
      <c r="P63" s="30" t="s">
        <v>14</v>
      </c>
      <c r="Q63" s="30">
        <f>SUMIF('MASTER DATA'!$A:$A,ISD!O47,'MASTER DATA'!$AS:$AS)</f>
        <v>0</v>
      </c>
      <c r="R63" s="50"/>
    </row>
    <row r="64" spans="1:18">
      <c r="A64" s="47"/>
      <c r="B64" s="27"/>
      <c r="D64" s="69" t="s">
        <v>159</v>
      </c>
      <c r="E64" s="30">
        <f>SUMIF('MASTER DATA'!$A:$A,ISD!C47,'MASTER DATA'!$AT:$AT)</f>
        <v>0</v>
      </c>
      <c r="F64" s="50"/>
      <c r="G64" s="60"/>
      <c r="H64" s="30"/>
      <c r="I64" s="28"/>
      <c r="J64" s="69" t="s">
        <v>159</v>
      </c>
      <c r="K64" s="30">
        <f>SUMIF('MASTER DATA'!$A:$A,ISD!I47,'MASTER DATA'!$AT:$AT)</f>
        <v>0</v>
      </c>
      <c r="L64" s="50"/>
      <c r="M64" s="60"/>
      <c r="N64" s="30"/>
      <c r="O64" s="28"/>
      <c r="P64" s="69" t="s">
        <v>159</v>
      </c>
      <c r="Q64" s="30">
        <f>SUMIF('MASTER DATA'!$A:$A,ISD!O47,'MASTER DATA'!$AT:$AT)</f>
        <v>0</v>
      </c>
      <c r="R64" s="50"/>
    </row>
    <row r="65" spans="1:18">
      <c r="A65" s="47"/>
      <c r="B65" s="27"/>
      <c r="D65" s="30" t="s">
        <v>15</v>
      </c>
      <c r="E65" s="30">
        <f>SUMIF('MASTER DATA'!$A:$A,ISD!C47,'MASTER DATA'!$AU:$AU)</f>
        <v>0</v>
      </c>
      <c r="F65" s="50"/>
      <c r="G65" s="60"/>
      <c r="H65" s="30"/>
      <c r="I65" s="28"/>
      <c r="J65" s="30" t="s">
        <v>15</v>
      </c>
      <c r="K65" s="30">
        <f>SUMIF('MASTER DATA'!$A:$A,ISD!I47,'MASTER DATA'!$AU:$AU)</f>
        <v>0</v>
      </c>
      <c r="L65" s="50"/>
      <c r="M65" s="60"/>
      <c r="N65" s="30"/>
      <c r="O65" s="28"/>
      <c r="P65" s="30" t="s">
        <v>15</v>
      </c>
      <c r="Q65" s="30">
        <f>SUMIF('MASTER DATA'!$A:$A,ISD!O47,'MASTER DATA'!$AU:$AU)</f>
        <v>0</v>
      </c>
      <c r="R65" s="50"/>
    </row>
    <row r="66" spans="1:18">
      <c r="A66" s="47"/>
      <c r="B66" s="27"/>
      <c r="D66" s="30" t="s">
        <v>19</v>
      </c>
      <c r="E66" s="30">
        <f>SUMIF('MASTER DATA'!$A:$A,ISD!C47,'MASTER DATA'!$AV:$AV)</f>
        <v>0</v>
      </c>
      <c r="F66" s="50"/>
      <c r="G66" s="60"/>
      <c r="H66" s="30"/>
      <c r="I66" s="28"/>
      <c r="J66" s="30" t="s">
        <v>19</v>
      </c>
      <c r="K66" s="30">
        <f>SUMIF('MASTER DATA'!$A:$A,ISD!I47,'MASTER DATA'!$AV:$AV)</f>
        <v>0</v>
      </c>
      <c r="L66" s="50"/>
      <c r="M66" s="60"/>
      <c r="N66" s="30"/>
      <c r="O66" s="28"/>
      <c r="P66" s="30" t="s">
        <v>19</v>
      </c>
      <c r="Q66" s="30">
        <f>SUMIF('MASTER DATA'!$A:$A,ISD!O47,'MASTER DATA'!$AV:$AV)</f>
        <v>0</v>
      </c>
      <c r="R66" s="50"/>
    </row>
    <row r="67" spans="1:18">
      <c r="A67" s="47"/>
      <c r="B67" s="27"/>
      <c r="D67" s="30" t="s">
        <v>20</v>
      </c>
      <c r="E67" s="30">
        <f>SUMIF('MASTER DATA'!$A:$A,ISD!C47,'MASTER DATA'!$AW:$AW)</f>
        <v>0</v>
      </c>
      <c r="F67" s="50"/>
      <c r="G67" s="60"/>
      <c r="H67" s="30"/>
      <c r="I67" s="28"/>
      <c r="J67" s="30" t="s">
        <v>20</v>
      </c>
      <c r="K67" s="30">
        <f>SUMIF('MASTER DATA'!$A:$A,ISD!I47,'MASTER DATA'!$AW:$AW)</f>
        <v>0</v>
      </c>
      <c r="L67" s="50"/>
      <c r="M67" s="60"/>
      <c r="N67" s="30"/>
      <c r="O67" s="28"/>
      <c r="P67" s="30" t="s">
        <v>20</v>
      </c>
      <c r="Q67" s="30">
        <f>SUMIF('MASTER DATA'!$A:$A,ISD!O47,'MASTER DATA'!$AW:$AW)</f>
        <v>0</v>
      </c>
      <c r="R67" s="50"/>
    </row>
    <row r="68" spans="1:18">
      <c r="A68" s="47"/>
      <c r="B68" s="27"/>
      <c r="D68" s="30" t="s">
        <v>23</v>
      </c>
      <c r="E68" s="30">
        <f>SUMIF('MASTER DATA'!$A:$A,ISD!C47,'MASTER DATA'!$AX:$AX)</f>
        <v>0</v>
      </c>
      <c r="F68" s="50"/>
      <c r="G68" s="60"/>
      <c r="H68" s="30"/>
      <c r="I68" s="28"/>
      <c r="J68" s="30" t="s">
        <v>23</v>
      </c>
      <c r="K68" s="30">
        <f>SUMIF('MASTER DATA'!$A:$A,ISD!I47,'MASTER DATA'!$AX:$AX)</f>
        <v>0</v>
      </c>
      <c r="L68" s="50"/>
      <c r="M68" s="60"/>
      <c r="N68" s="30"/>
      <c r="O68" s="28"/>
      <c r="P68" s="30" t="s">
        <v>23</v>
      </c>
      <c r="Q68" s="30">
        <f>SUMIF('MASTER DATA'!$A:$A,ISD!O47,'MASTER DATA'!$AX:$AX)</f>
        <v>0</v>
      </c>
      <c r="R68" s="50"/>
    </row>
    <row r="69" spans="1:18" ht="16.5" thickBot="1">
      <c r="A69" s="47"/>
      <c r="B69" s="27"/>
      <c r="D69" s="28" t="s">
        <v>16</v>
      </c>
      <c r="E69" s="33">
        <f>E61-SUM(E62:E68)</f>
        <v>13500</v>
      </c>
      <c r="F69" s="53"/>
      <c r="G69" s="60"/>
      <c r="H69" s="30"/>
      <c r="I69" s="28"/>
      <c r="J69" s="28" t="s">
        <v>16</v>
      </c>
      <c r="K69" s="33">
        <f>K61-SUM(K62:K68)</f>
        <v>13476.99</v>
      </c>
      <c r="L69" s="53"/>
      <c r="M69" s="60"/>
      <c r="N69" s="30"/>
      <c r="O69" s="28"/>
      <c r="P69" s="28" t="s">
        <v>16</v>
      </c>
      <c r="Q69" s="33">
        <f>Q61-SUM(Q62:Q68)</f>
        <v>13500</v>
      </c>
      <c r="R69" s="53"/>
    </row>
    <row r="70" spans="1:18" ht="16.5" thickTop="1">
      <c r="A70" s="47"/>
      <c r="B70" s="27"/>
      <c r="D70" s="30"/>
      <c r="E70" s="30"/>
      <c r="F70" s="50"/>
      <c r="G70" s="60"/>
      <c r="H70" s="30"/>
      <c r="I70" s="28"/>
      <c r="J70" s="30"/>
      <c r="K70" s="30"/>
      <c r="L70" s="50"/>
      <c r="M70" s="60"/>
      <c r="N70" s="30"/>
      <c r="O70" s="28"/>
      <c r="P70" s="30"/>
      <c r="Q70" s="30"/>
      <c r="R70" s="50"/>
    </row>
    <row r="71" spans="1:18" ht="60">
      <c r="A71" s="47"/>
      <c r="B71" s="27"/>
      <c r="D71" s="88"/>
      <c r="E71" s="27"/>
      <c r="F71" s="49"/>
      <c r="G71" s="47"/>
      <c r="H71" s="27"/>
      <c r="J71" s="88" t="s">
        <v>318</v>
      </c>
      <c r="L71" s="49"/>
      <c r="M71" s="47"/>
      <c r="N71" s="27"/>
      <c r="O71" s="3"/>
      <c r="P71" s="88"/>
      <c r="Q71" s="27"/>
      <c r="R71" s="49"/>
    </row>
    <row r="72" spans="1:18" ht="16.5" thickBot="1">
      <c r="A72" s="54"/>
      <c r="B72" s="55"/>
      <c r="C72" s="55"/>
      <c r="D72" s="55"/>
      <c r="E72" s="55"/>
      <c r="F72" s="56"/>
      <c r="G72" s="54"/>
      <c r="H72" s="55"/>
      <c r="I72" s="61"/>
      <c r="J72" s="55"/>
      <c r="K72" s="55"/>
      <c r="L72" s="56"/>
      <c r="M72" s="54"/>
      <c r="N72" s="55"/>
      <c r="O72" s="61"/>
      <c r="P72" s="55"/>
      <c r="Q72" s="55"/>
      <c r="R72" s="56"/>
    </row>
    <row r="73" spans="1:18" ht="18">
      <c r="A73" s="41"/>
      <c r="B73" s="42"/>
      <c r="C73" s="42"/>
      <c r="D73" s="42"/>
      <c r="E73" s="42"/>
      <c r="F73" s="79" t="s">
        <v>235</v>
      </c>
      <c r="G73" s="41"/>
      <c r="H73" s="42"/>
      <c r="I73" s="57"/>
      <c r="J73" s="42"/>
      <c r="K73" s="42"/>
      <c r="L73" s="79"/>
      <c r="M73" s="41"/>
      <c r="N73" s="42"/>
      <c r="O73" s="57"/>
      <c r="P73" s="42"/>
      <c r="Q73" s="70"/>
      <c r="R73" s="68"/>
    </row>
    <row r="74" spans="1:18" ht="18">
      <c r="A74" s="44"/>
      <c r="B74" s="34"/>
      <c r="C74" s="36"/>
      <c r="D74" s="34"/>
      <c r="E74" s="34"/>
      <c r="F74" s="45"/>
      <c r="G74" s="44"/>
      <c r="H74" s="34"/>
      <c r="I74" s="36"/>
      <c r="J74" s="34"/>
      <c r="K74" s="34"/>
      <c r="L74" s="45"/>
      <c r="M74" s="34"/>
      <c r="N74" s="34"/>
      <c r="O74" s="36"/>
      <c r="P74" s="34"/>
      <c r="Q74" s="34"/>
      <c r="R74" s="45"/>
    </row>
    <row r="75" spans="1:18" ht="18">
      <c r="A75" s="44"/>
      <c r="B75" s="34"/>
      <c r="C75" s="36"/>
      <c r="D75" s="35" t="s">
        <v>0</v>
      </c>
      <c r="E75" s="36"/>
      <c r="F75" s="45"/>
      <c r="G75" s="44"/>
      <c r="H75" s="34"/>
      <c r="I75" s="36"/>
      <c r="J75" s="35"/>
      <c r="K75" s="36"/>
      <c r="L75" s="45"/>
      <c r="M75" s="34"/>
      <c r="N75" s="34"/>
      <c r="O75" s="36"/>
      <c r="P75" s="35"/>
      <c r="Q75" s="36"/>
      <c r="R75" s="45"/>
    </row>
    <row r="76" spans="1:18" ht="18">
      <c r="A76" s="44"/>
      <c r="B76" s="34"/>
      <c r="C76" s="36"/>
      <c r="D76" s="35" t="s">
        <v>1</v>
      </c>
      <c r="E76" s="36"/>
      <c r="F76" s="45"/>
      <c r="G76" s="44"/>
      <c r="H76" s="34"/>
      <c r="I76" s="36"/>
      <c r="J76" s="35"/>
      <c r="K76" s="36"/>
      <c r="L76" s="45"/>
      <c r="M76" s="34"/>
      <c r="N76" s="34"/>
      <c r="O76" s="36"/>
      <c r="P76" s="35"/>
      <c r="Q76" s="36"/>
      <c r="R76" s="45"/>
    </row>
    <row r="77" spans="1:18" ht="18">
      <c r="A77" s="44"/>
      <c r="B77" s="34"/>
      <c r="C77" s="36"/>
      <c r="D77" s="35" t="s">
        <v>162</v>
      </c>
      <c r="E77" s="36"/>
      <c r="F77" s="45"/>
      <c r="G77" s="44"/>
      <c r="H77" s="34"/>
      <c r="I77" s="36"/>
      <c r="J77" s="35"/>
      <c r="K77" s="36"/>
      <c r="L77" s="45"/>
      <c r="M77" s="34"/>
      <c r="N77" s="34"/>
      <c r="O77" s="36"/>
      <c r="P77" s="35"/>
      <c r="Q77" s="36"/>
      <c r="R77" s="45"/>
    </row>
    <row r="78" spans="1:18" ht="18">
      <c r="A78" s="44"/>
      <c r="B78" s="34"/>
      <c r="C78" s="36"/>
      <c r="D78" s="34"/>
      <c r="E78" s="34"/>
      <c r="F78" s="45"/>
      <c r="G78" s="44"/>
      <c r="H78" s="34"/>
      <c r="I78" s="36"/>
      <c r="J78" s="34"/>
      <c r="K78" s="34"/>
      <c r="L78" s="45"/>
      <c r="M78" s="34"/>
      <c r="N78" s="34"/>
      <c r="O78" s="36"/>
      <c r="P78" s="34"/>
      <c r="Q78" s="34"/>
      <c r="R78" s="45"/>
    </row>
    <row r="79" spans="1:18" ht="18">
      <c r="A79" s="44"/>
      <c r="B79" s="34"/>
      <c r="C79" s="36"/>
      <c r="D79" s="34"/>
      <c r="E79" s="34"/>
      <c r="F79" s="45"/>
      <c r="G79" s="44"/>
      <c r="H79" s="34"/>
      <c r="I79" s="36"/>
      <c r="J79" s="34"/>
      <c r="K79" s="34"/>
      <c r="L79" s="45"/>
      <c r="M79" s="34"/>
      <c r="N79" s="34"/>
      <c r="O79" s="36"/>
      <c r="P79" s="34"/>
      <c r="Q79" s="34"/>
      <c r="R79" s="45"/>
    </row>
    <row r="80" spans="1:18">
      <c r="A80" s="47"/>
      <c r="B80" s="27"/>
      <c r="C80" s="3"/>
      <c r="D80" s="3" t="s">
        <v>3</v>
      </c>
      <c r="E80" s="3"/>
      <c r="F80" s="49"/>
      <c r="G80" s="47"/>
      <c r="H80" s="27"/>
      <c r="J80" s="3"/>
      <c r="K80" s="3"/>
      <c r="L80" s="49"/>
      <c r="M80" s="27"/>
      <c r="N80" s="27"/>
      <c r="O80" s="3"/>
      <c r="P80" s="3"/>
      <c r="Q80" s="3"/>
      <c r="R80" s="49"/>
    </row>
    <row r="81" spans="1:18">
      <c r="A81" s="47"/>
      <c r="B81" s="27"/>
      <c r="C81" s="3"/>
      <c r="D81" s="27" t="str">
        <f>D45</f>
        <v>FEB 16-28, 2026</v>
      </c>
      <c r="E81" s="27"/>
      <c r="F81" s="49"/>
      <c r="G81" s="47"/>
      <c r="H81" s="27"/>
      <c r="J81" s="27"/>
      <c r="K81" s="27"/>
      <c r="L81" s="49"/>
      <c r="M81" s="27"/>
      <c r="N81" s="27"/>
      <c r="O81" s="3"/>
      <c r="P81" s="27"/>
      <c r="Q81" s="27"/>
      <c r="R81" s="49"/>
    </row>
    <row r="82" spans="1:18">
      <c r="A82" s="47"/>
      <c r="B82" s="27"/>
      <c r="C82" s="3"/>
      <c r="D82" s="27"/>
      <c r="E82" s="27"/>
      <c r="F82" s="49"/>
      <c r="G82" s="47"/>
      <c r="H82" s="27"/>
      <c r="J82" s="27"/>
      <c r="K82" s="27"/>
      <c r="L82" s="49"/>
      <c r="M82" s="27"/>
      <c r="N82" s="27"/>
      <c r="O82" s="3"/>
      <c r="P82" s="27"/>
      <c r="Q82" s="27"/>
      <c r="R82" s="49"/>
    </row>
    <row r="83" spans="1:18">
      <c r="A83" s="47"/>
      <c r="B83" s="27"/>
      <c r="C83" s="3">
        <v>15</v>
      </c>
      <c r="D83" s="3" t="str">
        <f>VLOOKUP(C83,'MASTER DATA'!$A:$E,5,FALSE)</f>
        <v>BALA, ANGEL D.</v>
      </c>
      <c r="E83" s="27"/>
      <c r="F83" s="49"/>
      <c r="G83" s="47"/>
      <c r="H83" s="27"/>
      <c r="J83" s="3"/>
      <c r="K83" s="27"/>
      <c r="L83" s="49"/>
      <c r="M83" s="27"/>
      <c r="N83" s="27"/>
      <c r="O83" s="3"/>
      <c r="P83" s="3"/>
      <c r="Q83" s="27"/>
      <c r="R83" s="49"/>
    </row>
    <row r="84" spans="1:18">
      <c r="A84" s="47"/>
      <c r="B84" s="27"/>
      <c r="C84" s="3"/>
      <c r="D84" s="3" t="str">
        <f>VLOOKUP(C83,'MASTER DATA'!$A:$F,6,FALSE)</f>
        <v>ISD</v>
      </c>
      <c r="E84" s="27"/>
      <c r="F84" s="49"/>
      <c r="G84" s="47"/>
      <c r="H84" s="27"/>
      <c r="J84" s="3"/>
      <c r="K84" s="27"/>
      <c r="L84" s="49"/>
      <c r="M84" s="27"/>
      <c r="N84" s="27"/>
      <c r="O84" s="3"/>
      <c r="P84" s="3"/>
      <c r="Q84" s="27"/>
      <c r="R84" s="49"/>
    </row>
    <row r="85" spans="1:18">
      <c r="A85" s="47"/>
      <c r="B85" s="27"/>
      <c r="C85" s="3"/>
      <c r="D85" s="29" t="str">
        <f>VLOOKUP(C83,'MASTER DATA'!$A:$G,7,FALSE)</f>
        <v>Information Officer I</v>
      </c>
      <c r="E85" s="27"/>
      <c r="F85" s="49"/>
      <c r="G85" s="47"/>
      <c r="H85" s="27"/>
      <c r="J85" s="29"/>
      <c r="K85" s="27"/>
      <c r="L85" s="49"/>
      <c r="M85" s="27"/>
      <c r="N85" s="27"/>
      <c r="O85" s="3"/>
      <c r="P85" s="29"/>
      <c r="Q85" s="27"/>
      <c r="R85" s="49"/>
    </row>
    <row r="86" spans="1:18">
      <c r="A86" s="47"/>
      <c r="B86" s="27"/>
      <c r="C86" s="3"/>
      <c r="D86" s="27" t="s">
        <v>4</v>
      </c>
      <c r="E86" s="30">
        <f>SUMIF('MASTER DATA'!$A:$A,ISD!C83,'MASTER DATA'!$N:$N)</f>
        <v>13500</v>
      </c>
      <c r="F86" s="49"/>
      <c r="G86" s="47"/>
      <c r="H86" s="27"/>
      <c r="J86" s="27"/>
      <c r="K86" s="30"/>
      <c r="L86" s="49"/>
      <c r="M86" s="27"/>
      <c r="N86" s="27"/>
      <c r="O86" s="3"/>
      <c r="P86" s="27"/>
      <c r="Q86" s="30"/>
      <c r="R86" s="49"/>
    </row>
    <row r="87" spans="1:18" ht="17.25">
      <c r="A87" s="47"/>
      <c r="B87" s="27"/>
      <c r="C87" s="3"/>
      <c r="D87" s="27"/>
      <c r="E87" s="37"/>
      <c r="F87" s="49"/>
      <c r="G87" s="47"/>
      <c r="H87" s="27"/>
      <c r="J87" s="27"/>
      <c r="K87" s="37"/>
      <c r="L87" s="49"/>
      <c r="M87" s="27"/>
      <c r="N87" s="27"/>
      <c r="O87" s="3"/>
      <c r="P87" s="27"/>
      <c r="Q87" s="37"/>
      <c r="R87" s="49"/>
    </row>
    <row r="88" spans="1:18">
      <c r="A88" s="47"/>
      <c r="B88" s="27"/>
      <c r="C88" s="3"/>
      <c r="D88" s="27"/>
      <c r="E88" s="30"/>
      <c r="F88" s="49"/>
      <c r="G88" s="47"/>
      <c r="H88" s="27"/>
      <c r="J88" s="27"/>
      <c r="K88" s="30"/>
      <c r="L88" s="49"/>
      <c r="M88" s="27"/>
      <c r="N88" s="27"/>
      <c r="O88" s="3"/>
      <c r="P88" s="27"/>
      <c r="Q88" s="30"/>
      <c r="R88" s="49"/>
    </row>
    <row r="89" spans="1:18" ht="17.25">
      <c r="A89" s="47"/>
      <c r="B89" s="27"/>
      <c r="C89" s="3"/>
      <c r="D89" s="27"/>
      <c r="E89" s="37"/>
      <c r="F89" s="49"/>
      <c r="G89" s="47"/>
      <c r="H89" s="27"/>
      <c r="J89" s="27"/>
      <c r="K89" s="37"/>
      <c r="L89" s="49"/>
      <c r="M89" s="27"/>
      <c r="N89" s="27"/>
      <c r="O89" s="3"/>
      <c r="P89" s="27"/>
      <c r="Q89" s="37"/>
      <c r="R89" s="49"/>
    </row>
    <row r="90" spans="1:18">
      <c r="A90" s="47"/>
      <c r="B90" s="27"/>
      <c r="C90" s="3"/>
      <c r="D90" s="39" t="s">
        <v>5</v>
      </c>
      <c r="E90" s="40" t="s">
        <v>6</v>
      </c>
      <c r="F90" s="49"/>
      <c r="G90" s="47"/>
      <c r="H90" s="27"/>
      <c r="J90" s="39"/>
      <c r="K90" s="40"/>
      <c r="L90" s="49"/>
      <c r="M90" s="27"/>
      <c r="N90" s="27"/>
      <c r="O90" s="3"/>
      <c r="P90" s="39"/>
      <c r="Q90" s="40"/>
      <c r="R90" s="49"/>
    </row>
    <row r="91" spans="1:18">
      <c r="A91" s="60"/>
      <c r="B91" s="30"/>
      <c r="C91" s="28"/>
      <c r="D91" s="27"/>
      <c r="E91" s="27"/>
      <c r="F91" s="49"/>
      <c r="G91" s="60"/>
      <c r="H91" s="30"/>
      <c r="I91" s="28"/>
      <c r="J91" s="27"/>
      <c r="K91" s="27"/>
      <c r="L91" s="49"/>
      <c r="M91" s="30"/>
      <c r="N91" s="30"/>
      <c r="O91" s="28"/>
      <c r="P91" s="27"/>
      <c r="Q91" s="27"/>
      <c r="R91" s="49"/>
    </row>
    <row r="92" spans="1:18">
      <c r="A92" s="60"/>
      <c r="B92" s="30"/>
      <c r="C92" s="28"/>
      <c r="D92" s="30" t="s">
        <v>7</v>
      </c>
      <c r="E92" s="30">
        <f>SUMIF('MASTER DATA'!$A:$A,ISD!C83,'MASTER DATA'!$AL:$AL)</f>
        <v>0</v>
      </c>
      <c r="F92" s="49"/>
      <c r="G92" s="60"/>
      <c r="H92" s="30"/>
      <c r="I92" s="28"/>
      <c r="J92" s="30"/>
      <c r="K92" s="30"/>
      <c r="L92" s="49"/>
      <c r="M92" s="30"/>
      <c r="N92" s="30"/>
      <c r="O92" s="28"/>
      <c r="P92" s="30"/>
      <c r="Q92" s="30"/>
      <c r="R92" s="49"/>
    </row>
    <row r="93" spans="1:18">
      <c r="A93" s="60"/>
      <c r="B93" s="30"/>
      <c r="C93" s="28"/>
      <c r="D93" s="31" t="s">
        <v>8</v>
      </c>
      <c r="E93" s="30">
        <f>SUMIF('MASTER DATA'!$A:$A,ISD!C83,'MASTER DATA'!$AM:$AM)+SUMIF('MASTER DATA'!$A:$A,ISD!C83,'MASTER DATA'!$AN:$AN)</f>
        <v>0</v>
      </c>
      <c r="F93" s="49"/>
      <c r="G93" s="60"/>
      <c r="H93" s="30"/>
      <c r="I93" s="28"/>
      <c r="J93" s="31"/>
      <c r="K93" s="30"/>
      <c r="L93" s="49"/>
      <c r="M93" s="30"/>
      <c r="N93" s="30"/>
      <c r="O93" s="28"/>
      <c r="P93" s="31"/>
      <c r="Q93" s="30"/>
      <c r="R93" s="49"/>
    </row>
    <row r="94" spans="1:18">
      <c r="A94" s="60"/>
      <c r="B94" s="30"/>
      <c r="C94" s="28"/>
      <c r="D94" s="30" t="s">
        <v>9</v>
      </c>
      <c r="E94" s="32">
        <f>SUMIF('MASTER DATA'!$A:$A,ISD!C83,'MASTER DATA'!$AP:$AP)</f>
        <v>0</v>
      </c>
      <c r="F94" s="49"/>
      <c r="G94" s="60"/>
      <c r="H94" s="30"/>
      <c r="I94" s="28"/>
      <c r="J94" s="30"/>
      <c r="K94" s="30"/>
      <c r="L94" s="49"/>
      <c r="M94" s="30"/>
      <c r="N94" s="30"/>
      <c r="O94" s="28"/>
      <c r="P94" s="30"/>
      <c r="Q94" s="30"/>
      <c r="R94" s="49"/>
    </row>
    <row r="95" spans="1:18">
      <c r="A95" s="60"/>
      <c r="B95" s="30"/>
      <c r="C95" s="28"/>
      <c r="D95" s="30" t="s">
        <v>10</v>
      </c>
      <c r="E95" s="30">
        <f>SUM(E92:E94)</f>
        <v>0</v>
      </c>
      <c r="F95" s="49"/>
      <c r="G95" s="60"/>
      <c r="H95" s="30"/>
      <c r="I95" s="28"/>
      <c r="J95" s="30"/>
      <c r="K95" s="30"/>
      <c r="L95" s="49"/>
      <c r="M95" s="30"/>
      <c r="N95" s="30"/>
      <c r="O95" s="28"/>
      <c r="P95" s="30"/>
      <c r="Q95" s="30"/>
      <c r="R95" s="49"/>
    </row>
    <row r="96" spans="1:18">
      <c r="A96" s="60"/>
      <c r="B96" s="30"/>
      <c r="C96" s="28"/>
      <c r="D96" s="30"/>
      <c r="E96" s="30"/>
      <c r="F96" s="49"/>
      <c r="G96" s="60"/>
      <c r="H96" s="30"/>
      <c r="I96" s="28"/>
      <c r="J96" s="30"/>
      <c r="K96" s="30"/>
      <c r="L96" s="49"/>
      <c r="M96" s="30"/>
      <c r="N96" s="30"/>
      <c r="O96" s="28"/>
      <c r="P96" s="30"/>
      <c r="Q96" s="30"/>
      <c r="R96" s="49"/>
    </row>
    <row r="97" spans="1:18">
      <c r="A97" s="60"/>
      <c r="B97" s="30"/>
      <c r="C97" s="28"/>
      <c r="D97" s="30" t="s">
        <v>12</v>
      </c>
      <c r="E97" s="30">
        <f>E86-E95</f>
        <v>13500</v>
      </c>
      <c r="F97" s="49"/>
      <c r="G97" s="60"/>
      <c r="H97" s="30"/>
      <c r="I97" s="28"/>
      <c r="J97" s="30"/>
      <c r="K97" s="30"/>
      <c r="L97" s="49"/>
      <c r="M97" s="30"/>
      <c r="N97" s="30"/>
      <c r="O97" s="28"/>
      <c r="P97" s="30"/>
      <c r="Q97" s="30"/>
      <c r="R97" s="49"/>
    </row>
    <row r="98" spans="1:18">
      <c r="A98" s="60"/>
      <c r="B98" s="30"/>
      <c r="C98" s="28"/>
      <c r="D98" s="30" t="s">
        <v>13</v>
      </c>
      <c r="E98" s="30"/>
      <c r="F98" s="49"/>
      <c r="G98" s="60"/>
      <c r="H98" s="30"/>
      <c r="I98" s="28"/>
      <c r="J98" s="30"/>
      <c r="K98" s="30"/>
      <c r="L98" s="49"/>
      <c r="M98" s="30"/>
      <c r="N98" s="30"/>
      <c r="O98" s="28"/>
      <c r="P98" s="30"/>
      <c r="Q98" s="30"/>
      <c r="R98" s="49"/>
    </row>
    <row r="99" spans="1:18">
      <c r="A99" s="60"/>
      <c r="B99" s="30"/>
      <c r="C99" s="28"/>
      <c r="D99" s="30" t="s">
        <v>14</v>
      </c>
      <c r="E99" s="30">
        <f>SUMIF('MASTER DATA'!$A:$A,ISD!C83,'MASTER DATA'!$AS:$AS)</f>
        <v>0</v>
      </c>
      <c r="F99" s="49"/>
      <c r="G99" s="60"/>
      <c r="H99" s="30"/>
      <c r="I99" s="28"/>
      <c r="J99" s="30"/>
      <c r="K99" s="30"/>
      <c r="L99" s="49"/>
      <c r="M99" s="30"/>
      <c r="N99" s="30"/>
      <c r="O99" s="28"/>
      <c r="P99" s="30"/>
      <c r="Q99" s="30"/>
      <c r="R99" s="49"/>
    </row>
    <row r="100" spans="1:18">
      <c r="A100" s="60"/>
      <c r="B100" s="30"/>
      <c r="C100" s="28"/>
      <c r="D100" s="69" t="s">
        <v>159</v>
      </c>
      <c r="E100" s="30">
        <f>SUMIF('MASTER DATA'!$A:$A,ISD!C83,'MASTER DATA'!$AT:$AT)</f>
        <v>0</v>
      </c>
      <c r="F100" s="49"/>
      <c r="G100" s="60"/>
      <c r="H100" s="30"/>
      <c r="I100" s="28"/>
      <c r="J100" s="69"/>
      <c r="K100" s="30"/>
      <c r="L100" s="49"/>
      <c r="M100" s="30"/>
      <c r="N100" s="30"/>
      <c r="O100" s="28"/>
      <c r="P100" s="30"/>
      <c r="Q100" s="30"/>
      <c r="R100" s="49"/>
    </row>
    <row r="101" spans="1:18">
      <c r="A101" s="60"/>
      <c r="B101" s="30"/>
      <c r="C101" s="28"/>
      <c r="D101" s="30" t="s">
        <v>15</v>
      </c>
      <c r="E101" s="30">
        <f>SUMIF('MASTER DATA'!$A:$A,ISD!C83,'MASTER DATA'!$AU:$AU)</f>
        <v>2000</v>
      </c>
      <c r="F101" s="49"/>
      <c r="G101" s="60"/>
      <c r="H101" s="30"/>
      <c r="I101" s="28"/>
      <c r="J101" s="30"/>
      <c r="K101" s="30"/>
      <c r="L101" s="49"/>
      <c r="M101" s="30"/>
      <c r="N101" s="30"/>
      <c r="O101" s="28"/>
      <c r="P101" s="30"/>
      <c r="Q101" s="30"/>
      <c r="R101" s="49"/>
    </row>
    <row r="102" spans="1:18">
      <c r="A102" s="60"/>
      <c r="B102" s="30"/>
      <c r="C102" s="28"/>
      <c r="D102" s="30" t="s">
        <v>19</v>
      </c>
      <c r="E102" s="30">
        <f>SUMIF('MASTER DATA'!$A:$A,ISD!C83,'MASTER DATA'!$AV:$AV)</f>
        <v>0</v>
      </c>
      <c r="F102" s="49"/>
      <c r="G102" s="60"/>
      <c r="H102" s="30"/>
      <c r="I102" s="28"/>
      <c r="J102" s="30"/>
      <c r="K102" s="30"/>
      <c r="L102" s="49"/>
      <c r="M102" s="30"/>
      <c r="N102" s="30"/>
      <c r="O102" s="28"/>
      <c r="P102" s="30"/>
      <c r="Q102" s="30"/>
      <c r="R102" s="49"/>
    </row>
    <row r="103" spans="1:18">
      <c r="A103" s="60"/>
      <c r="B103" s="30"/>
      <c r="C103" s="28"/>
      <c r="D103" s="30" t="s">
        <v>20</v>
      </c>
      <c r="E103" s="30">
        <f>SUMIF('MASTER DATA'!$A:$A,ISD!C83,'MASTER DATA'!$AW:$AW)</f>
        <v>0</v>
      </c>
      <c r="F103" s="49"/>
      <c r="G103" s="60"/>
      <c r="H103" s="30"/>
      <c r="I103" s="28"/>
      <c r="J103" s="30"/>
      <c r="K103" s="30"/>
      <c r="L103" s="49"/>
      <c r="M103" s="30"/>
      <c r="N103" s="30"/>
      <c r="O103" s="28"/>
      <c r="P103" s="30"/>
      <c r="Q103" s="30"/>
      <c r="R103" s="49"/>
    </row>
    <row r="104" spans="1:18">
      <c r="A104" s="60"/>
      <c r="B104" s="30"/>
      <c r="C104" s="28"/>
      <c r="D104" s="30" t="s">
        <v>23</v>
      </c>
      <c r="E104" s="30">
        <f>SUMIF('MASTER DATA'!$A:$A,ISD!C83,'MASTER DATA'!$AX:$AX)</f>
        <v>0</v>
      </c>
      <c r="F104" s="49"/>
      <c r="G104" s="60"/>
      <c r="H104" s="30"/>
      <c r="I104" s="28"/>
      <c r="J104" s="30"/>
      <c r="K104" s="30"/>
      <c r="L104" s="49"/>
      <c r="M104" s="30"/>
      <c r="N104" s="30"/>
      <c r="O104" s="28"/>
      <c r="P104" s="30"/>
      <c r="Q104" s="30"/>
      <c r="R104" s="49"/>
    </row>
    <row r="105" spans="1:18" ht="16.5" thickBot="1">
      <c r="A105" s="60"/>
      <c r="B105" s="30"/>
      <c r="C105" s="28"/>
      <c r="D105" s="28" t="s">
        <v>16</v>
      </c>
      <c r="E105" s="33">
        <f>E97-SUM(E98:E104)</f>
        <v>11500</v>
      </c>
      <c r="F105" s="49"/>
      <c r="G105" s="60"/>
      <c r="H105" s="30"/>
      <c r="I105" s="28"/>
      <c r="J105" s="28"/>
      <c r="K105" s="28"/>
      <c r="L105" s="49"/>
      <c r="M105" s="30"/>
      <c r="N105" s="30"/>
      <c r="O105" s="28"/>
      <c r="P105" s="28"/>
      <c r="Q105" s="28"/>
      <c r="R105" s="49"/>
    </row>
    <row r="106" spans="1:18" ht="16.5" thickTop="1">
      <c r="A106" s="60"/>
      <c r="B106" s="30"/>
      <c r="C106" s="28"/>
      <c r="D106" s="30"/>
      <c r="E106" s="30"/>
      <c r="F106" s="49"/>
      <c r="G106" s="60"/>
      <c r="H106" s="30"/>
      <c r="I106" s="28"/>
      <c r="J106" s="30"/>
      <c r="K106" s="30"/>
      <c r="L106" s="49"/>
      <c r="M106" s="30"/>
      <c r="N106" s="30"/>
      <c r="O106" s="28"/>
      <c r="P106" s="30"/>
      <c r="Q106" s="30"/>
      <c r="R106" s="49"/>
    </row>
    <row r="107" spans="1:18">
      <c r="A107" s="60"/>
      <c r="B107" s="30"/>
      <c r="C107" s="28"/>
      <c r="D107" s="66"/>
      <c r="E107" s="76"/>
      <c r="F107" s="49"/>
      <c r="G107" s="60"/>
      <c r="H107" s="30"/>
      <c r="I107" s="28"/>
      <c r="J107" s="66"/>
      <c r="K107" s="27"/>
      <c r="L107" s="49"/>
      <c r="M107" s="30"/>
      <c r="N107" s="30"/>
      <c r="O107" s="28"/>
      <c r="P107" s="27"/>
      <c r="Q107" s="27"/>
      <c r="R107" s="49"/>
    </row>
    <row r="108" spans="1:18" ht="16.5" thickBot="1">
      <c r="A108" s="62"/>
      <c r="B108" s="63"/>
      <c r="C108" s="64"/>
      <c r="D108" s="55"/>
      <c r="E108" s="55"/>
      <c r="F108" s="56"/>
      <c r="G108" s="62"/>
      <c r="H108" s="63"/>
      <c r="I108" s="64"/>
      <c r="J108" s="55"/>
      <c r="K108" s="55"/>
      <c r="L108" s="56"/>
      <c r="M108" s="63"/>
      <c r="N108" s="63"/>
      <c r="O108" s="64"/>
      <c r="P108" s="55"/>
      <c r="Q108" s="55"/>
      <c r="R108" s="56"/>
    </row>
    <row r="109" spans="1:18">
      <c r="D109" s="10"/>
      <c r="E109" s="10"/>
      <c r="F109" s="10"/>
    </row>
    <row r="110" spans="1:18">
      <c r="D110" s="10"/>
      <c r="E110" s="10"/>
      <c r="F110" s="10"/>
      <c r="J110" s="13">
        <f>E33+K33+Q33+E69+K69+Q69+E105</f>
        <v>83431.72</v>
      </c>
    </row>
    <row r="111" spans="1:18">
      <c r="D111" s="10"/>
      <c r="E111" s="10"/>
      <c r="F111" s="10"/>
    </row>
    <row r="112" spans="1:18">
      <c r="D112" s="10"/>
      <c r="E112" s="10"/>
      <c r="F112" s="10"/>
    </row>
    <row r="113" spans="4:6">
      <c r="D113" s="6"/>
      <c r="E113" s="6"/>
      <c r="F113" s="6"/>
    </row>
  </sheetData>
  <pageMargins left="0.70866141732283472" right="0.70866141732283472" top="0.74803149606299213" bottom="0.74803149606299213" header="0.31496062992125984" footer="0.31496062992125984"/>
  <pageSetup scale="75" orientation="portrait" r:id="rId1"/>
  <rowBreaks count="2" manualBreakCount="2">
    <brk id="36" max="17" man="1"/>
    <brk id="72" max="17" man="1"/>
  </rowBreaks>
  <colBreaks count="2" manualBreakCount="2">
    <brk id="6" max="107" man="1"/>
    <brk id="12" max="107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ACBC-956F-47E2-8B76-BD7C78F0FB95}">
  <sheetPr codeName="Sheet6"/>
  <dimension ref="A1:Y40"/>
  <sheetViews>
    <sheetView view="pageBreakPreview" topLeftCell="A4" zoomScale="70" zoomScaleNormal="115" zoomScaleSheetLayoutView="70" workbookViewId="0">
      <selection activeCell="K34" sqref="K34"/>
    </sheetView>
  </sheetViews>
  <sheetFormatPr defaultColWidth="9.140625" defaultRowHeight="15.75"/>
  <cols>
    <col min="1" max="2" width="4.7109375" style="2" customWidth="1"/>
    <col min="3" max="3" width="3.5703125" style="27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3.5703125" style="3" customWidth="1"/>
    <col min="10" max="10" width="25.5703125" style="2" customWidth="1"/>
    <col min="11" max="11" width="13.5703125" style="2" customWidth="1"/>
    <col min="12" max="12" width="13.7109375" style="2" customWidth="1"/>
    <col min="13" max="14" width="4.7109375" style="2" customWidth="1"/>
    <col min="15" max="15" width="2.7109375" style="26" customWidth="1"/>
    <col min="16" max="16" width="25.5703125" style="2" customWidth="1"/>
    <col min="17" max="17" width="13.5703125" style="2" customWidth="1"/>
    <col min="18" max="18" width="13.7109375" style="2" customWidth="1"/>
    <col min="19" max="19" width="11.5703125" style="2" bestFit="1" customWidth="1"/>
    <col min="20" max="20" width="11.28515625" style="2" bestFit="1" customWidth="1"/>
    <col min="21" max="16384" width="9.140625" style="2"/>
  </cols>
  <sheetData>
    <row r="1" spans="1:18" ht="18">
      <c r="A1" s="41"/>
      <c r="B1" s="42"/>
      <c r="C1" s="42"/>
      <c r="D1" s="42"/>
      <c r="E1" s="42"/>
      <c r="F1" s="79" t="s">
        <v>235</v>
      </c>
      <c r="G1" s="78"/>
      <c r="H1" s="71"/>
      <c r="I1" s="80"/>
      <c r="J1" s="71"/>
      <c r="K1" s="71"/>
      <c r="L1" s="79" t="s">
        <v>235</v>
      </c>
      <c r="M1" s="41"/>
      <c r="N1" s="42"/>
      <c r="O1" s="57"/>
      <c r="P1" s="42"/>
      <c r="Q1" s="70"/>
      <c r="R1" s="68"/>
    </row>
    <row r="2" spans="1:18" ht="18">
      <c r="A2" s="44"/>
      <c r="B2" s="34"/>
      <c r="C2" s="34"/>
      <c r="D2" s="34"/>
      <c r="E2" s="34"/>
      <c r="F2" s="45"/>
      <c r="G2" s="44"/>
      <c r="H2" s="34"/>
      <c r="I2" s="36"/>
      <c r="J2" s="34"/>
      <c r="K2" s="34"/>
      <c r="L2" s="45"/>
      <c r="M2" s="44"/>
      <c r="N2" s="34"/>
      <c r="O2" s="36"/>
      <c r="P2" s="34"/>
      <c r="Q2" s="34"/>
      <c r="R2" s="45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6"/>
      <c r="J3" s="35" t="s">
        <v>0</v>
      </c>
      <c r="K3" s="36"/>
      <c r="L3" s="46"/>
      <c r="M3" s="44"/>
      <c r="N3" s="34"/>
      <c r="O3" s="36"/>
      <c r="P3" s="35"/>
      <c r="Q3" s="36"/>
      <c r="R3" s="45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6"/>
      <c r="J4" s="35" t="s">
        <v>1</v>
      </c>
      <c r="K4" s="36"/>
      <c r="L4" s="46"/>
      <c r="M4" s="44"/>
      <c r="N4" s="34"/>
      <c r="O4" s="36"/>
      <c r="P4" s="35"/>
      <c r="Q4" s="36"/>
      <c r="R4" s="45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6"/>
      <c r="J5" s="35" t="s">
        <v>162</v>
      </c>
      <c r="K5" s="36"/>
      <c r="L5" s="46"/>
      <c r="M5" s="44"/>
      <c r="N5" s="34"/>
      <c r="O5" s="36"/>
      <c r="P5" s="35"/>
      <c r="Q5" s="36"/>
      <c r="R5" s="45"/>
    </row>
    <row r="6" spans="1:18" ht="18">
      <c r="A6" s="44"/>
      <c r="B6" s="34"/>
      <c r="C6" s="34"/>
      <c r="D6" s="34"/>
      <c r="E6" s="34"/>
      <c r="F6" s="45"/>
      <c r="G6" s="44"/>
      <c r="H6" s="34"/>
      <c r="I6" s="36"/>
      <c r="J6" s="34"/>
      <c r="K6" s="34"/>
      <c r="L6" s="45"/>
      <c r="M6" s="44"/>
      <c r="N6" s="34"/>
      <c r="O6" s="36"/>
      <c r="P6" s="34"/>
      <c r="Q6" s="34"/>
      <c r="R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6"/>
      <c r="J7" s="34"/>
      <c r="K7" s="34"/>
      <c r="L7" s="45"/>
      <c r="M7" s="44"/>
      <c r="N7" s="34"/>
      <c r="O7" s="36"/>
      <c r="P7" s="34"/>
      <c r="Q7" s="34"/>
      <c r="R7" s="45"/>
    </row>
    <row r="8" spans="1:18">
      <c r="A8" s="47"/>
      <c r="B8" s="27"/>
      <c r="D8" s="3" t="s">
        <v>3</v>
      </c>
      <c r="E8" s="3"/>
      <c r="F8" s="48"/>
      <c r="G8" s="47"/>
      <c r="H8" s="27"/>
      <c r="J8" s="3" t="s">
        <v>3</v>
      </c>
      <c r="K8" s="3"/>
      <c r="L8" s="48"/>
      <c r="M8" s="47"/>
      <c r="N8" s="27"/>
      <c r="O8" s="3"/>
      <c r="P8" s="3"/>
      <c r="Q8" s="3"/>
      <c r="R8" s="49"/>
    </row>
    <row r="9" spans="1:18">
      <c r="A9" s="47"/>
      <c r="B9" s="27"/>
      <c r="D9" s="27" t="s">
        <v>319</v>
      </c>
      <c r="E9" s="27"/>
      <c r="F9" s="49"/>
      <c r="G9" s="58"/>
      <c r="H9" s="3"/>
      <c r="J9" s="27" t="str">
        <f>D9</f>
        <v>FEB 16-28, 2026</v>
      </c>
      <c r="K9" s="27"/>
      <c r="L9" s="49"/>
      <c r="M9" s="47"/>
      <c r="N9" s="27"/>
      <c r="O9" s="3"/>
      <c r="P9" s="27"/>
      <c r="Q9" s="27"/>
      <c r="R9" s="49"/>
    </row>
    <row r="10" spans="1:18">
      <c r="A10" s="47"/>
      <c r="B10" s="27"/>
      <c r="D10" s="27"/>
      <c r="E10" s="27"/>
      <c r="F10" s="49"/>
      <c r="G10" s="47"/>
      <c r="H10" s="27"/>
      <c r="J10" s="27"/>
      <c r="K10" s="27"/>
      <c r="L10" s="49"/>
      <c r="M10" s="47"/>
      <c r="N10" s="27"/>
      <c r="O10" s="3"/>
      <c r="P10" s="27"/>
      <c r="Q10" s="27"/>
      <c r="R10" s="49"/>
    </row>
    <row r="11" spans="1:18" s="27" customFormat="1">
      <c r="A11" s="47"/>
      <c r="C11" s="3">
        <v>16</v>
      </c>
      <c r="D11" s="3" t="str">
        <f>VLOOKUP(C11,'MASTER DATA'!$A:$E,5,FALSE)</f>
        <v>CAGUMBAY, LIYANNE M.</v>
      </c>
      <c r="F11" s="49"/>
      <c r="G11" s="47"/>
      <c r="I11" s="3">
        <v>17</v>
      </c>
      <c r="J11" s="3" t="str">
        <f>VLOOKUP(I11,'MASTER DATA'!$A:$E,5,FALSE)</f>
        <v>DE GUZMAN, SWEET JESSABEL M.</v>
      </c>
      <c r="L11" s="49"/>
      <c r="M11" s="47"/>
      <c r="O11" s="3"/>
      <c r="P11" s="3"/>
      <c r="R11" s="49"/>
    </row>
    <row r="12" spans="1:18" s="27" customFormat="1">
      <c r="A12" s="47"/>
      <c r="C12" s="3"/>
      <c r="D12" s="3" t="str">
        <f>VLOOKUP(C11,'MASTER DATA'!$A:$F,6,FALSE)</f>
        <v>ADO</v>
      </c>
      <c r="F12" s="49"/>
      <c r="G12" s="47"/>
      <c r="I12" s="3"/>
      <c r="J12" s="3" t="str">
        <f>VLOOKUP(I11,'MASTER DATA'!$A:$F,6,FALSE)</f>
        <v>ADO</v>
      </c>
      <c r="L12" s="49"/>
      <c r="M12" s="47"/>
      <c r="O12" s="3"/>
      <c r="P12" s="3"/>
      <c r="R12" s="49"/>
    </row>
    <row r="13" spans="1:18" s="27" customFormat="1">
      <c r="A13" s="47"/>
      <c r="D13" s="29" t="str">
        <f>VLOOKUP(C11,'MASTER DATA'!$A:$G,7,FALSE)</f>
        <v>Administrative Asst. II</v>
      </c>
      <c r="F13" s="49"/>
      <c r="G13" s="47"/>
      <c r="I13" s="3"/>
      <c r="J13" s="29" t="str">
        <f>VLOOKUP(I11,'MASTER DATA'!$A:$G,7,FALSE)</f>
        <v>Executive Assistant II</v>
      </c>
      <c r="L13" s="49"/>
      <c r="M13" s="47"/>
      <c r="O13" s="3"/>
      <c r="P13" s="29"/>
      <c r="R13" s="49"/>
    </row>
    <row r="14" spans="1:18" s="27" customFormat="1">
      <c r="A14" s="47"/>
      <c r="D14" s="27" t="s">
        <v>4</v>
      </c>
      <c r="E14" s="30">
        <f>SUMIF('MASTER DATA'!$A:$A,ADO!C11,'MASTER DATA'!$N:$N)</f>
        <v>9872</v>
      </c>
      <c r="F14" s="50"/>
      <c r="G14" s="47"/>
      <c r="I14" s="3"/>
      <c r="J14" s="27" t="s">
        <v>4</v>
      </c>
      <c r="K14" s="30">
        <f>SUMIF('MASTER DATA'!$A:$A,ADO!I11,'MASTER DATA'!$N:$N)</f>
        <v>21515</v>
      </c>
      <c r="L14" s="50"/>
      <c r="M14" s="47"/>
      <c r="O14" s="3"/>
      <c r="Q14" s="30"/>
      <c r="R14" s="49"/>
    </row>
    <row r="15" spans="1:18" s="27" customFormat="1" ht="17.25">
      <c r="A15" s="47"/>
      <c r="E15" s="37"/>
      <c r="F15" s="51"/>
      <c r="G15" s="59"/>
      <c r="H15" s="39"/>
      <c r="I15" s="38"/>
      <c r="K15" s="37"/>
      <c r="L15" s="51"/>
      <c r="M15" s="47"/>
      <c r="O15" s="3"/>
      <c r="Q15" s="37"/>
      <c r="R15" s="49"/>
    </row>
    <row r="16" spans="1:18" s="27" customFormat="1">
      <c r="A16" s="47"/>
      <c r="E16" s="30"/>
      <c r="F16" s="50"/>
      <c r="G16" s="59"/>
      <c r="H16" s="39"/>
      <c r="I16" s="38"/>
      <c r="K16" s="30"/>
      <c r="L16" s="50"/>
      <c r="M16" s="47"/>
      <c r="O16" s="3"/>
      <c r="Q16" s="30"/>
      <c r="R16" s="49"/>
    </row>
    <row r="17" spans="1:25" s="27" customFormat="1" ht="17.25">
      <c r="A17" s="47"/>
      <c r="E17" s="37"/>
      <c r="F17" s="51"/>
      <c r="G17" s="59"/>
      <c r="H17" s="39"/>
      <c r="I17" s="38"/>
      <c r="K17" s="37"/>
      <c r="L17" s="51"/>
      <c r="M17" s="47"/>
      <c r="O17" s="3"/>
      <c r="Q17" s="37"/>
      <c r="R17" s="49"/>
    </row>
    <row r="18" spans="1:25" s="27" customFormat="1">
      <c r="A18" s="47"/>
      <c r="D18" s="39" t="s">
        <v>5</v>
      </c>
      <c r="E18" s="40" t="s">
        <v>6</v>
      </c>
      <c r="F18" s="52"/>
      <c r="G18" s="47"/>
      <c r="I18" s="3"/>
      <c r="J18" s="39" t="s">
        <v>5</v>
      </c>
      <c r="K18" s="40" t="s">
        <v>6</v>
      </c>
      <c r="L18" s="52"/>
      <c r="M18" s="47"/>
      <c r="O18" s="3"/>
      <c r="P18" s="39"/>
      <c r="Q18" s="40"/>
      <c r="R18" s="49"/>
    </row>
    <row r="19" spans="1:25" s="27" customFormat="1">
      <c r="A19" s="47"/>
      <c r="F19" s="49"/>
      <c r="G19" s="60"/>
      <c r="H19" s="30"/>
      <c r="I19" s="28"/>
      <c r="L19" s="49"/>
      <c r="M19" s="60"/>
      <c r="N19" s="30"/>
      <c r="O19" s="28"/>
      <c r="R19" s="49"/>
    </row>
    <row r="20" spans="1:25" s="27" customFormat="1">
      <c r="A20" s="47"/>
      <c r="D20" s="30" t="s">
        <v>7</v>
      </c>
      <c r="E20" s="30">
        <f>SUMIF('MASTER DATA'!$A:$A,ADO!C11,'MASTER DATA'!$AL:$AL)</f>
        <v>0</v>
      </c>
      <c r="F20" s="50"/>
      <c r="G20" s="60"/>
      <c r="H20" s="30"/>
      <c r="I20" s="28"/>
      <c r="J20" s="30" t="s">
        <v>7</v>
      </c>
      <c r="K20" s="30">
        <f>SUMIF('MASTER DATA'!$A:$A,ADO!I11,'MASTER DATA'!$AL:$AL)</f>
        <v>0</v>
      </c>
      <c r="L20" s="50"/>
      <c r="M20" s="60"/>
      <c r="N20" s="30"/>
      <c r="O20" s="28"/>
      <c r="P20" s="30"/>
      <c r="Q20" s="30"/>
      <c r="R20" s="49"/>
    </row>
    <row r="21" spans="1:25" s="27" customFormat="1">
      <c r="A21" s="47"/>
      <c r="D21" s="31" t="s">
        <v>8</v>
      </c>
      <c r="E21" s="30">
        <f>SUMIF('MASTER DATA'!$A:$A,ADO!C11,'MASTER DATA'!$AM:$AM)+SUMIF('MASTER DATA'!$A:$A,ADO!C11,'MASTER DATA'!$AN:$AN)</f>
        <v>0</v>
      </c>
      <c r="F21" s="50"/>
      <c r="G21" s="60"/>
      <c r="H21" s="30"/>
      <c r="I21" s="28"/>
      <c r="J21" s="31" t="s">
        <v>8</v>
      </c>
      <c r="K21" s="30">
        <f>SUMIF('MASTER DATA'!$A:$A,ADO!I11,'MASTER DATA'!$AM:$AM)+SUMIF('MASTER DATA'!$A:$A,ADO!I11,'MASTER DATA'!$AN:$AN)</f>
        <v>0</v>
      </c>
      <c r="L21" s="50"/>
      <c r="M21" s="60"/>
      <c r="N21" s="30"/>
      <c r="O21" s="28"/>
      <c r="P21" s="31"/>
      <c r="Q21" s="30"/>
      <c r="R21" s="49"/>
    </row>
    <row r="22" spans="1:25" s="27" customFormat="1">
      <c r="A22" s="47"/>
      <c r="D22" s="30" t="s">
        <v>9</v>
      </c>
      <c r="E22" s="32">
        <f>SUMIF('MASTER DATA'!$A:$A,ADO!C11,'MASTER DATA'!$AP:$AP)</f>
        <v>0</v>
      </c>
      <c r="F22" s="50"/>
      <c r="G22" s="60"/>
      <c r="H22" s="30"/>
      <c r="I22" s="28"/>
      <c r="J22" s="30" t="s">
        <v>9</v>
      </c>
      <c r="K22" s="32">
        <f>SUMIF('MASTER DATA'!$A:$A,ADO!I11,'MASTER DATA'!$AP:$AP)</f>
        <v>0</v>
      </c>
      <c r="L22" s="50"/>
      <c r="M22" s="60"/>
      <c r="N22" s="30"/>
      <c r="O22" s="28"/>
      <c r="P22" s="30"/>
      <c r="Q22" s="30"/>
      <c r="R22" s="49"/>
    </row>
    <row r="23" spans="1:25" s="27" customFormat="1">
      <c r="A23" s="47"/>
      <c r="D23" s="30" t="s">
        <v>10</v>
      </c>
      <c r="E23" s="30">
        <f>SUM(E20:E22)</f>
        <v>0</v>
      </c>
      <c r="F23" s="50"/>
      <c r="G23" s="60"/>
      <c r="H23" s="30"/>
      <c r="I23" s="28"/>
      <c r="J23" s="30" t="s">
        <v>10</v>
      </c>
      <c r="K23" s="30">
        <f>K22</f>
        <v>0</v>
      </c>
      <c r="L23" s="50"/>
      <c r="M23" s="60"/>
      <c r="N23" s="30"/>
      <c r="O23" s="28"/>
      <c r="P23" s="30"/>
      <c r="Q23" s="30"/>
      <c r="R23" s="49"/>
    </row>
    <row r="24" spans="1:25" s="27" customFormat="1">
      <c r="A24" s="47"/>
      <c r="D24" s="30"/>
      <c r="E24" s="30"/>
      <c r="F24" s="50"/>
      <c r="G24" s="60"/>
      <c r="H24" s="30"/>
      <c r="I24" s="28"/>
      <c r="J24" s="30"/>
      <c r="K24" s="30"/>
      <c r="L24" s="50"/>
      <c r="M24" s="60"/>
      <c r="N24" s="30"/>
      <c r="O24" s="28"/>
      <c r="P24" s="30"/>
      <c r="Q24" s="30"/>
      <c r="R24" s="49"/>
      <c r="Y24" s="3" t="s">
        <v>11</v>
      </c>
    </row>
    <row r="25" spans="1:25" s="27" customFormat="1">
      <c r="A25" s="47"/>
      <c r="D25" s="30" t="s">
        <v>12</v>
      </c>
      <c r="E25" s="30">
        <f>E14-E23</f>
        <v>9872</v>
      </c>
      <c r="F25" s="50"/>
      <c r="G25" s="60"/>
      <c r="H25" s="30"/>
      <c r="I25" s="28"/>
      <c r="J25" s="30" t="s">
        <v>12</v>
      </c>
      <c r="K25" s="30">
        <f>K14-K23</f>
        <v>21515</v>
      </c>
      <c r="L25" s="50"/>
      <c r="M25" s="60"/>
      <c r="N25" s="30"/>
      <c r="O25" s="28"/>
      <c r="P25" s="30"/>
      <c r="Q25" s="30"/>
      <c r="R25" s="49"/>
    </row>
    <row r="26" spans="1:25" s="27" customFormat="1">
      <c r="A26" s="47"/>
      <c r="D26" s="30" t="s">
        <v>13</v>
      </c>
      <c r="E26" s="30"/>
      <c r="F26" s="50"/>
      <c r="G26" s="60"/>
      <c r="H26" s="30"/>
      <c r="I26" s="28"/>
      <c r="J26" s="30" t="s">
        <v>13</v>
      </c>
      <c r="K26" s="30"/>
      <c r="L26" s="50"/>
      <c r="M26" s="60"/>
      <c r="N26" s="30"/>
      <c r="O26" s="28"/>
      <c r="P26" s="30"/>
      <c r="Q26" s="30"/>
      <c r="R26" s="49"/>
    </row>
    <row r="27" spans="1:25" s="27" customFormat="1">
      <c r="A27" s="47"/>
      <c r="D27" s="30" t="s">
        <v>14</v>
      </c>
      <c r="E27" s="30">
        <f>SUMIF('MASTER DATA'!$A:$A,ADO!C11,'MASTER DATA'!$AS:$AS)</f>
        <v>0</v>
      </c>
      <c r="F27" s="50"/>
      <c r="G27" s="60"/>
      <c r="H27" s="30"/>
      <c r="I27" s="28"/>
      <c r="J27" s="30" t="s">
        <v>14</v>
      </c>
      <c r="K27" s="30">
        <f>SUMIF('MASTER DATA'!$A:$A,ADO!I11,'MASTER DATA'!$AS:$AS)</f>
        <v>0</v>
      </c>
      <c r="L27" s="50"/>
      <c r="M27" s="60"/>
      <c r="N27" s="30"/>
      <c r="O27" s="28"/>
      <c r="P27" s="30"/>
      <c r="Q27" s="30"/>
      <c r="R27" s="49"/>
    </row>
    <row r="28" spans="1:25" s="27" customFormat="1">
      <c r="A28" s="47"/>
      <c r="D28" s="69" t="s">
        <v>160</v>
      </c>
      <c r="E28" s="30">
        <f>SUMIF('MASTER DATA'!$A:$A,ADO!C11,'MASTER DATA'!$AT:$AT)</f>
        <v>0</v>
      </c>
      <c r="F28" s="50"/>
      <c r="G28" s="60"/>
      <c r="H28" s="30"/>
      <c r="I28" s="28"/>
      <c r="J28" s="69" t="s">
        <v>160</v>
      </c>
      <c r="K28" s="30">
        <f>SUMIF('MASTER DATA'!$A:$A,ADO!I11,'MASTER DATA'!$AT:$AT)</f>
        <v>0</v>
      </c>
      <c r="L28" s="50"/>
      <c r="M28" s="60"/>
      <c r="N28" s="30"/>
      <c r="O28" s="28"/>
      <c r="P28" s="30"/>
      <c r="Q28" s="30"/>
      <c r="R28" s="49"/>
    </row>
    <row r="29" spans="1:25" s="27" customFormat="1">
      <c r="A29" s="47"/>
      <c r="D29" s="30" t="s">
        <v>15</v>
      </c>
      <c r="E29" s="30">
        <f>SUMIF('MASTER DATA'!$A:$A,ADO!C11,'MASTER DATA'!$AU:$AU)</f>
        <v>0</v>
      </c>
      <c r="F29" s="50"/>
      <c r="G29" s="60"/>
      <c r="H29" s="30"/>
      <c r="I29" s="28"/>
      <c r="J29" s="30" t="s">
        <v>15</v>
      </c>
      <c r="K29" s="30">
        <f>SUMIF('MASTER DATA'!$A:$A,ADO!I11,'MASTER DATA'!$AU:$AU)</f>
        <v>0</v>
      </c>
      <c r="L29" s="50"/>
      <c r="M29" s="60"/>
      <c r="N29" s="30"/>
      <c r="O29" s="28"/>
      <c r="P29" s="30"/>
      <c r="Q29" s="30"/>
      <c r="R29" s="49"/>
      <c r="T29" s="29"/>
    </row>
    <row r="30" spans="1:25" s="27" customFormat="1">
      <c r="A30" s="47"/>
      <c r="D30" s="30" t="s">
        <v>19</v>
      </c>
      <c r="E30" s="30">
        <f>SUMIF('MASTER DATA'!$A:$A,ADO!C11,'MASTER DATA'!$AV:$AV)</f>
        <v>0</v>
      </c>
      <c r="F30" s="50"/>
      <c r="G30" s="60"/>
      <c r="H30" s="30"/>
      <c r="I30" s="28"/>
      <c r="J30" s="30" t="s">
        <v>19</v>
      </c>
      <c r="K30" s="30">
        <f>SUMIF('MASTER DATA'!$A:$A,ADO!I11,'MASTER DATA'!$AV:$AV)</f>
        <v>0</v>
      </c>
      <c r="L30" s="50"/>
      <c r="M30" s="60"/>
      <c r="N30" s="30"/>
      <c r="O30" s="28"/>
      <c r="P30" s="30"/>
      <c r="Q30" s="30"/>
      <c r="R30" s="49"/>
      <c r="T30" s="29"/>
    </row>
    <row r="31" spans="1:25" s="27" customFormat="1">
      <c r="A31" s="47"/>
      <c r="D31" s="30" t="s">
        <v>20</v>
      </c>
      <c r="E31" s="30">
        <f>SUMIF('MASTER DATA'!$A:$A,ADO!C11,'MASTER DATA'!$AW:$AW)</f>
        <v>0</v>
      </c>
      <c r="F31" s="50"/>
      <c r="G31" s="60"/>
      <c r="H31" s="30"/>
      <c r="I31" s="28"/>
      <c r="J31" s="30" t="s">
        <v>20</v>
      </c>
      <c r="K31" s="30">
        <f>SUMIF('MASTER DATA'!$A:$A,ADO!I11,'MASTER DATA'!$AW:$AW)</f>
        <v>0</v>
      </c>
      <c r="L31" s="50"/>
      <c r="M31" s="60"/>
      <c r="N31" s="30"/>
      <c r="O31" s="28"/>
      <c r="P31" s="30"/>
      <c r="Q31" s="30"/>
      <c r="R31" s="49"/>
      <c r="T31" s="29"/>
    </row>
    <row r="32" spans="1:25" s="27" customFormat="1">
      <c r="A32" s="47"/>
      <c r="D32" s="30" t="s">
        <v>23</v>
      </c>
      <c r="E32" s="30">
        <f>SUMIF('MASTER DATA'!$A:$A,ADO!C11,'MASTER DATA'!$AX:$AX)</f>
        <v>0</v>
      </c>
      <c r="F32" s="50"/>
      <c r="G32" s="60"/>
      <c r="H32" s="30"/>
      <c r="I32" s="28"/>
      <c r="J32" s="30" t="s">
        <v>23</v>
      </c>
      <c r="K32" s="30">
        <f>SUMIF('MASTER DATA'!$A:$A,ADO!I11,'MASTER DATA'!$AX:$AX)</f>
        <v>0</v>
      </c>
      <c r="L32" s="50"/>
      <c r="M32" s="60"/>
      <c r="N32" s="30"/>
      <c r="O32" s="28"/>
      <c r="P32" s="30"/>
      <c r="Q32" s="30"/>
      <c r="R32" s="49"/>
      <c r="T32" s="29"/>
    </row>
    <row r="33" spans="1:20" s="27" customFormat="1" ht="16.5" thickBot="1">
      <c r="A33" s="47"/>
      <c r="D33" s="28" t="s">
        <v>16</v>
      </c>
      <c r="E33" s="33">
        <f>E25-SUM(E26:E32)</f>
        <v>9872</v>
      </c>
      <c r="F33" s="53"/>
      <c r="G33" s="60"/>
      <c r="H33" s="30"/>
      <c r="I33" s="28"/>
      <c r="J33" s="28" t="s">
        <v>16</v>
      </c>
      <c r="K33" s="33">
        <f>K25-SUM(K26:K32)</f>
        <v>21515</v>
      </c>
      <c r="L33" s="53"/>
      <c r="M33" s="60"/>
      <c r="N33" s="30"/>
      <c r="O33" s="28"/>
      <c r="P33" s="28"/>
      <c r="Q33" s="28"/>
      <c r="R33" s="49"/>
      <c r="T33" s="29"/>
    </row>
    <row r="34" spans="1:20" s="27" customFormat="1" ht="16.5" thickTop="1">
      <c r="A34" s="47"/>
      <c r="D34" s="30"/>
      <c r="E34" s="30"/>
      <c r="F34" s="50"/>
      <c r="G34" s="60"/>
      <c r="H34" s="30"/>
      <c r="I34" s="28"/>
      <c r="J34" s="30"/>
      <c r="K34" s="30"/>
      <c r="L34" s="50"/>
      <c r="M34" s="60"/>
      <c r="N34" s="30"/>
      <c r="O34" s="28"/>
      <c r="P34" s="30"/>
      <c r="Q34" s="30"/>
      <c r="R34" s="49"/>
    </row>
    <row r="35" spans="1:20" s="27" customFormat="1">
      <c r="A35" s="47"/>
      <c r="D35" s="88"/>
      <c r="E35" s="90"/>
      <c r="F35" s="49"/>
      <c r="G35" s="47"/>
      <c r="I35" s="3"/>
      <c r="J35" s="66"/>
      <c r="L35" s="49"/>
      <c r="M35" s="60"/>
      <c r="N35" s="30"/>
      <c r="O35" s="28"/>
      <c r="R35" s="49"/>
      <c r="S35" s="29"/>
    </row>
    <row r="36" spans="1:20" s="27" customFormat="1" ht="16.5" thickBot="1">
      <c r="A36" s="54"/>
      <c r="B36" s="55"/>
      <c r="C36" s="55"/>
      <c r="D36" s="55"/>
      <c r="E36" s="55"/>
      <c r="F36" s="56"/>
      <c r="G36" s="54"/>
      <c r="H36" s="55"/>
      <c r="I36" s="61"/>
      <c r="J36" s="55"/>
      <c r="K36" s="55"/>
      <c r="L36" s="56"/>
      <c r="M36" s="62"/>
      <c r="N36" s="63"/>
      <c r="O36" s="64"/>
      <c r="P36" s="55"/>
      <c r="Q36" s="55"/>
      <c r="R36" s="56"/>
      <c r="S36" s="65"/>
    </row>
    <row r="37" spans="1:20">
      <c r="D37" s="10"/>
      <c r="E37" s="10"/>
      <c r="F37" s="10"/>
    </row>
    <row r="38" spans="1:20">
      <c r="D38" s="10"/>
      <c r="E38" s="10"/>
      <c r="F38" s="10"/>
      <c r="J38" s="13">
        <f>K33+E33</f>
        <v>31387</v>
      </c>
    </row>
    <row r="39" spans="1:20">
      <c r="D39" s="10"/>
      <c r="E39" s="10"/>
      <c r="F39" s="10"/>
    </row>
    <row r="40" spans="1:20">
      <c r="D40" s="6"/>
      <c r="E40" s="6"/>
      <c r="F40" s="6"/>
    </row>
  </sheetData>
  <pageMargins left="0.70866141732283461" right="0.70866141732283461" top="0.74803149606299213" bottom="0.74803149606299213" header="0.31496062992125984" footer="0.31496062992125984"/>
  <pageSetup scale="75" orientation="portrait" r:id="rId1"/>
  <colBreaks count="1" manualBreakCount="1">
    <brk id="6" max="3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572F-5713-48F0-B283-019D47ACBD5C}">
  <sheetPr codeName="Sheet7"/>
  <dimension ref="A1:Y40"/>
  <sheetViews>
    <sheetView view="pageBreakPreview" zoomScale="70" zoomScaleNormal="115" zoomScaleSheetLayoutView="70" workbookViewId="0">
      <selection activeCell="P35" sqref="P35"/>
    </sheetView>
  </sheetViews>
  <sheetFormatPr defaultColWidth="9.140625" defaultRowHeight="15.75"/>
  <cols>
    <col min="1" max="2" width="4.7109375" style="2" customWidth="1"/>
    <col min="3" max="3" width="3.5703125" style="27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3.5703125" style="3" customWidth="1"/>
    <col min="10" max="10" width="25.5703125" style="2" customWidth="1"/>
    <col min="11" max="11" width="13.5703125" style="2" customWidth="1"/>
    <col min="12" max="12" width="13.7109375" style="2" customWidth="1"/>
    <col min="13" max="14" width="4.7109375" style="2" customWidth="1"/>
    <col min="15" max="15" width="3.5703125" style="26" customWidth="1"/>
    <col min="16" max="16" width="25.5703125" style="2" customWidth="1"/>
    <col min="17" max="17" width="13.5703125" style="2" customWidth="1"/>
    <col min="18" max="18" width="13.7109375" style="2" customWidth="1"/>
    <col min="19" max="19" width="11.5703125" style="2" bestFit="1" customWidth="1"/>
    <col min="20" max="20" width="11.28515625" style="2" bestFit="1" customWidth="1"/>
    <col min="21" max="16384" width="9.140625" style="2"/>
  </cols>
  <sheetData>
    <row r="1" spans="1:18" ht="18">
      <c r="A1" s="41"/>
      <c r="B1" s="42"/>
      <c r="C1" s="42"/>
      <c r="D1" s="42"/>
      <c r="E1" s="42"/>
      <c r="F1" s="79" t="s">
        <v>235</v>
      </c>
      <c r="G1" s="78"/>
      <c r="H1" s="71"/>
      <c r="I1" s="80"/>
      <c r="J1" s="71"/>
      <c r="K1" s="71"/>
      <c r="L1" s="79" t="s">
        <v>235</v>
      </c>
      <c r="M1" s="78"/>
      <c r="N1" s="71"/>
      <c r="O1" s="80"/>
      <c r="P1" s="71"/>
      <c r="Q1" s="71"/>
      <c r="R1" s="79" t="s">
        <v>235</v>
      </c>
    </row>
    <row r="2" spans="1:18" ht="18">
      <c r="A2" s="44"/>
      <c r="B2" s="34"/>
      <c r="C2" s="34"/>
      <c r="D2" s="34"/>
      <c r="E2" s="34"/>
      <c r="F2" s="45"/>
      <c r="G2" s="44"/>
      <c r="H2" s="34"/>
      <c r="I2" s="36"/>
      <c r="J2" s="34"/>
      <c r="K2" s="34"/>
      <c r="L2" s="45"/>
      <c r="M2" s="44"/>
      <c r="N2" s="34"/>
      <c r="O2" s="36"/>
      <c r="P2" s="34"/>
      <c r="Q2" s="34"/>
      <c r="R2" s="45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6"/>
      <c r="J3" s="35" t="s">
        <v>0</v>
      </c>
      <c r="K3" s="36"/>
      <c r="L3" s="46"/>
      <c r="M3" s="44"/>
      <c r="N3" s="34"/>
      <c r="O3" s="36"/>
      <c r="P3" s="35" t="s">
        <v>0</v>
      </c>
      <c r="Q3" s="36"/>
      <c r="R3" s="46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6"/>
      <c r="J4" s="35" t="s">
        <v>1</v>
      </c>
      <c r="K4" s="36"/>
      <c r="L4" s="46"/>
      <c r="M4" s="44"/>
      <c r="N4" s="34"/>
      <c r="O4" s="36"/>
      <c r="P4" s="35" t="s">
        <v>1</v>
      </c>
      <c r="Q4" s="36"/>
      <c r="R4" s="46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6"/>
      <c r="J5" s="35" t="s">
        <v>162</v>
      </c>
      <c r="K5" s="36"/>
      <c r="L5" s="46"/>
      <c r="M5" s="44"/>
      <c r="N5" s="34"/>
      <c r="O5" s="36"/>
      <c r="P5" s="35" t="s">
        <v>162</v>
      </c>
      <c r="Q5" s="36"/>
      <c r="R5" s="46"/>
    </row>
    <row r="6" spans="1:18" ht="18">
      <c r="A6" s="44"/>
      <c r="B6" s="34"/>
      <c r="C6" s="34"/>
      <c r="D6" s="34"/>
      <c r="E6" s="34"/>
      <c r="F6" s="45"/>
      <c r="G6" s="44"/>
      <c r="H6" s="34"/>
      <c r="I6" s="36"/>
      <c r="J6" s="34"/>
      <c r="K6" s="34"/>
      <c r="L6" s="45"/>
      <c r="M6" s="44"/>
      <c r="N6" s="34"/>
      <c r="O6" s="36"/>
      <c r="P6" s="34"/>
      <c r="Q6" s="34"/>
      <c r="R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6"/>
      <c r="J7" s="34"/>
      <c r="K7" s="34"/>
      <c r="L7" s="45"/>
      <c r="M7" s="44"/>
      <c r="N7" s="34"/>
      <c r="O7" s="36"/>
      <c r="P7" s="34"/>
      <c r="Q7" s="34"/>
      <c r="R7" s="45"/>
    </row>
    <row r="8" spans="1:18">
      <c r="A8" s="47"/>
      <c r="B8" s="27"/>
      <c r="D8" s="3" t="s">
        <v>3</v>
      </c>
      <c r="E8" s="3"/>
      <c r="F8" s="48"/>
      <c r="G8" s="47"/>
      <c r="H8" s="27"/>
      <c r="J8" s="3" t="s">
        <v>3</v>
      </c>
      <c r="K8" s="3"/>
      <c r="L8" s="48"/>
      <c r="M8" s="47"/>
      <c r="N8" s="27"/>
      <c r="O8" s="3"/>
      <c r="P8" s="3" t="s">
        <v>3</v>
      </c>
      <c r="Q8" s="3"/>
      <c r="R8" s="48"/>
    </row>
    <row r="9" spans="1:18">
      <c r="A9" s="47"/>
      <c r="B9" s="27"/>
      <c r="D9" s="27" t="s">
        <v>319</v>
      </c>
      <c r="E9" s="27"/>
      <c r="F9" s="49"/>
      <c r="G9" s="58"/>
      <c r="H9" s="3"/>
      <c r="J9" s="27" t="str">
        <f>D9</f>
        <v>FEB 16-28, 2026</v>
      </c>
      <c r="K9" s="27"/>
      <c r="L9" s="49"/>
      <c r="M9" s="58"/>
      <c r="N9" s="3"/>
      <c r="O9" s="3"/>
      <c r="P9" s="27" t="str">
        <f>J9</f>
        <v>FEB 16-28, 2026</v>
      </c>
      <c r="Q9" s="27"/>
      <c r="R9" s="49"/>
    </row>
    <row r="10" spans="1:18">
      <c r="A10" s="47"/>
      <c r="B10" s="27"/>
      <c r="D10" s="27"/>
      <c r="E10" s="27"/>
      <c r="F10" s="49"/>
      <c r="G10" s="47"/>
      <c r="H10" s="27"/>
      <c r="J10" s="27"/>
      <c r="K10" s="27"/>
      <c r="L10" s="49"/>
      <c r="M10" s="47"/>
      <c r="N10" s="27"/>
      <c r="O10" s="3"/>
      <c r="P10" s="27"/>
      <c r="Q10" s="27"/>
      <c r="R10" s="49"/>
    </row>
    <row r="11" spans="1:18" s="27" customFormat="1">
      <c r="A11" s="47"/>
      <c r="C11" s="3">
        <v>18</v>
      </c>
      <c r="D11" s="3" t="str">
        <f>VLOOKUP(C11,'MASTER DATA'!$A:$E,5,FALSE)</f>
        <v>SALVA, IRENE U</v>
      </c>
      <c r="F11" s="49"/>
      <c r="G11" s="47"/>
      <c r="I11" s="3">
        <v>19</v>
      </c>
      <c r="J11" s="3" t="str">
        <f>VLOOKUP(I11,'MASTER DATA'!$A:$E,5,FALSE)</f>
        <v>SASIS, BRINGKLY B.</v>
      </c>
      <c r="L11" s="49"/>
      <c r="M11" s="47"/>
      <c r="O11" s="3">
        <v>20</v>
      </c>
      <c r="P11" s="3" t="str">
        <f>VLOOKUP(O11,'MASTER DATA'!$A:$E,5,FALSE)</f>
        <v>CAIZ, LEONILA D.</v>
      </c>
      <c r="R11" s="49"/>
    </row>
    <row r="12" spans="1:18" s="27" customFormat="1">
      <c r="A12" s="47"/>
      <c r="C12" s="3"/>
      <c r="D12" s="3" t="str">
        <f>VLOOKUP(C11,'MASTER DATA'!$A:$F,6,FALSE)</f>
        <v>BGT.</v>
      </c>
      <c r="F12" s="49"/>
      <c r="G12" s="47"/>
      <c r="I12" s="3"/>
      <c r="J12" s="3" t="str">
        <f>VLOOKUP(I11,'MASTER DATA'!$A:$F,6,FALSE)</f>
        <v>BGT.</v>
      </c>
      <c r="L12" s="49"/>
      <c r="M12" s="47"/>
      <c r="O12" s="3"/>
      <c r="P12" s="3" t="str">
        <f>VLOOKUP(O11,'MASTER DATA'!$A:$F,6,FALSE)</f>
        <v>BGT.</v>
      </c>
      <c r="R12" s="49"/>
    </row>
    <row r="13" spans="1:18" s="27" customFormat="1">
      <c r="A13" s="47"/>
      <c r="D13" s="29" t="str">
        <f>VLOOKUP(C11,'MASTER DATA'!$A:$G,7,FALSE)</f>
        <v>Administrative Asst. II</v>
      </c>
      <c r="F13" s="49"/>
      <c r="G13" s="47"/>
      <c r="I13" s="3"/>
      <c r="J13" s="29" t="str">
        <f>VLOOKUP(I11,'MASTER DATA'!$A:$G,7,FALSE)</f>
        <v>Administrative Asst. II</v>
      </c>
      <c r="L13" s="49"/>
      <c r="M13" s="47"/>
      <c r="O13" s="3"/>
      <c r="P13" s="29" t="str">
        <f>VLOOKUP(O11,'MASTER DATA'!$A:$G,7,FALSE)</f>
        <v xml:space="preserve">Financial Analyst </v>
      </c>
      <c r="R13" s="49"/>
    </row>
    <row r="14" spans="1:18" s="27" customFormat="1">
      <c r="A14" s="47"/>
      <c r="D14" s="27" t="s">
        <v>4</v>
      </c>
      <c r="E14" s="30">
        <f>SUMIF('MASTER DATA'!$A:$A,BGT!C11,'MASTER DATA'!$N:$N)</f>
        <v>9872</v>
      </c>
      <c r="F14" s="50"/>
      <c r="G14" s="47"/>
      <c r="I14" s="3"/>
      <c r="J14" s="27" t="s">
        <v>4</v>
      </c>
      <c r="K14" s="30">
        <v>9872</v>
      </c>
      <c r="L14" s="50"/>
      <c r="M14" s="47"/>
      <c r="O14" s="3"/>
      <c r="P14" s="27" t="s">
        <v>4</v>
      </c>
      <c r="Q14" s="30">
        <f>SUMIF('MASTER DATA'!$A:$A,BGT!O11,'MASTER DATA'!$N:$N)</f>
        <v>25308.5</v>
      </c>
      <c r="R14" s="50"/>
    </row>
    <row r="15" spans="1:18" s="27" customFormat="1" ht="17.25">
      <c r="A15" s="47"/>
      <c r="E15" s="37"/>
      <c r="F15" s="51"/>
      <c r="G15" s="59"/>
      <c r="H15" s="39"/>
      <c r="I15" s="38"/>
      <c r="K15" s="37"/>
      <c r="L15" s="51"/>
      <c r="M15" s="59"/>
      <c r="N15" s="39"/>
      <c r="O15" s="38"/>
      <c r="Q15" s="37"/>
      <c r="R15" s="51"/>
    </row>
    <row r="16" spans="1:18" s="27" customFormat="1">
      <c r="A16" s="47"/>
      <c r="E16" s="30"/>
      <c r="F16" s="50"/>
      <c r="G16" s="59"/>
      <c r="H16" s="39"/>
      <c r="I16" s="38"/>
      <c r="K16" s="30"/>
      <c r="L16" s="50"/>
      <c r="M16" s="59"/>
      <c r="N16" s="39"/>
      <c r="O16" s="38"/>
      <c r="Q16" s="30"/>
      <c r="R16" s="50"/>
    </row>
    <row r="17" spans="1:25" s="27" customFormat="1" ht="17.25">
      <c r="A17" s="47"/>
      <c r="E17" s="37"/>
      <c r="F17" s="51"/>
      <c r="G17" s="59"/>
      <c r="H17" s="39"/>
      <c r="I17" s="38"/>
      <c r="K17" s="37"/>
      <c r="L17" s="51"/>
      <c r="M17" s="59"/>
      <c r="N17" s="39"/>
      <c r="O17" s="38"/>
      <c r="Q17" s="37"/>
      <c r="R17" s="51"/>
    </row>
    <row r="18" spans="1:25" s="27" customFormat="1">
      <c r="A18" s="47"/>
      <c r="D18" s="39" t="s">
        <v>5</v>
      </c>
      <c r="E18" s="40" t="s">
        <v>6</v>
      </c>
      <c r="F18" s="52"/>
      <c r="G18" s="47"/>
      <c r="I18" s="3"/>
      <c r="J18" s="39" t="s">
        <v>5</v>
      </c>
      <c r="K18" s="40" t="s">
        <v>6</v>
      </c>
      <c r="L18" s="52"/>
      <c r="M18" s="47"/>
      <c r="O18" s="3"/>
      <c r="P18" s="39" t="s">
        <v>5</v>
      </c>
      <c r="Q18" s="40" t="s">
        <v>6</v>
      </c>
      <c r="R18" s="52"/>
    </row>
    <row r="19" spans="1:25" s="27" customFormat="1">
      <c r="A19" s="47"/>
      <c r="F19" s="49"/>
      <c r="G19" s="60"/>
      <c r="H19" s="30"/>
      <c r="I19" s="28"/>
      <c r="L19" s="49"/>
      <c r="M19" s="60"/>
      <c r="N19" s="30"/>
      <c r="O19" s="28"/>
      <c r="R19" s="49"/>
    </row>
    <row r="20" spans="1:25" s="27" customFormat="1">
      <c r="A20" s="47"/>
      <c r="D20" s="30" t="s">
        <v>7</v>
      </c>
      <c r="E20" s="30">
        <f>SUMIF('MASTER DATA'!$A:$A,BGT!C11,'MASTER DATA'!$AL:$AL)</f>
        <v>0</v>
      </c>
      <c r="F20" s="50"/>
      <c r="G20" s="60"/>
      <c r="H20" s="30"/>
      <c r="I20" s="28"/>
      <c r="J20" s="30" t="s">
        <v>7</v>
      </c>
      <c r="K20" s="30">
        <v>0</v>
      </c>
      <c r="L20" s="50"/>
      <c r="M20" s="60"/>
      <c r="N20" s="30"/>
      <c r="O20" s="28"/>
      <c r="P20" s="30" t="s">
        <v>7</v>
      </c>
      <c r="Q20" s="30">
        <f>SUMIF('MASTER DATA'!$A:$A,BGT!O11,'MASTER DATA'!$AL:$AL)</f>
        <v>11503.86</v>
      </c>
      <c r="R20" s="50"/>
    </row>
    <row r="21" spans="1:25" s="27" customFormat="1">
      <c r="A21" s="47"/>
      <c r="D21" s="31" t="s">
        <v>8</v>
      </c>
      <c r="E21" s="30">
        <f>SUMIF('MASTER DATA'!$A:$A,BGT!C11,'MASTER DATA'!$AM:$AM)+(SUMIF('MASTER DATA'!$A:$A,BGT!C11,'MASTER DATA'!$AN:$AN))</f>
        <v>0</v>
      </c>
      <c r="F21" s="50"/>
      <c r="G21" s="60"/>
      <c r="H21" s="30"/>
      <c r="I21" s="28"/>
      <c r="J21" s="31" t="s">
        <v>8</v>
      </c>
      <c r="K21" s="30">
        <f>SUMIF('MASTER DATA'!$A:$A,BGT!I11,'MASTER DATA'!$AM:$AM)+(SUMIF('MASTER DATA'!$A:$A,BGT!I11,'MASTER DATA'!$AN:$AN))</f>
        <v>0</v>
      </c>
      <c r="L21" s="50"/>
      <c r="M21" s="60"/>
      <c r="N21" s="30"/>
      <c r="O21" s="28"/>
      <c r="P21" s="31" t="s">
        <v>8</v>
      </c>
      <c r="Q21" s="30">
        <f>SUMIF('MASTER DATA'!$A:$A,BGT!O11,'MASTER DATA'!$AM:$AM)+(SUMIF('MASTER DATA'!$A:$A,BGT!O11,'MASTER DATA'!$AN:$AN))</f>
        <v>493.71000000000004</v>
      </c>
      <c r="R21" s="50"/>
    </row>
    <row r="22" spans="1:25" s="27" customFormat="1">
      <c r="A22" s="47"/>
      <c r="D22" s="30" t="s">
        <v>9</v>
      </c>
      <c r="E22" s="32">
        <f>SUMIF('MASTER DATA'!$A:$A,BGT!C11,'MASTER DATA'!$AP:$AP)</f>
        <v>0</v>
      </c>
      <c r="F22" s="50"/>
      <c r="G22" s="60"/>
      <c r="H22" s="30"/>
      <c r="I22" s="28"/>
      <c r="J22" s="30" t="s">
        <v>9</v>
      </c>
      <c r="K22" s="32">
        <f>SUMIF('MASTER DATA'!$A:$A,BGT!I11,'MASTER DATA'!$AP:$AP)</f>
        <v>0</v>
      </c>
      <c r="L22" s="50"/>
      <c r="M22" s="60"/>
      <c r="N22" s="30"/>
      <c r="O22" s="28"/>
      <c r="P22" s="30" t="s">
        <v>9</v>
      </c>
      <c r="Q22" s="32">
        <f>SUMIF('MASTER DATA'!$A:$A,BGT!O11,'MASTER DATA'!$AP:$AP)</f>
        <v>0</v>
      </c>
      <c r="R22" s="50"/>
    </row>
    <row r="23" spans="1:25" s="27" customFormat="1">
      <c r="A23" s="47"/>
      <c r="D23" s="30" t="s">
        <v>10</v>
      </c>
      <c r="E23" s="30">
        <f>SUM(E20:E22)</f>
        <v>0</v>
      </c>
      <c r="F23" s="50"/>
      <c r="G23" s="60"/>
      <c r="H23" s="30"/>
      <c r="I23" s="28"/>
      <c r="J23" s="30" t="s">
        <v>10</v>
      </c>
      <c r="K23" s="30">
        <f>SUM(K20:K22)</f>
        <v>0</v>
      </c>
      <c r="L23" s="50"/>
      <c r="M23" s="60"/>
      <c r="N23" s="30"/>
      <c r="O23" s="28"/>
      <c r="P23" s="30" t="s">
        <v>10</v>
      </c>
      <c r="Q23" s="30">
        <f>SUM(Q20:Q22)</f>
        <v>11997.57</v>
      </c>
      <c r="R23" s="50"/>
    </row>
    <row r="24" spans="1:25" s="27" customFormat="1">
      <c r="A24" s="47"/>
      <c r="D24" s="30"/>
      <c r="E24" s="30"/>
      <c r="F24" s="50"/>
      <c r="G24" s="60"/>
      <c r="H24" s="30"/>
      <c r="I24" s="28"/>
      <c r="J24" s="30"/>
      <c r="K24" s="30"/>
      <c r="L24" s="50"/>
      <c r="M24" s="60"/>
      <c r="N24" s="30"/>
      <c r="O24" s="28"/>
      <c r="P24" s="30"/>
      <c r="Q24" s="30"/>
      <c r="R24" s="50"/>
      <c r="Y24" s="3" t="s">
        <v>11</v>
      </c>
    </row>
    <row r="25" spans="1:25" s="27" customFormat="1">
      <c r="A25" s="47"/>
      <c r="D25" s="30" t="s">
        <v>12</v>
      </c>
      <c r="E25" s="30">
        <f>E14-E23</f>
        <v>9872</v>
      </c>
      <c r="F25" s="50"/>
      <c r="G25" s="60"/>
      <c r="H25" s="30"/>
      <c r="I25" s="28"/>
      <c r="J25" s="30" t="s">
        <v>12</v>
      </c>
      <c r="K25" s="30">
        <f>K14-K23</f>
        <v>9872</v>
      </c>
      <c r="L25" s="50"/>
      <c r="M25" s="60"/>
      <c r="N25" s="30"/>
      <c r="O25" s="28"/>
      <c r="P25" s="30" t="s">
        <v>12</v>
      </c>
      <c r="Q25" s="30">
        <f>Q14-Q23</f>
        <v>13310.93</v>
      </c>
      <c r="R25" s="50"/>
    </row>
    <row r="26" spans="1:25" s="27" customFormat="1">
      <c r="A26" s="47"/>
      <c r="D26" s="30" t="s">
        <v>13</v>
      </c>
      <c r="E26" s="30"/>
      <c r="F26" s="50"/>
      <c r="G26" s="60"/>
      <c r="H26" s="30"/>
      <c r="I26" s="28"/>
      <c r="J26" s="30" t="s">
        <v>13</v>
      </c>
      <c r="K26" s="30"/>
      <c r="L26" s="50"/>
      <c r="M26" s="60"/>
      <c r="N26" s="30"/>
      <c r="O26" s="28"/>
      <c r="P26" s="30" t="s">
        <v>13</v>
      </c>
      <c r="Q26" s="30"/>
      <c r="R26" s="50"/>
    </row>
    <row r="27" spans="1:25" s="27" customFormat="1">
      <c r="A27" s="47"/>
      <c r="D27" s="30" t="s">
        <v>14</v>
      </c>
      <c r="E27" s="30">
        <f>SUMIF('MASTER DATA'!$A:$A,BGT!C11,'MASTER DATA'!$AS:$AS)</f>
        <v>0</v>
      </c>
      <c r="F27" s="50"/>
      <c r="G27" s="60"/>
      <c r="H27" s="30"/>
      <c r="I27" s="28"/>
      <c r="J27" s="30" t="s">
        <v>14</v>
      </c>
      <c r="K27" s="30">
        <f>SUMIF('MASTER DATA'!$A:$A,BGT!I11,'MASTER DATA'!$AS:$AS)</f>
        <v>0</v>
      </c>
      <c r="L27" s="50"/>
      <c r="M27" s="60"/>
      <c r="N27" s="30"/>
      <c r="O27" s="28"/>
      <c r="P27" s="30" t="s">
        <v>14</v>
      </c>
      <c r="Q27" s="30">
        <f>SUMIF('MASTER DATA'!$A:$A,BGT!O11,'MASTER DATA'!$AS:$AS)</f>
        <v>0</v>
      </c>
      <c r="R27" s="50"/>
    </row>
    <row r="28" spans="1:25" s="27" customFormat="1">
      <c r="A28" s="47"/>
      <c r="D28" s="69" t="s">
        <v>160</v>
      </c>
      <c r="E28" s="30">
        <f>SUMIF('MASTER DATA'!$A:$A,BGT!C11,'MASTER DATA'!$AT:$AT)</f>
        <v>0</v>
      </c>
      <c r="F28" s="50"/>
      <c r="G28" s="60"/>
      <c r="H28" s="30"/>
      <c r="I28" s="28"/>
      <c r="J28" s="69" t="s">
        <v>160</v>
      </c>
      <c r="K28" s="30">
        <f>SUMIF('MASTER DATA'!$A:$A,BGT!I11,'MASTER DATA'!$AT:$AT)</f>
        <v>0</v>
      </c>
      <c r="L28" s="50"/>
      <c r="M28" s="60"/>
      <c r="N28" s="30"/>
      <c r="O28" s="28"/>
      <c r="P28" s="69" t="s">
        <v>160</v>
      </c>
      <c r="Q28" s="30">
        <f>SUMIF('MASTER DATA'!$A:$A,BGT!O11,'MASTER DATA'!$AT:$AT)</f>
        <v>0</v>
      </c>
      <c r="R28" s="50"/>
    </row>
    <row r="29" spans="1:25" s="27" customFormat="1">
      <c r="A29" s="47"/>
      <c r="D29" s="30" t="s">
        <v>15</v>
      </c>
      <c r="E29" s="30">
        <f>SUMIF('MASTER DATA'!$A:$A,BGT!C11,'MASTER DATA'!$AU:$AU)</f>
        <v>0</v>
      </c>
      <c r="F29" s="50"/>
      <c r="G29" s="60"/>
      <c r="H29" s="30"/>
      <c r="I29" s="28"/>
      <c r="J29" s="30" t="s">
        <v>15</v>
      </c>
      <c r="K29" s="30">
        <f>SUMIF('MASTER DATA'!$A:$A,BGT!I11,'MASTER DATA'!$AU:$AU)</f>
        <v>0</v>
      </c>
      <c r="L29" s="50"/>
      <c r="M29" s="60"/>
      <c r="N29" s="30"/>
      <c r="O29" s="28"/>
      <c r="P29" s="30" t="s">
        <v>15</v>
      </c>
      <c r="Q29" s="30">
        <f>SUMIF('MASTER DATA'!$A:$A,BGT!O11,'MASTER DATA'!$AU:$AU)</f>
        <v>0</v>
      </c>
      <c r="R29" s="50"/>
      <c r="T29" s="29"/>
    </row>
    <row r="30" spans="1:25" s="27" customFormat="1">
      <c r="A30" s="47"/>
      <c r="D30" s="30" t="s">
        <v>19</v>
      </c>
      <c r="E30" s="30">
        <f>SUMIF('MASTER DATA'!$A:$A,BGT!C11,'MASTER DATA'!$AV:$AV)</f>
        <v>0</v>
      </c>
      <c r="F30" s="50"/>
      <c r="G30" s="60"/>
      <c r="H30" s="30"/>
      <c r="I30" s="28"/>
      <c r="J30" s="30" t="s">
        <v>19</v>
      </c>
      <c r="K30" s="30">
        <f>SUMIF('MASTER DATA'!$A:$A,BGT!I11,'MASTER DATA'!$AV:$AV)</f>
        <v>0</v>
      </c>
      <c r="L30" s="50"/>
      <c r="M30" s="60"/>
      <c r="N30" s="30"/>
      <c r="O30" s="28"/>
      <c r="P30" s="30" t="s">
        <v>19</v>
      </c>
      <c r="Q30" s="30">
        <f>SUMIF('MASTER DATA'!$A:$A,BGT!O11,'MASTER DATA'!$AV:$AV)</f>
        <v>0</v>
      </c>
      <c r="R30" s="50"/>
      <c r="T30" s="29"/>
    </row>
    <row r="31" spans="1:25" s="27" customFormat="1">
      <c r="A31" s="47"/>
      <c r="D31" s="30" t="s">
        <v>20</v>
      </c>
      <c r="E31" s="30">
        <f>SUMIF('MASTER DATA'!$A:$A,BGT!C11,'MASTER DATA'!$AW:$AW)</f>
        <v>0</v>
      </c>
      <c r="F31" s="50"/>
      <c r="G31" s="60"/>
      <c r="H31" s="30"/>
      <c r="I31" s="28"/>
      <c r="J31" s="30" t="s">
        <v>20</v>
      </c>
      <c r="K31" s="30">
        <f>SUMIF('MASTER DATA'!$A:$A,BGT!I11,'MASTER DATA'!$AW:$AW)</f>
        <v>0</v>
      </c>
      <c r="L31" s="50"/>
      <c r="M31" s="60"/>
      <c r="N31" s="30"/>
      <c r="O31" s="28"/>
      <c r="P31" s="30" t="s">
        <v>20</v>
      </c>
      <c r="Q31" s="30">
        <f>SUMIF('MASTER DATA'!$A:$A,BGT!O11,'MASTER DATA'!$AW:$AW)</f>
        <v>0</v>
      </c>
      <c r="R31" s="50"/>
      <c r="T31" s="29"/>
    </row>
    <row r="32" spans="1:25" s="27" customFormat="1">
      <c r="A32" s="47"/>
      <c r="D32" s="30" t="s">
        <v>23</v>
      </c>
      <c r="E32" s="30">
        <f>SUMIF('MASTER DATA'!$A:$A,BGT!C11,'MASTER DATA'!$AX:$AX)</f>
        <v>0</v>
      </c>
      <c r="F32" s="50"/>
      <c r="G32" s="60"/>
      <c r="H32" s="30"/>
      <c r="I32" s="28"/>
      <c r="J32" s="30" t="s">
        <v>23</v>
      </c>
      <c r="K32" s="30">
        <f>SUMIF('MASTER DATA'!$A:$A,BGT!I11,'MASTER DATA'!$AX:$AX)</f>
        <v>0</v>
      </c>
      <c r="L32" s="50"/>
      <c r="M32" s="60"/>
      <c r="N32" s="30"/>
      <c r="O32" s="28"/>
      <c r="P32" s="30" t="s">
        <v>23</v>
      </c>
      <c r="Q32" s="30">
        <f>SUMIF('MASTER DATA'!$A:$A,BGT!O11,'MASTER DATA'!$AX:$AX)</f>
        <v>0</v>
      </c>
      <c r="R32" s="50"/>
      <c r="T32" s="29"/>
    </row>
    <row r="33" spans="1:20" s="27" customFormat="1" ht="16.5" thickBot="1">
      <c r="A33" s="47"/>
      <c r="D33" s="28" t="s">
        <v>16</v>
      </c>
      <c r="E33" s="33">
        <f>E25-SUM(E26:E32)</f>
        <v>9872</v>
      </c>
      <c r="F33" s="53"/>
      <c r="G33" s="60"/>
      <c r="H33" s="30"/>
      <c r="I33" s="28"/>
      <c r="J33" s="28" t="s">
        <v>16</v>
      </c>
      <c r="K33" s="33">
        <f>K25-SUM(K26:K32)</f>
        <v>9872</v>
      </c>
      <c r="L33" s="53"/>
      <c r="M33" s="60"/>
      <c r="N33" s="30"/>
      <c r="O33" s="28"/>
      <c r="P33" s="28" t="s">
        <v>16</v>
      </c>
      <c r="Q33" s="33">
        <f>Q25-SUM(Q26:Q32)</f>
        <v>13310.93</v>
      </c>
      <c r="R33" s="53"/>
      <c r="T33" s="29"/>
    </row>
    <row r="34" spans="1:20" s="27" customFormat="1" ht="16.5" thickTop="1">
      <c r="A34" s="47"/>
      <c r="D34" s="30"/>
      <c r="E34" s="30"/>
      <c r="F34" s="50"/>
      <c r="G34" s="60"/>
      <c r="H34" s="30"/>
      <c r="I34" s="28"/>
      <c r="J34" s="30"/>
      <c r="K34" s="30"/>
      <c r="L34" s="50"/>
      <c r="M34" s="60"/>
      <c r="N34" s="30"/>
      <c r="O34" s="28"/>
      <c r="P34" s="30"/>
      <c r="Q34" s="30"/>
      <c r="R34" s="50"/>
    </row>
    <row r="35" spans="1:20" s="27" customFormat="1" ht="60">
      <c r="A35" s="47"/>
      <c r="D35" s="88"/>
      <c r="F35" s="49"/>
      <c r="G35" s="47"/>
      <c r="I35" s="3"/>
      <c r="J35" s="88"/>
      <c r="L35" s="49"/>
      <c r="M35" s="47"/>
      <c r="O35" s="3"/>
      <c r="P35" s="88" t="s">
        <v>318</v>
      </c>
      <c r="Q35" s="87"/>
      <c r="R35" s="49"/>
      <c r="S35" s="29"/>
    </row>
    <row r="36" spans="1:20" s="27" customFormat="1" ht="16.5" thickBot="1">
      <c r="A36" s="54"/>
      <c r="B36" s="55"/>
      <c r="C36" s="55"/>
      <c r="D36" s="55"/>
      <c r="E36" s="55"/>
      <c r="F36" s="56"/>
      <c r="G36" s="54"/>
      <c r="H36" s="55"/>
      <c r="I36" s="61"/>
      <c r="J36" s="55"/>
      <c r="K36" s="55"/>
      <c r="L36" s="56"/>
      <c r="M36" s="54"/>
      <c r="N36" s="55"/>
      <c r="O36" s="61"/>
      <c r="P36" s="55"/>
      <c r="Q36" s="55"/>
      <c r="R36" s="56"/>
      <c r="S36" s="65"/>
    </row>
    <row r="37" spans="1:20">
      <c r="D37" s="10"/>
      <c r="E37" s="10"/>
      <c r="F37" s="10"/>
      <c r="J37" s="13">
        <f>K33+E33</f>
        <v>19744</v>
      </c>
    </row>
    <row r="38" spans="1:20">
      <c r="D38" s="10"/>
      <c r="E38" s="10"/>
      <c r="F38" s="10"/>
    </row>
    <row r="39" spans="1:20">
      <c r="D39" s="10"/>
      <c r="E39" s="10"/>
      <c r="F39" s="10"/>
    </row>
    <row r="40" spans="1:20">
      <c r="D40" s="6"/>
      <c r="E40" s="6"/>
      <c r="F40" s="6"/>
    </row>
  </sheetData>
  <pageMargins left="0.70866141732283472" right="0.70866141732283472" top="0.74803149606299213" bottom="0.74803149606299213" header="0.31496062992125984" footer="0.31496062992125984"/>
  <pageSetup scale="75" orientation="portrait" r:id="rId1"/>
  <colBreaks count="2" manualBreakCount="2">
    <brk id="6" max="35" man="1"/>
    <brk id="12" max="3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6BE6D-0F7D-4E8C-96C4-1C8C614DCDD6}">
  <sheetPr codeName="Sheet8"/>
  <dimension ref="A1:Y108"/>
  <sheetViews>
    <sheetView view="pageBreakPreview" topLeftCell="A39" zoomScale="70" zoomScaleNormal="85" zoomScaleSheetLayoutView="70" workbookViewId="0">
      <selection activeCell="P71" sqref="P71"/>
    </sheetView>
  </sheetViews>
  <sheetFormatPr defaultColWidth="9.140625" defaultRowHeight="15.75"/>
  <cols>
    <col min="1" max="2" width="4.7109375" style="2" customWidth="1"/>
    <col min="3" max="3" width="3.5703125" style="27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3.5703125" style="3" customWidth="1"/>
    <col min="10" max="10" width="25.5703125" style="2" customWidth="1"/>
    <col min="11" max="11" width="13.5703125" style="2" customWidth="1"/>
    <col min="12" max="12" width="13.7109375" style="2" customWidth="1"/>
    <col min="13" max="14" width="4.7109375" style="2" customWidth="1"/>
    <col min="15" max="15" width="3.5703125" style="26" customWidth="1"/>
    <col min="16" max="16" width="25.5703125" style="2" customWidth="1"/>
    <col min="17" max="17" width="13.5703125" style="2" customWidth="1"/>
    <col min="18" max="18" width="13.7109375" style="2" customWidth="1"/>
    <col min="19" max="19" width="11.5703125" style="2" bestFit="1" customWidth="1"/>
    <col min="20" max="20" width="11.28515625" style="2" bestFit="1" customWidth="1"/>
    <col min="21" max="16384" width="9.140625" style="2"/>
  </cols>
  <sheetData>
    <row r="1" spans="1:18" s="27" customFormat="1" ht="18">
      <c r="A1" s="78"/>
      <c r="B1" s="71"/>
      <c r="C1" s="71"/>
      <c r="D1" s="71"/>
      <c r="E1" s="71"/>
      <c r="F1" s="79" t="s">
        <v>235</v>
      </c>
      <c r="G1" s="41"/>
      <c r="H1" s="42"/>
      <c r="I1" s="57"/>
      <c r="J1" s="42"/>
      <c r="K1" s="70"/>
      <c r="L1" s="79" t="s">
        <v>235</v>
      </c>
      <c r="M1" s="78"/>
      <c r="N1" s="71"/>
      <c r="O1" s="80"/>
      <c r="P1" s="71"/>
      <c r="Q1" s="71"/>
      <c r="R1" s="79" t="s">
        <v>235</v>
      </c>
    </row>
    <row r="2" spans="1:18" ht="18">
      <c r="A2" s="44"/>
      <c r="B2" s="34"/>
      <c r="C2" s="34"/>
      <c r="D2" s="34"/>
      <c r="E2" s="34"/>
      <c r="F2" s="45"/>
      <c r="G2" s="44"/>
      <c r="H2" s="34"/>
      <c r="I2" s="36"/>
      <c r="J2" s="34"/>
      <c r="K2" s="34"/>
      <c r="L2" s="45"/>
      <c r="M2" s="44"/>
      <c r="N2" s="34"/>
      <c r="O2" s="36"/>
      <c r="P2" s="34"/>
      <c r="Q2" s="34"/>
      <c r="R2" s="45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6"/>
      <c r="J3" s="35" t="s">
        <v>0</v>
      </c>
      <c r="K3" s="36"/>
      <c r="L3" s="45"/>
      <c r="M3" s="44"/>
      <c r="N3" s="34"/>
      <c r="O3" s="36"/>
      <c r="P3" s="35" t="s">
        <v>0</v>
      </c>
      <c r="Q3" s="36"/>
      <c r="R3" s="45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6"/>
      <c r="J4" s="35" t="s">
        <v>1</v>
      </c>
      <c r="K4" s="36"/>
      <c r="L4" s="45"/>
      <c r="M4" s="44"/>
      <c r="N4" s="34"/>
      <c r="O4" s="36"/>
      <c r="P4" s="35" t="s">
        <v>1</v>
      </c>
      <c r="Q4" s="36"/>
      <c r="R4" s="45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6"/>
      <c r="J5" s="35" t="s">
        <v>162</v>
      </c>
      <c r="K5" s="36"/>
      <c r="L5" s="45"/>
      <c r="M5" s="44"/>
      <c r="N5" s="34"/>
      <c r="O5" s="36"/>
      <c r="P5" s="35" t="s">
        <v>162</v>
      </c>
      <c r="Q5" s="36"/>
      <c r="R5" s="45"/>
    </row>
    <row r="6" spans="1:18" ht="18">
      <c r="A6" s="44"/>
      <c r="B6" s="34"/>
      <c r="C6" s="34"/>
      <c r="D6" s="34"/>
      <c r="E6" s="34"/>
      <c r="F6" s="45"/>
      <c r="G6" s="44"/>
      <c r="H6" s="34"/>
      <c r="I6" s="36"/>
      <c r="J6" s="34"/>
      <c r="K6" s="34"/>
      <c r="L6" s="45"/>
      <c r="M6" s="44"/>
      <c r="N6" s="34"/>
      <c r="O6" s="36"/>
      <c r="P6" s="34"/>
      <c r="Q6" s="34"/>
      <c r="R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6"/>
      <c r="J7" s="34"/>
      <c r="K7" s="34"/>
      <c r="L7" s="45"/>
      <c r="M7" s="44"/>
      <c r="N7" s="34"/>
      <c r="O7" s="36"/>
      <c r="P7" s="34"/>
      <c r="Q7" s="34"/>
      <c r="R7" s="45"/>
    </row>
    <row r="8" spans="1:18">
      <c r="A8" s="47"/>
      <c r="B8" s="27"/>
      <c r="D8" s="3" t="s">
        <v>3</v>
      </c>
      <c r="E8" s="3"/>
      <c r="F8" s="48"/>
      <c r="G8" s="47"/>
      <c r="H8" s="27"/>
      <c r="J8" s="3" t="s">
        <v>3</v>
      </c>
      <c r="K8" s="3"/>
      <c r="L8" s="49"/>
      <c r="M8" s="47"/>
      <c r="N8" s="27"/>
      <c r="O8" s="3"/>
      <c r="P8" s="3" t="s">
        <v>3</v>
      </c>
      <c r="Q8" s="3"/>
      <c r="R8" s="49"/>
    </row>
    <row r="9" spans="1:18">
      <c r="A9" s="47"/>
      <c r="B9" s="27"/>
      <c r="D9" s="27" t="s">
        <v>319</v>
      </c>
      <c r="E9" s="27"/>
      <c r="F9" s="49"/>
      <c r="G9" s="47"/>
      <c r="H9" s="27"/>
      <c r="J9" s="27" t="str">
        <f>D9</f>
        <v>FEB 16-28, 2026</v>
      </c>
      <c r="K9" s="27"/>
      <c r="L9" s="49"/>
      <c r="M9" s="47"/>
      <c r="N9" s="27"/>
      <c r="O9" s="3"/>
      <c r="P9" s="27" t="str">
        <f>J9</f>
        <v>FEB 16-28, 2026</v>
      </c>
      <c r="Q9" s="27"/>
      <c r="R9" s="49"/>
    </row>
    <row r="10" spans="1:18">
      <c r="A10" s="47"/>
      <c r="B10" s="27"/>
      <c r="D10" s="27"/>
      <c r="E10" s="27"/>
      <c r="F10" s="49"/>
      <c r="G10" s="47"/>
      <c r="H10" s="27"/>
      <c r="J10" s="27"/>
      <c r="K10" s="27"/>
      <c r="L10" s="49"/>
      <c r="M10" s="47"/>
      <c r="N10" s="27"/>
      <c r="O10" s="3"/>
      <c r="P10" s="27"/>
      <c r="Q10" s="27"/>
      <c r="R10" s="49"/>
    </row>
    <row r="11" spans="1:18" s="27" customFormat="1">
      <c r="A11" s="47"/>
      <c r="C11" s="3">
        <v>21</v>
      </c>
      <c r="D11" s="3" t="str">
        <f>VLOOKUP(C11,'MASTER DATA'!$A:$E,5,FALSE)</f>
        <v>SALVANIA, JEFFREY</v>
      </c>
      <c r="F11" s="49"/>
      <c r="G11" s="47"/>
      <c r="I11" s="3">
        <v>14</v>
      </c>
      <c r="J11" s="3" t="str">
        <f>VLOOKUP(I11,'MASTER DATA (2)'!$A:$E,5,FALSE)</f>
        <v>ESTAPON, LESLIE DC.</v>
      </c>
      <c r="L11" s="49"/>
      <c r="M11" s="47"/>
      <c r="O11" s="3">
        <v>23</v>
      </c>
      <c r="P11" s="3" t="str">
        <f>VLOOKUP(O11,'MASTER DATA'!$A:$E,5,FALSE)</f>
        <v>MARTIN, ORLAN LEONARD E.</v>
      </c>
      <c r="R11" s="49"/>
    </row>
    <row r="12" spans="1:18" s="27" customFormat="1">
      <c r="A12" s="47"/>
      <c r="C12" s="3"/>
      <c r="D12" s="3" t="str">
        <f>VLOOKUP(C11,'MASTER DATA'!$A:$F,6,FALSE)</f>
        <v>ACCTG.</v>
      </c>
      <c r="F12" s="49"/>
      <c r="G12" s="47"/>
      <c r="I12" s="3"/>
      <c r="J12" s="3" t="str">
        <f>D12</f>
        <v>ACCTG.</v>
      </c>
      <c r="L12" s="49"/>
      <c r="M12" s="47"/>
      <c r="O12" s="3"/>
      <c r="P12" s="3" t="str">
        <f>VLOOKUP(O11,'MASTER DATA'!$A:$F,6,FALSE)</f>
        <v>ACCTG.</v>
      </c>
      <c r="R12" s="49"/>
    </row>
    <row r="13" spans="1:18" s="27" customFormat="1">
      <c r="A13" s="47"/>
      <c r="D13" s="29" t="str">
        <f>VLOOKUP(C11,'MASTER DATA'!$A:$G,7,FALSE)</f>
        <v>Administrative Asst. II</v>
      </c>
      <c r="F13" s="49"/>
      <c r="G13" s="47"/>
      <c r="I13" s="3"/>
      <c r="J13" s="29" t="str">
        <f>VLOOKUP(I11,'MASTER DATA (2)'!$A:$G,7,FALSE)</f>
        <v>Administrative Asst. II</v>
      </c>
      <c r="L13" s="49"/>
      <c r="M13" s="47"/>
      <c r="O13" s="3"/>
      <c r="P13" s="29" t="str">
        <f>VLOOKUP(O11,'MASTER DATA'!$A:$G,7,FALSE)</f>
        <v>Administrative Asst. II</v>
      </c>
      <c r="R13" s="49"/>
    </row>
    <row r="14" spans="1:18" s="27" customFormat="1">
      <c r="A14" s="47"/>
      <c r="D14" s="27" t="s">
        <v>4</v>
      </c>
      <c r="E14" s="30">
        <f>SUMIF('MASTER DATA'!$A:$A,ACCTG!C11,'MASTER DATA'!$N:$N)</f>
        <v>9872</v>
      </c>
      <c r="F14" s="50"/>
      <c r="G14" s="47"/>
      <c r="I14" s="3"/>
      <c r="J14" s="27" t="s">
        <v>4</v>
      </c>
      <c r="K14" s="30">
        <f>SUMIF('MASTER DATA (2)'!$A:$A,ACCTG!I11,'MASTER DATA (2)'!$N:$N)</f>
        <v>9872</v>
      </c>
      <c r="L14" s="49"/>
      <c r="M14" s="47"/>
      <c r="O14" s="3"/>
      <c r="P14" s="27" t="s">
        <v>4</v>
      </c>
      <c r="Q14" s="30">
        <f>SUMIF('MASTER DATA'!$A:$A,ACCTG!O11,'MASTER DATA'!$N:$N)</f>
        <v>9872</v>
      </c>
      <c r="R14" s="49"/>
    </row>
    <row r="15" spans="1:18" s="27" customFormat="1" ht="17.25">
      <c r="A15" s="47"/>
      <c r="E15" s="37"/>
      <c r="F15" s="51"/>
      <c r="G15" s="47"/>
      <c r="I15" s="3"/>
      <c r="K15" s="37"/>
      <c r="L15" s="49"/>
      <c r="M15" s="47"/>
      <c r="O15" s="3"/>
      <c r="Q15" s="37"/>
      <c r="R15" s="49"/>
    </row>
    <row r="16" spans="1:18" s="27" customFormat="1">
      <c r="A16" s="47"/>
      <c r="E16" s="30"/>
      <c r="F16" s="50"/>
      <c r="G16" s="47"/>
      <c r="I16" s="3"/>
      <c r="K16" s="30"/>
      <c r="L16" s="49"/>
      <c r="M16" s="47"/>
      <c r="O16" s="3"/>
      <c r="Q16" s="30"/>
      <c r="R16" s="49"/>
    </row>
    <row r="17" spans="1:25" s="27" customFormat="1" ht="17.25">
      <c r="A17" s="47"/>
      <c r="E17" s="37"/>
      <c r="F17" s="51"/>
      <c r="G17" s="47"/>
      <c r="I17" s="3"/>
      <c r="K17" s="37"/>
      <c r="L17" s="49"/>
      <c r="M17" s="47"/>
      <c r="O17" s="3"/>
      <c r="Q17" s="37"/>
      <c r="R17" s="49"/>
    </row>
    <row r="18" spans="1:25" s="27" customFormat="1">
      <c r="A18" s="47"/>
      <c r="D18" s="39" t="s">
        <v>5</v>
      </c>
      <c r="E18" s="40" t="s">
        <v>6</v>
      </c>
      <c r="F18" s="52"/>
      <c r="G18" s="47"/>
      <c r="I18" s="3"/>
      <c r="J18" s="39" t="s">
        <v>5</v>
      </c>
      <c r="K18" s="40" t="s">
        <v>6</v>
      </c>
      <c r="L18" s="49"/>
      <c r="M18" s="47"/>
      <c r="O18" s="3"/>
      <c r="P18" s="39" t="s">
        <v>5</v>
      </c>
      <c r="Q18" s="40" t="s">
        <v>6</v>
      </c>
      <c r="R18" s="49"/>
    </row>
    <row r="19" spans="1:25" s="27" customFormat="1">
      <c r="A19" s="47"/>
      <c r="F19" s="49"/>
      <c r="G19" s="60"/>
      <c r="H19" s="30"/>
      <c r="I19" s="28"/>
      <c r="L19" s="49"/>
      <c r="M19" s="60"/>
      <c r="N19" s="30"/>
      <c r="O19" s="28"/>
      <c r="R19" s="49"/>
    </row>
    <row r="20" spans="1:25" s="27" customFormat="1">
      <c r="A20" s="47"/>
      <c r="D20" s="30" t="s">
        <v>7</v>
      </c>
      <c r="E20" s="30">
        <f>SUMIF('MASTER DATA'!$A:$A,ACCTG!C11,'MASTER DATA'!$AL:$AL)</f>
        <v>0</v>
      </c>
      <c r="F20" s="50"/>
      <c r="G20" s="60"/>
      <c r="H20" s="30"/>
      <c r="I20" s="28"/>
      <c r="J20" s="30" t="s">
        <v>7</v>
      </c>
      <c r="K20" s="30">
        <f>SUMIF('MASTER DATA (2)'!$A:$A,ACCTG!I11,'MASTER DATA (2)'!$AL:$AL)</f>
        <v>0</v>
      </c>
      <c r="L20" s="49"/>
      <c r="M20" s="60"/>
      <c r="N20" s="30"/>
      <c r="O20" s="28"/>
      <c r="P20" s="30" t="s">
        <v>7</v>
      </c>
      <c r="Q20" s="30">
        <f>SUMIF('MASTER DATA'!$A:$A,ACCTG!O11,'MASTER DATA'!$AL:$AL)</f>
        <v>0</v>
      </c>
      <c r="R20" s="49"/>
    </row>
    <row r="21" spans="1:25" s="27" customFormat="1">
      <c r="A21" s="47"/>
      <c r="D21" s="31" t="s">
        <v>8</v>
      </c>
      <c r="E21" s="30">
        <f>SUMIF('MASTER DATA'!$A:$A,ACCTG!C11,'MASTER DATA'!$AM:$AM)+(SUMIF('MASTER DATA'!$A:$A,ACCTG!C11,'MASTER DATA'!$AN:$AN))</f>
        <v>0</v>
      </c>
      <c r="F21" s="50"/>
      <c r="G21" s="60"/>
      <c r="H21" s="30"/>
      <c r="I21" s="28"/>
      <c r="J21" s="31" t="s">
        <v>8</v>
      </c>
      <c r="K21" s="30">
        <f>SUMIF('MASTER DATA (2)'!$A:$A,ACCTG!I11,'MASTER DATA (2)'!$AM:$AM)+(SUMIF('MASTER DATA (2)'!$A:$A,ACCTG!I11,'MASTER DATA (2)'!$AN:$AN))</f>
        <v>33.65</v>
      </c>
      <c r="L21" s="49"/>
      <c r="M21" s="60"/>
      <c r="N21" s="30"/>
      <c r="O21" s="28"/>
      <c r="P21" s="31" t="s">
        <v>8</v>
      </c>
      <c r="Q21" s="30">
        <f>SUMIF('MASTER DATA'!$A:$A,ACCTG!O11,'MASTER DATA'!$AM:$AM)+(SUMIF('MASTER DATA'!$A:$A,ACCTG!O11,'MASTER DATA'!$AN:$AN))</f>
        <v>59.83</v>
      </c>
      <c r="R21" s="49"/>
    </row>
    <row r="22" spans="1:25" s="27" customFormat="1" ht="17.25">
      <c r="A22" s="47"/>
      <c r="D22" s="30" t="s">
        <v>9</v>
      </c>
      <c r="E22" s="32">
        <f>SUMIF('MASTER DATA'!$A:$A,ACCTG!C11,'MASTER DATA'!$AP:$AP)</f>
        <v>0</v>
      </c>
      <c r="F22" s="50"/>
      <c r="G22" s="60"/>
      <c r="H22" s="30"/>
      <c r="I22" s="28"/>
      <c r="J22" s="30" t="s">
        <v>9</v>
      </c>
      <c r="K22" s="37">
        <f>SUMIF('MASTER DATA (2)'!$A:$A,ACCTG!I11,'MASTER DATA (2)'!$AP:$AP)</f>
        <v>0</v>
      </c>
      <c r="L22" s="49"/>
      <c r="M22" s="60"/>
      <c r="N22" s="30"/>
      <c r="O22" s="28"/>
      <c r="P22" s="30" t="s">
        <v>9</v>
      </c>
      <c r="Q22" s="32">
        <f>SUMIF('MASTER DATA'!$A:$A,ACCTG!O11,'MASTER DATA'!$AP:$AP)</f>
        <v>0</v>
      </c>
      <c r="R22" s="49"/>
    </row>
    <row r="23" spans="1:25" s="27" customFormat="1">
      <c r="A23" s="47"/>
      <c r="D23" s="30" t="s">
        <v>10</v>
      </c>
      <c r="E23" s="30">
        <f>SUM(E20:E22)</f>
        <v>0</v>
      </c>
      <c r="F23" s="50"/>
      <c r="G23" s="60"/>
      <c r="H23" s="30"/>
      <c r="I23" s="28"/>
      <c r="J23" s="30" t="s">
        <v>10</v>
      </c>
      <c r="K23" s="30">
        <f>SUM(K20:K22)</f>
        <v>33.65</v>
      </c>
      <c r="L23" s="49"/>
      <c r="M23" s="60"/>
      <c r="N23" s="30"/>
      <c r="O23" s="28"/>
      <c r="P23" s="30" t="s">
        <v>10</v>
      </c>
      <c r="Q23" s="30">
        <f>SUM(Q20:Q22)</f>
        <v>59.83</v>
      </c>
      <c r="R23" s="49"/>
    </row>
    <row r="24" spans="1:25" s="27" customFormat="1">
      <c r="A24" s="47"/>
      <c r="D24" s="30"/>
      <c r="E24" s="30"/>
      <c r="F24" s="50"/>
      <c r="G24" s="60"/>
      <c r="H24" s="30"/>
      <c r="I24" s="28"/>
      <c r="J24" s="30"/>
      <c r="K24" s="30"/>
      <c r="L24" s="49"/>
      <c r="M24" s="60"/>
      <c r="N24" s="30"/>
      <c r="O24" s="28"/>
      <c r="P24" s="30"/>
      <c r="Q24" s="30"/>
      <c r="R24" s="49"/>
      <c r="Y24" s="3" t="s">
        <v>11</v>
      </c>
    </row>
    <row r="25" spans="1:25" s="27" customFormat="1">
      <c r="A25" s="47"/>
      <c r="D25" s="30" t="s">
        <v>12</v>
      </c>
      <c r="E25" s="30">
        <f>E14-E23</f>
        <v>9872</v>
      </c>
      <c r="F25" s="50"/>
      <c r="G25" s="60"/>
      <c r="H25" s="30"/>
      <c r="I25" s="28"/>
      <c r="J25" s="30" t="s">
        <v>12</v>
      </c>
      <c r="K25" s="30">
        <f>K14-K23</f>
        <v>9838.35</v>
      </c>
      <c r="L25" s="49"/>
      <c r="M25" s="60"/>
      <c r="N25" s="30"/>
      <c r="O25" s="28"/>
      <c r="P25" s="30" t="s">
        <v>12</v>
      </c>
      <c r="Q25" s="30">
        <f>Q14-Q23</f>
        <v>9812.17</v>
      </c>
      <c r="R25" s="49"/>
    </row>
    <row r="26" spans="1:25" s="27" customFormat="1">
      <c r="A26" s="47"/>
      <c r="D26" s="30" t="s">
        <v>13</v>
      </c>
      <c r="E26" s="30"/>
      <c r="F26" s="50"/>
      <c r="G26" s="60"/>
      <c r="H26" s="30"/>
      <c r="I26" s="28"/>
      <c r="J26" s="30" t="s">
        <v>13</v>
      </c>
      <c r="K26" s="30"/>
      <c r="L26" s="49"/>
      <c r="M26" s="60"/>
      <c r="N26" s="30"/>
      <c r="O26" s="28"/>
      <c r="P26" s="30" t="s">
        <v>13</v>
      </c>
      <c r="Q26" s="30"/>
      <c r="R26" s="49"/>
    </row>
    <row r="27" spans="1:25" s="27" customFormat="1">
      <c r="A27" s="47"/>
      <c r="D27" s="30" t="s">
        <v>14</v>
      </c>
      <c r="E27" s="30">
        <f>SUMIF('MASTER DATA'!$A:$A,ACCTG!C11,'MASTER DATA'!$AS:$AS)</f>
        <v>0</v>
      </c>
      <c r="F27" s="50"/>
      <c r="G27" s="60"/>
      <c r="H27" s="30"/>
      <c r="I27" s="28"/>
      <c r="J27" s="30" t="s">
        <v>14</v>
      </c>
      <c r="K27" s="30">
        <f>SUMIF('MASTER DATA (2)'!$A:$A,ACCTG!I11,'MASTER DATA (2)'!$AS:$AS)</f>
        <v>0</v>
      </c>
      <c r="L27" s="49"/>
      <c r="M27" s="60"/>
      <c r="N27" s="30"/>
      <c r="O27" s="28"/>
      <c r="P27" s="30" t="s">
        <v>14</v>
      </c>
      <c r="Q27" s="30">
        <f>SUMIF('MASTER DATA'!$A:$A,ACCTG!O11,'MASTER DATA'!$AS:$AS)</f>
        <v>0</v>
      </c>
      <c r="R27" s="49"/>
    </row>
    <row r="28" spans="1:25" s="27" customFormat="1">
      <c r="A28" s="47"/>
      <c r="D28" s="69" t="s">
        <v>160</v>
      </c>
      <c r="E28" s="30">
        <f>SUMIF('MASTER DATA'!$A:$A,ACCTG!C11,'MASTER DATA'!$AT:$AT)</f>
        <v>0</v>
      </c>
      <c r="F28" s="50"/>
      <c r="G28" s="60"/>
      <c r="H28" s="30"/>
      <c r="I28" s="28"/>
      <c r="J28" s="69" t="s">
        <v>160</v>
      </c>
      <c r="K28" s="30">
        <f>SUMIF('MASTER DATA (2)'!$A:$A,ACCTG!I11,'MASTER DATA (2)'!$AT:$AT)</f>
        <v>0</v>
      </c>
      <c r="L28" s="49"/>
      <c r="M28" s="60"/>
      <c r="N28" s="30"/>
      <c r="O28" s="28"/>
      <c r="P28" s="69" t="s">
        <v>160</v>
      </c>
      <c r="Q28" s="30">
        <f>SUMIF('MASTER DATA'!$A:$A,ACCTG!O11,'MASTER DATA'!$AT:$AT)</f>
        <v>0</v>
      </c>
      <c r="R28" s="49"/>
    </row>
    <row r="29" spans="1:25" s="27" customFormat="1">
      <c r="A29" s="47"/>
      <c r="D29" s="30" t="s">
        <v>15</v>
      </c>
      <c r="E29" s="30">
        <f>SUMIF('MASTER DATA'!$A:$A,ACCTG!C11,'MASTER DATA'!$AU:$AU)</f>
        <v>0</v>
      </c>
      <c r="F29" s="50"/>
      <c r="G29" s="60"/>
      <c r="H29" s="30"/>
      <c r="I29" s="28"/>
      <c r="J29" s="30" t="s">
        <v>15</v>
      </c>
      <c r="K29" s="30">
        <f>SUMIF('MASTER DATA'!$A:$A,ACCTG!I11,'MASTER DATA (2)'!$AU:$AU)</f>
        <v>0</v>
      </c>
      <c r="L29" s="49"/>
      <c r="M29" s="60"/>
      <c r="N29" s="30"/>
      <c r="O29" s="28"/>
      <c r="P29" s="30" t="s">
        <v>15</v>
      </c>
      <c r="Q29" s="30">
        <f>SUMIF('MASTER DATA'!$A:$A,ACCTG!O11,'MASTER DATA'!$AU:$AU)</f>
        <v>0</v>
      </c>
      <c r="R29" s="49"/>
      <c r="T29" s="29"/>
    </row>
    <row r="30" spans="1:25" s="27" customFormat="1">
      <c r="A30" s="47"/>
      <c r="D30" s="30" t="s">
        <v>19</v>
      </c>
      <c r="E30" s="30">
        <f>SUMIF('MASTER DATA'!$A:$A,ACCTG!C11,'MASTER DATA'!$AV:$AV)</f>
        <v>0</v>
      </c>
      <c r="F30" s="50"/>
      <c r="G30" s="60"/>
      <c r="H30" s="30"/>
      <c r="I30" s="28"/>
      <c r="J30" s="30" t="s">
        <v>19</v>
      </c>
      <c r="K30" s="30">
        <f>SUMIF('MASTER DATA'!$A:$A,ACCTG!I11,'MASTER DATA (2)'!$AV:$AV)</f>
        <v>0</v>
      </c>
      <c r="L30" s="49"/>
      <c r="M30" s="60"/>
      <c r="N30" s="30"/>
      <c r="O30" s="28"/>
      <c r="P30" s="30" t="s">
        <v>19</v>
      </c>
      <c r="Q30" s="30">
        <f>SUMIF('MASTER DATA'!$A:$A,ACCTG!O11,'MASTER DATA'!$AV:$AV)</f>
        <v>0</v>
      </c>
      <c r="R30" s="49"/>
      <c r="T30" s="29"/>
    </row>
    <row r="31" spans="1:25" s="27" customFormat="1">
      <c r="A31" s="47"/>
      <c r="D31" s="30" t="s">
        <v>20</v>
      </c>
      <c r="E31" s="30">
        <f>SUMIF('MASTER DATA'!$A:$A,ACCTG!C11,'MASTER DATA'!$AW:$AW)</f>
        <v>0</v>
      </c>
      <c r="F31" s="50"/>
      <c r="G31" s="60"/>
      <c r="H31" s="30"/>
      <c r="I31" s="28"/>
      <c r="J31" s="30" t="s">
        <v>20</v>
      </c>
      <c r="K31" s="30">
        <f>SUMIF('MASTER DATA'!$A:$A,INFRA!I11,'MASTER DATA (2)'!$AX:$AX)</f>
        <v>0</v>
      </c>
      <c r="L31" s="49"/>
      <c r="M31" s="60"/>
      <c r="N31" s="30"/>
      <c r="O31" s="28"/>
      <c r="P31" s="30" t="s">
        <v>20</v>
      </c>
      <c r="Q31" s="30">
        <f>SUMIF('MASTER DATA'!$A:$A,ACCTG!O11,'MASTER DATA'!$AW:$AW)</f>
        <v>0</v>
      </c>
      <c r="R31" s="49"/>
      <c r="T31" s="29"/>
    </row>
    <row r="32" spans="1:25" s="27" customFormat="1">
      <c r="A32" s="47"/>
      <c r="D32" s="30" t="s">
        <v>23</v>
      </c>
      <c r="E32" s="30">
        <f>SUMIF('MASTER DATA'!$A:$A,ACCTG!C11,'MASTER DATA'!$AX:$AX)</f>
        <v>0</v>
      </c>
      <c r="F32" s="50"/>
      <c r="G32" s="60"/>
      <c r="H32" s="30"/>
      <c r="I32" s="28"/>
      <c r="J32" s="362" t="s">
        <v>23</v>
      </c>
      <c r="K32" s="30">
        <f>SUMIF('MASTER DATA'!$A:$A,ACCTG!I11,'MASTER DATA (2)'!$AW:$AW)</f>
        <v>0</v>
      </c>
      <c r="L32" s="49"/>
      <c r="M32" s="60"/>
      <c r="N32" s="30"/>
      <c r="O32" s="28"/>
      <c r="P32" s="30" t="s">
        <v>23</v>
      </c>
      <c r="Q32" s="30">
        <f>SUMIF('MASTER DATA'!$A:$A,ACCTG!O11,'MASTER DATA'!$AX:$AX)</f>
        <v>0</v>
      </c>
      <c r="R32" s="49"/>
      <c r="T32" s="29"/>
    </row>
    <row r="33" spans="1:20" s="27" customFormat="1" ht="16.5" thickBot="1">
      <c r="A33" s="47"/>
      <c r="D33" s="28" t="s">
        <v>16</v>
      </c>
      <c r="E33" s="33">
        <f>E25-SUM(E26:E32)</f>
        <v>9872</v>
      </c>
      <c r="F33" s="53"/>
      <c r="G33" s="60"/>
      <c r="H33" s="30"/>
      <c r="I33" s="28"/>
      <c r="J33" s="28" t="s">
        <v>16</v>
      </c>
      <c r="K33" s="33">
        <f>K25-SUM(K26:K32)</f>
        <v>9838.35</v>
      </c>
      <c r="L33" s="49"/>
      <c r="M33" s="60"/>
      <c r="N33" s="30"/>
      <c r="O33" s="28"/>
      <c r="P33" s="28" t="s">
        <v>16</v>
      </c>
      <c r="Q33" s="33">
        <f>Q25-SUM(Q26:Q32)</f>
        <v>9812.17</v>
      </c>
      <c r="R33" s="49"/>
      <c r="T33" s="29"/>
    </row>
    <row r="34" spans="1:20" s="27" customFormat="1" ht="16.5" thickTop="1">
      <c r="A34" s="47"/>
      <c r="D34" s="30"/>
      <c r="E34" s="30"/>
      <c r="F34" s="50"/>
      <c r="G34" s="60"/>
      <c r="H34" s="30"/>
      <c r="I34" s="28"/>
      <c r="J34" s="30"/>
      <c r="K34" s="30"/>
      <c r="L34" s="49"/>
      <c r="M34" s="60"/>
      <c r="N34" s="30"/>
      <c r="O34" s="28"/>
      <c r="P34" s="30"/>
      <c r="Q34" s="30"/>
      <c r="R34" s="49"/>
    </row>
    <row r="35" spans="1:20" s="27" customFormat="1" ht="60">
      <c r="A35" s="47"/>
      <c r="D35" s="88"/>
      <c r="F35" s="49"/>
      <c r="G35" s="60"/>
      <c r="H35" s="30"/>
      <c r="I35" s="28"/>
      <c r="J35" s="88" t="s">
        <v>318</v>
      </c>
      <c r="L35" s="49"/>
      <c r="M35" s="60"/>
      <c r="N35" s="30"/>
      <c r="O35" s="28"/>
      <c r="P35" s="88" t="s">
        <v>318</v>
      </c>
      <c r="R35" s="49"/>
      <c r="S35" s="29"/>
    </row>
    <row r="36" spans="1:20" s="27" customFormat="1" ht="16.5" thickBot="1">
      <c r="A36" s="54"/>
      <c r="B36" s="55"/>
      <c r="C36" s="55"/>
      <c r="D36" s="55"/>
      <c r="E36" s="55"/>
      <c r="F36" s="56"/>
      <c r="G36" s="62"/>
      <c r="H36" s="63"/>
      <c r="I36" s="64"/>
      <c r="J36" s="55"/>
      <c r="K36" s="55"/>
      <c r="L36" s="56"/>
      <c r="M36" s="62"/>
      <c r="N36" s="63"/>
      <c r="O36" s="64"/>
      <c r="P36" s="55"/>
      <c r="Q36" s="55"/>
      <c r="R36" s="56"/>
      <c r="S36" s="65"/>
    </row>
    <row r="37" spans="1:20" ht="18">
      <c r="A37" s="41"/>
      <c r="B37" s="42"/>
      <c r="C37" s="42"/>
      <c r="D37" s="42"/>
      <c r="E37" s="42"/>
      <c r="F37" s="79" t="s">
        <v>235</v>
      </c>
      <c r="G37" s="41"/>
      <c r="H37" s="42"/>
      <c r="I37" s="57"/>
      <c r="J37" s="42"/>
      <c r="K37" s="70"/>
      <c r="L37" s="79" t="s">
        <v>235</v>
      </c>
      <c r="M37" s="41"/>
      <c r="N37" s="42"/>
      <c r="O37" s="57"/>
      <c r="P37" s="42"/>
      <c r="Q37" s="70"/>
      <c r="R37" s="79" t="s">
        <v>235</v>
      </c>
    </row>
    <row r="38" spans="1:20" ht="18">
      <c r="A38" s="44"/>
      <c r="B38" s="34"/>
      <c r="C38" s="34"/>
      <c r="D38" s="34"/>
      <c r="E38" s="34"/>
      <c r="F38" s="45"/>
      <c r="G38" s="44"/>
      <c r="H38" s="34"/>
      <c r="I38" s="36"/>
      <c r="J38" s="34"/>
      <c r="K38" s="34"/>
      <c r="L38" s="45"/>
      <c r="M38" s="44"/>
      <c r="N38" s="34"/>
      <c r="O38" s="36"/>
      <c r="P38" s="34"/>
      <c r="Q38" s="34"/>
      <c r="R38" s="45"/>
    </row>
    <row r="39" spans="1:20" ht="18">
      <c r="A39" s="44"/>
      <c r="B39" s="34"/>
      <c r="C39" s="34"/>
      <c r="D39" s="35" t="s">
        <v>0</v>
      </c>
      <c r="E39" s="36"/>
      <c r="F39" s="46"/>
      <c r="G39" s="44"/>
      <c r="H39" s="34"/>
      <c r="I39" s="36"/>
      <c r="J39" s="35" t="s">
        <v>0</v>
      </c>
      <c r="K39" s="36"/>
      <c r="L39" s="45"/>
      <c r="M39" s="44"/>
      <c r="N39" s="34"/>
      <c r="O39" s="36"/>
      <c r="P39" s="35" t="s">
        <v>0</v>
      </c>
      <c r="Q39" s="36"/>
      <c r="R39" s="45"/>
    </row>
    <row r="40" spans="1:20" ht="18">
      <c r="A40" s="44"/>
      <c r="B40" s="34"/>
      <c r="C40" s="34"/>
      <c r="D40" s="35" t="s">
        <v>1</v>
      </c>
      <c r="E40" s="36"/>
      <c r="F40" s="46"/>
      <c r="G40" s="44"/>
      <c r="H40" s="34"/>
      <c r="I40" s="36"/>
      <c r="J40" s="35" t="s">
        <v>1</v>
      </c>
      <c r="K40" s="36"/>
      <c r="L40" s="45"/>
      <c r="M40" s="44"/>
      <c r="N40" s="34"/>
      <c r="O40" s="36"/>
      <c r="P40" s="35" t="s">
        <v>1</v>
      </c>
      <c r="Q40" s="36"/>
      <c r="R40" s="45"/>
    </row>
    <row r="41" spans="1:20" ht="18">
      <c r="A41" s="44"/>
      <c r="B41" s="34"/>
      <c r="C41" s="34"/>
      <c r="D41" s="35" t="s">
        <v>162</v>
      </c>
      <c r="E41" s="36"/>
      <c r="F41" s="46"/>
      <c r="G41" s="44"/>
      <c r="H41" s="34"/>
      <c r="I41" s="36"/>
      <c r="J41" s="35" t="s">
        <v>162</v>
      </c>
      <c r="K41" s="36"/>
      <c r="L41" s="45"/>
      <c r="M41" s="44"/>
      <c r="N41" s="34"/>
      <c r="O41" s="36"/>
      <c r="P41" s="35" t="s">
        <v>162</v>
      </c>
      <c r="Q41" s="36"/>
      <c r="R41" s="45"/>
    </row>
    <row r="42" spans="1:20" ht="18">
      <c r="A42" s="44"/>
      <c r="B42" s="34"/>
      <c r="C42" s="34"/>
      <c r="D42" s="34"/>
      <c r="E42" s="34"/>
      <c r="F42" s="45"/>
      <c r="G42" s="44"/>
      <c r="H42" s="34"/>
      <c r="I42" s="36"/>
      <c r="J42" s="34"/>
      <c r="K42" s="34"/>
      <c r="L42" s="45"/>
      <c r="M42" s="44"/>
      <c r="N42" s="34"/>
      <c r="O42" s="36"/>
      <c r="P42" s="34"/>
      <c r="Q42" s="34"/>
      <c r="R42" s="45"/>
    </row>
    <row r="43" spans="1:20" ht="18">
      <c r="A43" s="44"/>
      <c r="B43" s="34"/>
      <c r="C43" s="34"/>
      <c r="D43" s="34"/>
      <c r="E43" s="34"/>
      <c r="F43" s="45"/>
      <c r="G43" s="44"/>
      <c r="H43" s="34"/>
      <c r="I43" s="36"/>
      <c r="J43" s="34"/>
      <c r="K43" s="34"/>
      <c r="L43" s="45"/>
      <c r="M43" s="44"/>
      <c r="N43" s="34"/>
      <c r="O43" s="36"/>
      <c r="P43" s="34"/>
      <c r="Q43" s="34"/>
      <c r="R43" s="45"/>
    </row>
    <row r="44" spans="1:20">
      <c r="A44" s="47"/>
      <c r="B44" s="27"/>
      <c r="D44" s="3" t="s">
        <v>3</v>
      </c>
      <c r="E44" s="3"/>
      <c r="F44" s="48"/>
      <c r="G44" s="47"/>
      <c r="H44" s="27"/>
      <c r="J44" s="3" t="s">
        <v>3</v>
      </c>
      <c r="K44" s="3"/>
      <c r="L44" s="49"/>
      <c r="M44" s="47"/>
      <c r="N44" s="27"/>
      <c r="O44" s="3"/>
      <c r="P44" s="3" t="s">
        <v>3</v>
      </c>
      <c r="Q44" s="3"/>
      <c r="R44" s="49"/>
    </row>
    <row r="45" spans="1:20">
      <c r="A45" s="47"/>
      <c r="B45" s="27"/>
      <c r="D45" s="27" t="str">
        <f>J9</f>
        <v>FEB 16-28, 2026</v>
      </c>
      <c r="E45" s="27"/>
      <c r="F45" s="49"/>
      <c r="G45" s="47"/>
      <c r="H45" s="27"/>
      <c r="J45" s="27" t="str">
        <f>D45</f>
        <v>FEB 16-28, 2026</v>
      </c>
      <c r="K45" s="27"/>
      <c r="L45" s="49"/>
      <c r="M45" s="47"/>
      <c r="N45" s="27"/>
      <c r="O45" s="3"/>
      <c r="P45" s="27" t="str">
        <f>D45</f>
        <v>FEB 16-28, 2026</v>
      </c>
      <c r="Q45" s="27"/>
      <c r="R45" s="49"/>
    </row>
    <row r="46" spans="1:20">
      <c r="A46" s="47"/>
      <c r="B46" s="27"/>
      <c r="D46" s="27"/>
      <c r="E46" s="27"/>
      <c r="F46" s="49"/>
      <c r="G46" s="47"/>
      <c r="H46" s="27"/>
      <c r="J46" s="27"/>
      <c r="K46" s="27"/>
      <c r="L46" s="49"/>
      <c r="M46" s="47"/>
      <c r="N46" s="27"/>
      <c r="O46" s="3"/>
      <c r="P46" s="27"/>
      <c r="Q46" s="27"/>
      <c r="R46" s="49"/>
    </row>
    <row r="47" spans="1:20">
      <c r="A47" s="47"/>
      <c r="B47" s="27"/>
      <c r="C47" s="3">
        <v>24</v>
      </c>
      <c r="D47" s="3" t="str">
        <f>VLOOKUP(C47,'MASTER DATA'!$A:$E,5,FALSE)</f>
        <v>MAGDARAOG, CHRISTINE NAZEL C.</v>
      </c>
      <c r="E47" s="27"/>
      <c r="F47" s="49"/>
      <c r="G47" s="47"/>
      <c r="H47" s="27"/>
      <c r="I47" s="3">
        <v>15</v>
      </c>
      <c r="J47" s="3" t="str">
        <f>VLOOKUP(I47,'MASTER DATA (2)'!$A:$E,5,FALSE)</f>
        <v>LOZANO, ADRIAN D.</v>
      </c>
      <c r="K47" s="27"/>
      <c r="L47" s="49"/>
      <c r="M47" s="47"/>
      <c r="N47" s="27"/>
      <c r="O47" s="3">
        <v>27</v>
      </c>
      <c r="P47" s="3" t="str">
        <f>VLOOKUP(O47,'MASTER DATA'!$A:$E,5,FALSE)</f>
        <v>CALDITO, CHARISSE D.</v>
      </c>
      <c r="Q47" s="27"/>
      <c r="R47" s="49"/>
    </row>
    <row r="48" spans="1:20">
      <c r="A48" s="47"/>
      <c r="B48" s="27"/>
      <c r="C48" s="3"/>
      <c r="D48" s="3" t="str">
        <f>VLOOKUP(C47,'MASTER DATA'!$A:$F,6,FALSE)</f>
        <v>ACCTG.</v>
      </c>
      <c r="E48" s="27"/>
      <c r="F48" s="49"/>
      <c r="G48" s="47"/>
      <c r="H48" s="27"/>
      <c r="J48" s="3" t="str">
        <f>D48</f>
        <v>ACCTG.</v>
      </c>
      <c r="K48" s="27"/>
      <c r="L48" s="49"/>
      <c r="M48" s="47"/>
      <c r="N48" s="27"/>
      <c r="O48" s="3"/>
      <c r="P48" s="3" t="str">
        <f>VLOOKUP(O47,'MASTER DATA'!$A:$F,6,FALSE)</f>
        <v>ACCTG.</v>
      </c>
      <c r="Q48" s="27"/>
      <c r="R48" s="49"/>
    </row>
    <row r="49" spans="1:18">
      <c r="A49" s="47"/>
      <c r="B49" s="27"/>
      <c r="D49" s="29" t="str">
        <f>VLOOKUP(C47,'MASTER DATA'!$A:$G,7,FALSE)</f>
        <v>Administrative Asst. II</v>
      </c>
      <c r="E49" s="27"/>
      <c r="F49" s="49"/>
      <c r="G49" s="47"/>
      <c r="H49" s="27"/>
      <c r="J49" s="29" t="str">
        <f>VLOOKUP(I47,'MASTER DATA (2)'!$A:$G,7,FALSE)</f>
        <v>Administrative Asst. II</v>
      </c>
      <c r="K49" s="27"/>
      <c r="L49" s="49"/>
      <c r="M49" s="47"/>
      <c r="N49" s="27"/>
      <c r="O49" s="27"/>
      <c r="P49" s="29" t="str">
        <f>VLOOKUP(O47,'MASTER DATA'!$A:$G,7,FALSE)</f>
        <v>Administrative Asst. II</v>
      </c>
      <c r="Q49" s="27"/>
      <c r="R49" s="49"/>
    </row>
    <row r="50" spans="1:18">
      <c r="A50" s="47"/>
      <c r="B50" s="27"/>
      <c r="D50" s="27" t="s">
        <v>4</v>
      </c>
      <c r="E50" s="30">
        <v>9872</v>
      </c>
      <c r="F50" s="50"/>
      <c r="G50" s="47"/>
      <c r="H50" s="27"/>
      <c r="J50" s="27" t="s">
        <v>4</v>
      </c>
      <c r="K50" s="30">
        <f>SUMIF('MASTER DATA (2)'!$A:$A,ACCTG!I47,'MASTER DATA (2)'!$N:$N)</f>
        <v>9872</v>
      </c>
      <c r="L50" s="49"/>
      <c r="M50" s="47"/>
      <c r="N50" s="27"/>
      <c r="O50" s="27"/>
      <c r="P50" s="27" t="s">
        <v>4</v>
      </c>
      <c r="Q50" s="30">
        <v>9872</v>
      </c>
      <c r="R50" s="49"/>
    </row>
    <row r="51" spans="1:18" ht="17.25">
      <c r="A51" s="47"/>
      <c r="B51" s="27"/>
      <c r="D51" s="27"/>
      <c r="E51" s="37"/>
      <c r="F51" s="51"/>
      <c r="G51" s="47"/>
      <c r="H51" s="27"/>
      <c r="J51" s="27"/>
      <c r="K51" s="37"/>
      <c r="L51" s="49"/>
      <c r="M51" s="47"/>
      <c r="N51" s="27"/>
      <c r="O51" s="27"/>
      <c r="P51" s="27"/>
      <c r="Q51" s="37"/>
      <c r="R51" s="49"/>
    </row>
    <row r="52" spans="1:18">
      <c r="A52" s="47"/>
      <c r="B52" s="27"/>
      <c r="D52" s="27"/>
      <c r="E52" s="30"/>
      <c r="F52" s="50"/>
      <c r="G52" s="47"/>
      <c r="H52" s="27"/>
      <c r="J52" s="27"/>
      <c r="K52" s="30"/>
      <c r="L52" s="49"/>
      <c r="M52" s="47"/>
      <c r="N52" s="27"/>
      <c r="O52" s="27"/>
      <c r="P52" s="27"/>
      <c r="Q52" s="30"/>
      <c r="R52" s="49"/>
    </row>
    <row r="53" spans="1:18" ht="17.25">
      <c r="A53" s="47"/>
      <c r="B53" s="27"/>
      <c r="D53" s="27"/>
      <c r="E53" s="37"/>
      <c r="F53" s="51"/>
      <c r="G53" s="47"/>
      <c r="H53" s="27"/>
      <c r="J53" s="27"/>
      <c r="K53" s="37"/>
      <c r="L53" s="49"/>
      <c r="M53" s="47"/>
      <c r="N53" s="27"/>
      <c r="O53" s="27"/>
      <c r="P53" s="27"/>
      <c r="Q53" s="37"/>
      <c r="R53" s="49"/>
    </row>
    <row r="54" spans="1:18">
      <c r="A54" s="47"/>
      <c r="B54" s="27"/>
      <c r="D54" s="39" t="s">
        <v>5</v>
      </c>
      <c r="E54" s="40" t="s">
        <v>6</v>
      </c>
      <c r="F54" s="52"/>
      <c r="G54" s="47"/>
      <c r="H54" s="27"/>
      <c r="J54" s="39" t="s">
        <v>5</v>
      </c>
      <c r="K54" s="40" t="s">
        <v>6</v>
      </c>
      <c r="L54" s="49"/>
      <c r="M54" s="47"/>
      <c r="N54" s="27"/>
      <c r="O54" s="27"/>
      <c r="P54" s="39" t="s">
        <v>5</v>
      </c>
      <c r="Q54" s="40" t="s">
        <v>6</v>
      </c>
      <c r="R54" s="49"/>
    </row>
    <row r="55" spans="1:18">
      <c r="A55" s="47"/>
      <c r="B55" s="27"/>
      <c r="D55" s="27"/>
      <c r="E55" s="27"/>
      <c r="F55" s="49"/>
      <c r="G55" s="60"/>
      <c r="H55" s="30"/>
      <c r="I55" s="28"/>
      <c r="J55" s="27"/>
      <c r="K55" s="27"/>
      <c r="L55" s="49"/>
      <c r="M55" s="60"/>
      <c r="N55" s="30"/>
      <c r="O55" s="27"/>
      <c r="P55" s="27"/>
      <c r="Q55" s="27"/>
      <c r="R55" s="49"/>
    </row>
    <row r="56" spans="1:18">
      <c r="A56" s="47"/>
      <c r="B56" s="27"/>
      <c r="D56" s="30" t="s">
        <v>7</v>
      </c>
      <c r="E56" s="30">
        <f>SUMIF('MASTER DATA'!$A:$A,ACCTG!C47,'MASTER DATA'!$AL:$AL)</f>
        <v>0</v>
      </c>
      <c r="F56" s="50"/>
      <c r="G56" s="60"/>
      <c r="H56" s="30"/>
      <c r="I56" s="28"/>
      <c r="J56" s="30" t="s">
        <v>7</v>
      </c>
      <c r="K56" s="30">
        <f>SUMIF('MASTER DATA (2)'!$A:$A,ACCTG!I47,'MASTER DATA (2)'!$AL:$AL)</f>
        <v>0</v>
      </c>
      <c r="L56" s="49"/>
      <c r="M56" s="60"/>
      <c r="N56" s="30"/>
      <c r="O56" s="27"/>
      <c r="P56" s="30" t="s">
        <v>7</v>
      </c>
      <c r="Q56" s="30">
        <f>SUMIF('MASTER DATA'!$A:$A,ACCTG!O47,'MASTER DATA'!$AL:$AL)</f>
        <v>0</v>
      </c>
      <c r="R56" s="49"/>
    </row>
    <row r="57" spans="1:18">
      <c r="A57" s="47"/>
      <c r="B57" s="27"/>
      <c r="D57" s="31" t="s">
        <v>8</v>
      </c>
      <c r="E57" s="30">
        <f>SUMIF('MASTER DATA'!$A:$A,ACCTG!C47,'MASTER DATA'!$AM:$AM)+(SUMIF('MASTER DATA'!$A:$A,ACCTG!C47,'MASTER DATA'!$AN:$AN))</f>
        <v>0</v>
      </c>
      <c r="F57" s="50"/>
      <c r="G57" s="60"/>
      <c r="H57" s="30"/>
      <c r="I57" s="28"/>
      <c r="J57" s="31" t="s">
        <v>8</v>
      </c>
      <c r="K57" s="30">
        <f>SUMIF('MASTER DATA (2)'!$A:$A,ACCTG!I47,'MASTER DATA (2)'!$AM:$AM)+(SUMIF('MASTER DATA (2)'!$A:$A,ACCTG!I47,'MASTER DATA (2)'!$AN:$AN))</f>
        <v>9.35</v>
      </c>
      <c r="L57" s="49"/>
      <c r="M57" s="60"/>
      <c r="N57" s="30"/>
      <c r="O57" s="27"/>
      <c r="P57" s="31" t="s">
        <v>8</v>
      </c>
      <c r="Q57" s="30">
        <v>54.22</v>
      </c>
      <c r="R57" s="49"/>
    </row>
    <row r="58" spans="1:18" ht="17.25">
      <c r="A58" s="47"/>
      <c r="B58" s="27"/>
      <c r="D58" s="30" t="s">
        <v>9</v>
      </c>
      <c r="E58" s="32">
        <f>SUMIF('MASTER DATA'!$A:$A,ACCTG!C47,'MASTER DATA'!$AP:$AP)</f>
        <v>0</v>
      </c>
      <c r="F58" s="50"/>
      <c r="G58" s="60"/>
      <c r="H58" s="30"/>
      <c r="I58" s="28"/>
      <c r="J58" s="30" t="s">
        <v>9</v>
      </c>
      <c r="K58" s="37">
        <f>SUMIF('MASTER DATA (2)'!$A:$A,ACCTG!I47,'MASTER DATA (2)'!$AP:$AP)</f>
        <v>0</v>
      </c>
      <c r="L58" s="49"/>
      <c r="M58" s="60"/>
      <c r="N58" s="30"/>
      <c r="O58" s="27"/>
      <c r="P58" s="30" t="s">
        <v>9</v>
      </c>
      <c r="Q58" s="32">
        <f>SUMIF('MASTER DATA'!$A:$A,ACCTG!O47,'MASTER DATA'!$AP:$AP)</f>
        <v>0</v>
      </c>
      <c r="R58" s="49"/>
    </row>
    <row r="59" spans="1:18">
      <c r="A59" s="47"/>
      <c r="B59" s="27"/>
      <c r="D59" s="30" t="s">
        <v>10</v>
      </c>
      <c r="E59" s="30">
        <f>SUM(E56:E58)</f>
        <v>0</v>
      </c>
      <c r="F59" s="50"/>
      <c r="G59" s="60"/>
      <c r="H59" s="30"/>
      <c r="I59" s="28"/>
      <c r="J59" s="30" t="s">
        <v>10</v>
      </c>
      <c r="K59" s="30">
        <f>SUM(K56:K58)</f>
        <v>9.35</v>
      </c>
      <c r="L59" s="49"/>
      <c r="M59" s="60"/>
      <c r="N59" s="30"/>
      <c r="O59" s="27"/>
      <c r="P59" s="30" t="s">
        <v>10</v>
      </c>
      <c r="Q59" s="30">
        <f>SUM(Q56:Q58)</f>
        <v>54.22</v>
      </c>
      <c r="R59" s="49"/>
    </row>
    <row r="60" spans="1:18">
      <c r="A60" s="47"/>
      <c r="B60" s="27"/>
      <c r="D60" s="30"/>
      <c r="E60" s="30"/>
      <c r="F60" s="50"/>
      <c r="G60" s="60"/>
      <c r="H60" s="30"/>
      <c r="I60" s="28"/>
      <c r="J60" s="30"/>
      <c r="K60" s="30"/>
      <c r="L60" s="49"/>
      <c r="M60" s="60"/>
      <c r="N60" s="30"/>
      <c r="O60" s="27"/>
      <c r="P60" s="30"/>
      <c r="Q60" s="30"/>
      <c r="R60" s="49"/>
    </row>
    <row r="61" spans="1:18">
      <c r="A61" s="47"/>
      <c r="B61" s="27"/>
      <c r="D61" s="30" t="s">
        <v>12</v>
      </c>
      <c r="E61" s="30">
        <f>E50-E59</f>
        <v>9872</v>
      </c>
      <c r="F61" s="50"/>
      <c r="G61" s="60"/>
      <c r="H61" s="30"/>
      <c r="I61" s="28"/>
      <c r="J61" s="30" t="s">
        <v>12</v>
      </c>
      <c r="K61" s="30">
        <f>K50-K59</f>
        <v>9862.65</v>
      </c>
      <c r="L61" s="49"/>
      <c r="M61" s="60"/>
      <c r="N61" s="30"/>
      <c r="O61" s="27"/>
      <c r="P61" s="30" t="s">
        <v>12</v>
      </c>
      <c r="Q61" s="30">
        <f>Q50-Q59</f>
        <v>9817.7800000000007</v>
      </c>
      <c r="R61" s="49"/>
    </row>
    <row r="62" spans="1:18">
      <c r="A62" s="47"/>
      <c r="B62" s="27"/>
      <c r="D62" s="30" t="s">
        <v>13</v>
      </c>
      <c r="E62" s="30"/>
      <c r="F62" s="50"/>
      <c r="G62" s="60"/>
      <c r="H62" s="30"/>
      <c r="I62" s="28"/>
      <c r="J62" s="30" t="s">
        <v>13</v>
      </c>
      <c r="K62" s="30"/>
      <c r="L62" s="49"/>
      <c r="M62" s="60"/>
      <c r="N62" s="30"/>
      <c r="O62" s="27"/>
      <c r="P62" s="30" t="s">
        <v>13</v>
      </c>
      <c r="Q62" s="30"/>
      <c r="R62" s="49"/>
    </row>
    <row r="63" spans="1:18">
      <c r="A63" s="47"/>
      <c r="B63" s="27"/>
      <c r="D63" s="30" t="s">
        <v>14</v>
      </c>
      <c r="E63" s="30">
        <f>SUMIF('MASTER DATA'!$A:$A,ACCTG!C47,'MASTER DATA'!$AS:$AS)</f>
        <v>0</v>
      </c>
      <c r="F63" s="50"/>
      <c r="G63" s="60"/>
      <c r="H63" s="30"/>
      <c r="I63" s="28"/>
      <c r="J63" s="30" t="s">
        <v>14</v>
      </c>
      <c r="K63" s="30">
        <f>SUMIF('MASTER DATA (2)'!$A:$A,ACCTG!I47,'MASTER DATA (2)'!$AS:$AS)</f>
        <v>0</v>
      </c>
      <c r="L63" s="49"/>
      <c r="M63" s="60"/>
      <c r="N63" s="30"/>
      <c r="O63" s="27"/>
      <c r="P63" s="30" t="s">
        <v>14</v>
      </c>
      <c r="Q63" s="30">
        <f>SUMIF('MASTER DATA'!$A:$A,ACCTG!O47,'MASTER DATA'!$AS:$AS)</f>
        <v>0</v>
      </c>
      <c r="R63" s="49"/>
    </row>
    <row r="64" spans="1:18">
      <c r="A64" s="47"/>
      <c r="B64" s="27"/>
      <c r="D64" s="69" t="s">
        <v>160</v>
      </c>
      <c r="E64" s="30">
        <f>SUMIF('MASTER DATA'!$A:$A,ACCTG!C47,'MASTER DATA'!$AT:$AT)</f>
        <v>0</v>
      </c>
      <c r="F64" s="50"/>
      <c r="G64" s="60"/>
      <c r="H64" s="30"/>
      <c r="I64" s="28"/>
      <c r="J64" s="69" t="s">
        <v>160</v>
      </c>
      <c r="K64" s="30">
        <f>SUMIF('MASTER DATA (2)'!$A:$A,ACCTG!I47,'MASTER DATA (2)'!$AT:$AT)</f>
        <v>0</v>
      </c>
      <c r="L64" s="49"/>
      <c r="M64" s="60"/>
      <c r="N64" s="30"/>
      <c r="O64" s="27"/>
      <c r="P64" s="69" t="s">
        <v>160</v>
      </c>
      <c r="Q64" s="30">
        <f>SUMIF('MASTER DATA'!$A:$A,ACCTG!O47,'MASTER DATA'!$AT:$AT)</f>
        <v>0</v>
      </c>
      <c r="R64" s="49"/>
    </row>
    <row r="65" spans="1:18">
      <c r="A65" s="47"/>
      <c r="B65" s="27"/>
      <c r="D65" s="30" t="s">
        <v>15</v>
      </c>
      <c r="E65" s="30">
        <v>2000</v>
      </c>
      <c r="F65" s="50"/>
      <c r="G65" s="60"/>
      <c r="H65" s="30"/>
      <c r="I65" s="28"/>
      <c r="J65" s="30" t="s">
        <v>15</v>
      </c>
      <c r="K65" s="30">
        <f>SUMIF('MASTER DATA'!$A:$A,ACCTG!I47,'MASTER DATA (2)'!$AU:$AU)</f>
        <v>0</v>
      </c>
      <c r="L65" s="49"/>
      <c r="M65" s="60"/>
      <c r="N65" s="30"/>
      <c r="O65" s="27"/>
      <c r="P65" s="30" t="s">
        <v>15</v>
      </c>
      <c r="Q65" s="30">
        <f>SUMIF('MASTER DATA'!$A:$A,ACCTG!O47,'MASTER DATA'!$AU:$AU)</f>
        <v>0</v>
      </c>
      <c r="R65" s="49"/>
    </row>
    <row r="66" spans="1:18">
      <c r="A66" s="47"/>
      <c r="B66" s="27"/>
      <c r="D66" s="30" t="s">
        <v>19</v>
      </c>
      <c r="E66" s="30">
        <v>461.39</v>
      </c>
      <c r="F66" s="50"/>
      <c r="G66" s="60"/>
      <c r="H66" s="30"/>
      <c r="I66" s="28"/>
      <c r="J66" s="30" t="s">
        <v>19</v>
      </c>
      <c r="K66" s="30">
        <f>SUMIF('MASTER DATA'!$A:$A,ACCTG!I47,'MASTER DATA (2)'!$AV:$AV)</f>
        <v>0</v>
      </c>
      <c r="L66" s="49"/>
      <c r="M66" s="60"/>
      <c r="N66" s="30"/>
      <c r="O66" s="27"/>
      <c r="P66" s="30" t="s">
        <v>19</v>
      </c>
      <c r="Q66" s="30">
        <f>SUMIF('MASTER DATA'!$A:$A,ACCTG!O47,'MASTER DATA'!$AV:$AV)</f>
        <v>0</v>
      </c>
      <c r="R66" s="49"/>
    </row>
    <row r="67" spans="1:18">
      <c r="A67" s="47"/>
      <c r="B67" s="27"/>
      <c r="D67" s="30" t="s">
        <v>20</v>
      </c>
      <c r="E67" s="30">
        <v>0</v>
      </c>
      <c r="F67" s="50"/>
      <c r="G67" s="60"/>
      <c r="H67" s="30"/>
      <c r="I67" s="28"/>
      <c r="J67" s="30" t="s">
        <v>20</v>
      </c>
      <c r="K67" s="30">
        <f>SUMIF('MASTER DATA'!$A:$A,INFRA!I48,'MASTER DATA (2)'!$AX:$AX)</f>
        <v>0</v>
      </c>
      <c r="L67" s="49"/>
      <c r="M67" s="60"/>
      <c r="N67" s="30"/>
      <c r="O67" s="27"/>
      <c r="P67" s="30" t="s">
        <v>20</v>
      </c>
      <c r="Q67" s="30">
        <f>SUMIF('MASTER DATA'!$A:$A,ACCTG!O47,'MASTER DATA'!$AW:$AW)</f>
        <v>0</v>
      </c>
      <c r="R67" s="49"/>
    </row>
    <row r="68" spans="1:18">
      <c r="A68" s="47"/>
      <c r="B68" s="27"/>
      <c r="D68" s="30" t="s">
        <v>23</v>
      </c>
      <c r="E68" s="30">
        <f>SUMIF('MASTER DATA'!$A:$A,ACCTG!C47,'MASTER DATA'!$AX:$AX)</f>
        <v>0</v>
      </c>
      <c r="F68" s="50"/>
      <c r="G68" s="60"/>
      <c r="H68" s="30"/>
      <c r="I68" s="28"/>
      <c r="J68" s="362" t="s">
        <v>23</v>
      </c>
      <c r="K68" s="30">
        <f>SUMIF('MASTER DATA'!$A:$A,ACCTG!I47,'MASTER DATA (2)'!$AW:$AW)</f>
        <v>0</v>
      </c>
      <c r="L68" s="49"/>
      <c r="M68" s="60"/>
      <c r="N68" s="30"/>
      <c r="O68" s="27"/>
      <c r="P68" s="30" t="s">
        <v>23</v>
      </c>
      <c r="Q68" s="30">
        <f>SUMIF('MASTER DATA'!$A:$A,ACCTG!O47,'MASTER DATA'!$AX:$AX)</f>
        <v>0</v>
      </c>
      <c r="R68" s="49"/>
    </row>
    <row r="69" spans="1:18" ht="16.5" thickBot="1">
      <c r="A69" s="47"/>
      <c r="B69" s="27"/>
      <c r="D69" s="28" t="s">
        <v>16</v>
      </c>
      <c r="E69" s="33">
        <f>E61-SUM(E62:E68)</f>
        <v>7410.6100000000006</v>
      </c>
      <c r="F69" s="53"/>
      <c r="G69" s="60"/>
      <c r="H69" s="30"/>
      <c r="I69" s="28"/>
      <c r="J69" s="28" t="s">
        <v>16</v>
      </c>
      <c r="K69" s="33">
        <f>K61-SUM(K62:K68)</f>
        <v>9862.65</v>
      </c>
      <c r="L69" s="49"/>
      <c r="M69" s="60"/>
      <c r="N69" s="30"/>
      <c r="O69" s="27"/>
      <c r="P69" s="28" t="s">
        <v>16</v>
      </c>
      <c r="Q69" s="33">
        <f>Q61-SUM(Q62:Q68)</f>
        <v>9817.7800000000007</v>
      </c>
      <c r="R69" s="49"/>
    </row>
    <row r="70" spans="1:18" ht="16.5" thickTop="1">
      <c r="A70" s="47"/>
      <c r="B70" s="27"/>
      <c r="D70" s="30"/>
      <c r="E70" s="30"/>
      <c r="F70" s="50"/>
      <c r="G70" s="60"/>
      <c r="H70" s="30"/>
      <c r="I70" s="28"/>
      <c r="J70" s="30"/>
      <c r="K70" s="30"/>
      <c r="L70" s="49"/>
      <c r="M70" s="60"/>
      <c r="N70" s="30"/>
      <c r="O70" s="28"/>
      <c r="P70" s="30"/>
      <c r="Q70" s="30"/>
      <c r="R70" s="49"/>
    </row>
    <row r="71" spans="1:18" ht="60">
      <c r="A71" s="47"/>
      <c r="B71" s="27"/>
      <c r="D71" s="66"/>
      <c r="E71" s="27"/>
      <c r="F71" s="49"/>
      <c r="G71" s="60"/>
      <c r="H71" s="30"/>
      <c r="I71" s="28"/>
      <c r="J71" s="88" t="s">
        <v>318</v>
      </c>
      <c r="K71" s="27"/>
      <c r="L71" s="49"/>
      <c r="M71" s="60"/>
      <c r="N71" s="30"/>
      <c r="O71" s="28"/>
      <c r="P71" s="88" t="s">
        <v>318</v>
      </c>
      <c r="Q71" s="27"/>
      <c r="R71" s="49"/>
    </row>
    <row r="72" spans="1:18" ht="16.5" thickBot="1">
      <c r="A72" s="54"/>
      <c r="B72" s="55"/>
      <c r="C72" s="55"/>
      <c r="D72" s="55"/>
      <c r="E72" s="55"/>
      <c r="F72" s="56"/>
      <c r="G72" s="62"/>
      <c r="H72" s="63"/>
      <c r="I72" s="64"/>
      <c r="J72" s="55"/>
      <c r="K72" s="55"/>
      <c r="L72" s="56"/>
      <c r="M72" s="62"/>
      <c r="N72" s="63"/>
      <c r="O72" s="64"/>
      <c r="P72" s="55"/>
      <c r="Q72" s="55"/>
      <c r="R72" s="56"/>
    </row>
    <row r="73" spans="1:18" ht="18">
      <c r="A73" s="41"/>
      <c r="B73" s="42"/>
      <c r="C73" s="57"/>
      <c r="D73" s="42"/>
      <c r="E73" s="70"/>
      <c r="F73" s="79" t="s">
        <v>235</v>
      </c>
      <c r="G73" s="78"/>
      <c r="H73" s="71"/>
      <c r="I73" s="80"/>
      <c r="J73" s="71"/>
      <c r="K73" s="71"/>
      <c r="L73" s="79" t="s">
        <v>235</v>
      </c>
    </row>
    <row r="74" spans="1:18" ht="18">
      <c r="A74" s="44"/>
      <c r="B74" s="34"/>
      <c r="C74" s="36"/>
      <c r="D74" s="34"/>
      <c r="E74" s="34"/>
      <c r="F74" s="45"/>
      <c r="G74" s="44"/>
      <c r="H74" s="34"/>
      <c r="I74" s="36"/>
      <c r="J74" s="34"/>
      <c r="K74" s="34"/>
      <c r="L74" s="45"/>
    </row>
    <row r="75" spans="1:18" ht="18">
      <c r="A75" s="44"/>
      <c r="B75" s="34"/>
      <c r="C75" s="36"/>
      <c r="D75" s="35" t="s">
        <v>0</v>
      </c>
      <c r="E75" s="36"/>
      <c r="F75" s="45"/>
      <c r="G75" s="44"/>
      <c r="H75" s="34"/>
      <c r="I75" s="36"/>
      <c r="J75" s="35" t="s">
        <v>0</v>
      </c>
      <c r="K75" s="36"/>
      <c r="L75" s="45"/>
    </row>
    <row r="76" spans="1:18" ht="18">
      <c r="A76" s="44"/>
      <c r="B76" s="34"/>
      <c r="C76" s="36"/>
      <c r="D76" s="35" t="s">
        <v>1</v>
      </c>
      <c r="E76" s="36"/>
      <c r="F76" s="45"/>
      <c r="G76" s="44"/>
      <c r="H76" s="34"/>
      <c r="I76" s="36"/>
      <c r="J76" s="35" t="s">
        <v>1</v>
      </c>
      <c r="K76" s="36"/>
      <c r="L76" s="45"/>
    </row>
    <row r="77" spans="1:18" ht="18">
      <c r="A77" s="44"/>
      <c r="B77" s="34"/>
      <c r="C77" s="36"/>
      <c r="D77" s="35" t="s">
        <v>162</v>
      </c>
      <c r="E77" s="36"/>
      <c r="F77" s="45"/>
      <c r="G77" s="44"/>
      <c r="H77" s="34"/>
      <c r="I77" s="36"/>
      <c r="J77" s="35" t="s">
        <v>162</v>
      </c>
      <c r="K77" s="36"/>
      <c r="L77" s="45"/>
    </row>
    <row r="78" spans="1:18" ht="18">
      <c r="A78" s="44"/>
      <c r="B78" s="34"/>
      <c r="C78" s="36"/>
      <c r="D78" s="34"/>
      <c r="E78" s="34"/>
      <c r="F78" s="45"/>
      <c r="G78" s="44"/>
      <c r="H78" s="34"/>
      <c r="I78" s="36"/>
      <c r="J78" s="34"/>
      <c r="K78" s="34"/>
      <c r="L78" s="45"/>
    </row>
    <row r="79" spans="1:18" ht="18">
      <c r="A79" s="44"/>
      <c r="B79" s="34"/>
      <c r="C79" s="36"/>
      <c r="D79" s="34"/>
      <c r="E79" s="34"/>
      <c r="F79" s="45"/>
      <c r="G79" s="44"/>
      <c r="H79" s="34"/>
      <c r="I79" s="36"/>
      <c r="J79" s="34"/>
      <c r="K79" s="34"/>
      <c r="L79" s="45"/>
    </row>
    <row r="80" spans="1:18">
      <c r="A80" s="47"/>
      <c r="B80" s="27"/>
      <c r="C80" s="3"/>
      <c r="D80" s="3" t="s">
        <v>3</v>
      </c>
      <c r="E80" s="3"/>
      <c r="F80" s="49"/>
      <c r="G80" s="47"/>
      <c r="H80" s="27"/>
      <c r="J80" s="3" t="s">
        <v>3</v>
      </c>
      <c r="K80" s="3"/>
      <c r="L80" s="49"/>
    </row>
    <row r="81" spans="1:12">
      <c r="A81" s="47"/>
      <c r="B81" s="27"/>
      <c r="C81" s="3"/>
      <c r="D81" s="27" t="str">
        <f>D45</f>
        <v>FEB 16-28, 2026</v>
      </c>
      <c r="E81" s="27"/>
      <c r="F81" s="49"/>
      <c r="G81" s="47"/>
      <c r="H81" s="27"/>
      <c r="J81" s="27" t="str">
        <f>D81</f>
        <v>FEB 16-28, 2026</v>
      </c>
      <c r="K81" s="27"/>
      <c r="L81" s="49"/>
    </row>
    <row r="82" spans="1:12">
      <c r="A82" s="47"/>
      <c r="B82" s="27"/>
      <c r="C82" s="3"/>
      <c r="D82" s="27"/>
      <c r="E82" s="27"/>
      <c r="F82" s="49"/>
      <c r="G82" s="47"/>
      <c r="H82" s="27"/>
      <c r="J82" s="27"/>
      <c r="K82" s="27"/>
      <c r="L82" s="49"/>
    </row>
    <row r="83" spans="1:12">
      <c r="A83" s="47"/>
      <c r="B83" s="27"/>
      <c r="C83" s="3">
        <v>26</v>
      </c>
      <c r="D83" s="3" t="str">
        <f>VLOOKUP(C83,'MASTER DATA'!$A:$E,5,FALSE)</f>
        <v>OLIVO, JENNA P.</v>
      </c>
      <c r="E83" s="27"/>
      <c r="F83" s="49"/>
      <c r="G83" s="47"/>
      <c r="H83" s="27"/>
      <c r="I83" s="3">
        <v>28</v>
      </c>
      <c r="J83" s="3" t="str">
        <f>VLOOKUP(I83,'MASTER DATA'!$A:$E,5,FALSE)</f>
        <v>YUGA, MYKA ALEXZA B.</v>
      </c>
      <c r="K83" s="27"/>
      <c r="L83" s="49"/>
    </row>
    <row r="84" spans="1:12">
      <c r="A84" s="47"/>
      <c r="B84" s="27"/>
      <c r="C84" s="3"/>
      <c r="D84" s="3" t="str">
        <f>VLOOKUP(C83,'MASTER DATA'!$A:$F,6,FALSE)</f>
        <v>ACCTG.</v>
      </c>
      <c r="E84" s="27"/>
      <c r="F84" s="49"/>
      <c r="G84" s="47"/>
      <c r="H84" s="27"/>
      <c r="J84" s="3" t="str">
        <f>VLOOKUP(I83,'MASTER DATA'!$A:$F,6,FALSE)</f>
        <v>ACCTG.</v>
      </c>
      <c r="K84" s="27"/>
      <c r="L84" s="49"/>
    </row>
    <row r="85" spans="1:12">
      <c r="A85" s="47"/>
      <c r="B85" s="27"/>
      <c r="C85" s="3"/>
      <c r="D85" s="29" t="str">
        <f>VLOOKUP(C83,'MASTER DATA'!$A:$G,7,FALSE)</f>
        <v>Technical Support Staff IV</v>
      </c>
      <c r="E85" s="27"/>
      <c r="F85" s="49"/>
      <c r="G85" s="47"/>
      <c r="H85" s="27"/>
      <c r="J85" s="29" t="str">
        <f>VLOOKUP(I83,'MASTER DATA'!$A:$G,7,FALSE)</f>
        <v>Administrative Asst. II</v>
      </c>
      <c r="K85" s="27"/>
      <c r="L85" s="49"/>
    </row>
    <row r="86" spans="1:12">
      <c r="A86" s="47"/>
      <c r="B86" s="27"/>
      <c r="C86" s="3"/>
      <c r="D86" s="27" t="s">
        <v>4</v>
      </c>
      <c r="E86" s="30">
        <v>13500</v>
      </c>
      <c r="F86" s="49"/>
      <c r="G86" s="47"/>
      <c r="H86" s="27"/>
      <c r="J86" s="27" t="s">
        <v>4</v>
      </c>
      <c r="K86" s="30">
        <f>SUMIF('MASTER DATA'!$A:$A,ACCTG!I83,'MASTER DATA'!$N:$N)</f>
        <v>9872</v>
      </c>
      <c r="L86" s="49"/>
    </row>
    <row r="87" spans="1:12" ht="17.25">
      <c r="A87" s="47"/>
      <c r="B87" s="27"/>
      <c r="C87" s="3"/>
      <c r="D87" s="27"/>
      <c r="E87" s="37"/>
      <c r="F87" s="49"/>
      <c r="G87" s="47"/>
      <c r="H87" s="27"/>
      <c r="J87" s="27"/>
      <c r="K87" s="37"/>
      <c r="L87" s="49"/>
    </row>
    <row r="88" spans="1:12">
      <c r="A88" s="47"/>
      <c r="B88" s="27"/>
      <c r="C88" s="3"/>
      <c r="D88" s="27"/>
      <c r="E88" s="30"/>
      <c r="F88" s="49"/>
      <c r="G88" s="47"/>
      <c r="H88" s="27"/>
      <c r="J88" s="27"/>
      <c r="K88" s="30"/>
      <c r="L88" s="49"/>
    </row>
    <row r="89" spans="1:12" ht="17.25">
      <c r="A89" s="47"/>
      <c r="B89" s="27"/>
      <c r="C89" s="3"/>
      <c r="D89" s="27"/>
      <c r="E89" s="37"/>
      <c r="F89" s="49"/>
      <c r="G89" s="47"/>
      <c r="H89" s="27"/>
      <c r="J89" s="27"/>
      <c r="K89" s="37"/>
      <c r="L89" s="49"/>
    </row>
    <row r="90" spans="1:12">
      <c r="A90" s="47"/>
      <c r="B90" s="27"/>
      <c r="C90" s="3"/>
      <c r="D90" s="39" t="s">
        <v>5</v>
      </c>
      <c r="E90" s="40" t="s">
        <v>6</v>
      </c>
      <c r="F90" s="49"/>
      <c r="G90" s="47"/>
      <c r="H90" s="27"/>
      <c r="J90" s="39" t="s">
        <v>5</v>
      </c>
      <c r="K90" s="40" t="s">
        <v>6</v>
      </c>
      <c r="L90" s="49"/>
    </row>
    <row r="91" spans="1:12">
      <c r="A91" s="60"/>
      <c r="B91" s="30"/>
      <c r="C91" s="28"/>
      <c r="D91" s="27"/>
      <c r="E91" s="27"/>
      <c r="F91" s="49"/>
      <c r="G91" s="60"/>
      <c r="H91" s="30"/>
      <c r="I91" s="28"/>
      <c r="J91" s="27"/>
      <c r="K91" s="27"/>
      <c r="L91" s="49"/>
    </row>
    <row r="92" spans="1:12">
      <c r="A92" s="60"/>
      <c r="B92" s="30"/>
      <c r="C92" s="28"/>
      <c r="D92" s="30" t="s">
        <v>7</v>
      </c>
      <c r="E92" s="30">
        <f>SUMIF('MASTER DATA'!$A:$A,ACCTG!C83,'MASTER DATA'!$AL:$AL)</f>
        <v>0</v>
      </c>
      <c r="F92" s="49"/>
      <c r="G92" s="60"/>
      <c r="H92" s="30"/>
      <c r="I92" s="28"/>
      <c r="J92" s="30" t="s">
        <v>7</v>
      </c>
      <c r="K92" s="30">
        <f>SUMIF('MASTER DATA'!$A:$A,ACCTG!I83,'MASTER DATA'!$AL:$AL)</f>
        <v>0</v>
      </c>
      <c r="L92" s="49"/>
    </row>
    <row r="93" spans="1:12">
      <c r="A93" s="60"/>
      <c r="B93" s="30"/>
      <c r="C93" s="28"/>
      <c r="D93" s="31" t="s">
        <v>8</v>
      </c>
      <c r="E93" s="30">
        <v>0</v>
      </c>
      <c r="F93" s="49"/>
      <c r="G93" s="60"/>
      <c r="H93" s="30"/>
      <c r="I93" s="28"/>
      <c r="J93" s="31" t="s">
        <v>8</v>
      </c>
      <c r="K93" s="30">
        <f>SUMIF('MASTER DATA'!$A:$A,ACCTG!I83,'MASTER DATA'!$AM:$AM)+(SUMIF('MASTER DATA'!$A:$A,ACCTG!I83,'MASTER DATA'!$AN:$AN))</f>
        <v>0</v>
      </c>
      <c r="L93" s="49"/>
    </row>
    <row r="94" spans="1:12">
      <c r="A94" s="60"/>
      <c r="B94" s="30"/>
      <c r="C94" s="28"/>
      <c r="D94" s="30" t="s">
        <v>9</v>
      </c>
      <c r="E94" s="32">
        <f>SUMIF('MASTER DATA'!$A:$A,ACCTG!C83,'MASTER DATA'!$AP:$AP)</f>
        <v>0</v>
      </c>
      <c r="F94" s="49"/>
      <c r="G94" s="60"/>
      <c r="H94" s="30"/>
      <c r="I94" s="28"/>
      <c r="J94" s="30" t="s">
        <v>9</v>
      </c>
      <c r="K94" s="32">
        <f>SUMIF('MASTER DATA'!$A:$A,ACCTG!I83,'MASTER DATA'!$AP:$AP)</f>
        <v>0</v>
      </c>
      <c r="L94" s="49"/>
    </row>
    <row r="95" spans="1:12">
      <c r="A95" s="60"/>
      <c r="B95" s="30"/>
      <c r="C95" s="28"/>
      <c r="D95" s="30" t="s">
        <v>10</v>
      </c>
      <c r="E95" s="30">
        <f>SUM(E92:E94)</f>
        <v>0</v>
      </c>
      <c r="F95" s="49"/>
      <c r="G95" s="60"/>
      <c r="H95" s="30"/>
      <c r="I95" s="28"/>
      <c r="J95" s="30" t="s">
        <v>10</v>
      </c>
      <c r="K95" s="30">
        <f>SUM(K92:K94)</f>
        <v>0</v>
      </c>
      <c r="L95" s="49"/>
    </row>
    <row r="96" spans="1:12">
      <c r="A96" s="60"/>
      <c r="B96" s="30"/>
      <c r="C96" s="28"/>
      <c r="D96" s="30"/>
      <c r="E96" s="30"/>
      <c r="F96" s="49"/>
      <c r="G96" s="60"/>
      <c r="H96" s="30"/>
      <c r="I96" s="28"/>
      <c r="J96" s="30"/>
      <c r="K96" s="30"/>
      <c r="L96" s="49"/>
    </row>
    <row r="97" spans="1:12">
      <c r="A97" s="60"/>
      <c r="B97" s="30"/>
      <c r="C97" s="28"/>
      <c r="D97" s="30" t="s">
        <v>12</v>
      </c>
      <c r="E97" s="30">
        <f>E86-E95</f>
        <v>13500</v>
      </c>
      <c r="F97" s="49"/>
      <c r="G97" s="60"/>
      <c r="H97" s="30"/>
      <c r="I97" s="28"/>
      <c r="J97" s="30" t="s">
        <v>12</v>
      </c>
      <c r="K97" s="30">
        <f>K86-K95</f>
        <v>9872</v>
      </c>
      <c r="L97" s="49"/>
    </row>
    <row r="98" spans="1:12">
      <c r="A98" s="60"/>
      <c r="B98" s="30"/>
      <c r="C98" s="28"/>
      <c r="D98" s="30" t="s">
        <v>13</v>
      </c>
      <c r="E98" s="30"/>
      <c r="F98" s="49"/>
      <c r="G98" s="60"/>
      <c r="H98" s="30"/>
      <c r="I98" s="28"/>
      <c r="J98" s="30" t="s">
        <v>13</v>
      </c>
      <c r="K98" s="30"/>
      <c r="L98" s="49"/>
    </row>
    <row r="99" spans="1:12">
      <c r="A99" s="60"/>
      <c r="B99" s="30"/>
      <c r="C99" s="28"/>
      <c r="D99" s="30" t="s">
        <v>14</v>
      </c>
      <c r="E99" s="30">
        <f>SUMIF('MASTER DATA'!$A:$A,ACCTG!C83,'MASTER DATA'!$AS:$AS)</f>
        <v>0</v>
      </c>
      <c r="F99" s="49"/>
      <c r="G99" s="60"/>
      <c r="H99" s="30"/>
      <c r="I99" s="28"/>
      <c r="J99" s="30" t="s">
        <v>14</v>
      </c>
      <c r="K99" s="30">
        <f>SUMIF('MASTER DATA'!$A:$A,ACCTG!I83,'MASTER DATA'!$AS:$AS)</f>
        <v>0</v>
      </c>
      <c r="L99" s="49"/>
    </row>
    <row r="100" spans="1:12">
      <c r="A100" s="60"/>
      <c r="B100" s="30"/>
      <c r="C100" s="28"/>
      <c r="D100" s="69" t="s">
        <v>160</v>
      </c>
      <c r="E100" s="30">
        <f>SUMIF('MASTER DATA'!$A:$A,ACCTG!C83,'MASTER DATA'!$AT:$AT)</f>
        <v>0</v>
      </c>
      <c r="F100" s="49"/>
      <c r="G100" s="60"/>
      <c r="H100" s="30"/>
      <c r="I100" s="28"/>
      <c r="J100" s="69" t="s">
        <v>160</v>
      </c>
      <c r="K100" s="30">
        <f>SUMIF('MASTER DATA'!$A:$A,ACCTG!I83,'MASTER DATA'!$AT:$AT)</f>
        <v>0</v>
      </c>
      <c r="L100" s="49"/>
    </row>
    <row r="101" spans="1:12">
      <c r="A101" s="60"/>
      <c r="B101" s="30"/>
      <c r="C101" s="28"/>
      <c r="D101" s="30" t="s">
        <v>15</v>
      </c>
      <c r="E101" s="30">
        <f>SUMIF('MASTER DATA'!$A:$A,ACCTG!C83,'MASTER DATA'!$AU:$AU)</f>
        <v>0</v>
      </c>
      <c r="F101" s="49"/>
      <c r="G101" s="60"/>
      <c r="H101" s="30"/>
      <c r="I101" s="28"/>
      <c r="J101" s="30" t="s">
        <v>15</v>
      </c>
      <c r="K101" s="30">
        <f>SUMIF('MASTER DATA'!$A:$A,ACCTG!I83,'MASTER DATA'!$AU:$AU)</f>
        <v>0</v>
      </c>
      <c r="L101" s="49"/>
    </row>
    <row r="102" spans="1:12">
      <c r="A102" s="60"/>
      <c r="B102" s="30"/>
      <c r="C102" s="28"/>
      <c r="D102" s="30" t="s">
        <v>19</v>
      </c>
      <c r="E102" s="30">
        <f>SUMIF('MASTER DATA'!$A:$A,ACCTG!C83,'MASTER DATA'!$AV:$AV)</f>
        <v>0</v>
      </c>
      <c r="F102" s="49"/>
      <c r="G102" s="60"/>
      <c r="H102" s="30"/>
      <c r="I102" s="28"/>
      <c r="J102" s="30" t="s">
        <v>19</v>
      </c>
      <c r="K102" s="30">
        <f>SUMIF('MASTER DATA'!$A:$A,ACCTG!I83,'MASTER DATA'!$AV:$AV)</f>
        <v>0</v>
      </c>
      <c r="L102" s="49"/>
    </row>
    <row r="103" spans="1:12">
      <c r="A103" s="60"/>
      <c r="B103" s="30"/>
      <c r="C103" s="28"/>
      <c r="D103" s="30" t="s">
        <v>20</v>
      </c>
      <c r="E103" s="30">
        <f>SUMIF('MASTER DATA'!$A:$A,ACCTG!C83,'MASTER DATA'!$AW:$AW)</f>
        <v>0</v>
      </c>
      <c r="F103" s="49"/>
      <c r="G103" s="60"/>
      <c r="H103" s="30"/>
      <c r="I103" s="28"/>
      <c r="J103" s="30" t="s">
        <v>20</v>
      </c>
      <c r="K103" s="30">
        <f>SUMIF('MASTER DATA'!$A:$A,ACCTG!I83,'MASTER DATA'!$AW:$AW)</f>
        <v>0</v>
      </c>
      <c r="L103" s="49"/>
    </row>
    <row r="104" spans="1:12">
      <c r="A104" s="60"/>
      <c r="B104" s="30"/>
      <c r="C104" s="28"/>
      <c r="D104" s="30" t="s">
        <v>23</v>
      </c>
      <c r="E104" s="30">
        <f>SUMIF('MASTER DATA'!$A:$A,ACCTG!C83,'MASTER DATA'!$AX:$AX)</f>
        <v>0</v>
      </c>
      <c r="F104" s="49"/>
      <c r="G104" s="60"/>
      <c r="H104" s="30"/>
      <c r="I104" s="28"/>
      <c r="J104" s="30" t="s">
        <v>23</v>
      </c>
      <c r="K104" s="30">
        <f>SUMIF('MASTER DATA'!$A:$A,ACCTG!I83,'MASTER DATA'!$AX:$AX)</f>
        <v>0</v>
      </c>
      <c r="L104" s="49"/>
    </row>
    <row r="105" spans="1:12" ht="16.5" thickBot="1">
      <c r="A105" s="60"/>
      <c r="B105" s="30"/>
      <c r="C105" s="28"/>
      <c r="D105" s="28" t="s">
        <v>16</v>
      </c>
      <c r="E105" s="33">
        <f>E97-SUM(E98:E104)</f>
        <v>13500</v>
      </c>
      <c r="F105" s="49"/>
      <c r="G105" s="60"/>
      <c r="H105" s="30"/>
      <c r="I105" s="28"/>
      <c r="J105" s="28" t="s">
        <v>16</v>
      </c>
      <c r="K105" s="33">
        <f>K97-SUM(K98:K104)</f>
        <v>9872</v>
      </c>
      <c r="L105" s="49"/>
    </row>
    <row r="106" spans="1:12" ht="16.5" thickTop="1">
      <c r="A106" s="60"/>
      <c r="B106" s="30"/>
      <c r="C106" s="28"/>
      <c r="D106" s="30"/>
      <c r="E106" s="30"/>
      <c r="F106" s="49"/>
      <c r="G106" s="60"/>
      <c r="H106" s="30"/>
      <c r="I106" s="28"/>
      <c r="J106" s="30"/>
      <c r="K106" s="30"/>
      <c r="L106" s="49"/>
    </row>
    <row r="107" spans="1:12">
      <c r="A107" s="60"/>
      <c r="B107" s="30"/>
      <c r="C107" s="28"/>
      <c r="D107" s="88"/>
      <c r="E107" s="27"/>
      <c r="F107" s="49"/>
      <c r="G107" s="60"/>
      <c r="H107" s="30"/>
      <c r="I107" s="28"/>
      <c r="J107" s="88"/>
      <c r="K107" s="27"/>
      <c r="L107" s="49"/>
    </row>
    <row r="108" spans="1:12" ht="16.5" thickBot="1">
      <c r="A108" s="62"/>
      <c r="B108" s="63"/>
      <c r="C108" s="64"/>
      <c r="D108" s="55"/>
      <c r="E108" s="55"/>
      <c r="F108" s="56"/>
      <c r="G108" s="62"/>
      <c r="H108" s="63"/>
      <c r="I108" s="64"/>
      <c r="J108" s="55"/>
      <c r="K108" s="55"/>
      <c r="L108" s="56"/>
    </row>
  </sheetData>
  <pageMargins left="0.70866141732283472" right="0.70866141732283472" top="0.74803149606299213" bottom="0.74803149606299213" header="0.31496062992125984" footer="0.31496062992125984"/>
  <pageSetup scale="75" orientation="portrait" r:id="rId1"/>
  <rowBreaks count="3" manualBreakCount="3">
    <brk id="36" max="17" man="1"/>
    <brk id="72" max="17" man="1"/>
    <brk id="108" max="17" man="1"/>
  </rowBreaks>
  <colBreaks count="2" manualBreakCount="2">
    <brk id="6" max="107" man="1"/>
    <brk id="12" max="107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67A3-3D9B-4CBA-8D34-F50CFCCD61DA}">
  <sheetPr codeName="Sheet9"/>
  <dimension ref="A1:Y40"/>
  <sheetViews>
    <sheetView view="pageBreakPreview" zoomScale="85" zoomScaleNormal="100" zoomScaleSheetLayoutView="85" workbookViewId="0">
      <selection activeCell="D9" sqref="D9"/>
    </sheetView>
  </sheetViews>
  <sheetFormatPr defaultColWidth="9.140625" defaultRowHeight="15.75"/>
  <cols>
    <col min="1" max="2" width="4.7109375" style="2" customWidth="1"/>
    <col min="3" max="3" width="3.5703125" style="27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3.5703125" style="3" customWidth="1"/>
    <col min="10" max="10" width="25.5703125" style="2" customWidth="1"/>
    <col min="11" max="11" width="13.5703125" style="2" customWidth="1"/>
    <col min="12" max="12" width="13.7109375" style="2" customWidth="1"/>
    <col min="13" max="14" width="4.7109375" style="2" customWidth="1"/>
    <col min="15" max="15" width="2.7109375" style="26" customWidth="1"/>
    <col min="16" max="16" width="25.5703125" style="2" customWidth="1"/>
    <col min="17" max="17" width="13.5703125" style="2" customWidth="1"/>
    <col min="18" max="18" width="13.7109375" style="2" customWidth="1"/>
    <col min="19" max="19" width="11.5703125" style="2" bestFit="1" customWidth="1"/>
    <col min="20" max="20" width="11.28515625" style="2" bestFit="1" customWidth="1"/>
    <col min="21" max="16384" width="9.140625" style="2"/>
  </cols>
  <sheetData>
    <row r="1" spans="1:18" ht="18">
      <c r="A1" s="41"/>
      <c r="B1" s="42"/>
      <c r="C1" s="42"/>
      <c r="D1" s="42"/>
      <c r="E1" s="70"/>
      <c r="F1" s="79" t="s">
        <v>235</v>
      </c>
      <c r="G1" s="41"/>
      <c r="H1" s="42"/>
      <c r="I1" s="57"/>
      <c r="J1" s="42"/>
      <c r="K1" s="42"/>
      <c r="L1" s="79"/>
      <c r="M1" s="41"/>
      <c r="N1" s="42"/>
      <c r="O1" s="57"/>
      <c r="P1" s="42"/>
      <c r="Q1" s="42"/>
      <c r="R1" s="43"/>
    </row>
    <row r="2" spans="1:18" ht="18">
      <c r="A2" s="44"/>
      <c r="B2" s="34"/>
      <c r="C2" s="34"/>
      <c r="D2" s="34"/>
      <c r="E2" s="34"/>
      <c r="F2" s="45"/>
      <c r="G2" s="44"/>
      <c r="H2" s="34"/>
      <c r="I2" s="36"/>
      <c r="J2" s="34"/>
      <c r="K2" s="34"/>
      <c r="L2" s="45"/>
      <c r="M2" s="44"/>
      <c r="N2" s="34"/>
      <c r="O2" s="36"/>
      <c r="P2" s="34"/>
      <c r="Q2" s="34"/>
      <c r="R2" s="45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6"/>
      <c r="J3" s="35" t="s">
        <v>0</v>
      </c>
      <c r="K3" s="36"/>
      <c r="L3" s="46"/>
      <c r="M3" s="44"/>
      <c r="N3" s="34"/>
      <c r="O3" s="36"/>
      <c r="P3" s="35"/>
      <c r="Q3" s="36"/>
      <c r="R3" s="45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6"/>
      <c r="J4" s="35" t="s">
        <v>1</v>
      </c>
      <c r="K4" s="36"/>
      <c r="L4" s="46"/>
      <c r="M4" s="44"/>
      <c r="N4" s="34"/>
      <c r="O4" s="36"/>
      <c r="P4" s="35"/>
      <c r="Q4" s="36"/>
      <c r="R4" s="45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6"/>
      <c r="J5" s="35" t="s">
        <v>162</v>
      </c>
      <c r="K5" s="36"/>
      <c r="L5" s="46"/>
      <c r="M5" s="44"/>
      <c r="N5" s="34"/>
      <c r="O5" s="36"/>
      <c r="P5" s="35"/>
      <c r="Q5" s="36"/>
      <c r="R5" s="45"/>
    </row>
    <row r="6" spans="1:18" ht="18">
      <c r="A6" s="44"/>
      <c r="B6" s="34"/>
      <c r="C6" s="34"/>
      <c r="D6" s="34"/>
      <c r="E6" s="34"/>
      <c r="F6" s="45"/>
      <c r="G6" s="44"/>
      <c r="H6" s="34"/>
      <c r="I6" s="36"/>
      <c r="J6" s="34"/>
      <c r="K6" s="34"/>
      <c r="L6" s="45"/>
      <c r="M6" s="44"/>
      <c r="N6" s="34"/>
      <c r="O6" s="36"/>
      <c r="P6" s="34"/>
      <c r="Q6" s="34"/>
      <c r="R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6"/>
      <c r="J7" s="34"/>
      <c r="K7" s="34"/>
      <c r="L7" s="45"/>
      <c r="M7" s="44"/>
      <c r="N7" s="34"/>
      <c r="O7" s="36"/>
      <c r="P7" s="34"/>
      <c r="Q7" s="34"/>
      <c r="R7" s="45"/>
    </row>
    <row r="8" spans="1:18">
      <c r="A8" s="47"/>
      <c r="B8" s="27"/>
      <c r="D8" s="3" t="s">
        <v>3</v>
      </c>
      <c r="E8" s="3"/>
      <c r="F8" s="48"/>
      <c r="G8" s="47"/>
      <c r="H8" s="27"/>
      <c r="J8" s="3" t="s">
        <v>3</v>
      </c>
      <c r="K8" s="3"/>
      <c r="L8" s="48"/>
      <c r="M8" s="47"/>
      <c r="N8" s="27"/>
      <c r="O8" s="3"/>
      <c r="P8" s="3"/>
      <c r="Q8" s="3"/>
      <c r="R8" s="49"/>
    </row>
    <row r="9" spans="1:18">
      <c r="A9" s="47"/>
      <c r="B9" s="27"/>
      <c r="D9" s="27" t="s">
        <v>319</v>
      </c>
      <c r="E9" s="27"/>
      <c r="F9" s="49"/>
      <c r="G9" s="58"/>
      <c r="H9" s="3"/>
      <c r="J9" s="27" t="str">
        <f>D9</f>
        <v>FEB 16-28, 2026</v>
      </c>
      <c r="K9" s="27"/>
      <c r="L9" s="49"/>
      <c r="M9" s="47"/>
      <c r="N9" s="27"/>
      <c r="O9" s="3"/>
      <c r="P9" s="27"/>
      <c r="Q9" s="27"/>
      <c r="R9" s="49"/>
    </row>
    <row r="10" spans="1:18">
      <c r="A10" s="47"/>
      <c r="B10" s="27"/>
      <c r="D10" s="3"/>
      <c r="E10" s="27"/>
      <c r="F10" s="49"/>
      <c r="G10" s="47"/>
      <c r="H10" s="27"/>
      <c r="J10" s="3"/>
      <c r="K10" s="27"/>
      <c r="L10" s="49"/>
      <c r="M10" s="47"/>
      <c r="N10" s="27"/>
      <c r="O10" s="3"/>
      <c r="P10" s="27"/>
      <c r="Q10" s="27"/>
      <c r="R10" s="49"/>
    </row>
    <row r="11" spans="1:18" s="27" customFormat="1">
      <c r="A11" s="47"/>
      <c r="C11" s="3">
        <v>29</v>
      </c>
      <c r="D11" s="3" t="str">
        <f>VLOOKUP(C11,'MASTER DATA'!$A:$E,5,FALSE)</f>
        <v>EMBALZADO, SHERYL P.</v>
      </c>
      <c r="F11" s="49"/>
      <c r="G11" s="47"/>
      <c r="I11" s="3">
        <v>0</v>
      </c>
      <c r="J11" s="3" t="e">
        <f>VLOOKUP(I11,'MASTER DATA'!$A:$E,5,FALSE)</f>
        <v>#N/A</v>
      </c>
      <c r="L11" s="49"/>
      <c r="M11" s="47"/>
      <c r="O11" s="3"/>
      <c r="P11" s="3"/>
      <c r="R11" s="49"/>
    </row>
    <row r="12" spans="1:18" s="27" customFormat="1">
      <c r="A12" s="47"/>
      <c r="C12" s="3"/>
      <c r="D12" s="3" t="str">
        <f>VLOOKUP(C11,'MASTER DATA'!$A:$F,6,FALSE)</f>
        <v>CASHIER</v>
      </c>
      <c r="F12" s="49"/>
      <c r="G12" s="47"/>
      <c r="I12" s="3"/>
      <c r="J12" s="3" t="e">
        <f>VLOOKUP(I11,'MASTER DATA'!$A:$F,6,FALSE)</f>
        <v>#N/A</v>
      </c>
      <c r="L12" s="49"/>
      <c r="M12" s="47"/>
      <c r="O12" s="3"/>
      <c r="P12" s="3"/>
      <c r="R12" s="49"/>
    </row>
    <row r="13" spans="1:18" s="27" customFormat="1">
      <c r="A13" s="47"/>
      <c r="C13" s="3"/>
      <c r="D13" s="29" t="str">
        <f>VLOOKUP(C11,'MASTER DATA'!$A:$G,7,FALSE)</f>
        <v>Administrative Asst. II</v>
      </c>
      <c r="F13" s="49"/>
      <c r="G13" s="47"/>
      <c r="I13" s="3"/>
      <c r="J13" s="29" t="e">
        <f>VLOOKUP(I11,'MASTER DATA'!$A:$G,7,FALSE)</f>
        <v>#N/A</v>
      </c>
      <c r="L13" s="49"/>
      <c r="M13" s="47"/>
      <c r="O13" s="3"/>
      <c r="P13" s="29"/>
      <c r="R13" s="49"/>
    </row>
    <row r="14" spans="1:18" s="27" customFormat="1">
      <c r="A14" s="47"/>
      <c r="C14" s="3"/>
      <c r="D14" s="27" t="s">
        <v>4</v>
      </c>
      <c r="E14" s="30">
        <v>9872</v>
      </c>
      <c r="F14" s="50"/>
      <c r="G14" s="47"/>
      <c r="I14" s="3"/>
      <c r="J14" s="27" t="s">
        <v>4</v>
      </c>
      <c r="K14" s="30">
        <f>SUMIF('MASTER DATA'!$A:$A,Cashier!I11,'MASTER DATA'!$N:$N)</f>
        <v>0</v>
      </c>
      <c r="L14" s="50"/>
      <c r="M14" s="47"/>
      <c r="O14" s="3"/>
      <c r="Q14" s="30"/>
      <c r="R14" s="49"/>
    </row>
    <row r="15" spans="1:18" s="27" customFormat="1" ht="17.25">
      <c r="A15" s="47"/>
      <c r="C15" s="38"/>
      <c r="E15" s="37"/>
      <c r="F15" s="51"/>
      <c r="G15" s="59"/>
      <c r="H15" s="39"/>
      <c r="I15" s="38"/>
      <c r="K15" s="37"/>
      <c r="L15" s="51"/>
      <c r="M15" s="47"/>
      <c r="O15" s="3"/>
      <c r="Q15" s="37"/>
      <c r="R15" s="49"/>
    </row>
    <row r="16" spans="1:18" s="27" customFormat="1">
      <c r="A16" s="47"/>
      <c r="C16" s="38"/>
      <c r="E16" s="30"/>
      <c r="F16" s="50"/>
      <c r="G16" s="59"/>
      <c r="H16" s="39"/>
      <c r="I16" s="38"/>
      <c r="K16" s="30"/>
      <c r="L16" s="50"/>
      <c r="M16" s="47"/>
      <c r="O16" s="3"/>
      <c r="Q16" s="30"/>
      <c r="R16" s="49"/>
    </row>
    <row r="17" spans="1:25" s="27" customFormat="1" ht="17.25">
      <c r="A17" s="47"/>
      <c r="C17" s="38"/>
      <c r="E17" s="37"/>
      <c r="F17" s="51"/>
      <c r="G17" s="59"/>
      <c r="H17" s="39"/>
      <c r="I17" s="38"/>
      <c r="K17" s="37"/>
      <c r="L17" s="51"/>
      <c r="M17" s="47"/>
      <c r="O17" s="3"/>
      <c r="Q17" s="37"/>
      <c r="R17" s="49"/>
    </row>
    <row r="18" spans="1:25" s="27" customFormat="1">
      <c r="A18" s="47"/>
      <c r="C18" s="3"/>
      <c r="D18" s="39" t="s">
        <v>5</v>
      </c>
      <c r="E18" s="40" t="s">
        <v>6</v>
      </c>
      <c r="F18" s="52"/>
      <c r="G18" s="47"/>
      <c r="I18" s="3"/>
      <c r="J18" s="39" t="s">
        <v>5</v>
      </c>
      <c r="K18" s="40" t="s">
        <v>6</v>
      </c>
      <c r="L18" s="52"/>
      <c r="M18" s="47"/>
      <c r="O18" s="3"/>
      <c r="P18" s="39"/>
      <c r="Q18" s="40"/>
      <c r="R18" s="49"/>
    </row>
    <row r="19" spans="1:25" s="27" customFormat="1">
      <c r="A19" s="47"/>
      <c r="C19" s="28"/>
      <c r="F19" s="49"/>
      <c r="G19" s="60"/>
      <c r="H19" s="30"/>
      <c r="I19" s="28"/>
      <c r="L19" s="49"/>
      <c r="M19" s="60"/>
      <c r="N19" s="30"/>
      <c r="O19" s="28"/>
      <c r="R19" s="49"/>
    </row>
    <row r="20" spans="1:25" s="27" customFormat="1">
      <c r="A20" s="47"/>
      <c r="C20" s="28"/>
      <c r="D20" s="30" t="s">
        <v>7</v>
      </c>
      <c r="E20" s="30">
        <f>SUMIF('MASTER DATA'!$A:$A,Cashier!C11,'MASTER DATA'!$AL:$AL)</f>
        <v>0</v>
      </c>
      <c r="F20" s="50"/>
      <c r="G20" s="60"/>
      <c r="H20" s="30"/>
      <c r="I20" s="28"/>
      <c r="J20" s="30" t="s">
        <v>7</v>
      </c>
      <c r="K20" s="30">
        <f>SUMIF('MASTER DATA'!$A:$A,Cashier!I11,'MASTER DATA'!$AL:$AL)</f>
        <v>0</v>
      </c>
      <c r="L20" s="50"/>
      <c r="M20" s="60"/>
      <c r="N20" s="30"/>
      <c r="O20" s="28"/>
      <c r="P20" s="30"/>
      <c r="Q20" s="30"/>
      <c r="R20" s="49"/>
    </row>
    <row r="21" spans="1:25" s="27" customFormat="1">
      <c r="A21" s="47"/>
      <c r="C21" s="28"/>
      <c r="D21" s="31" t="s">
        <v>8</v>
      </c>
      <c r="E21" s="30">
        <f>SUMIF('MASTER DATA'!$A:$A,Cashier!C11,'MASTER DATA'!$AM:$AM)+(SUMIF('MASTER DATA'!$A:$A,Cashier!C11,'MASTER DATA'!$AN:$AN))</f>
        <v>0</v>
      </c>
      <c r="F21" s="50"/>
      <c r="G21" s="60"/>
      <c r="H21" s="30"/>
      <c r="I21" s="28"/>
      <c r="J21" s="31" t="s">
        <v>8</v>
      </c>
      <c r="K21" s="30">
        <f>SUMIF('MASTER DATA'!$A:$A,Cashier!I11,'MASTER DATA'!$AM:$AM)+(SUMIF('MASTER DATA'!$A:$A,Cashier!I11,'MASTER DATA'!$AN:$AN))</f>
        <v>0</v>
      </c>
      <c r="L21" s="50"/>
      <c r="M21" s="60"/>
      <c r="N21" s="30"/>
      <c r="O21" s="28"/>
      <c r="P21" s="31"/>
      <c r="Q21" s="30"/>
      <c r="R21" s="49"/>
    </row>
    <row r="22" spans="1:25" s="27" customFormat="1">
      <c r="A22" s="47"/>
      <c r="C22" s="28"/>
      <c r="D22" s="30" t="s">
        <v>9</v>
      </c>
      <c r="E22" s="32">
        <f>SUMIF('MASTER DATA'!$A:$A,Cashier!C11,'MASTER DATA'!$AP:$AP)</f>
        <v>0</v>
      </c>
      <c r="F22" s="50"/>
      <c r="G22" s="60"/>
      <c r="H22" s="30"/>
      <c r="I22" s="28"/>
      <c r="J22" s="30" t="s">
        <v>9</v>
      </c>
      <c r="K22" s="32">
        <f>SUMIF('MASTER DATA'!$A:$A,Cashier!I11,'MASTER DATA'!$AP:$AP)</f>
        <v>0</v>
      </c>
      <c r="L22" s="50"/>
      <c r="M22" s="60"/>
      <c r="N22" s="30"/>
      <c r="O22" s="28"/>
      <c r="P22" s="30"/>
      <c r="Q22" s="30"/>
      <c r="R22" s="49"/>
    </row>
    <row r="23" spans="1:25" s="27" customFormat="1">
      <c r="A23" s="47"/>
      <c r="C23" s="28"/>
      <c r="D23" s="30" t="s">
        <v>10</v>
      </c>
      <c r="E23" s="30">
        <f>SUM(E20:E22)</f>
        <v>0</v>
      </c>
      <c r="F23" s="50"/>
      <c r="G23" s="60"/>
      <c r="H23" s="30"/>
      <c r="I23" s="28"/>
      <c r="J23" s="30" t="s">
        <v>10</v>
      </c>
      <c r="K23" s="30">
        <f>SUM(K20:K22)</f>
        <v>0</v>
      </c>
      <c r="L23" s="50"/>
      <c r="M23" s="60"/>
      <c r="N23" s="30"/>
      <c r="O23" s="28"/>
      <c r="P23" s="30"/>
      <c r="Q23" s="30"/>
      <c r="R23" s="49"/>
    </row>
    <row r="24" spans="1:25" s="27" customFormat="1">
      <c r="A24" s="47"/>
      <c r="C24" s="28"/>
      <c r="D24" s="30"/>
      <c r="E24" s="30"/>
      <c r="F24" s="50"/>
      <c r="G24" s="60"/>
      <c r="H24" s="30"/>
      <c r="I24" s="28"/>
      <c r="J24" s="30"/>
      <c r="K24" s="30"/>
      <c r="L24" s="50"/>
      <c r="M24" s="60"/>
      <c r="N24" s="30"/>
      <c r="O24" s="28"/>
      <c r="P24" s="30"/>
      <c r="Q24" s="30"/>
      <c r="R24" s="49"/>
      <c r="Y24" s="3" t="s">
        <v>11</v>
      </c>
    </row>
    <row r="25" spans="1:25" s="27" customFormat="1">
      <c r="A25" s="47"/>
      <c r="C25" s="28"/>
      <c r="D25" s="30" t="s">
        <v>12</v>
      </c>
      <c r="E25" s="30">
        <f>E14-E23</f>
        <v>9872</v>
      </c>
      <c r="F25" s="50"/>
      <c r="G25" s="60"/>
      <c r="H25" s="30"/>
      <c r="I25" s="28"/>
      <c r="J25" s="30" t="s">
        <v>12</v>
      </c>
      <c r="K25" s="30">
        <f>K14-K23</f>
        <v>0</v>
      </c>
      <c r="L25" s="50"/>
      <c r="M25" s="60"/>
      <c r="N25" s="30"/>
      <c r="O25" s="28"/>
      <c r="P25" s="30"/>
      <c r="Q25" s="30"/>
      <c r="R25" s="49"/>
    </row>
    <row r="26" spans="1:25" s="27" customFormat="1">
      <c r="A26" s="47"/>
      <c r="C26" s="28"/>
      <c r="D26" s="30" t="s">
        <v>13</v>
      </c>
      <c r="E26" s="30"/>
      <c r="F26" s="50"/>
      <c r="G26" s="60"/>
      <c r="H26" s="30"/>
      <c r="I26" s="28"/>
      <c r="J26" s="30" t="s">
        <v>13</v>
      </c>
      <c r="K26" s="30"/>
      <c r="L26" s="50"/>
      <c r="M26" s="60"/>
      <c r="N26" s="30"/>
      <c r="O26" s="28"/>
      <c r="P26" s="30"/>
      <c r="Q26" s="30"/>
      <c r="R26" s="49"/>
    </row>
    <row r="27" spans="1:25" s="27" customFormat="1">
      <c r="A27" s="47"/>
      <c r="C27" s="28"/>
      <c r="D27" s="30" t="s">
        <v>14</v>
      </c>
      <c r="E27" s="30">
        <f>SUMIF('MASTER DATA'!$A:$A,Cashier!C11,'MASTER DATA'!$AS:$AS)</f>
        <v>0</v>
      </c>
      <c r="F27" s="50"/>
      <c r="G27" s="60"/>
      <c r="H27" s="30"/>
      <c r="I27" s="28"/>
      <c r="J27" s="30" t="s">
        <v>14</v>
      </c>
      <c r="K27" s="30">
        <f>SUMIF('MASTER DATA'!$A:$A,Cashier!I11,'MASTER DATA'!$AS:$AS)</f>
        <v>0</v>
      </c>
      <c r="L27" s="50"/>
      <c r="M27" s="60"/>
      <c r="N27" s="30"/>
      <c r="O27" s="28"/>
      <c r="P27" s="30"/>
      <c r="Q27" s="30"/>
      <c r="R27" s="49"/>
    </row>
    <row r="28" spans="1:25" s="27" customFormat="1">
      <c r="A28" s="47"/>
      <c r="C28" s="28"/>
      <c r="D28" s="69" t="s">
        <v>160</v>
      </c>
      <c r="E28" s="30">
        <f>SUMIF('MASTER DATA'!$A:$A,Cashier!C11,'MASTER DATA'!$AT:$AT)</f>
        <v>0</v>
      </c>
      <c r="F28" s="50"/>
      <c r="G28" s="60"/>
      <c r="H28" s="30"/>
      <c r="I28" s="28"/>
      <c r="J28" s="69" t="s">
        <v>160</v>
      </c>
      <c r="K28" s="30">
        <f>SUMIF('MASTER DATA'!$A:$A,Cashier!I11,'MASTER DATA'!$AT:$AT)</f>
        <v>0</v>
      </c>
      <c r="L28" s="50"/>
      <c r="M28" s="60"/>
      <c r="N28" s="30"/>
      <c r="O28" s="28"/>
      <c r="P28" s="30"/>
      <c r="Q28" s="30"/>
      <c r="R28" s="49"/>
    </row>
    <row r="29" spans="1:25" s="27" customFormat="1">
      <c r="A29" s="47"/>
      <c r="C29" s="28"/>
      <c r="D29" s="30" t="s">
        <v>15</v>
      </c>
      <c r="E29" s="30">
        <f>SUMIF('MASTER DATA'!$A:$A,Cashier!C11,'MASTER DATA'!$AU:$AU)</f>
        <v>0</v>
      </c>
      <c r="F29" s="50"/>
      <c r="G29" s="60"/>
      <c r="H29" s="30"/>
      <c r="I29" s="28"/>
      <c r="J29" s="30" t="s">
        <v>15</v>
      </c>
      <c r="K29" s="30">
        <f>SUMIF('MASTER DATA'!$A:$A,Cashier!I11,'MASTER DATA'!$AU:$AU)</f>
        <v>0</v>
      </c>
      <c r="L29" s="50"/>
      <c r="M29" s="60"/>
      <c r="N29" s="30"/>
      <c r="O29" s="28"/>
      <c r="P29" s="30"/>
      <c r="Q29" s="30"/>
      <c r="R29" s="49"/>
      <c r="T29" s="29"/>
    </row>
    <row r="30" spans="1:25" s="27" customFormat="1">
      <c r="A30" s="47"/>
      <c r="C30" s="28"/>
      <c r="D30" s="30" t="s">
        <v>19</v>
      </c>
      <c r="E30" s="30">
        <f>SUMIF('MASTER DATA'!$A:$A,Cashier!C11,'MASTER DATA'!$AV:$AV)</f>
        <v>0</v>
      </c>
      <c r="F30" s="50"/>
      <c r="G30" s="60"/>
      <c r="H30" s="30"/>
      <c r="I30" s="28"/>
      <c r="J30" s="30" t="s">
        <v>19</v>
      </c>
      <c r="K30" s="30">
        <f>SUMIF('MASTER DATA'!$A:$A,Cashier!I11,'MASTER DATA'!$AV:$AV)</f>
        <v>0</v>
      </c>
      <c r="L30" s="50"/>
      <c r="M30" s="60"/>
      <c r="N30" s="30"/>
      <c r="O30" s="28"/>
      <c r="P30" s="30"/>
      <c r="Q30" s="30"/>
      <c r="R30" s="49"/>
      <c r="T30" s="29"/>
    </row>
    <row r="31" spans="1:25" s="27" customFormat="1">
      <c r="A31" s="47"/>
      <c r="C31" s="28"/>
      <c r="D31" s="30" t="s">
        <v>20</v>
      </c>
      <c r="E31" s="30">
        <f>SUMIF('MASTER DATA'!$A:$A,Cashier!C11,'MASTER DATA'!$AW:$AW)</f>
        <v>0</v>
      </c>
      <c r="F31" s="50"/>
      <c r="G31" s="60"/>
      <c r="H31" s="30"/>
      <c r="I31" s="28"/>
      <c r="J31" s="30" t="s">
        <v>20</v>
      </c>
      <c r="K31" s="30">
        <f>SUMIF('MASTER DATA'!$A:$A,Cashier!I11,'MASTER DATA'!$AW:$AW)</f>
        <v>0</v>
      </c>
      <c r="L31" s="50"/>
      <c r="M31" s="60"/>
      <c r="N31" s="30"/>
      <c r="O31" s="28"/>
      <c r="P31" s="30"/>
      <c r="Q31" s="30"/>
      <c r="R31" s="49"/>
      <c r="T31" s="29"/>
    </row>
    <row r="32" spans="1:25" s="27" customFormat="1">
      <c r="A32" s="47"/>
      <c r="C32" s="28"/>
      <c r="D32" s="30" t="s">
        <v>23</v>
      </c>
      <c r="E32" s="30">
        <f>SUMIF('MASTER DATA'!$A:$A,Cashier!C11,'MASTER DATA'!$AX:$AX)</f>
        <v>0</v>
      </c>
      <c r="F32" s="50"/>
      <c r="G32" s="60"/>
      <c r="H32" s="30"/>
      <c r="I32" s="28"/>
      <c r="J32" s="30" t="s">
        <v>23</v>
      </c>
      <c r="K32" s="30">
        <f>SUMIF('MASTER DATA'!$A:$A,Cashier!I11,'MASTER DATA'!$AX:$AX)</f>
        <v>0</v>
      </c>
      <c r="L32" s="50"/>
      <c r="M32" s="60"/>
      <c r="N32" s="30"/>
      <c r="O32" s="28"/>
      <c r="P32" s="30"/>
      <c r="Q32" s="30"/>
      <c r="R32" s="49"/>
      <c r="T32" s="29"/>
    </row>
    <row r="33" spans="1:20" s="27" customFormat="1" ht="16.5" thickBot="1">
      <c r="A33" s="47"/>
      <c r="C33" s="28"/>
      <c r="D33" s="28" t="s">
        <v>16</v>
      </c>
      <c r="E33" s="33">
        <f>E25-SUM(E26:E32)</f>
        <v>9872</v>
      </c>
      <c r="F33" s="53"/>
      <c r="G33" s="60"/>
      <c r="H33" s="30"/>
      <c r="I33" s="28"/>
      <c r="J33" s="28" t="s">
        <v>16</v>
      </c>
      <c r="K33" s="33">
        <f>K25-SUM(K26:K32)</f>
        <v>0</v>
      </c>
      <c r="L33" s="53"/>
      <c r="M33" s="60"/>
      <c r="N33" s="30"/>
      <c r="O33" s="28"/>
      <c r="P33" s="28"/>
      <c r="Q33" s="28"/>
      <c r="R33" s="49"/>
      <c r="T33" s="29"/>
    </row>
    <row r="34" spans="1:20" s="27" customFormat="1" ht="16.5" thickTop="1">
      <c r="A34" s="47"/>
      <c r="D34" s="30"/>
      <c r="E34" s="30"/>
      <c r="F34" s="50"/>
      <c r="G34" s="60"/>
      <c r="H34" s="30"/>
      <c r="I34" s="28"/>
      <c r="J34" s="30"/>
      <c r="K34" s="30"/>
      <c r="L34" s="50"/>
      <c r="M34" s="60"/>
      <c r="N34" s="30"/>
      <c r="O34" s="28"/>
      <c r="P34" s="30"/>
      <c r="Q34" s="30"/>
      <c r="R34" s="49"/>
    </row>
    <row r="35" spans="1:20" s="27" customFormat="1">
      <c r="A35" s="47"/>
      <c r="D35" s="66"/>
      <c r="F35" s="49"/>
      <c r="G35" s="47"/>
      <c r="I35" s="3"/>
      <c r="J35" s="66"/>
      <c r="L35" s="49"/>
      <c r="M35" s="60"/>
      <c r="N35" s="30"/>
      <c r="O35" s="28"/>
      <c r="R35" s="49"/>
      <c r="S35" s="29"/>
    </row>
    <row r="36" spans="1:20" s="27" customFormat="1" ht="16.5" thickBot="1">
      <c r="A36" s="54"/>
      <c r="B36" s="55"/>
      <c r="C36" s="55"/>
      <c r="D36" s="55"/>
      <c r="E36" s="55"/>
      <c r="F36" s="56"/>
      <c r="G36" s="54"/>
      <c r="H36" s="55"/>
      <c r="I36" s="61"/>
      <c r="J36" s="55"/>
      <c r="K36" s="55"/>
      <c r="L36" s="56"/>
      <c r="M36" s="62"/>
      <c r="N36" s="63"/>
      <c r="O36" s="64"/>
      <c r="P36" s="55"/>
      <c r="Q36" s="55"/>
      <c r="R36" s="56"/>
      <c r="S36" s="65"/>
    </row>
    <row r="37" spans="1:20">
      <c r="D37" s="10"/>
      <c r="E37" s="10"/>
      <c r="F37" s="10"/>
    </row>
    <row r="38" spans="1:20">
      <c r="D38" s="10"/>
      <c r="E38" s="10"/>
      <c r="F38" s="10"/>
      <c r="J38" s="67">
        <f>E33+K33</f>
        <v>9872</v>
      </c>
    </row>
    <row r="39" spans="1:20">
      <c r="D39" s="10"/>
      <c r="E39" s="10"/>
      <c r="F39" s="10"/>
    </row>
    <row r="40" spans="1:20">
      <c r="D40" s="6"/>
      <c r="E40" s="6"/>
      <c r="F40" s="6"/>
    </row>
  </sheetData>
  <pageMargins left="0.70866141732283472" right="0.70866141732283472" top="0.74803149606299213" bottom="0.74803149606299213" header="0.31496062992125984" footer="0.31496062992125984"/>
  <pageSetup scale="7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73D2-A672-402B-8078-F14DB9D0FAC1}">
  <sheetPr codeName="Sheet10"/>
  <dimension ref="A1:Y40"/>
  <sheetViews>
    <sheetView view="pageBreakPreview" topLeftCell="A4" zoomScale="70" zoomScaleNormal="100" zoomScaleSheetLayoutView="70" workbookViewId="0">
      <selection activeCell="D35" sqref="D35"/>
    </sheetView>
  </sheetViews>
  <sheetFormatPr defaultColWidth="9.140625" defaultRowHeight="15.75"/>
  <cols>
    <col min="1" max="2" width="4.7109375" style="2" customWidth="1"/>
    <col min="3" max="3" width="3.5703125" style="27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3.5703125" style="3" customWidth="1"/>
    <col min="10" max="10" width="25.5703125" style="2" customWidth="1"/>
    <col min="11" max="11" width="13.5703125" style="2" customWidth="1"/>
    <col min="12" max="12" width="13.7109375" style="2" customWidth="1"/>
    <col min="13" max="14" width="4.7109375" style="2" customWidth="1"/>
    <col min="15" max="15" width="3.5703125" style="26" customWidth="1"/>
    <col min="16" max="16" width="25.5703125" style="2" customWidth="1"/>
    <col min="17" max="17" width="13.5703125" style="2" customWidth="1"/>
    <col min="18" max="18" width="13.7109375" style="2" customWidth="1"/>
    <col min="19" max="19" width="11.5703125" style="2" bestFit="1" customWidth="1"/>
    <col min="20" max="20" width="11.28515625" style="2" bestFit="1" customWidth="1"/>
    <col min="21" max="16384" width="9.140625" style="2"/>
  </cols>
  <sheetData>
    <row r="1" spans="1:18" ht="18">
      <c r="A1" s="41"/>
      <c r="B1" s="42"/>
      <c r="C1" s="42"/>
      <c r="D1" s="42"/>
      <c r="E1" s="70"/>
      <c r="F1" s="79" t="s">
        <v>235</v>
      </c>
      <c r="G1" s="41"/>
      <c r="H1" s="42"/>
      <c r="I1" s="57"/>
      <c r="J1" s="42"/>
      <c r="K1" s="70"/>
      <c r="L1" s="79" t="s">
        <v>235</v>
      </c>
      <c r="M1" s="41"/>
      <c r="N1" s="42"/>
      <c r="O1" s="57"/>
      <c r="P1" s="42"/>
      <c r="Q1" s="70"/>
      <c r="R1" s="79"/>
    </row>
    <row r="2" spans="1:18" ht="18">
      <c r="A2" s="44"/>
      <c r="B2" s="34"/>
      <c r="C2" s="34"/>
      <c r="D2" s="34"/>
      <c r="E2" s="34"/>
      <c r="F2" s="45"/>
      <c r="G2" s="44"/>
      <c r="H2" s="34"/>
      <c r="I2" s="36"/>
      <c r="J2" s="34"/>
      <c r="K2" s="34"/>
      <c r="L2" s="45"/>
      <c r="M2" s="44"/>
      <c r="N2" s="34"/>
      <c r="O2" s="36"/>
      <c r="P2" s="34"/>
      <c r="Q2" s="34"/>
      <c r="R2" s="45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6"/>
      <c r="J3" s="35" t="s">
        <v>0</v>
      </c>
      <c r="K3" s="36"/>
      <c r="L3" s="46"/>
      <c r="M3" s="44"/>
      <c r="N3" s="34"/>
      <c r="O3" s="36"/>
      <c r="P3" s="35" t="s">
        <v>0</v>
      </c>
      <c r="Q3" s="36"/>
      <c r="R3" s="46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6"/>
      <c r="J4" s="35" t="s">
        <v>1</v>
      </c>
      <c r="K4" s="36"/>
      <c r="L4" s="46"/>
      <c r="M4" s="44"/>
      <c r="N4" s="34"/>
      <c r="O4" s="36"/>
      <c r="P4" s="35" t="s">
        <v>1</v>
      </c>
      <c r="Q4" s="36"/>
      <c r="R4" s="46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6"/>
      <c r="J5" s="35" t="s">
        <v>162</v>
      </c>
      <c r="K5" s="36"/>
      <c r="L5" s="46"/>
      <c r="M5" s="44"/>
      <c r="N5" s="34"/>
      <c r="O5" s="36"/>
      <c r="P5" s="35" t="s">
        <v>162</v>
      </c>
      <c r="Q5" s="36"/>
      <c r="R5" s="46"/>
    </row>
    <row r="6" spans="1:18" ht="18">
      <c r="A6" s="44"/>
      <c r="B6" s="34"/>
      <c r="C6" s="34"/>
      <c r="D6" s="34"/>
      <c r="E6" s="34"/>
      <c r="F6" s="45"/>
      <c r="G6" s="44"/>
      <c r="H6" s="34"/>
      <c r="I6" s="36"/>
      <c r="J6" s="34"/>
      <c r="K6" s="34"/>
      <c r="L6" s="45"/>
      <c r="M6" s="44"/>
      <c r="N6" s="34"/>
      <c r="O6" s="36"/>
      <c r="P6" s="34"/>
      <c r="Q6" s="34"/>
      <c r="R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6"/>
      <c r="J7" s="34"/>
      <c r="K7" s="34"/>
      <c r="L7" s="45"/>
      <c r="M7" s="44"/>
      <c r="N7" s="34"/>
      <c r="O7" s="36"/>
      <c r="P7" s="34"/>
      <c r="Q7" s="34"/>
      <c r="R7" s="45"/>
    </row>
    <row r="8" spans="1:18">
      <c r="A8" s="47"/>
      <c r="B8" s="27"/>
      <c r="D8" s="3" t="s">
        <v>3</v>
      </c>
      <c r="E8" s="3"/>
      <c r="F8" s="48"/>
      <c r="G8" s="47"/>
      <c r="H8" s="27"/>
      <c r="J8" s="3" t="s">
        <v>3</v>
      </c>
      <c r="K8" s="3"/>
      <c r="L8" s="48"/>
      <c r="M8" s="47"/>
      <c r="N8" s="27"/>
      <c r="O8" s="3"/>
      <c r="P8" s="3" t="s">
        <v>3</v>
      </c>
      <c r="Q8" s="3"/>
      <c r="R8" s="48"/>
    </row>
    <row r="9" spans="1:18">
      <c r="A9" s="47"/>
      <c r="B9" s="27"/>
      <c r="D9" s="27" t="s">
        <v>319</v>
      </c>
      <c r="E9" s="27"/>
      <c r="F9" s="49"/>
      <c r="G9" s="58"/>
      <c r="H9" s="3"/>
      <c r="J9" s="27" t="str">
        <f>D9</f>
        <v>FEB 16-28, 2026</v>
      </c>
      <c r="K9" s="27"/>
      <c r="L9" s="49"/>
      <c r="M9" s="58"/>
      <c r="N9" s="3"/>
      <c r="O9" s="3"/>
      <c r="P9" s="27" t="str">
        <f>J9</f>
        <v>FEB 16-28, 2026</v>
      </c>
      <c r="Q9" s="27"/>
      <c r="R9" s="49"/>
    </row>
    <row r="10" spans="1:18">
      <c r="A10" s="47"/>
      <c r="B10" s="27"/>
      <c r="D10" s="27"/>
      <c r="E10" s="27"/>
      <c r="F10" s="49"/>
      <c r="G10" s="47"/>
      <c r="H10" s="27"/>
      <c r="J10" s="3"/>
      <c r="K10" s="27"/>
      <c r="L10" s="49"/>
      <c r="M10" s="47"/>
      <c r="N10" s="27"/>
      <c r="O10" s="3"/>
      <c r="P10" s="3"/>
      <c r="Q10" s="27"/>
      <c r="R10" s="49"/>
    </row>
    <row r="11" spans="1:18" s="27" customFormat="1">
      <c r="A11" s="47"/>
      <c r="C11" s="3">
        <v>64</v>
      </c>
      <c r="D11" s="3" t="str">
        <f>VLOOKUP(C11,'MASTER DATA'!$A:$E,5,FALSE)</f>
        <v>ANDAYA, APRIL JANE G.</v>
      </c>
      <c r="F11" s="49"/>
      <c r="G11" s="47"/>
      <c r="I11" s="3">
        <v>65</v>
      </c>
      <c r="J11" s="3" t="str">
        <f>VLOOKUP(I11,'MASTER DATA'!$A:$E,5,FALSE)</f>
        <v>AMBROSIO, JOHN HAROLD F.</v>
      </c>
      <c r="L11" s="49"/>
      <c r="M11" s="47"/>
      <c r="O11" s="3">
        <v>66</v>
      </c>
      <c r="P11" s="3" t="str">
        <f>VLOOKUP(O11,'MASTER DATA'!$A:$E,5,FALSE)</f>
        <v>NIÑO, COLENE MAE B.</v>
      </c>
      <c r="R11" s="49"/>
    </row>
    <row r="12" spans="1:18" s="27" customFormat="1">
      <c r="A12" s="47"/>
      <c r="C12" s="3"/>
      <c r="D12" s="3" t="str">
        <f>VLOOKUP(C11,'MASTER DATA'!$A:$F,6,FALSE)</f>
        <v>HRMO</v>
      </c>
      <c r="F12" s="49"/>
      <c r="G12" s="47"/>
      <c r="I12" s="3"/>
      <c r="J12" s="3" t="str">
        <f>VLOOKUP(I11,'MASTER DATA'!$A:$F,6,FALSE)</f>
        <v>HRMO</v>
      </c>
      <c r="L12" s="49"/>
      <c r="M12" s="47"/>
      <c r="O12" s="3"/>
      <c r="P12" s="3" t="str">
        <f>VLOOKUP(O11,'MASTER DATA'!$A:$F,6,FALSE)</f>
        <v>HRMO</v>
      </c>
      <c r="R12" s="49"/>
    </row>
    <row r="13" spans="1:18" s="27" customFormat="1">
      <c r="A13" s="47"/>
      <c r="D13" s="29" t="str">
        <f>VLOOKUP(C11,'MASTER DATA'!$A:$G,7,FALSE)</f>
        <v>Administrative Asst. II</v>
      </c>
      <c r="F13" s="49"/>
      <c r="G13" s="47"/>
      <c r="I13" s="3"/>
      <c r="J13" s="29" t="str">
        <f>VLOOKUP(I11,'MASTER DATA'!$A:$G,7,FALSE)</f>
        <v>Training Specialist II</v>
      </c>
      <c r="L13" s="49"/>
      <c r="M13" s="47"/>
      <c r="O13" s="3"/>
      <c r="P13" s="29" t="str">
        <f>VLOOKUP(O11,'MASTER DATA'!$A:$G,7,FALSE)</f>
        <v>Training Specialist II</v>
      </c>
      <c r="R13" s="49"/>
    </row>
    <row r="14" spans="1:18" s="27" customFormat="1">
      <c r="A14" s="47"/>
      <c r="D14" s="27" t="s">
        <v>4</v>
      </c>
      <c r="E14" s="30">
        <f>SUMIF('MASTER DATA'!$A:$A,HR!C11,'MASTER DATA'!$N:$N)</f>
        <v>9872</v>
      </c>
      <c r="F14" s="50"/>
      <c r="G14" s="47"/>
      <c r="I14" s="3"/>
      <c r="J14" s="27" t="s">
        <v>4</v>
      </c>
      <c r="K14" s="30">
        <f>SUMIF('MASTER DATA'!$A:$A,HR!I11,'MASTER DATA'!$N:$N)</f>
        <v>18309.5</v>
      </c>
      <c r="L14" s="50"/>
      <c r="M14" s="47"/>
      <c r="O14" s="3"/>
      <c r="P14" s="27" t="s">
        <v>4</v>
      </c>
      <c r="Q14" s="30">
        <f>SUMIF('MASTER DATA'!$A:$A,HR!O11,'MASTER DATA'!$N:$N)</f>
        <v>18309.5</v>
      </c>
      <c r="R14" s="50"/>
    </row>
    <row r="15" spans="1:18" s="27" customFormat="1" ht="17.25">
      <c r="A15" s="47"/>
      <c r="E15" s="37"/>
      <c r="F15" s="51"/>
      <c r="G15" s="59"/>
      <c r="H15" s="39"/>
      <c r="I15" s="38"/>
      <c r="K15" s="37"/>
      <c r="L15" s="51"/>
      <c r="M15" s="59"/>
      <c r="N15" s="39"/>
      <c r="O15" s="38"/>
      <c r="Q15" s="37"/>
      <c r="R15" s="51"/>
    </row>
    <row r="16" spans="1:18" s="27" customFormat="1">
      <c r="A16" s="47"/>
      <c r="E16" s="30"/>
      <c r="F16" s="50"/>
      <c r="G16" s="59"/>
      <c r="H16" s="39"/>
      <c r="I16" s="38"/>
      <c r="K16" s="30"/>
      <c r="L16" s="50"/>
      <c r="M16" s="59"/>
      <c r="N16" s="39"/>
      <c r="O16" s="38"/>
      <c r="Q16" s="30"/>
      <c r="R16" s="50"/>
    </row>
    <row r="17" spans="1:25" s="27" customFormat="1" ht="17.25">
      <c r="A17" s="47"/>
      <c r="E17" s="37"/>
      <c r="F17" s="51"/>
      <c r="G17" s="59"/>
      <c r="H17" s="39"/>
      <c r="I17" s="38"/>
      <c r="K17" s="37"/>
      <c r="L17" s="51"/>
      <c r="M17" s="59"/>
      <c r="N17" s="39"/>
      <c r="O17" s="38"/>
      <c r="Q17" s="37"/>
      <c r="R17" s="51"/>
    </row>
    <row r="18" spans="1:25" s="27" customFormat="1">
      <c r="A18" s="47"/>
      <c r="D18" s="39" t="s">
        <v>5</v>
      </c>
      <c r="E18" s="40" t="s">
        <v>6</v>
      </c>
      <c r="F18" s="52"/>
      <c r="G18" s="47"/>
      <c r="I18" s="3"/>
      <c r="J18" s="39" t="s">
        <v>5</v>
      </c>
      <c r="K18" s="40" t="s">
        <v>6</v>
      </c>
      <c r="L18" s="52"/>
      <c r="M18" s="47"/>
      <c r="O18" s="3"/>
      <c r="P18" s="39" t="s">
        <v>5</v>
      </c>
      <c r="Q18" s="40" t="s">
        <v>6</v>
      </c>
      <c r="R18" s="52"/>
    </row>
    <row r="19" spans="1:25" s="27" customFormat="1">
      <c r="A19" s="47"/>
      <c r="F19" s="49"/>
      <c r="G19" s="60"/>
      <c r="H19" s="30"/>
      <c r="I19" s="28"/>
      <c r="L19" s="49"/>
      <c r="M19" s="60"/>
      <c r="N19" s="30"/>
      <c r="O19" s="28"/>
      <c r="R19" s="49"/>
    </row>
    <row r="20" spans="1:25" s="27" customFormat="1">
      <c r="A20" s="47"/>
      <c r="D20" s="30" t="s">
        <v>7</v>
      </c>
      <c r="E20" s="30">
        <f>SUMIF('MASTER DATA'!$A:$A,HR!C11,'MASTER DATA'!$AL:$AL)</f>
        <v>0</v>
      </c>
      <c r="F20" s="50"/>
      <c r="G20" s="60"/>
      <c r="H20" s="30"/>
      <c r="I20" s="28"/>
      <c r="J20" s="30" t="s">
        <v>7</v>
      </c>
      <c r="K20" s="30">
        <f>SUMIF('MASTER DATA'!$A:$A,HR!I11,'MASTER DATA'!$AL:$AL)</f>
        <v>0</v>
      </c>
      <c r="L20" s="50"/>
      <c r="M20" s="60"/>
      <c r="N20" s="30"/>
      <c r="O20" s="28"/>
      <c r="P20" s="30" t="s">
        <v>7</v>
      </c>
      <c r="Q20" s="30">
        <f>SUMIF('MASTER DATA'!$A:$A,HR!O11,'MASTER DATA'!$AL:$AL)</f>
        <v>0</v>
      </c>
      <c r="R20" s="50"/>
    </row>
    <row r="21" spans="1:25" s="27" customFormat="1">
      <c r="A21" s="47"/>
      <c r="D21" s="31" t="s">
        <v>8</v>
      </c>
      <c r="E21" s="30">
        <f>SUMIF('MASTER DATA'!$A:$A,HR!C11,'MASTER DATA'!$AM:$AM)+(SUMIF('MASTER DATA'!$A:$A,HR!C11,'MASTER DATA'!$AN:$AN))</f>
        <v>448.73</v>
      </c>
      <c r="F21" s="50"/>
      <c r="G21" s="60"/>
      <c r="H21" s="30"/>
      <c r="I21" s="28"/>
      <c r="J21" s="31" t="s">
        <v>8</v>
      </c>
      <c r="K21" s="30">
        <f>SUMIF('MASTER DATA'!$A:$A,HR!I11,'MASTER DATA'!$AM:$AM)+(SUMIF('MASTER DATA'!$A:$A,HR!I11,'MASTER DATA'!$AN:$AN))</f>
        <v>0</v>
      </c>
      <c r="L21" s="50"/>
      <c r="M21" s="60"/>
      <c r="N21" s="30"/>
      <c r="O21" s="28"/>
      <c r="P21" s="31" t="s">
        <v>8</v>
      </c>
      <c r="Q21" s="30">
        <f>SUMIF('MASTER DATA'!$A:$A,HR!O11,'MASTER DATA'!$AM:$AM)+(SUMIF('MASTER DATA'!$A:$A,HR!O11,'MASTER DATA'!$AN:$AN))</f>
        <v>0</v>
      </c>
      <c r="R21" s="50"/>
    </row>
    <row r="22" spans="1:25" s="27" customFormat="1">
      <c r="A22" s="47"/>
      <c r="D22" s="30" t="s">
        <v>9</v>
      </c>
      <c r="E22" s="32">
        <f>SUMIF('MASTER DATA'!$A:$A,HR!C11,'MASTER DATA'!$AP:$AP)</f>
        <v>0</v>
      </c>
      <c r="F22" s="50"/>
      <c r="G22" s="60"/>
      <c r="H22" s="30"/>
      <c r="I22" s="28"/>
      <c r="J22" s="30" t="s">
        <v>9</v>
      </c>
      <c r="K22" s="32">
        <f>SUMIF('MASTER DATA'!$A:$A,HR!I11,'MASTER DATA'!$AP:$AP)</f>
        <v>0</v>
      </c>
      <c r="L22" s="50"/>
      <c r="M22" s="60"/>
      <c r="N22" s="30"/>
      <c r="O22" s="28"/>
      <c r="P22" s="30" t="s">
        <v>9</v>
      </c>
      <c r="Q22" s="32">
        <f>SUMIF('MASTER DATA'!$A:$A,HR!O11,'MASTER DATA'!$AP:$AP)</f>
        <v>0</v>
      </c>
      <c r="R22" s="50"/>
    </row>
    <row r="23" spans="1:25" s="27" customFormat="1">
      <c r="A23" s="47"/>
      <c r="D23" s="30" t="s">
        <v>10</v>
      </c>
      <c r="E23" s="30">
        <f>SUM(E20:E22)</f>
        <v>448.73</v>
      </c>
      <c r="F23" s="50"/>
      <c r="G23" s="60"/>
      <c r="H23" s="30"/>
      <c r="I23" s="28"/>
      <c r="J23" s="30" t="s">
        <v>10</v>
      </c>
      <c r="K23" s="30">
        <f>SUM(K20:K22)</f>
        <v>0</v>
      </c>
      <c r="L23" s="50"/>
      <c r="M23" s="60"/>
      <c r="N23" s="30"/>
      <c r="O23" s="28"/>
      <c r="P23" s="30" t="s">
        <v>10</v>
      </c>
      <c r="Q23" s="30">
        <f>SUM(Q20:Q22)</f>
        <v>0</v>
      </c>
      <c r="R23" s="50"/>
    </row>
    <row r="24" spans="1:25" s="27" customFormat="1">
      <c r="A24" s="47"/>
      <c r="D24" s="30"/>
      <c r="E24" s="30"/>
      <c r="F24" s="50"/>
      <c r="G24" s="60"/>
      <c r="H24" s="30"/>
      <c r="I24" s="28"/>
      <c r="J24" s="30"/>
      <c r="K24" s="30"/>
      <c r="L24" s="50"/>
      <c r="M24" s="60"/>
      <c r="N24" s="30"/>
      <c r="O24" s="28"/>
      <c r="P24" s="30"/>
      <c r="Q24" s="30"/>
      <c r="R24" s="50"/>
      <c r="Y24" s="3" t="s">
        <v>11</v>
      </c>
    </row>
    <row r="25" spans="1:25" s="27" customFormat="1">
      <c r="A25" s="47"/>
      <c r="D25" s="30" t="s">
        <v>12</v>
      </c>
      <c r="E25" s="30">
        <f>E14-E23</f>
        <v>9423.27</v>
      </c>
      <c r="F25" s="50"/>
      <c r="G25" s="60"/>
      <c r="H25" s="30"/>
      <c r="I25" s="28"/>
      <c r="J25" s="30" t="s">
        <v>12</v>
      </c>
      <c r="K25" s="30">
        <f>K14-K23</f>
        <v>18309.5</v>
      </c>
      <c r="L25" s="50"/>
      <c r="M25" s="60"/>
      <c r="N25" s="30"/>
      <c r="O25" s="28"/>
      <c r="P25" s="30" t="s">
        <v>12</v>
      </c>
      <c r="Q25" s="30">
        <f>Q14-Q23</f>
        <v>18309.5</v>
      </c>
      <c r="R25" s="50"/>
    </row>
    <row r="26" spans="1:25" s="27" customFormat="1">
      <c r="A26" s="47"/>
      <c r="D26" s="30" t="s">
        <v>13</v>
      </c>
      <c r="E26" s="30"/>
      <c r="F26" s="50"/>
      <c r="G26" s="60"/>
      <c r="H26" s="30"/>
      <c r="I26" s="28"/>
      <c r="J26" s="30" t="s">
        <v>13</v>
      </c>
      <c r="K26" s="30"/>
      <c r="L26" s="50"/>
      <c r="M26" s="60"/>
      <c r="N26" s="30"/>
      <c r="O26" s="28"/>
      <c r="P26" s="30" t="s">
        <v>13</v>
      </c>
      <c r="Q26" s="30"/>
      <c r="R26" s="50"/>
    </row>
    <row r="27" spans="1:25" s="27" customFormat="1">
      <c r="A27" s="47"/>
      <c r="D27" s="30" t="s">
        <v>14</v>
      </c>
      <c r="E27" s="30">
        <f>SUMIF('MASTER DATA'!$A:$A,HR!C11,'MASTER DATA'!$AS:$AS)</f>
        <v>0</v>
      </c>
      <c r="F27" s="50"/>
      <c r="G27" s="60"/>
      <c r="H27" s="30"/>
      <c r="I27" s="28"/>
      <c r="J27" s="30" t="s">
        <v>14</v>
      </c>
      <c r="K27" s="30">
        <f>SUMIF('MASTER DATA'!$A:$A,HR!I11,'MASTER DATA'!$AS:$AS)</f>
        <v>0</v>
      </c>
      <c r="L27" s="50"/>
      <c r="M27" s="60"/>
      <c r="N27" s="30"/>
      <c r="O27" s="28"/>
      <c r="P27" s="30" t="s">
        <v>14</v>
      </c>
      <c r="Q27" s="30">
        <f>SUMIF('MASTER DATA'!$A:$A,HR!O11,'MASTER DATA'!$AS:$AS)</f>
        <v>0</v>
      </c>
      <c r="R27" s="50"/>
    </row>
    <row r="28" spans="1:25" s="27" customFormat="1">
      <c r="A28" s="47"/>
      <c r="D28" s="69" t="s">
        <v>160</v>
      </c>
      <c r="E28" s="30">
        <f>SUMIF('MASTER DATA'!$A:$A,HR!C11,'MASTER DATA'!$AT:$AT)</f>
        <v>0</v>
      </c>
      <c r="F28" s="50"/>
      <c r="G28" s="60"/>
      <c r="H28" s="30"/>
      <c r="I28" s="28"/>
      <c r="J28" s="69" t="s">
        <v>160</v>
      </c>
      <c r="K28" s="30">
        <f>SUMIF('MASTER DATA'!$A:$A,HR!I11,'MASTER DATA'!$AT:$AT)</f>
        <v>0</v>
      </c>
      <c r="L28" s="50"/>
      <c r="M28" s="60"/>
      <c r="N28" s="30"/>
      <c r="O28" s="28"/>
      <c r="P28" s="69" t="s">
        <v>160</v>
      </c>
      <c r="Q28" s="30">
        <f>SUMIF('MASTER DATA'!$A:$A,HR!O11,'MASTER DATA'!$AT:$AT)</f>
        <v>0</v>
      </c>
      <c r="R28" s="50"/>
    </row>
    <row r="29" spans="1:25" s="27" customFormat="1">
      <c r="A29" s="47"/>
      <c r="D29" s="30" t="s">
        <v>15</v>
      </c>
      <c r="E29" s="30">
        <f>SUMIF('MASTER DATA'!$A:$A,HR!C11,'MASTER DATA'!$AU:$AU)</f>
        <v>0</v>
      </c>
      <c r="F29" s="50"/>
      <c r="G29" s="60"/>
      <c r="H29" s="30"/>
      <c r="I29" s="28"/>
      <c r="J29" s="30" t="s">
        <v>15</v>
      </c>
      <c r="K29" s="30">
        <f>SUMIF('MASTER DATA'!$A:$A,HR!I11,'MASTER DATA'!$AU:$AU)</f>
        <v>0</v>
      </c>
      <c r="L29" s="50"/>
      <c r="M29" s="60"/>
      <c r="N29" s="30"/>
      <c r="O29" s="28"/>
      <c r="P29" s="30" t="s">
        <v>15</v>
      </c>
      <c r="Q29" s="30">
        <f>SUMIF('MASTER DATA'!$A:$A,HR!O11,'MASTER DATA'!$AU:$AU)</f>
        <v>0</v>
      </c>
      <c r="R29" s="50"/>
      <c r="T29" s="29"/>
    </row>
    <row r="30" spans="1:25" s="27" customFormat="1">
      <c r="A30" s="47"/>
      <c r="D30" s="30" t="s">
        <v>19</v>
      </c>
      <c r="E30" s="30">
        <f>SUMIF('MASTER DATA'!$A:$A,HR!C11,'MASTER DATA'!$AV:$AV)</f>
        <v>0</v>
      </c>
      <c r="F30" s="50"/>
      <c r="G30" s="60"/>
      <c r="H30" s="30"/>
      <c r="I30" s="28"/>
      <c r="J30" s="30" t="s">
        <v>19</v>
      </c>
      <c r="K30" s="30">
        <f>SUMIF('MASTER DATA'!$A:$A,HR!I11,'MASTER DATA'!$AV:$AV)</f>
        <v>0</v>
      </c>
      <c r="L30" s="50"/>
      <c r="M30" s="60"/>
      <c r="N30" s="30"/>
      <c r="O30" s="28"/>
      <c r="P30" s="30" t="s">
        <v>19</v>
      </c>
      <c r="Q30" s="30">
        <f>SUMIF('MASTER DATA'!$A:$A,HR!O11,'MASTER DATA'!$AV:$AV)</f>
        <v>0</v>
      </c>
      <c r="R30" s="50"/>
      <c r="T30" s="29"/>
    </row>
    <row r="31" spans="1:25" s="27" customFormat="1">
      <c r="A31" s="47"/>
      <c r="D31" s="30" t="s">
        <v>20</v>
      </c>
      <c r="E31" s="30">
        <f>SUMIF('MASTER DATA'!$A:$A,HR!C11,'MASTER DATA'!$AW:$AW)</f>
        <v>0</v>
      </c>
      <c r="F31" s="50"/>
      <c r="G31" s="60"/>
      <c r="H31" s="30"/>
      <c r="I31" s="28"/>
      <c r="J31" s="30" t="s">
        <v>20</v>
      </c>
      <c r="K31" s="30">
        <f>SUMIF('MASTER DATA'!$A:$A,HR!I11,'MASTER DATA'!$AW:$AW)</f>
        <v>0</v>
      </c>
      <c r="L31" s="50"/>
      <c r="M31" s="60"/>
      <c r="N31" s="30"/>
      <c r="O31" s="28"/>
      <c r="P31" s="30" t="s">
        <v>20</v>
      </c>
      <c r="Q31" s="30">
        <f>SUMIF('MASTER DATA'!$A:$A,HR!O11,'MASTER DATA'!$AW:$AW)</f>
        <v>0</v>
      </c>
      <c r="R31" s="50"/>
      <c r="T31" s="29"/>
    </row>
    <row r="32" spans="1:25" s="27" customFormat="1">
      <c r="A32" s="47"/>
      <c r="D32" s="30" t="s">
        <v>23</v>
      </c>
      <c r="E32" s="30">
        <f>SUMIF('MASTER DATA'!$A:$A,HR!C11,'MASTER DATA'!$AX:$AX)</f>
        <v>0</v>
      </c>
      <c r="F32" s="50"/>
      <c r="G32" s="60"/>
      <c r="H32" s="30"/>
      <c r="I32" s="28"/>
      <c r="J32" s="30" t="s">
        <v>23</v>
      </c>
      <c r="K32" s="30">
        <f>SUMIF('MASTER DATA'!$A:$A,HR!I11,'MASTER DATA'!$AX:$AX)</f>
        <v>0</v>
      </c>
      <c r="L32" s="50"/>
      <c r="M32" s="60"/>
      <c r="N32" s="30"/>
      <c r="O32" s="28"/>
      <c r="P32" s="30" t="s">
        <v>23</v>
      </c>
      <c r="Q32" s="30">
        <f>SUMIF('MASTER DATA'!$A:$A,HR!O11,'MASTER DATA'!$AX:$AX)</f>
        <v>0</v>
      </c>
      <c r="R32" s="50"/>
      <c r="T32" s="29"/>
    </row>
    <row r="33" spans="1:20" s="27" customFormat="1" ht="16.5" thickBot="1">
      <c r="A33" s="47"/>
      <c r="D33" s="28" t="s">
        <v>16</v>
      </c>
      <c r="E33" s="33">
        <f>E25-SUM(E26:E32)</f>
        <v>9423.27</v>
      </c>
      <c r="F33" s="53"/>
      <c r="G33" s="60"/>
      <c r="H33" s="30"/>
      <c r="I33" s="28"/>
      <c r="J33" s="28" t="s">
        <v>16</v>
      </c>
      <c r="K33" s="33">
        <f>K25-SUM(K26:K32)</f>
        <v>18309.5</v>
      </c>
      <c r="L33" s="53"/>
      <c r="M33" s="60"/>
      <c r="N33" s="30"/>
      <c r="O33" s="28"/>
      <c r="P33" s="28" t="s">
        <v>16</v>
      </c>
      <c r="Q33" s="33">
        <f>Q25-SUM(Q26:Q32)</f>
        <v>18309.5</v>
      </c>
      <c r="R33" s="53"/>
      <c r="T33" s="29"/>
    </row>
    <row r="34" spans="1:20" s="27" customFormat="1" ht="16.5" thickTop="1">
      <c r="A34" s="47"/>
      <c r="D34" s="30"/>
      <c r="E34" s="30"/>
      <c r="F34" s="50"/>
      <c r="G34" s="60"/>
      <c r="H34" s="30"/>
      <c r="I34" s="28"/>
      <c r="J34" s="30"/>
      <c r="K34" s="30"/>
      <c r="L34" s="50"/>
      <c r="M34" s="60"/>
      <c r="N34" s="30"/>
      <c r="O34" s="28"/>
      <c r="P34" s="30"/>
      <c r="Q34" s="30"/>
      <c r="R34" s="50"/>
    </row>
    <row r="35" spans="1:20" s="27" customFormat="1" ht="60">
      <c r="A35" s="47"/>
      <c r="D35" s="88" t="s">
        <v>318</v>
      </c>
      <c r="F35" s="49"/>
      <c r="G35" s="47"/>
      <c r="I35" s="3"/>
      <c r="J35" s="66"/>
      <c r="L35" s="49"/>
      <c r="M35" s="47"/>
      <c r="O35" s="3"/>
      <c r="P35" s="66"/>
      <c r="R35" s="49"/>
      <c r="S35" s="29"/>
    </row>
    <row r="36" spans="1:20" s="27" customFormat="1" ht="16.5" thickBot="1">
      <c r="A36" s="54"/>
      <c r="B36" s="55"/>
      <c r="C36" s="55"/>
      <c r="D36" s="55"/>
      <c r="E36" s="55"/>
      <c r="F36" s="56"/>
      <c r="G36" s="54"/>
      <c r="H36" s="55"/>
      <c r="I36" s="61"/>
      <c r="J36" s="55"/>
      <c r="K36" s="55"/>
      <c r="L36" s="56"/>
      <c r="M36" s="54"/>
      <c r="N36" s="55"/>
      <c r="O36" s="61"/>
      <c r="P36" s="55"/>
      <c r="Q36" s="55"/>
      <c r="R36" s="56"/>
      <c r="S36" s="65"/>
    </row>
    <row r="37" spans="1:20">
      <c r="D37" s="10"/>
      <c r="E37" s="10"/>
      <c r="F37" s="10"/>
    </row>
    <row r="38" spans="1:20">
      <c r="D38" s="10"/>
      <c r="E38" s="10"/>
      <c r="F38" s="10"/>
      <c r="J38" s="67">
        <f>E33+K33</f>
        <v>27732.77</v>
      </c>
    </row>
    <row r="39" spans="1:20">
      <c r="D39" s="10"/>
      <c r="E39" s="10"/>
      <c r="F39" s="10"/>
    </row>
    <row r="40" spans="1:20">
      <c r="D40" s="6"/>
      <c r="E40" s="6"/>
      <c r="F40" s="6"/>
    </row>
  </sheetData>
  <pageMargins left="0.70866141732283472" right="0.70866141732283472" top="0.74803149606299213" bottom="0.74803149606299213" header="0.31496062992125984" footer="0.31496062992125984"/>
  <pageSetup scale="75" orientation="portrait" r:id="rId1"/>
  <colBreaks count="2" manualBreakCount="2">
    <brk id="6" max="35" man="1"/>
    <brk id="12" max="3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49C7-43DB-48B3-B395-BE8FB5DAF709}">
  <sheetPr codeName="Sheet11"/>
  <dimension ref="A1:Y40"/>
  <sheetViews>
    <sheetView view="pageBreakPreview" zoomScale="70" zoomScaleNormal="25" zoomScaleSheetLayoutView="70" workbookViewId="0">
      <selection activeCell="L35" sqref="L35"/>
    </sheetView>
  </sheetViews>
  <sheetFormatPr defaultColWidth="9.140625" defaultRowHeight="15.75"/>
  <cols>
    <col min="1" max="2" width="4.7109375" style="2" customWidth="1"/>
    <col min="3" max="3" width="3.5703125" style="27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3.5703125" style="3" customWidth="1"/>
    <col min="10" max="10" width="25.5703125" style="2" customWidth="1"/>
    <col min="11" max="11" width="13.5703125" style="2" customWidth="1"/>
    <col min="12" max="12" width="13.7109375" style="2" customWidth="1"/>
    <col min="13" max="14" width="4.7109375" style="2" customWidth="1"/>
    <col min="15" max="15" width="2.7109375" style="26" customWidth="1"/>
    <col min="16" max="16" width="25.5703125" style="2" customWidth="1"/>
    <col min="17" max="17" width="13.5703125" style="2" customWidth="1"/>
    <col min="18" max="18" width="13.7109375" style="2" customWidth="1"/>
    <col min="19" max="19" width="11.5703125" style="2" bestFit="1" customWidth="1"/>
    <col min="20" max="20" width="11.28515625" style="2" bestFit="1" customWidth="1"/>
    <col min="21" max="16384" width="9.140625" style="2"/>
  </cols>
  <sheetData>
    <row r="1" spans="1:18" ht="18">
      <c r="A1" s="41"/>
      <c r="B1" s="42"/>
      <c r="C1" s="42"/>
      <c r="D1" s="42"/>
      <c r="E1" s="42"/>
      <c r="F1" s="79" t="s">
        <v>235</v>
      </c>
      <c r="G1" s="78"/>
      <c r="H1" s="71"/>
      <c r="I1" s="80"/>
      <c r="J1" s="71"/>
      <c r="K1" s="71"/>
      <c r="L1" s="79" t="s">
        <v>235</v>
      </c>
      <c r="M1" s="41"/>
      <c r="N1" s="42"/>
      <c r="O1" s="57"/>
      <c r="P1" s="42"/>
      <c r="Q1" s="70"/>
      <c r="R1" s="68"/>
    </row>
    <row r="2" spans="1:18" ht="18">
      <c r="A2" s="44"/>
      <c r="B2" s="34"/>
      <c r="C2" s="34"/>
      <c r="D2" s="34"/>
      <c r="E2" s="34"/>
      <c r="F2" s="45"/>
      <c r="G2" s="44"/>
      <c r="H2" s="34"/>
      <c r="I2" s="36"/>
      <c r="J2" s="34"/>
      <c r="K2" s="34"/>
      <c r="L2" s="45"/>
      <c r="M2" s="44"/>
      <c r="N2" s="34"/>
      <c r="O2" s="36"/>
      <c r="P2" s="34"/>
      <c r="Q2" s="34"/>
      <c r="R2" s="45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6"/>
      <c r="J3" s="35" t="s">
        <v>0</v>
      </c>
      <c r="K3" s="36"/>
      <c r="L3" s="46"/>
      <c r="M3" s="44"/>
      <c r="N3" s="34"/>
      <c r="O3" s="36"/>
      <c r="P3" s="35"/>
      <c r="Q3" s="36"/>
      <c r="R3" s="45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6"/>
      <c r="J4" s="35" t="s">
        <v>1</v>
      </c>
      <c r="K4" s="36"/>
      <c r="L4" s="46"/>
      <c r="M4" s="44"/>
      <c r="N4" s="34"/>
      <c r="O4" s="36"/>
      <c r="P4" s="35"/>
      <c r="Q4" s="36"/>
      <c r="R4" s="45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6"/>
      <c r="J5" s="35" t="s">
        <v>162</v>
      </c>
      <c r="K5" s="36"/>
      <c r="L5" s="46"/>
      <c r="M5" s="44"/>
      <c r="N5" s="34"/>
      <c r="O5" s="36"/>
      <c r="P5" s="35"/>
      <c r="Q5" s="36"/>
      <c r="R5" s="45"/>
    </row>
    <row r="6" spans="1:18" ht="18">
      <c r="A6" s="44"/>
      <c r="B6" s="34"/>
      <c r="C6" s="34"/>
      <c r="D6" s="34"/>
      <c r="E6" s="34"/>
      <c r="F6" s="45"/>
      <c r="G6" s="44"/>
      <c r="H6" s="34"/>
      <c r="I6" s="36"/>
      <c r="J6" s="34"/>
      <c r="K6" s="34"/>
      <c r="L6" s="45"/>
      <c r="M6" s="44"/>
      <c r="N6" s="34"/>
      <c r="O6" s="36"/>
      <c r="P6" s="34"/>
      <c r="Q6" s="34"/>
      <c r="R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6"/>
      <c r="J7" s="34"/>
      <c r="K7" s="34"/>
      <c r="L7" s="45"/>
      <c r="M7" s="44"/>
      <c r="N7" s="34"/>
      <c r="O7" s="36"/>
      <c r="P7" s="34"/>
      <c r="Q7" s="34"/>
      <c r="R7" s="45"/>
    </row>
    <row r="8" spans="1:18">
      <c r="A8" s="47"/>
      <c r="B8" s="27"/>
      <c r="D8" s="3" t="s">
        <v>3</v>
      </c>
      <c r="E8" s="3"/>
      <c r="F8" s="48"/>
      <c r="G8" s="47"/>
      <c r="H8" s="27"/>
      <c r="J8" s="3" t="s">
        <v>3</v>
      </c>
      <c r="K8" s="3"/>
      <c r="L8" s="48"/>
      <c r="M8" s="47"/>
      <c r="N8" s="27"/>
      <c r="O8" s="3"/>
      <c r="P8" s="3"/>
      <c r="Q8" s="3"/>
      <c r="R8" s="49"/>
    </row>
    <row r="9" spans="1:18">
      <c r="A9" s="47"/>
      <c r="B9" s="27"/>
      <c r="D9" s="27" t="s">
        <v>319</v>
      </c>
      <c r="E9" s="27"/>
      <c r="F9" s="49"/>
      <c r="G9" s="58"/>
      <c r="H9" s="3"/>
      <c r="J9" s="27" t="str">
        <f>D9</f>
        <v>FEB 16-28, 2026</v>
      </c>
      <c r="K9" s="27"/>
      <c r="L9" s="49"/>
      <c r="M9" s="47"/>
      <c r="N9" s="27"/>
      <c r="O9" s="3"/>
      <c r="P9" s="27"/>
      <c r="Q9" s="27"/>
      <c r="R9" s="49"/>
    </row>
    <row r="10" spans="1:18">
      <c r="A10" s="47"/>
      <c r="B10" s="27"/>
      <c r="D10" s="3"/>
      <c r="E10" s="27"/>
      <c r="F10" s="49"/>
      <c r="G10" s="47"/>
      <c r="H10" s="27"/>
      <c r="J10" s="3"/>
      <c r="K10" s="27"/>
      <c r="L10" s="49"/>
      <c r="M10" s="47"/>
      <c r="N10" s="27"/>
      <c r="O10" s="3"/>
      <c r="P10" s="27"/>
      <c r="Q10" s="27"/>
      <c r="R10" s="49"/>
    </row>
    <row r="11" spans="1:18" s="27" customFormat="1">
      <c r="A11" s="47"/>
      <c r="C11" s="3">
        <v>30</v>
      </c>
      <c r="D11" s="3" t="str">
        <f>VLOOKUP(C11,'MASTER DATA'!$A:$E,5,FALSE)</f>
        <v>CRUZ, CLAIRE JOYCE B.</v>
      </c>
      <c r="F11" s="49"/>
      <c r="G11" s="47"/>
      <c r="I11" s="3">
        <v>31</v>
      </c>
      <c r="J11" s="3" t="str">
        <f>VLOOKUP(I11,'MASTER DATA'!$A:$E,5,FALSE)</f>
        <v>MARTIN, SHAIRA LEA E.</v>
      </c>
      <c r="L11" s="49"/>
      <c r="M11" s="47"/>
      <c r="O11" s="3"/>
      <c r="P11" s="3"/>
      <c r="R11" s="49"/>
    </row>
    <row r="12" spans="1:18" s="27" customFormat="1">
      <c r="A12" s="47"/>
      <c r="C12" s="3"/>
      <c r="D12" s="3" t="str">
        <f>VLOOKUP(C11,'MASTER DATA'!$A:$F,6,FALSE)</f>
        <v>IAU</v>
      </c>
      <c r="F12" s="49"/>
      <c r="G12" s="47"/>
      <c r="I12" s="3"/>
      <c r="J12" s="3" t="str">
        <f>VLOOKUP(I11,'MASTER DATA'!$A:$F,6,FALSE)</f>
        <v>IAU</v>
      </c>
      <c r="L12" s="49"/>
      <c r="M12" s="47"/>
      <c r="O12" s="3"/>
      <c r="P12" s="3"/>
      <c r="R12" s="49"/>
    </row>
    <row r="13" spans="1:18" s="27" customFormat="1">
      <c r="A13" s="47"/>
      <c r="D13" s="29" t="str">
        <f>VLOOKUP(C11,'MASTER DATA'!$A:$G,7,FALSE)</f>
        <v>Administrative Asst. II</v>
      </c>
      <c r="F13" s="49"/>
      <c r="G13" s="47"/>
      <c r="I13" s="3"/>
      <c r="J13" s="29" t="str">
        <f>VLOOKUP(I11,'MASTER DATA'!$A:$G,7,FALSE)</f>
        <v>Administrative Asst. II</v>
      </c>
      <c r="L13" s="49"/>
      <c r="M13" s="47"/>
      <c r="O13" s="3"/>
      <c r="P13" s="29"/>
      <c r="R13" s="49"/>
    </row>
    <row r="14" spans="1:18" s="27" customFormat="1">
      <c r="A14" s="47"/>
      <c r="D14" s="27" t="s">
        <v>4</v>
      </c>
      <c r="E14" s="30">
        <f>SUMIF('MASTER DATA'!$A:$A,IAU!C11,'MASTER DATA'!$N:$N)</f>
        <v>9872</v>
      </c>
      <c r="F14" s="50"/>
      <c r="G14" s="47"/>
      <c r="I14" s="3"/>
      <c r="J14" s="27" t="s">
        <v>4</v>
      </c>
      <c r="K14" s="30">
        <f>SUMIF('MASTER DATA'!$A:$A,IAU!I11,'MASTER DATA'!$N:$N)</f>
        <v>9872</v>
      </c>
      <c r="L14" s="50"/>
      <c r="M14" s="47"/>
      <c r="O14" s="3"/>
      <c r="Q14" s="30"/>
      <c r="R14" s="49"/>
    </row>
    <row r="15" spans="1:18" s="27" customFormat="1" ht="17.25">
      <c r="A15" s="47"/>
      <c r="E15" s="37"/>
      <c r="F15" s="51"/>
      <c r="G15" s="59"/>
      <c r="H15" s="39"/>
      <c r="I15" s="38"/>
      <c r="K15" s="37"/>
      <c r="L15" s="51"/>
      <c r="M15" s="47"/>
      <c r="O15" s="3"/>
      <c r="Q15" s="37"/>
      <c r="R15" s="49"/>
    </row>
    <row r="16" spans="1:18" s="27" customFormat="1">
      <c r="A16" s="47"/>
      <c r="E16" s="30"/>
      <c r="F16" s="50"/>
      <c r="G16" s="59"/>
      <c r="H16" s="39"/>
      <c r="I16" s="38"/>
      <c r="K16" s="30"/>
      <c r="L16" s="50"/>
      <c r="M16" s="47"/>
      <c r="O16" s="3"/>
      <c r="Q16" s="30"/>
      <c r="R16" s="49"/>
    </row>
    <row r="17" spans="1:25" s="27" customFormat="1" ht="17.25">
      <c r="A17" s="47"/>
      <c r="E17" s="37"/>
      <c r="F17" s="51"/>
      <c r="G17" s="59"/>
      <c r="H17" s="39"/>
      <c r="I17" s="38"/>
      <c r="K17" s="37"/>
      <c r="L17" s="51"/>
      <c r="M17" s="47"/>
      <c r="O17" s="3"/>
      <c r="Q17" s="37"/>
      <c r="R17" s="49"/>
    </row>
    <row r="18" spans="1:25" s="27" customFormat="1">
      <c r="A18" s="47"/>
      <c r="D18" s="39" t="s">
        <v>5</v>
      </c>
      <c r="E18" s="40" t="s">
        <v>6</v>
      </c>
      <c r="F18" s="52"/>
      <c r="G18" s="47"/>
      <c r="I18" s="3"/>
      <c r="J18" s="39" t="s">
        <v>5</v>
      </c>
      <c r="K18" s="40" t="s">
        <v>6</v>
      </c>
      <c r="L18" s="52"/>
      <c r="M18" s="47"/>
      <c r="O18" s="3"/>
      <c r="P18" s="39"/>
      <c r="Q18" s="40"/>
      <c r="R18" s="49"/>
    </row>
    <row r="19" spans="1:25" s="27" customFormat="1">
      <c r="A19" s="47"/>
      <c r="F19" s="49"/>
      <c r="G19" s="60"/>
      <c r="H19" s="30"/>
      <c r="I19" s="28"/>
      <c r="L19" s="49"/>
      <c r="M19" s="60"/>
      <c r="N19" s="30"/>
      <c r="O19" s="28"/>
      <c r="R19" s="49"/>
    </row>
    <row r="20" spans="1:25" s="27" customFormat="1">
      <c r="A20" s="47"/>
      <c r="D20" s="30" t="s">
        <v>7</v>
      </c>
      <c r="E20" s="30">
        <f>SUMIF('MASTER DATA'!$A:$A,IAU!C11,'MASTER DATA'!$AL:$AL)</f>
        <v>0</v>
      </c>
      <c r="F20" s="50"/>
      <c r="G20" s="60"/>
      <c r="H20" s="30"/>
      <c r="I20" s="28"/>
      <c r="J20" s="30" t="s">
        <v>7</v>
      </c>
      <c r="K20" s="30">
        <f>SUMIF('MASTER DATA'!$A:$A,IAU!I11,'MASTER DATA'!$AL:$AL)</f>
        <v>0</v>
      </c>
      <c r="L20" s="50"/>
      <c r="M20" s="60"/>
      <c r="N20" s="30"/>
      <c r="O20" s="28"/>
      <c r="P20" s="30"/>
      <c r="Q20" s="30"/>
      <c r="R20" s="49"/>
    </row>
    <row r="21" spans="1:25" s="27" customFormat="1">
      <c r="A21" s="47"/>
      <c r="D21" s="31" t="s">
        <v>8</v>
      </c>
      <c r="E21" s="30">
        <f>SUMIF('MASTER DATA'!$A:$A,IAU!C11,'MASTER DATA'!$AM:$AM)+SUMIF('MASTER DATA'!$A:$A,IAU!C11,'MASTER DATA'!$AN:$AN)</f>
        <v>0</v>
      </c>
      <c r="F21" s="50"/>
      <c r="G21" s="60"/>
      <c r="H21" s="30"/>
      <c r="I21" s="28"/>
      <c r="J21" s="31" t="s">
        <v>8</v>
      </c>
      <c r="K21" s="30">
        <f>SUMIF('MASTER DATA'!$A:$A,IAU!I11,'MASTER DATA'!$AM:$AM)+SUMIF('MASTER DATA'!$A:$A,IAU!I11,'MASTER DATA'!$AN:$AN)</f>
        <v>0</v>
      </c>
      <c r="L21" s="50"/>
      <c r="M21" s="60"/>
      <c r="N21" s="30"/>
      <c r="O21" s="28"/>
      <c r="P21" s="31"/>
      <c r="Q21" s="30"/>
      <c r="R21" s="49"/>
    </row>
    <row r="22" spans="1:25" s="27" customFormat="1">
      <c r="A22" s="47"/>
      <c r="D22" s="30" t="s">
        <v>9</v>
      </c>
      <c r="E22" s="32">
        <f>SUMIF('MASTER DATA'!$A:$A,IAU!C11,'MASTER DATA'!$AP:$AP)</f>
        <v>0</v>
      </c>
      <c r="F22" s="50"/>
      <c r="G22" s="60"/>
      <c r="H22" s="30"/>
      <c r="I22" s="28"/>
      <c r="J22" s="30" t="s">
        <v>9</v>
      </c>
      <c r="K22" s="32">
        <f>SUMIF('MASTER DATA'!$A:$A,IAU!I11,'MASTER DATA'!$AP:$AP)</f>
        <v>0</v>
      </c>
      <c r="L22" s="50"/>
      <c r="M22" s="60"/>
      <c r="N22" s="30"/>
      <c r="O22" s="28"/>
      <c r="P22" s="30"/>
      <c r="Q22" s="30"/>
      <c r="R22" s="49"/>
    </row>
    <row r="23" spans="1:25" s="27" customFormat="1">
      <c r="A23" s="47"/>
      <c r="D23" s="30" t="s">
        <v>10</v>
      </c>
      <c r="E23" s="30">
        <f>SUM(E20:E22)</f>
        <v>0</v>
      </c>
      <c r="F23" s="50"/>
      <c r="G23" s="60"/>
      <c r="H23" s="30"/>
      <c r="I23" s="28"/>
      <c r="J23" s="30" t="s">
        <v>10</v>
      </c>
      <c r="K23" s="30">
        <f>SUM(K20:K22)</f>
        <v>0</v>
      </c>
      <c r="L23" s="50"/>
      <c r="M23" s="60"/>
      <c r="N23" s="30"/>
      <c r="O23" s="28"/>
      <c r="P23" s="30"/>
      <c r="Q23" s="30"/>
      <c r="R23" s="49"/>
    </row>
    <row r="24" spans="1:25" s="27" customFormat="1">
      <c r="A24" s="47"/>
      <c r="D24" s="30"/>
      <c r="E24" s="30"/>
      <c r="F24" s="50"/>
      <c r="G24" s="60"/>
      <c r="H24" s="30"/>
      <c r="I24" s="28"/>
      <c r="J24" s="30"/>
      <c r="K24" s="30"/>
      <c r="L24" s="50"/>
      <c r="M24" s="60"/>
      <c r="N24" s="30"/>
      <c r="O24" s="28"/>
      <c r="P24" s="30"/>
      <c r="Q24" s="30"/>
      <c r="R24" s="49"/>
      <c r="Y24" s="3" t="s">
        <v>11</v>
      </c>
    </row>
    <row r="25" spans="1:25" s="27" customFormat="1">
      <c r="A25" s="47"/>
      <c r="D25" s="30" t="s">
        <v>12</v>
      </c>
      <c r="E25" s="30">
        <f>E14-E23</f>
        <v>9872</v>
      </c>
      <c r="F25" s="50"/>
      <c r="G25" s="60"/>
      <c r="H25" s="30"/>
      <c r="I25" s="28"/>
      <c r="J25" s="30" t="s">
        <v>12</v>
      </c>
      <c r="K25" s="30">
        <f>K14-K23</f>
        <v>9872</v>
      </c>
      <c r="L25" s="50"/>
      <c r="M25" s="60"/>
      <c r="N25" s="30"/>
      <c r="O25" s="28"/>
      <c r="P25" s="30"/>
      <c r="Q25" s="30"/>
      <c r="R25" s="49"/>
    </row>
    <row r="26" spans="1:25" s="27" customFormat="1">
      <c r="A26" s="47"/>
      <c r="D26" s="30" t="s">
        <v>13</v>
      </c>
      <c r="E26" s="30"/>
      <c r="F26" s="50"/>
      <c r="G26" s="60"/>
      <c r="H26" s="30"/>
      <c r="I26" s="28"/>
      <c r="J26" s="30" t="s">
        <v>13</v>
      </c>
      <c r="K26" s="30"/>
      <c r="L26" s="50"/>
      <c r="M26" s="60"/>
      <c r="N26" s="30"/>
      <c r="O26" s="28"/>
      <c r="P26" s="30"/>
      <c r="Q26" s="30"/>
      <c r="R26" s="49"/>
    </row>
    <row r="27" spans="1:25" s="27" customFormat="1">
      <c r="A27" s="47"/>
      <c r="D27" s="30" t="s">
        <v>14</v>
      </c>
      <c r="E27" s="30">
        <f>SUMIF('MASTER DATA'!$A:$A,IAU!C11,'MASTER DATA'!$AS:$AS)</f>
        <v>0</v>
      </c>
      <c r="F27" s="50"/>
      <c r="G27" s="60"/>
      <c r="H27" s="30"/>
      <c r="I27" s="28"/>
      <c r="J27" s="30" t="s">
        <v>14</v>
      </c>
      <c r="K27" s="30">
        <f>SUMIF('MASTER DATA'!$A:$A,IAU!I11,'MASTER DATA'!$AS:$AS)</f>
        <v>0</v>
      </c>
      <c r="L27" s="50"/>
      <c r="M27" s="60"/>
      <c r="N27" s="30"/>
      <c r="O27" s="28"/>
      <c r="P27" s="30"/>
      <c r="Q27" s="30"/>
      <c r="R27" s="49"/>
    </row>
    <row r="28" spans="1:25" s="27" customFormat="1">
      <c r="A28" s="47"/>
      <c r="D28" s="69" t="s">
        <v>160</v>
      </c>
      <c r="E28" s="30">
        <f>SUMIF('MASTER DATA'!$A:$A,IAU!C11,'MASTER DATA'!$AT:$AT)</f>
        <v>0</v>
      </c>
      <c r="F28" s="50"/>
      <c r="G28" s="60"/>
      <c r="H28" s="30"/>
      <c r="I28" s="28"/>
      <c r="J28" s="69" t="s">
        <v>160</v>
      </c>
      <c r="K28" s="30">
        <f>SUMIF('MASTER DATA'!$A:$A,IAU!I11,'MASTER DATA'!$AT:$AT)</f>
        <v>0</v>
      </c>
      <c r="L28" s="50"/>
      <c r="M28" s="60"/>
      <c r="N28" s="30"/>
      <c r="O28" s="28"/>
      <c r="P28" s="30"/>
      <c r="Q28" s="30"/>
      <c r="R28" s="49"/>
    </row>
    <row r="29" spans="1:25" s="27" customFormat="1">
      <c r="A29" s="47"/>
      <c r="D29" s="30" t="s">
        <v>15</v>
      </c>
      <c r="E29" s="30">
        <f>SUMIF('MASTER DATA'!$A:$A,IAU!C11,'MASTER DATA'!$AU:$AU)</f>
        <v>0</v>
      </c>
      <c r="F29" s="50"/>
      <c r="G29" s="60"/>
      <c r="H29" s="30"/>
      <c r="I29" s="28"/>
      <c r="J29" s="30" t="s">
        <v>15</v>
      </c>
      <c r="K29" s="30">
        <f>SUMIF('MASTER DATA'!$A:$A,IAU!I11,'MASTER DATA'!$AU:$AU)</f>
        <v>0</v>
      </c>
      <c r="L29" s="50"/>
      <c r="M29" s="60"/>
      <c r="N29" s="30"/>
      <c r="O29" s="28"/>
      <c r="P29" s="30"/>
      <c r="Q29" s="30"/>
      <c r="R29" s="49"/>
      <c r="T29" s="29"/>
    </row>
    <row r="30" spans="1:25" s="27" customFormat="1">
      <c r="A30" s="47"/>
      <c r="D30" s="30" t="s">
        <v>19</v>
      </c>
      <c r="E30" s="30">
        <f>SUMIF('MASTER DATA'!$A:$A,IAU!C11,'MASTER DATA'!$AV:$AV)</f>
        <v>0</v>
      </c>
      <c r="F30" s="50"/>
      <c r="G30" s="60"/>
      <c r="H30" s="30"/>
      <c r="I30" s="28"/>
      <c r="J30" s="30" t="s">
        <v>19</v>
      </c>
      <c r="K30" s="30">
        <f>SUMIF('MASTER DATA'!$A:$A,IAU!I11,'MASTER DATA'!$AV:$AV)</f>
        <v>0</v>
      </c>
      <c r="L30" s="50"/>
      <c r="M30" s="60"/>
      <c r="N30" s="30"/>
      <c r="O30" s="28"/>
      <c r="P30" s="30"/>
      <c r="Q30" s="30"/>
      <c r="R30" s="49"/>
      <c r="T30" s="29"/>
    </row>
    <row r="31" spans="1:25" s="27" customFormat="1">
      <c r="A31" s="47"/>
      <c r="D31" s="30" t="s">
        <v>20</v>
      </c>
      <c r="E31" s="30">
        <f>SUMIF('MASTER DATA'!$A:$A,IAU!C11,'MASTER DATA'!$AW:$AW)</f>
        <v>0</v>
      </c>
      <c r="F31" s="50"/>
      <c r="G31" s="60"/>
      <c r="H31" s="30"/>
      <c r="I31" s="28"/>
      <c r="J31" s="30" t="s">
        <v>20</v>
      </c>
      <c r="K31" s="30">
        <f>SUMIF('MASTER DATA'!$A:$A,IAU!I11,'MASTER DATA'!$AW:$AW)</f>
        <v>0</v>
      </c>
      <c r="L31" s="50"/>
      <c r="M31" s="60"/>
      <c r="N31" s="30"/>
      <c r="O31" s="28"/>
      <c r="P31" s="30"/>
      <c r="Q31" s="30"/>
      <c r="R31" s="49"/>
      <c r="T31" s="29"/>
    </row>
    <row r="32" spans="1:25" s="27" customFormat="1">
      <c r="A32" s="47"/>
      <c r="D32" s="30" t="s">
        <v>23</v>
      </c>
      <c r="E32" s="30">
        <f>SUMIF('MASTER DATA'!$A:$A,IAU!C11,'MASTER DATA'!$AX:$AX)</f>
        <v>0</v>
      </c>
      <c r="F32" s="50"/>
      <c r="G32" s="60"/>
      <c r="H32" s="30"/>
      <c r="I32" s="28"/>
      <c r="J32" s="30" t="s">
        <v>23</v>
      </c>
      <c r="K32" s="30">
        <f>SUMIF('MASTER DATA'!$A:$A,IAU!I11,'MASTER DATA'!$AX:$AX)</f>
        <v>0</v>
      </c>
      <c r="L32" s="50"/>
      <c r="M32" s="60"/>
      <c r="N32" s="30"/>
      <c r="O32" s="28"/>
      <c r="P32" s="30"/>
      <c r="Q32" s="30"/>
      <c r="R32" s="49"/>
      <c r="T32" s="29"/>
    </row>
    <row r="33" spans="1:20" s="27" customFormat="1" ht="16.5" thickBot="1">
      <c r="A33" s="47"/>
      <c r="D33" s="28" t="s">
        <v>16</v>
      </c>
      <c r="E33" s="33">
        <f>E25-SUM(E26:E32)</f>
        <v>9872</v>
      </c>
      <c r="F33" s="53"/>
      <c r="G33" s="60"/>
      <c r="H33" s="30"/>
      <c r="I33" s="28"/>
      <c r="J33" s="28" t="s">
        <v>16</v>
      </c>
      <c r="K33" s="33">
        <f>K25-SUM(K26:K32)</f>
        <v>9872</v>
      </c>
      <c r="L33" s="53"/>
      <c r="M33" s="60"/>
      <c r="N33" s="30"/>
      <c r="O33" s="28"/>
      <c r="P33" s="28"/>
      <c r="Q33" s="28"/>
      <c r="R33" s="49"/>
      <c r="T33" s="29"/>
    </row>
    <row r="34" spans="1:20" s="27" customFormat="1" ht="16.5" thickTop="1">
      <c r="A34" s="47"/>
      <c r="D34" s="30"/>
      <c r="E34" s="30"/>
      <c r="F34" s="50"/>
      <c r="G34" s="60"/>
      <c r="H34" s="30"/>
      <c r="I34" s="28"/>
      <c r="J34" s="30"/>
      <c r="K34" s="30"/>
      <c r="L34" s="50"/>
      <c r="M34" s="60"/>
      <c r="N34" s="30"/>
      <c r="O34" s="28"/>
      <c r="P34" s="30"/>
      <c r="Q34" s="30"/>
      <c r="R34" s="49"/>
    </row>
    <row r="35" spans="1:20" s="27" customFormat="1">
      <c r="A35" s="47"/>
      <c r="D35" s="88"/>
      <c r="F35" s="49"/>
      <c r="G35" s="47"/>
      <c r="I35" s="3"/>
      <c r="J35" s="88"/>
      <c r="L35" s="49"/>
      <c r="M35" s="60"/>
      <c r="N35" s="30"/>
      <c r="O35" s="28"/>
      <c r="R35" s="49"/>
      <c r="S35" s="29"/>
    </row>
    <row r="36" spans="1:20" s="27" customFormat="1" ht="16.5" thickBot="1">
      <c r="A36" s="54"/>
      <c r="B36" s="55"/>
      <c r="C36" s="55"/>
      <c r="D36" s="55"/>
      <c r="E36" s="55"/>
      <c r="F36" s="56"/>
      <c r="G36" s="54"/>
      <c r="H36" s="55"/>
      <c r="I36" s="61"/>
      <c r="J36" s="55"/>
      <c r="K36" s="55"/>
      <c r="L36" s="56"/>
      <c r="M36" s="62"/>
      <c r="N36" s="63"/>
      <c r="O36" s="64"/>
      <c r="P36" s="55"/>
      <c r="Q36" s="55"/>
      <c r="R36" s="56"/>
      <c r="S36" s="65"/>
    </row>
    <row r="37" spans="1:20">
      <c r="D37" s="10"/>
      <c r="E37" s="10"/>
      <c r="F37" s="10"/>
    </row>
    <row r="38" spans="1:20">
      <c r="D38" s="10"/>
      <c r="E38" s="10"/>
      <c r="F38" s="10"/>
      <c r="J38" s="13">
        <f>E33+K33</f>
        <v>19744</v>
      </c>
    </row>
    <row r="39" spans="1:20">
      <c r="D39" s="10"/>
      <c r="E39" s="10"/>
      <c r="F39" s="10"/>
    </row>
    <row r="40" spans="1:20">
      <c r="D40" s="6"/>
      <c r="E40" s="6"/>
      <c r="F40" s="6"/>
    </row>
  </sheetData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6" max="3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BA81-90DF-4DB3-A369-E6F491166E2B}">
  <sheetPr codeName="Sheet12"/>
  <dimension ref="A1:Y40"/>
  <sheetViews>
    <sheetView view="pageBreakPreview" zoomScale="70" zoomScaleNormal="130" zoomScaleSheetLayoutView="70" workbookViewId="0">
      <selection activeCell="J35" sqref="J35"/>
    </sheetView>
  </sheetViews>
  <sheetFormatPr defaultColWidth="9.140625" defaultRowHeight="15.75"/>
  <cols>
    <col min="1" max="2" width="4.7109375" style="2" customWidth="1"/>
    <col min="3" max="3" width="3.5703125" style="27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4.42578125" style="3" customWidth="1"/>
    <col min="10" max="10" width="25.5703125" style="2" customWidth="1"/>
    <col min="11" max="11" width="13.5703125" style="2" customWidth="1"/>
    <col min="12" max="12" width="13.7109375" style="2" customWidth="1"/>
    <col min="13" max="14" width="4.7109375" style="2" customWidth="1"/>
    <col min="15" max="15" width="2.7109375" style="26" customWidth="1"/>
    <col min="16" max="16" width="25.5703125" style="2" customWidth="1"/>
    <col min="17" max="17" width="13.5703125" style="2" customWidth="1"/>
    <col min="18" max="18" width="13.7109375" style="2" customWidth="1"/>
    <col min="19" max="19" width="11.5703125" style="2" bestFit="1" customWidth="1"/>
    <col min="20" max="20" width="11.28515625" style="2" bestFit="1" customWidth="1"/>
    <col min="21" max="16384" width="9.140625" style="2"/>
  </cols>
  <sheetData>
    <row r="1" spans="1:18" ht="18">
      <c r="A1" s="41"/>
      <c r="B1" s="42"/>
      <c r="C1" s="42"/>
      <c r="D1" s="42"/>
      <c r="E1" s="42"/>
      <c r="F1" s="79" t="s">
        <v>235</v>
      </c>
      <c r="G1" s="41"/>
      <c r="H1" s="42"/>
      <c r="I1" s="42"/>
      <c r="J1" s="42"/>
      <c r="K1" s="42"/>
      <c r="L1" s="79" t="s">
        <v>235</v>
      </c>
      <c r="M1" s="41"/>
      <c r="N1" s="42"/>
      <c r="O1" s="57"/>
      <c r="P1" s="42"/>
      <c r="Q1" s="42"/>
      <c r="R1" s="43"/>
    </row>
    <row r="2" spans="1:18" ht="18">
      <c r="A2" s="44"/>
      <c r="B2" s="34"/>
      <c r="C2" s="34"/>
      <c r="D2" s="34"/>
      <c r="E2" s="34"/>
      <c r="F2" s="45"/>
      <c r="G2" s="44"/>
      <c r="H2" s="34"/>
      <c r="I2" s="34"/>
      <c r="J2" s="34"/>
      <c r="K2" s="34"/>
      <c r="L2" s="45"/>
      <c r="M2" s="44"/>
      <c r="N2" s="34"/>
      <c r="O2" s="36"/>
      <c r="P2" s="34"/>
      <c r="Q2" s="34"/>
      <c r="R2" s="45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4"/>
      <c r="J3" s="35" t="s">
        <v>0</v>
      </c>
      <c r="K3" s="36"/>
      <c r="L3" s="46"/>
      <c r="M3" s="44"/>
      <c r="N3" s="34"/>
      <c r="O3" s="36"/>
      <c r="P3" s="35"/>
      <c r="Q3" s="36"/>
      <c r="R3" s="45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4"/>
      <c r="J4" s="35" t="s">
        <v>1</v>
      </c>
      <c r="K4" s="36"/>
      <c r="L4" s="46"/>
      <c r="M4" s="44"/>
      <c r="N4" s="34"/>
      <c r="O4" s="36"/>
      <c r="P4" s="35"/>
      <c r="Q4" s="36"/>
      <c r="R4" s="45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4"/>
      <c r="J5" s="35" t="s">
        <v>162</v>
      </c>
      <c r="K5" s="36"/>
      <c r="L5" s="46"/>
      <c r="M5" s="44"/>
      <c r="N5" s="34"/>
      <c r="O5" s="36"/>
      <c r="P5" s="35"/>
      <c r="Q5" s="36"/>
      <c r="R5" s="45"/>
    </row>
    <row r="6" spans="1:18" ht="18">
      <c r="A6" s="44"/>
      <c r="B6" s="34"/>
      <c r="C6" s="34"/>
      <c r="D6" s="34"/>
      <c r="E6" s="34"/>
      <c r="F6" s="45"/>
      <c r="G6" s="44"/>
      <c r="H6" s="34"/>
      <c r="I6" s="34"/>
      <c r="J6" s="34"/>
      <c r="K6" s="34"/>
      <c r="L6" s="45"/>
      <c r="M6" s="44"/>
      <c r="N6" s="34"/>
      <c r="O6" s="36"/>
      <c r="P6" s="34"/>
      <c r="Q6" s="34"/>
      <c r="R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4"/>
      <c r="J7" s="34"/>
      <c r="K7" s="34"/>
      <c r="L7" s="45"/>
      <c r="M7" s="44"/>
      <c r="N7" s="34"/>
      <c r="O7" s="36"/>
      <c r="P7" s="34"/>
      <c r="Q7" s="34"/>
      <c r="R7" s="45"/>
    </row>
    <row r="8" spans="1:18">
      <c r="A8" s="47"/>
      <c r="B8" s="27"/>
      <c r="D8" s="3" t="s">
        <v>3</v>
      </c>
      <c r="E8" s="3"/>
      <c r="F8" s="48"/>
      <c r="G8" s="47"/>
      <c r="H8" s="27"/>
      <c r="I8" s="27"/>
      <c r="J8" s="3" t="s">
        <v>3</v>
      </c>
      <c r="K8" s="3"/>
      <c r="L8" s="48"/>
      <c r="M8" s="47"/>
      <c r="N8" s="27"/>
      <c r="O8" s="3"/>
      <c r="P8" s="3"/>
      <c r="Q8" s="3"/>
      <c r="R8" s="49"/>
    </row>
    <row r="9" spans="1:18">
      <c r="A9" s="47"/>
      <c r="B9" s="27"/>
      <c r="D9" s="27" t="s">
        <v>319</v>
      </c>
      <c r="E9" s="27"/>
      <c r="F9" s="49"/>
      <c r="G9" s="47"/>
      <c r="H9" s="27"/>
      <c r="I9" s="27"/>
      <c r="J9" s="27" t="str">
        <f>D9</f>
        <v>FEB 16-28, 2026</v>
      </c>
      <c r="K9" s="27"/>
      <c r="L9" s="49"/>
      <c r="M9" s="47"/>
      <c r="N9" s="27"/>
      <c r="O9" s="3"/>
      <c r="P9" s="27"/>
      <c r="Q9" s="27"/>
      <c r="R9" s="49"/>
    </row>
    <row r="10" spans="1:18">
      <c r="A10" s="47"/>
      <c r="B10" s="27"/>
      <c r="D10" s="3"/>
      <c r="E10" s="27"/>
      <c r="F10" s="49"/>
      <c r="G10" s="47"/>
      <c r="H10" s="27"/>
      <c r="I10" s="27"/>
      <c r="J10" s="3"/>
      <c r="K10" s="27"/>
      <c r="L10" s="49"/>
      <c r="M10" s="47"/>
      <c r="N10" s="27"/>
      <c r="O10" s="3"/>
      <c r="P10" s="27"/>
      <c r="Q10" s="27"/>
      <c r="R10" s="49"/>
    </row>
    <row r="11" spans="1:18" s="27" customFormat="1">
      <c r="A11" s="47"/>
      <c r="C11" s="3">
        <v>32</v>
      </c>
      <c r="D11" s="3" t="str">
        <f>VLOOKUP(C11,'MASTER DATA'!$A:$E,5,FALSE)</f>
        <v xml:space="preserve">CAPONGCOL, MARY JANE </v>
      </c>
      <c r="F11" s="49"/>
      <c r="G11" s="47"/>
      <c r="I11" s="3">
        <v>33</v>
      </c>
      <c r="J11" s="3" t="str">
        <f>VLOOKUP(I11,'MASTER DATA'!$A:$E,5,FALSE)</f>
        <v>FERNANDEZ, YARI E.</v>
      </c>
      <c r="L11" s="49"/>
      <c r="M11" s="47"/>
      <c r="O11" s="3"/>
      <c r="P11" s="3"/>
      <c r="R11" s="49"/>
    </row>
    <row r="12" spans="1:18" s="27" customFormat="1">
      <c r="A12" s="47"/>
      <c r="C12" s="3"/>
      <c r="D12" s="3" t="str">
        <f>VLOOKUP(C11,'MASTER DATA'!$A:$F,6,FALSE)</f>
        <v>RCRDS</v>
      </c>
      <c r="F12" s="49"/>
      <c r="G12" s="47"/>
      <c r="I12" s="3"/>
      <c r="J12" s="3" t="str">
        <f>VLOOKUP(I11,'MASTER DATA'!$A:$F,6,FALSE)</f>
        <v>RCRDS</v>
      </c>
      <c r="L12" s="49"/>
      <c r="M12" s="47"/>
      <c r="O12" s="3"/>
      <c r="P12" s="3"/>
      <c r="R12" s="49"/>
    </row>
    <row r="13" spans="1:18" s="27" customFormat="1">
      <c r="A13" s="47"/>
      <c r="D13" s="29" t="str">
        <f>VLOOKUP(C11,'MASTER DATA'!$A:$G,7,FALSE)</f>
        <v>Administrative Asst. II</v>
      </c>
      <c r="F13" s="49"/>
      <c r="G13" s="47"/>
      <c r="J13" s="29" t="str">
        <f>VLOOKUP(I11,'MASTER DATA'!$A:$G,7,FALSE)</f>
        <v>Administrative Asst. II</v>
      </c>
      <c r="L13" s="49"/>
      <c r="M13" s="47"/>
      <c r="O13" s="3"/>
      <c r="P13" s="29"/>
      <c r="R13" s="49"/>
    </row>
    <row r="14" spans="1:18" s="27" customFormat="1">
      <c r="A14" s="47"/>
      <c r="D14" s="27" t="s">
        <v>4</v>
      </c>
      <c r="E14" s="30">
        <f>SUMIF('MASTER DATA'!$A:$A,RCRD!C11,'MASTER DATA'!$N:$N)</f>
        <v>9872</v>
      </c>
      <c r="F14" s="50"/>
      <c r="G14" s="47"/>
      <c r="J14" s="27" t="s">
        <v>4</v>
      </c>
      <c r="K14" s="30">
        <f>SUMIF('MASTER DATA'!$A:$A,RCRD!I11,'MASTER DATA'!$N:$N)</f>
        <v>9872</v>
      </c>
      <c r="L14" s="50"/>
      <c r="M14" s="47"/>
      <c r="O14" s="3"/>
      <c r="Q14" s="30"/>
      <c r="R14" s="49"/>
    </row>
    <row r="15" spans="1:18" s="27" customFormat="1" ht="17.25">
      <c r="A15" s="47"/>
      <c r="E15" s="37"/>
      <c r="F15" s="51"/>
      <c r="G15" s="47"/>
      <c r="K15" s="37"/>
      <c r="L15" s="51"/>
      <c r="M15" s="47"/>
      <c r="O15" s="3"/>
      <c r="Q15" s="37"/>
      <c r="R15" s="49"/>
    </row>
    <row r="16" spans="1:18" s="27" customFormat="1">
      <c r="A16" s="47"/>
      <c r="E16" s="30"/>
      <c r="F16" s="50"/>
      <c r="G16" s="47"/>
      <c r="K16" s="30"/>
      <c r="L16" s="50"/>
      <c r="M16" s="47"/>
      <c r="O16" s="3"/>
      <c r="Q16" s="30"/>
      <c r="R16" s="49"/>
    </row>
    <row r="17" spans="1:25" s="27" customFormat="1" ht="17.25">
      <c r="A17" s="47"/>
      <c r="E17" s="37"/>
      <c r="F17" s="51"/>
      <c r="G17" s="47"/>
      <c r="K17" s="37"/>
      <c r="L17" s="51"/>
      <c r="M17" s="47"/>
      <c r="O17" s="3"/>
      <c r="Q17" s="37"/>
      <c r="R17" s="49"/>
    </row>
    <row r="18" spans="1:25" s="27" customFormat="1">
      <c r="A18" s="47"/>
      <c r="D18" s="39" t="s">
        <v>5</v>
      </c>
      <c r="E18" s="40" t="s">
        <v>6</v>
      </c>
      <c r="F18" s="52"/>
      <c r="G18" s="47"/>
      <c r="J18" s="39" t="s">
        <v>5</v>
      </c>
      <c r="K18" s="40" t="s">
        <v>6</v>
      </c>
      <c r="L18" s="52"/>
      <c r="M18" s="47"/>
      <c r="O18" s="3"/>
      <c r="P18" s="39"/>
      <c r="Q18" s="40"/>
      <c r="R18" s="49"/>
    </row>
    <row r="19" spans="1:25" s="27" customFormat="1">
      <c r="A19" s="47"/>
      <c r="F19" s="49"/>
      <c r="G19" s="47"/>
      <c r="L19" s="49"/>
      <c r="M19" s="60"/>
      <c r="N19" s="30"/>
      <c r="O19" s="28"/>
      <c r="R19" s="49"/>
    </row>
    <row r="20" spans="1:25" s="27" customFormat="1">
      <c r="A20" s="47"/>
      <c r="D20" s="30" t="s">
        <v>7</v>
      </c>
      <c r="E20" s="30">
        <f>SUMIF('MASTER DATA'!$A:$A,RCRD!C11,'MASTER DATA'!$AL:$AL)</f>
        <v>0</v>
      </c>
      <c r="F20" s="50"/>
      <c r="G20" s="47"/>
      <c r="J20" s="30" t="s">
        <v>7</v>
      </c>
      <c r="K20" s="30">
        <f>SUMIF('MASTER DATA'!$A:$A,RCRD!I11,'MASTER DATA'!$AL:$AL)</f>
        <v>0</v>
      </c>
      <c r="L20" s="50"/>
      <c r="M20" s="60"/>
      <c r="N20" s="30"/>
      <c r="O20" s="28"/>
      <c r="P20" s="30"/>
      <c r="Q20" s="30"/>
      <c r="R20" s="49"/>
    </row>
    <row r="21" spans="1:25" s="27" customFormat="1">
      <c r="A21" s="47"/>
      <c r="D21" s="31" t="s">
        <v>8</v>
      </c>
      <c r="E21" s="30">
        <f>SUMIF('MASTER DATA'!$A:$A,RCRD!C11,'MASTER DATA'!$AM:$AM)+SUMIF('MASTER DATA'!$A:$A,RCRD!C11,'MASTER DATA'!$AN:$AN)</f>
        <v>0</v>
      </c>
      <c r="F21" s="50"/>
      <c r="G21" s="47"/>
      <c r="J21" s="31" t="s">
        <v>8</v>
      </c>
      <c r="K21" s="30">
        <f>SUMIF('MASTER DATA'!$A:$A,RCRD!I11,'MASTER DATA'!$AM:$AM)+SUMIF('MASTER DATA'!$A:$A,RCRD!I11,'MASTER DATA'!$AN:$AN)</f>
        <v>557.17000000000007</v>
      </c>
      <c r="L21" s="50"/>
      <c r="M21" s="60"/>
      <c r="N21" s="30"/>
      <c r="O21" s="28"/>
      <c r="P21" s="31"/>
      <c r="Q21" s="30"/>
      <c r="R21" s="49"/>
    </row>
    <row r="22" spans="1:25" s="27" customFormat="1">
      <c r="A22" s="47"/>
      <c r="D22" s="30" t="s">
        <v>9</v>
      </c>
      <c r="E22" s="32">
        <f>SUMIF('MASTER DATA'!$A:$A,RCRD!C11,'MASTER DATA'!$AP:$AP)</f>
        <v>0</v>
      </c>
      <c r="F22" s="50"/>
      <c r="G22" s="47"/>
      <c r="J22" s="30" t="s">
        <v>9</v>
      </c>
      <c r="K22" s="32">
        <f>SUMIF('MASTER DATA'!$A:$A,RCRD!I11,'MASTER DATA'!$AP:$AP)</f>
        <v>0</v>
      </c>
      <c r="L22" s="50"/>
      <c r="M22" s="60"/>
      <c r="N22" s="30"/>
      <c r="O22" s="28"/>
      <c r="P22" s="30"/>
      <c r="Q22" s="30"/>
      <c r="R22" s="49"/>
    </row>
    <row r="23" spans="1:25" s="27" customFormat="1">
      <c r="A23" s="47"/>
      <c r="D23" s="30" t="s">
        <v>10</v>
      </c>
      <c r="E23" s="30">
        <f>SUM(E20:E22)</f>
        <v>0</v>
      </c>
      <c r="F23" s="50"/>
      <c r="G23" s="47"/>
      <c r="J23" s="30" t="s">
        <v>10</v>
      </c>
      <c r="K23" s="30">
        <f>SUM(K20:K22)</f>
        <v>557.17000000000007</v>
      </c>
      <c r="L23" s="50"/>
      <c r="M23" s="60"/>
      <c r="N23" s="30"/>
      <c r="O23" s="28"/>
      <c r="P23" s="30"/>
      <c r="Q23" s="30"/>
      <c r="R23" s="49"/>
    </row>
    <row r="24" spans="1:25" s="27" customFormat="1">
      <c r="A24" s="47"/>
      <c r="D24" s="30"/>
      <c r="E24" s="30"/>
      <c r="F24" s="50"/>
      <c r="G24" s="47"/>
      <c r="J24" s="30"/>
      <c r="K24" s="30"/>
      <c r="L24" s="50"/>
      <c r="M24" s="60"/>
      <c r="N24" s="30"/>
      <c r="O24" s="28"/>
      <c r="P24" s="30"/>
      <c r="Q24" s="30"/>
      <c r="R24" s="49"/>
      <c r="Y24" s="3" t="s">
        <v>11</v>
      </c>
    </row>
    <row r="25" spans="1:25" s="27" customFormat="1">
      <c r="A25" s="47"/>
      <c r="D25" s="30" t="s">
        <v>12</v>
      </c>
      <c r="E25" s="30">
        <f>E14-E23</f>
        <v>9872</v>
      </c>
      <c r="F25" s="50"/>
      <c r="G25" s="47"/>
      <c r="J25" s="30" t="s">
        <v>12</v>
      </c>
      <c r="K25" s="30">
        <f>K14-K23</f>
        <v>9314.83</v>
      </c>
      <c r="L25" s="50"/>
      <c r="M25" s="60"/>
      <c r="N25" s="30"/>
      <c r="O25" s="28"/>
      <c r="P25" s="30"/>
      <c r="Q25" s="30"/>
      <c r="R25" s="49"/>
    </row>
    <row r="26" spans="1:25" s="27" customFormat="1">
      <c r="A26" s="47"/>
      <c r="D26" s="30" t="s">
        <v>13</v>
      </c>
      <c r="E26" s="30"/>
      <c r="F26" s="50"/>
      <c r="G26" s="47"/>
      <c r="J26" s="30" t="s">
        <v>13</v>
      </c>
      <c r="K26" s="30"/>
      <c r="L26" s="50"/>
      <c r="M26" s="60"/>
      <c r="N26" s="30"/>
      <c r="O26" s="28"/>
      <c r="P26" s="30"/>
      <c r="Q26" s="30"/>
      <c r="R26" s="49"/>
    </row>
    <row r="27" spans="1:25" s="27" customFormat="1">
      <c r="A27" s="47"/>
      <c r="D27" s="30" t="s">
        <v>14</v>
      </c>
      <c r="E27" s="30">
        <f>SUMIF('MASTER DATA'!$A:$A,RCRD!C11,'MASTER DATA'!$AS:$AS)</f>
        <v>0</v>
      </c>
      <c r="F27" s="50"/>
      <c r="G27" s="47"/>
      <c r="J27" s="30" t="s">
        <v>14</v>
      </c>
      <c r="K27" s="30">
        <f>SUMIF('MASTER DATA'!$A:$A,RCRD!I11,'MASTER DATA'!$AS:$AS)</f>
        <v>0</v>
      </c>
      <c r="L27" s="50"/>
      <c r="M27" s="60"/>
      <c r="N27" s="30"/>
      <c r="O27" s="28"/>
      <c r="P27" s="30"/>
      <c r="Q27" s="30"/>
      <c r="R27" s="49"/>
    </row>
    <row r="28" spans="1:25" s="27" customFormat="1">
      <c r="A28" s="47"/>
      <c r="D28" s="69" t="s">
        <v>160</v>
      </c>
      <c r="E28" s="30">
        <f>SUMIF('MASTER DATA'!$A:$A,RCRD!C11,'MASTER DATA'!$AT:$AT)</f>
        <v>0</v>
      </c>
      <c r="F28" s="50"/>
      <c r="G28" s="47"/>
      <c r="J28" s="69" t="s">
        <v>160</v>
      </c>
      <c r="K28" s="30">
        <f>SUMIF('MASTER DATA'!$A:$A,RCRD!I11,'MASTER DATA'!$AT:$AT)</f>
        <v>0</v>
      </c>
      <c r="L28" s="50"/>
      <c r="M28" s="60"/>
      <c r="N28" s="30"/>
      <c r="O28" s="28"/>
      <c r="P28" s="30"/>
      <c r="Q28" s="30"/>
      <c r="R28" s="49"/>
    </row>
    <row r="29" spans="1:25" s="27" customFormat="1">
      <c r="A29" s="47"/>
      <c r="D29" s="30" t="s">
        <v>15</v>
      </c>
      <c r="E29" s="30">
        <f>SUMIF('MASTER DATA'!$A:$A,RCRD!C11,'MASTER DATA'!$AU:$AU)</f>
        <v>2000</v>
      </c>
      <c r="F29" s="50"/>
      <c r="G29" s="47"/>
      <c r="J29" s="30" t="s">
        <v>15</v>
      </c>
      <c r="K29" s="30">
        <f>SUMIF('MASTER DATA'!$A:$A,RCRD!I11,'MASTER DATA'!$AU:$AU)</f>
        <v>0</v>
      </c>
      <c r="L29" s="50"/>
      <c r="M29" s="60"/>
      <c r="N29" s="30"/>
      <c r="O29" s="28"/>
      <c r="P29" s="30"/>
      <c r="Q29" s="30"/>
      <c r="R29" s="49"/>
      <c r="T29" s="29"/>
    </row>
    <row r="30" spans="1:25" s="27" customFormat="1">
      <c r="A30" s="47"/>
      <c r="D30" s="30" t="s">
        <v>19</v>
      </c>
      <c r="E30" s="30">
        <f>SUMIF('MASTER DATA'!$A:$A,RCRD!C11,'MASTER DATA'!$AV:$AV)</f>
        <v>461.39</v>
      </c>
      <c r="F30" s="50"/>
      <c r="G30" s="47"/>
      <c r="J30" s="30" t="s">
        <v>19</v>
      </c>
      <c r="K30" s="30">
        <f>SUMIF('MASTER DATA'!$A:$A,RCRD!I11,'MASTER DATA'!$AV:$AV)</f>
        <v>0</v>
      </c>
      <c r="L30" s="50"/>
      <c r="M30" s="60"/>
      <c r="N30" s="30"/>
      <c r="O30" s="28"/>
      <c r="P30" s="30"/>
      <c r="Q30" s="30"/>
      <c r="R30" s="49"/>
      <c r="T30" s="29"/>
    </row>
    <row r="31" spans="1:25" s="27" customFormat="1">
      <c r="A31" s="47"/>
      <c r="D31" s="30" t="s">
        <v>20</v>
      </c>
      <c r="E31" s="30">
        <f>SUMIF('MASTER DATA'!$A:$A,RCRD!C11,'MASTER DATA'!$AW:$AW)</f>
        <v>0</v>
      </c>
      <c r="F31" s="50"/>
      <c r="G31" s="47"/>
      <c r="J31" s="30" t="s">
        <v>20</v>
      </c>
      <c r="K31" s="30">
        <f>SUMIF('MASTER DATA'!$A:$A,RCRD!I11,'MASTER DATA'!$AW:$AW)</f>
        <v>0</v>
      </c>
      <c r="L31" s="50"/>
      <c r="M31" s="60"/>
      <c r="N31" s="30"/>
      <c r="O31" s="28"/>
      <c r="P31" s="30"/>
      <c r="Q31" s="30"/>
      <c r="R31" s="49"/>
      <c r="T31" s="29"/>
    </row>
    <row r="32" spans="1:25" s="27" customFormat="1">
      <c r="A32" s="47"/>
      <c r="D32" s="30" t="s">
        <v>23</v>
      </c>
      <c r="E32" s="30">
        <f>SUMIF('MASTER DATA'!$A:$A,RCRD!C11,'MASTER DATA'!$AX:$AX)</f>
        <v>0</v>
      </c>
      <c r="F32" s="50"/>
      <c r="G32" s="47"/>
      <c r="J32" s="30" t="s">
        <v>23</v>
      </c>
      <c r="K32" s="30">
        <f>SUMIF('MASTER DATA'!$A:$A,RCRD!I11,'MASTER DATA'!$AX:$AX)</f>
        <v>0</v>
      </c>
      <c r="L32" s="50"/>
      <c r="M32" s="60"/>
      <c r="N32" s="30"/>
      <c r="O32" s="28"/>
      <c r="P32" s="30"/>
      <c r="Q32" s="30"/>
      <c r="R32" s="49"/>
      <c r="T32" s="29"/>
    </row>
    <row r="33" spans="1:20" s="27" customFormat="1" ht="16.5" thickBot="1">
      <c r="A33" s="47"/>
      <c r="D33" s="28" t="s">
        <v>16</v>
      </c>
      <c r="E33" s="33">
        <f>E25-SUM(E26:E32)</f>
        <v>7410.6100000000006</v>
      </c>
      <c r="F33" s="53"/>
      <c r="G33" s="47"/>
      <c r="J33" s="28" t="s">
        <v>16</v>
      </c>
      <c r="K33" s="33">
        <f>K25-SUM(K26:K32)</f>
        <v>9314.83</v>
      </c>
      <c r="L33" s="53"/>
      <c r="M33" s="60"/>
      <c r="N33" s="30"/>
      <c r="O33" s="28"/>
      <c r="P33" s="28"/>
      <c r="Q33" s="28"/>
      <c r="R33" s="49"/>
      <c r="T33" s="29"/>
    </row>
    <row r="34" spans="1:20" s="27" customFormat="1" ht="16.5" thickTop="1">
      <c r="A34" s="47"/>
      <c r="D34" s="30"/>
      <c r="E34" s="30"/>
      <c r="F34" s="50"/>
      <c r="G34" s="47"/>
      <c r="J34" s="30"/>
      <c r="K34" s="30"/>
      <c r="L34" s="50"/>
      <c r="M34" s="60"/>
      <c r="N34" s="30"/>
      <c r="O34" s="28"/>
      <c r="P34" s="30"/>
      <c r="Q34" s="30"/>
      <c r="R34" s="49"/>
    </row>
    <row r="35" spans="1:20" s="27" customFormat="1" ht="60">
      <c r="A35" s="47"/>
      <c r="D35" s="88"/>
      <c r="E35" s="91"/>
      <c r="F35" s="49"/>
      <c r="G35" s="47"/>
      <c r="J35" s="88" t="s">
        <v>318</v>
      </c>
      <c r="K35" s="86"/>
      <c r="L35" s="49"/>
      <c r="M35" s="60"/>
      <c r="N35" s="30"/>
      <c r="O35" s="28"/>
      <c r="R35" s="49"/>
      <c r="S35" s="29"/>
    </row>
    <row r="36" spans="1:20" s="27" customFormat="1" ht="16.5" thickBot="1">
      <c r="A36" s="54"/>
      <c r="B36" s="55"/>
      <c r="C36" s="55"/>
      <c r="D36" s="55"/>
      <c r="E36" s="55"/>
      <c r="F36" s="56"/>
      <c r="G36" s="54"/>
      <c r="H36" s="55"/>
      <c r="I36" s="55"/>
      <c r="J36" s="55"/>
      <c r="K36" s="55"/>
      <c r="L36" s="56"/>
      <c r="M36" s="62"/>
      <c r="N36" s="63"/>
      <c r="O36" s="64"/>
      <c r="P36" s="55"/>
      <c r="Q36" s="55"/>
      <c r="R36" s="56"/>
      <c r="S36" s="65"/>
    </row>
    <row r="37" spans="1:20">
      <c r="D37" s="10"/>
      <c r="E37" s="10"/>
      <c r="F37" s="10"/>
    </row>
    <row r="38" spans="1:20">
      <c r="D38" s="10"/>
      <c r="E38" s="10"/>
      <c r="F38" s="10"/>
      <c r="J38" s="13">
        <f>E33</f>
        <v>7410.6100000000006</v>
      </c>
    </row>
    <row r="39" spans="1:20">
      <c r="D39" s="10"/>
      <c r="E39" s="10"/>
      <c r="F39" s="10"/>
    </row>
    <row r="40" spans="1:20">
      <c r="D40" s="6"/>
      <c r="E40" s="6"/>
      <c r="F40" s="6"/>
    </row>
  </sheetData>
  <pageMargins left="0.70866141732283461" right="0.70866141732283461" top="0.74803149606299213" bottom="0.74803149606299213" header="0.31496062992125984" footer="0.31496062992125984"/>
  <pageSetup scale="68" orientation="portrait" r:id="rId1"/>
  <colBreaks count="1" manualBreakCount="1">
    <brk id="6" max="3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9739-F60C-4B71-967E-983C617DEFCC}">
  <sheetPr codeName="Sheet13"/>
  <dimension ref="A1:Y108"/>
  <sheetViews>
    <sheetView view="pageBreakPreview" topLeftCell="B69" zoomScale="70" zoomScaleNormal="85" zoomScaleSheetLayoutView="70" workbookViewId="0">
      <selection activeCell="J107" sqref="J107"/>
    </sheetView>
  </sheetViews>
  <sheetFormatPr defaultColWidth="9.140625" defaultRowHeight="15.75"/>
  <cols>
    <col min="1" max="2" width="4.85546875" style="2" customWidth="1"/>
    <col min="3" max="3" width="3.5703125" style="27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3.5703125" style="3" customWidth="1"/>
    <col min="10" max="10" width="25.5703125" style="2" customWidth="1"/>
    <col min="11" max="11" width="13.5703125" style="2" customWidth="1"/>
    <col min="12" max="12" width="13.7109375" style="2" customWidth="1"/>
    <col min="13" max="14" width="4.7109375" style="2" customWidth="1"/>
    <col min="15" max="15" width="3.5703125" style="26" customWidth="1"/>
    <col min="16" max="16" width="25.5703125" style="2" customWidth="1"/>
    <col min="17" max="17" width="13.5703125" style="2" customWidth="1"/>
    <col min="18" max="18" width="13.7109375" style="2" customWidth="1"/>
    <col min="19" max="19" width="11.5703125" style="2" bestFit="1" customWidth="1"/>
    <col min="20" max="20" width="11.28515625" style="2" bestFit="1" customWidth="1"/>
    <col min="21" max="16384" width="9.140625" style="2"/>
  </cols>
  <sheetData>
    <row r="1" spans="1:18" s="27" customFormat="1">
      <c r="A1" s="78"/>
      <c r="B1" s="71"/>
      <c r="C1" s="71"/>
      <c r="D1" s="71"/>
      <c r="E1" s="71"/>
      <c r="F1" s="79" t="s">
        <v>235</v>
      </c>
      <c r="G1" s="78"/>
      <c r="H1" s="71"/>
      <c r="I1" s="80"/>
      <c r="J1" s="71"/>
      <c r="K1" s="71"/>
      <c r="L1" s="79" t="s">
        <v>235</v>
      </c>
      <c r="M1" s="78"/>
      <c r="N1" s="71"/>
      <c r="O1" s="80"/>
      <c r="P1" s="71"/>
      <c r="Q1" s="71"/>
      <c r="R1" s="79" t="s">
        <v>235</v>
      </c>
    </row>
    <row r="2" spans="1:18" ht="18">
      <c r="A2" s="44"/>
      <c r="B2" s="34"/>
      <c r="C2" s="34"/>
      <c r="D2" s="34"/>
      <c r="E2" s="34"/>
      <c r="F2" s="45"/>
      <c r="G2" s="44"/>
      <c r="H2" s="34"/>
      <c r="I2" s="36"/>
      <c r="J2" s="34"/>
      <c r="K2" s="34"/>
      <c r="L2" s="45"/>
      <c r="M2" s="44"/>
      <c r="N2" s="34"/>
      <c r="O2" s="36"/>
      <c r="P2" s="34"/>
      <c r="Q2" s="34"/>
      <c r="R2" s="45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6"/>
      <c r="J3" s="35" t="s">
        <v>0</v>
      </c>
      <c r="K3" s="36"/>
      <c r="L3" s="46"/>
      <c r="M3" s="44"/>
      <c r="N3" s="34"/>
      <c r="O3" s="36"/>
      <c r="P3" s="35" t="s">
        <v>0</v>
      </c>
      <c r="Q3" s="36"/>
      <c r="R3" s="45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6"/>
      <c r="J4" s="35" t="s">
        <v>1</v>
      </c>
      <c r="K4" s="36"/>
      <c r="L4" s="46"/>
      <c r="M4" s="44"/>
      <c r="N4" s="34"/>
      <c r="O4" s="36"/>
      <c r="P4" s="35" t="s">
        <v>1</v>
      </c>
      <c r="Q4" s="36"/>
      <c r="R4" s="45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6"/>
      <c r="J5" s="35" t="s">
        <v>162</v>
      </c>
      <c r="K5" s="36"/>
      <c r="L5" s="46"/>
      <c r="M5" s="44"/>
      <c r="N5" s="34"/>
      <c r="O5" s="36"/>
      <c r="P5" s="35" t="s">
        <v>162</v>
      </c>
      <c r="Q5" s="36"/>
      <c r="R5" s="45"/>
    </row>
    <row r="6" spans="1:18" ht="18">
      <c r="A6" s="44"/>
      <c r="B6" s="34"/>
      <c r="C6" s="34"/>
      <c r="D6" s="34"/>
      <c r="E6" s="34"/>
      <c r="F6" s="45"/>
      <c r="G6" s="44"/>
      <c r="H6" s="34"/>
      <c r="I6" s="36"/>
      <c r="J6" s="34"/>
      <c r="K6" s="34"/>
      <c r="L6" s="45"/>
      <c r="M6" s="44"/>
      <c r="N6" s="34"/>
      <c r="O6" s="36"/>
      <c r="P6" s="34"/>
      <c r="Q6" s="34"/>
      <c r="R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6"/>
      <c r="J7" s="34"/>
      <c r="K7" s="34"/>
      <c r="L7" s="45"/>
      <c r="M7" s="44"/>
      <c r="N7" s="34"/>
      <c r="O7" s="36"/>
      <c r="P7" s="34"/>
      <c r="Q7" s="34"/>
      <c r="R7" s="45"/>
    </row>
    <row r="8" spans="1:18">
      <c r="A8" s="47"/>
      <c r="B8" s="27"/>
      <c r="D8" s="3" t="s">
        <v>3</v>
      </c>
      <c r="E8" s="3"/>
      <c r="F8" s="48"/>
      <c r="G8" s="47"/>
      <c r="H8" s="27"/>
      <c r="I8" s="27"/>
      <c r="J8" s="3" t="s">
        <v>3</v>
      </c>
      <c r="K8" s="3"/>
      <c r="L8" s="48"/>
      <c r="M8" s="47"/>
      <c r="N8" s="27"/>
      <c r="O8" s="3"/>
      <c r="P8" s="3" t="s">
        <v>3</v>
      </c>
      <c r="Q8" s="3"/>
      <c r="R8" s="49"/>
    </row>
    <row r="9" spans="1:18">
      <c r="A9" s="47"/>
      <c r="B9" s="27"/>
      <c r="D9" s="27" t="s">
        <v>319</v>
      </c>
      <c r="E9" s="27"/>
      <c r="F9" s="49"/>
      <c r="G9" s="58"/>
      <c r="H9" s="3"/>
      <c r="I9" s="27"/>
      <c r="J9" s="27" t="str">
        <f>D9</f>
        <v>FEB 16-28, 2026</v>
      </c>
      <c r="K9" s="27"/>
      <c r="L9" s="49"/>
      <c r="M9" s="47"/>
      <c r="N9" s="27"/>
      <c r="O9" s="3"/>
      <c r="P9" s="27" t="str">
        <f>D9</f>
        <v>FEB 16-28, 2026</v>
      </c>
      <c r="Q9" s="27"/>
      <c r="R9" s="49"/>
    </row>
    <row r="10" spans="1:18">
      <c r="A10" s="47"/>
      <c r="B10" s="27"/>
      <c r="D10" s="3"/>
      <c r="E10" s="27"/>
      <c r="F10" s="49"/>
      <c r="G10" s="47"/>
      <c r="H10" s="27"/>
      <c r="I10" s="27"/>
      <c r="J10" s="3"/>
      <c r="K10" s="27"/>
      <c r="L10" s="49"/>
      <c r="M10" s="47"/>
      <c r="N10" s="27"/>
      <c r="O10" s="3"/>
      <c r="P10" s="27"/>
      <c r="Q10" s="27"/>
      <c r="R10" s="49"/>
    </row>
    <row r="11" spans="1:18" s="27" customFormat="1">
      <c r="A11" s="47"/>
      <c r="C11" s="3">
        <v>34</v>
      </c>
      <c r="D11" s="3" t="str">
        <f>VLOOKUP(C11,'MASTER DATA'!$A:$E,5,FALSE)</f>
        <v>CUARTERON, JOSEN L.</v>
      </c>
      <c r="F11" s="49"/>
      <c r="G11" s="47"/>
      <c r="I11" s="3">
        <v>35</v>
      </c>
      <c r="J11" s="3" t="str">
        <f>VLOOKUP(I11,'MASTER DATA'!$A:$E,5,FALSE)</f>
        <v>CATUBAY, ELVIS JOHN L.</v>
      </c>
      <c r="L11" s="49"/>
      <c r="M11" s="47"/>
      <c r="O11" s="3">
        <v>36</v>
      </c>
      <c r="P11" s="3" t="str">
        <f>VLOOKUP(O11,'MASTER DATA'!$A:$E,5,FALSE)</f>
        <v>MARCELO, FERDINAND S.</v>
      </c>
      <c r="R11" s="49"/>
    </row>
    <row r="12" spans="1:18" s="27" customFormat="1">
      <c r="A12" s="47"/>
      <c r="C12" s="3"/>
      <c r="D12" s="3" t="str">
        <f>VLOOKUP(C11,'MASTER DATA'!$A:$F,6,FALSE)</f>
        <v>GSS</v>
      </c>
      <c r="F12" s="49"/>
      <c r="G12" s="47"/>
      <c r="I12" s="3"/>
      <c r="J12" s="3" t="str">
        <f>VLOOKUP(I11,'MASTER DATA'!$A:$F,6,FALSE)</f>
        <v>GSS</v>
      </c>
      <c r="L12" s="49"/>
      <c r="M12" s="47"/>
      <c r="O12" s="3"/>
      <c r="P12" s="3" t="str">
        <f>VLOOKUP(O11,'MASTER DATA'!$A:$F,6,FALSE)</f>
        <v>GSS</v>
      </c>
      <c r="R12" s="49"/>
    </row>
    <row r="13" spans="1:18" s="27" customFormat="1">
      <c r="A13" s="47"/>
      <c r="D13" s="29" t="str">
        <f>VLOOKUP(C11,'MASTER DATA'!$A:$G,7,FALSE)</f>
        <v>Administrative Asst. I</v>
      </c>
      <c r="F13" s="49"/>
      <c r="G13" s="47"/>
      <c r="J13" s="29" t="str">
        <f>VLOOKUP(I11,'MASTER DATA'!$A:$G,7,FALSE)</f>
        <v>Administrative Asst. II</v>
      </c>
      <c r="L13" s="49"/>
      <c r="M13" s="47"/>
      <c r="O13" s="3"/>
      <c r="P13" s="29" t="str">
        <f>VLOOKUP(O11,'MASTER DATA'!$A:$G,7,FALSE)</f>
        <v>Administrative Asst. I</v>
      </c>
      <c r="R13" s="49"/>
    </row>
    <row r="14" spans="1:18" s="27" customFormat="1">
      <c r="A14" s="47"/>
      <c r="D14" s="27" t="s">
        <v>4</v>
      </c>
      <c r="E14" s="30">
        <f>SUMIF('MASTER DATA'!$A:$A,GSS!C11,'MASTER DATA'!$N:$N)</f>
        <v>9310</v>
      </c>
      <c r="F14" s="50"/>
      <c r="G14" s="47"/>
      <c r="J14" s="27" t="s">
        <v>4</v>
      </c>
      <c r="K14" s="30">
        <f>SUMIF('MASTER DATA'!$A:$A,GSS!I11,'MASTER DATA'!$N:$N)</f>
        <v>9872</v>
      </c>
      <c r="L14" s="50"/>
      <c r="M14" s="47"/>
      <c r="O14" s="3"/>
      <c r="P14" s="27" t="s">
        <v>4</v>
      </c>
      <c r="Q14" s="30">
        <f>SUMIF('MASTER DATA'!$A:$A,GSS!O11,'MASTER DATA'!$N:$N)</f>
        <v>9310</v>
      </c>
      <c r="R14" s="49"/>
    </row>
    <row r="15" spans="1:18" s="27" customFormat="1" ht="17.25">
      <c r="A15" s="47"/>
      <c r="E15" s="37"/>
      <c r="F15" s="51"/>
      <c r="G15" s="59"/>
      <c r="H15" s="39"/>
      <c r="K15" s="37"/>
      <c r="L15" s="51"/>
      <c r="M15" s="47"/>
      <c r="O15" s="3"/>
      <c r="Q15" s="37"/>
      <c r="R15" s="49"/>
    </row>
    <row r="16" spans="1:18" s="27" customFormat="1">
      <c r="A16" s="47"/>
      <c r="E16" s="30"/>
      <c r="F16" s="50"/>
      <c r="G16" s="59"/>
      <c r="H16" s="39"/>
      <c r="K16" s="30"/>
      <c r="L16" s="50"/>
      <c r="M16" s="47"/>
      <c r="O16" s="3"/>
      <c r="Q16" s="30"/>
      <c r="R16" s="49"/>
    </row>
    <row r="17" spans="1:25" s="27" customFormat="1" ht="17.25">
      <c r="A17" s="47"/>
      <c r="E17" s="37"/>
      <c r="F17" s="51"/>
      <c r="G17" s="59"/>
      <c r="H17" s="39"/>
      <c r="K17" s="37"/>
      <c r="L17" s="51"/>
      <c r="M17" s="47"/>
      <c r="O17" s="3"/>
      <c r="Q17" s="37"/>
      <c r="R17" s="49"/>
    </row>
    <row r="18" spans="1:25" s="27" customFormat="1">
      <c r="A18" s="47"/>
      <c r="D18" s="39" t="s">
        <v>5</v>
      </c>
      <c r="E18" s="40" t="s">
        <v>6</v>
      </c>
      <c r="F18" s="52"/>
      <c r="G18" s="47"/>
      <c r="J18" s="39" t="s">
        <v>5</v>
      </c>
      <c r="K18" s="40" t="s">
        <v>6</v>
      </c>
      <c r="L18" s="52"/>
      <c r="M18" s="47"/>
      <c r="O18" s="3"/>
      <c r="P18" s="39" t="s">
        <v>5</v>
      </c>
      <c r="Q18" s="40" t="s">
        <v>6</v>
      </c>
      <c r="R18" s="49"/>
    </row>
    <row r="19" spans="1:25" s="27" customFormat="1">
      <c r="A19" s="47"/>
      <c r="F19" s="49"/>
      <c r="G19" s="60"/>
      <c r="H19" s="30"/>
      <c r="L19" s="49"/>
      <c r="M19" s="60"/>
      <c r="N19" s="30"/>
      <c r="O19" s="28"/>
      <c r="R19" s="49"/>
    </row>
    <row r="20" spans="1:25" s="27" customFormat="1">
      <c r="A20" s="47"/>
      <c r="D20" s="30" t="s">
        <v>7</v>
      </c>
      <c r="E20" s="30">
        <f>SUMIF('MASTER DATA'!$A:$A,GSS!C11,'MASTER DATA'!$AL:$AL)</f>
        <v>0</v>
      </c>
      <c r="F20" s="50"/>
      <c r="G20" s="60"/>
      <c r="H20" s="30"/>
      <c r="J20" s="30" t="s">
        <v>7</v>
      </c>
      <c r="K20" s="30">
        <f>SUMIF('MASTER DATA'!$A:$A,GSS!I11,'MASTER DATA'!$AL:$AL)</f>
        <v>897.45</v>
      </c>
      <c r="L20" s="50"/>
      <c r="M20" s="60"/>
      <c r="N20" s="30"/>
      <c r="O20" s="28"/>
      <c r="P20" s="30" t="s">
        <v>7</v>
      </c>
      <c r="Q20" s="30">
        <f>SUMIF('MASTER DATA'!$A:$A,GSS!O11,'MASTER DATA'!$AL:$AL)</f>
        <v>0</v>
      </c>
      <c r="R20" s="49"/>
    </row>
    <row r="21" spans="1:25" s="27" customFormat="1">
      <c r="A21" s="47"/>
      <c r="D21" s="31" t="s">
        <v>8</v>
      </c>
      <c r="E21" s="30">
        <f>SUMIF('MASTER DATA'!$A:$A,GSS!C11,'MASTER DATA'!$AM:$AM)+SUMIF('MASTER DATA'!$A:$A,GSS!C11,'MASTER DATA'!$AN:$AN)</f>
        <v>65.239999999999995</v>
      </c>
      <c r="F21" s="50"/>
      <c r="G21" s="60"/>
      <c r="H21" s="30"/>
      <c r="J21" s="31" t="s">
        <v>8</v>
      </c>
      <c r="K21" s="30">
        <f>SUMIF('MASTER DATA'!$A:$A,GSS!I11,'MASTER DATA'!$AM:$AM)+SUMIF('MASTER DATA'!$A:$A,GSS!I11,'MASTER DATA'!$AN:$AN)</f>
        <v>0</v>
      </c>
      <c r="L21" s="50"/>
      <c r="M21" s="60"/>
      <c r="N21" s="30"/>
      <c r="O21" s="28"/>
      <c r="P21" s="31" t="s">
        <v>8</v>
      </c>
      <c r="Q21" s="30">
        <f>SUMIF('MASTER DATA'!$A:$A,GSS!O11,'MASTER DATA'!$AM:$AM)+SUMIF('MASTER DATA'!$A:$A,GSS!O11,'MASTER DATA'!$AN:$AN)</f>
        <v>0</v>
      </c>
      <c r="R21" s="49"/>
    </row>
    <row r="22" spans="1:25" s="27" customFormat="1">
      <c r="A22" s="47"/>
      <c r="D22" s="30" t="s">
        <v>9</v>
      </c>
      <c r="E22" s="32">
        <f>SUMIF('MASTER DATA'!$A:$A,GSS!C11,'MASTER DATA'!$AP:$AP)</f>
        <v>0</v>
      </c>
      <c r="F22" s="50"/>
      <c r="G22" s="60"/>
      <c r="H22" s="30"/>
      <c r="J22" s="30" t="s">
        <v>9</v>
      </c>
      <c r="K22" s="32">
        <f>SUMIF('MASTER DATA'!$A:$A,GSS!I11,'MASTER DATA'!$AP:$AP)</f>
        <v>0</v>
      </c>
      <c r="L22" s="50"/>
      <c r="M22" s="60"/>
      <c r="N22" s="30"/>
      <c r="O22" s="28"/>
      <c r="P22" s="30" t="s">
        <v>9</v>
      </c>
      <c r="Q22" s="32">
        <f>SUMIF('MASTER DATA'!$A:$A,GSS!O11,'MASTER DATA'!$AP:$AP)</f>
        <v>0</v>
      </c>
      <c r="R22" s="49"/>
    </row>
    <row r="23" spans="1:25" s="27" customFormat="1">
      <c r="A23" s="47"/>
      <c r="D23" s="30" t="s">
        <v>10</v>
      </c>
      <c r="E23" s="30">
        <f>SUM(E20:E22)</f>
        <v>65.239999999999995</v>
      </c>
      <c r="F23" s="50"/>
      <c r="G23" s="60"/>
      <c r="H23" s="30"/>
      <c r="J23" s="30" t="s">
        <v>10</v>
      </c>
      <c r="K23" s="30">
        <f>SUM(K20:K22)</f>
        <v>897.45</v>
      </c>
      <c r="L23" s="50"/>
      <c r="M23" s="60"/>
      <c r="N23" s="30"/>
      <c r="O23" s="28"/>
      <c r="P23" s="30" t="s">
        <v>10</v>
      </c>
      <c r="Q23" s="30">
        <f>SUM(Q20:Q22)</f>
        <v>0</v>
      </c>
      <c r="R23" s="49"/>
    </row>
    <row r="24" spans="1:25" s="27" customFormat="1">
      <c r="A24" s="47"/>
      <c r="D24" s="30"/>
      <c r="E24" s="30"/>
      <c r="F24" s="50"/>
      <c r="G24" s="60"/>
      <c r="H24" s="30"/>
      <c r="J24" s="30"/>
      <c r="K24" s="30"/>
      <c r="L24" s="50"/>
      <c r="M24" s="60"/>
      <c r="N24" s="30"/>
      <c r="O24" s="28"/>
      <c r="P24" s="30"/>
      <c r="Q24" s="30"/>
      <c r="R24" s="49"/>
      <c r="Y24" s="3" t="s">
        <v>11</v>
      </c>
    </row>
    <row r="25" spans="1:25" s="27" customFormat="1">
      <c r="A25" s="47"/>
      <c r="D25" s="30" t="s">
        <v>12</v>
      </c>
      <c r="E25" s="30">
        <f>E14-E23</f>
        <v>9244.76</v>
      </c>
      <c r="F25" s="50"/>
      <c r="G25" s="60"/>
      <c r="H25" s="30"/>
      <c r="J25" s="30" t="s">
        <v>12</v>
      </c>
      <c r="K25" s="30">
        <f>K14-K23</f>
        <v>8974.5499999999993</v>
      </c>
      <c r="L25" s="50"/>
      <c r="M25" s="60"/>
      <c r="N25" s="30"/>
      <c r="O25" s="28"/>
      <c r="P25" s="30" t="s">
        <v>12</v>
      </c>
      <c r="Q25" s="30">
        <f>Q14-Q23</f>
        <v>9310</v>
      </c>
      <c r="R25" s="49"/>
    </row>
    <row r="26" spans="1:25" s="27" customFormat="1">
      <c r="A26" s="47"/>
      <c r="D26" s="30" t="s">
        <v>13</v>
      </c>
      <c r="E26" s="30"/>
      <c r="F26" s="50"/>
      <c r="G26" s="60"/>
      <c r="H26" s="30"/>
      <c r="J26" s="30" t="s">
        <v>13</v>
      </c>
      <c r="K26" s="30"/>
      <c r="L26" s="50"/>
      <c r="M26" s="60"/>
      <c r="N26" s="30"/>
      <c r="O26" s="28"/>
      <c r="P26" s="30" t="s">
        <v>13</v>
      </c>
      <c r="Q26" s="30"/>
      <c r="R26" s="49"/>
    </row>
    <row r="27" spans="1:25" s="27" customFormat="1">
      <c r="A27" s="47"/>
      <c r="D27" s="30" t="s">
        <v>14</v>
      </c>
      <c r="E27" s="30">
        <f>SUMIF('MASTER DATA'!$A:$A,GSS!C11,'MASTER DATA'!$AS:$AS)</f>
        <v>0</v>
      </c>
      <c r="F27" s="50"/>
      <c r="G27" s="60"/>
      <c r="H27" s="30"/>
      <c r="J27" s="30" t="s">
        <v>14</v>
      </c>
      <c r="K27" s="30">
        <f>SUMIF('MASTER DATA'!$A:$A,GSS!I11,'MASTER DATA'!$AS:$AS)</f>
        <v>0</v>
      </c>
      <c r="L27" s="50"/>
      <c r="M27" s="60"/>
      <c r="N27" s="30"/>
      <c r="O27" s="28"/>
      <c r="P27" s="30" t="s">
        <v>14</v>
      </c>
      <c r="Q27" s="30">
        <f>SUMIF('MASTER DATA'!$A:$A,GSS!O11,'MASTER DATA'!$AS:$AS)</f>
        <v>0</v>
      </c>
      <c r="R27" s="49"/>
    </row>
    <row r="28" spans="1:25" s="27" customFormat="1">
      <c r="A28" s="47"/>
      <c r="D28" s="69" t="s">
        <v>160</v>
      </c>
      <c r="E28" s="30">
        <f>SUMIF('MASTER DATA'!$A:$A,GSS!C11,'MASTER DATA'!$AT:$AT)</f>
        <v>0</v>
      </c>
      <c r="F28" s="50"/>
      <c r="G28" s="60"/>
      <c r="H28" s="30"/>
      <c r="J28" s="69" t="s">
        <v>160</v>
      </c>
      <c r="K28" s="30">
        <f>SUMIF('MASTER DATA'!$A:$A,GSS!I11,'MASTER DATA'!$AT:$AT)</f>
        <v>0</v>
      </c>
      <c r="L28" s="50"/>
      <c r="M28" s="60"/>
      <c r="N28" s="30"/>
      <c r="O28" s="28"/>
      <c r="P28" s="69" t="s">
        <v>160</v>
      </c>
      <c r="Q28" s="30">
        <f>SUMIF('MASTER DATA'!$A:$A,GSS!O11,'MASTER DATA'!$AT:$AT)</f>
        <v>0</v>
      </c>
      <c r="R28" s="49"/>
    </row>
    <row r="29" spans="1:25" s="27" customFormat="1">
      <c r="A29" s="47"/>
      <c r="D29" s="30" t="s">
        <v>15</v>
      </c>
      <c r="E29" s="30">
        <f>SUMIF('MASTER DATA'!$A:$A,GSS!C11,'MASTER DATA'!$AU:$AU)</f>
        <v>0</v>
      </c>
      <c r="F29" s="50"/>
      <c r="G29" s="60"/>
      <c r="H29" s="30"/>
      <c r="J29" s="30" t="s">
        <v>15</v>
      </c>
      <c r="K29" s="30">
        <f>SUMIF('MASTER DATA'!$A:$A,GSS!I11,'MASTER DATA'!$AU:$AU)</f>
        <v>0</v>
      </c>
      <c r="L29" s="50"/>
      <c r="M29" s="60"/>
      <c r="N29" s="30"/>
      <c r="O29" s="28"/>
      <c r="P29" s="30" t="s">
        <v>15</v>
      </c>
      <c r="Q29" s="30">
        <f>SUMIF('MASTER DATA'!$A:$A,GSS!O11,'MASTER DATA'!$AU:$AU)</f>
        <v>0</v>
      </c>
      <c r="R29" s="49"/>
      <c r="T29" s="29"/>
    </row>
    <row r="30" spans="1:25" s="27" customFormat="1">
      <c r="A30" s="47"/>
      <c r="D30" s="30" t="s">
        <v>19</v>
      </c>
      <c r="E30" s="30">
        <f>SUMIF('MASTER DATA'!$A:$A,GSS!C11,'MASTER DATA'!$AV:$AV)</f>
        <v>0</v>
      </c>
      <c r="F30" s="50"/>
      <c r="G30" s="60"/>
      <c r="H30" s="30"/>
      <c r="J30" s="30" t="s">
        <v>19</v>
      </c>
      <c r="K30" s="30">
        <f>SUMIF('MASTER DATA'!$A:$A,GSS!I11,'MASTER DATA'!$AV:$AV)</f>
        <v>0</v>
      </c>
      <c r="L30" s="50"/>
      <c r="M30" s="60"/>
      <c r="N30" s="30"/>
      <c r="O30" s="28"/>
      <c r="P30" s="30" t="s">
        <v>19</v>
      </c>
      <c r="Q30" s="30">
        <f>SUMIF('MASTER DATA'!$A:$A,GSS!O11,'MASTER DATA'!$AV:$AV)</f>
        <v>0</v>
      </c>
      <c r="R30" s="49"/>
      <c r="T30" s="29"/>
    </row>
    <row r="31" spans="1:25" s="27" customFormat="1">
      <c r="A31" s="47"/>
      <c r="D31" s="30" t="s">
        <v>20</v>
      </c>
      <c r="E31" s="30">
        <f>SUMIF('MASTER DATA'!$A:$A,GSS!C11,'MASTER DATA'!$AW:$AW)</f>
        <v>0</v>
      </c>
      <c r="F31" s="50"/>
      <c r="G31" s="60"/>
      <c r="H31" s="30"/>
      <c r="J31" s="30" t="s">
        <v>20</v>
      </c>
      <c r="K31" s="30">
        <f>SUMIF('MASTER DATA'!$A:$A,GSS!I11,'MASTER DATA'!$AW:$AW)</f>
        <v>0</v>
      </c>
      <c r="L31" s="50"/>
      <c r="M31" s="60"/>
      <c r="N31" s="30"/>
      <c r="O31" s="28"/>
      <c r="P31" s="30" t="s">
        <v>20</v>
      </c>
      <c r="Q31" s="30">
        <f>SUMIF('MASTER DATA'!$A:$A,GSS!O11,'MASTER DATA'!$AW:$AW)</f>
        <v>0</v>
      </c>
      <c r="R31" s="49"/>
      <c r="T31" s="29"/>
    </row>
    <row r="32" spans="1:25" s="27" customFormat="1">
      <c r="A32" s="47"/>
      <c r="D32" s="30" t="s">
        <v>23</v>
      </c>
      <c r="E32" s="30">
        <f>SUMIF('MASTER DATA'!$A:$A,GSS!C11,'MASTER DATA'!$AX:$AX)</f>
        <v>0</v>
      </c>
      <c r="F32" s="50"/>
      <c r="G32" s="60"/>
      <c r="H32" s="30"/>
      <c r="J32" s="30" t="s">
        <v>23</v>
      </c>
      <c r="K32" s="30">
        <f>SUMIF('MASTER DATA'!$A:$A,GSS!I11,'MASTER DATA'!$AX:$AX)</f>
        <v>0</v>
      </c>
      <c r="L32" s="50"/>
      <c r="M32" s="60"/>
      <c r="N32" s="30"/>
      <c r="O32" s="28"/>
      <c r="P32" s="30" t="s">
        <v>23</v>
      </c>
      <c r="Q32" s="30">
        <f>SUMIF('MASTER DATA'!$A:$A,GSS!O11,'MASTER DATA'!$AX:$AX)</f>
        <v>0</v>
      </c>
      <c r="R32" s="49"/>
      <c r="T32" s="29"/>
    </row>
    <row r="33" spans="1:20" s="27" customFormat="1" ht="16.5" thickBot="1">
      <c r="A33" s="47"/>
      <c r="D33" s="28" t="s">
        <v>16</v>
      </c>
      <c r="E33" s="33">
        <f>E25-SUM(E26:E32)</f>
        <v>9244.76</v>
      </c>
      <c r="F33" s="53"/>
      <c r="G33" s="60"/>
      <c r="H33" s="30"/>
      <c r="J33" s="28" t="s">
        <v>16</v>
      </c>
      <c r="K33" s="33">
        <f>K25-SUM(K26:K32)</f>
        <v>8974.5499999999993</v>
      </c>
      <c r="L33" s="53"/>
      <c r="M33" s="60"/>
      <c r="N33" s="30"/>
      <c r="O33" s="28"/>
      <c r="P33" s="28" t="s">
        <v>16</v>
      </c>
      <c r="Q33" s="33">
        <f>Q25-SUM(Q26:Q32)</f>
        <v>9310</v>
      </c>
      <c r="R33" s="49"/>
      <c r="T33" s="29"/>
    </row>
    <row r="34" spans="1:20" s="27" customFormat="1" ht="16.5" thickTop="1">
      <c r="A34" s="47"/>
      <c r="D34" s="30"/>
      <c r="E34" s="30"/>
      <c r="F34" s="50"/>
      <c r="G34" s="60"/>
      <c r="H34" s="30"/>
      <c r="I34" s="28"/>
      <c r="J34" s="30"/>
      <c r="K34" s="30"/>
      <c r="L34" s="50"/>
      <c r="M34" s="60"/>
      <c r="N34" s="30"/>
      <c r="O34" s="28"/>
      <c r="P34" s="30"/>
      <c r="Q34" s="30"/>
      <c r="R34" s="49"/>
    </row>
    <row r="35" spans="1:20" s="27" customFormat="1" ht="60">
      <c r="A35" s="47"/>
      <c r="D35" s="88" t="s">
        <v>318</v>
      </c>
      <c r="F35" s="49"/>
      <c r="G35" s="47"/>
      <c r="I35" s="3"/>
      <c r="J35" s="88" t="s">
        <v>318</v>
      </c>
      <c r="L35" s="49"/>
      <c r="M35" s="60"/>
      <c r="N35" s="30"/>
      <c r="O35" s="28"/>
      <c r="P35" s="66"/>
      <c r="R35" s="49"/>
      <c r="S35" s="29"/>
    </row>
    <row r="36" spans="1:20" s="27" customFormat="1" ht="16.5" thickBot="1">
      <c r="A36" s="54"/>
      <c r="B36" s="55"/>
      <c r="C36" s="55"/>
      <c r="D36" s="55"/>
      <c r="E36" s="55"/>
      <c r="F36" s="56"/>
      <c r="G36" s="54"/>
      <c r="H36" s="55"/>
      <c r="I36" s="61"/>
      <c r="J36" s="55"/>
      <c r="K36" s="55"/>
      <c r="L36" s="56"/>
      <c r="M36" s="62"/>
      <c r="N36" s="63"/>
      <c r="O36" s="64"/>
      <c r="P36" s="55"/>
      <c r="Q36" s="55"/>
      <c r="R36" s="56"/>
      <c r="S36" s="65"/>
    </row>
    <row r="37" spans="1:20" s="27" customFormat="1">
      <c r="A37" s="78"/>
      <c r="B37" s="71"/>
      <c r="C37" s="80"/>
      <c r="D37" s="71"/>
      <c r="E37" s="71"/>
      <c r="F37" s="79" t="s">
        <v>235</v>
      </c>
      <c r="G37" s="78"/>
      <c r="H37" s="71"/>
      <c r="I37" s="80"/>
      <c r="J37" s="71"/>
      <c r="K37" s="71"/>
      <c r="L37" s="79" t="s">
        <v>235</v>
      </c>
      <c r="M37" s="78"/>
      <c r="N37" s="71"/>
      <c r="O37" s="80"/>
      <c r="P37" s="71"/>
      <c r="Q37" s="71"/>
      <c r="R37" s="79" t="s">
        <v>235</v>
      </c>
    </row>
    <row r="38" spans="1:20" ht="18">
      <c r="A38" s="44"/>
      <c r="B38" s="34"/>
      <c r="C38" s="34"/>
      <c r="D38" s="34"/>
      <c r="E38" s="34"/>
      <c r="F38" s="45"/>
      <c r="G38" s="44"/>
      <c r="H38" s="34"/>
      <c r="I38" s="36"/>
      <c r="J38" s="34"/>
      <c r="K38" s="34"/>
      <c r="L38" s="45"/>
      <c r="M38" s="44"/>
      <c r="N38" s="34"/>
      <c r="O38" s="36"/>
      <c r="P38" s="34"/>
      <c r="Q38" s="34"/>
      <c r="R38" s="45"/>
    </row>
    <row r="39" spans="1:20" ht="18">
      <c r="A39" s="44"/>
      <c r="B39" s="34"/>
      <c r="C39" s="34"/>
      <c r="D39" s="35" t="s">
        <v>0</v>
      </c>
      <c r="E39" s="36"/>
      <c r="F39" s="46"/>
      <c r="G39" s="44"/>
      <c r="H39" s="34"/>
      <c r="I39" s="36"/>
      <c r="J39" s="35" t="s">
        <v>0</v>
      </c>
      <c r="K39" s="36"/>
      <c r="L39" s="46"/>
      <c r="M39" s="44"/>
      <c r="N39" s="34"/>
      <c r="O39" s="36"/>
      <c r="P39" s="35" t="s">
        <v>0</v>
      </c>
      <c r="Q39" s="36"/>
      <c r="R39" s="46"/>
    </row>
    <row r="40" spans="1:20" ht="18">
      <c r="A40" s="44"/>
      <c r="B40" s="34"/>
      <c r="C40" s="34"/>
      <c r="D40" s="35" t="s">
        <v>1</v>
      </c>
      <c r="E40" s="36"/>
      <c r="F40" s="46"/>
      <c r="G40" s="44"/>
      <c r="H40" s="34"/>
      <c r="I40" s="36"/>
      <c r="J40" s="35" t="s">
        <v>1</v>
      </c>
      <c r="K40" s="36"/>
      <c r="L40" s="46"/>
      <c r="M40" s="44"/>
      <c r="N40" s="34"/>
      <c r="O40" s="36"/>
      <c r="P40" s="35" t="s">
        <v>1</v>
      </c>
      <c r="Q40" s="36"/>
      <c r="R40" s="46"/>
    </row>
    <row r="41" spans="1:20" ht="18">
      <c r="A41" s="44"/>
      <c r="B41" s="34"/>
      <c r="C41" s="34"/>
      <c r="D41" s="35" t="s">
        <v>162</v>
      </c>
      <c r="E41" s="36"/>
      <c r="F41" s="46"/>
      <c r="G41" s="44"/>
      <c r="H41" s="34"/>
      <c r="I41" s="36"/>
      <c r="J41" s="35" t="s">
        <v>162</v>
      </c>
      <c r="K41" s="36"/>
      <c r="L41" s="46"/>
      <c r="M41" s="44"/>
      <c r="N41" s="34"/>
      <c r="O41" s="36"/>
      <c r="P41" s="35" t="s">
        <v>162</v>
      </c>
      <c r="Q41" s="36"/>
      <c r="R41" s="46"/>
    </row>
    <row r="42" spans="1:20" ht="18">
      <c r="A42" s="44"/>
      <c r="B42" s="34"/>
      <c r="C42" s="34"/>
      <c r="D42" s="34"/>
      <c r="E42" s="34"/>
      <c r="F42" s="45"/>
      <c r="G42" s="44"/>
      <c r="H42" s="34"/>
      <c r="I42" s="36"/>
      <c r="J42" s="34"/>
      <c r="K42" s="34"/>
      <c r="L42" s="45"/>
      <c r="M42" s="44"/>
      <c r="N42" s="34"/>
      <c r="O42" s="36"/>
      <c r="P42" s="34"/>
      <c r="Q42" s="34"/>
      <c r="R42" s="45"/>
    </row>
    <row r="43" spans="1:20" ht="18">
      <c r="A43" s="44"/>
      <c r="B43" s="34"/>
      <c r="C43" s="34"/>
      <c r="D43" s="34"/>
      <c r="E43" s="34"/>
      <c r="F43" s="45"/>
      <c r="G43" s="44"/>
      <c r="H43" s="34"/>
      <c r="I43" s="36"/>
      <c r="J43" s="34"/>
      <c r="K43" s="34"/>
      <c r="L43" s="45"/>
      <c r="M43" s="44"/>
      <c r="N43" s="34"/>
      <c r="O43" s="36"/>
      <c r="P43" s="34"/>
      <c r="Q43" s="34"/>
      <c r="R43" s="45"/>
    </row>
    <row r="44" spans="1:20">
      <c r="A44" s="47"/>
      <c r="B44" s="27"/>
      <c r="D44" s="3" t="s">
        <v>3</v>
      </c>
      <c r="E44" s="3"/>
      <c r="F44" s="48"/>
      <c r="G44" s="47"/>
      <c r="H44" s="27"/>
      <c r="J44" s="3" t="s">
        <v>3</v>
      </c>
      <c r="K44" s="3"/>
      <c r="L44" s="48"/>
      <c r="M44" s="47"/>
      <c r="N44" s="27"/>
      <c r="O44" s="3"/>
      <c r="P44" s="3" t="s">
        <v>3</v>
      </c>
      <c r="Q44" s="3"/>
      <c r="R44" s="48"/>
    </row>
    <row r="45" spans="1:20">
      <c r="A45" s="47"/>
      <c r="B45" s="27"/>
      <c r="D45" s="27" t="str">
        <f>D9</f>
        <v>FEB 16-28, 2026</v>
      </c>
      <c r="E45" s="27"/>
      <c r="F45" s="49"/>
      <c r="G45" s="58"/>
      <c r="H45" s="3"/>
      <c r="J45" s="27" t="str">
        <f>D45</f>
        <v>FEB 16-28, 2026</v>
      </c>
      <c r="K45" s="27"/>
      <c r="L45" s="49"/>
      <c r="M45" s="58"/>
      <c r="N45" s="3"/>
      <c r="O45" s="3"/>
      <c r="P45" s="27" t="str">
        <f>J45</f>
        <v>FEB 16-28, 2026</v>
      </c>
      <c r="Q45" s="27"/>
      <c r="R45" s="49"/>
    </row>
    <row r="46" spans="1:20">
      <c r="A46" s="47"/>
      <c r="B46" s="27"/>
      <c r="D46" s="3"/>
      <c r="E46" s="27"/>
      <c r="F46" s="49"/>
      <c r="G46" s="47"/>
      <c r="H46" s="27"/>
      <c r="J46" s="3"/>
      <c r="K46" s="27"/>
      <c r="L46" s="49"/>
      <c r="M46" s="47"/>
      <c r="N46" s="27"/>
      <c r="O46" s="3"/>
      <c r="P46" s="3"/>
      <c r="Q46" s="27"/>
      <c r="R46" s="49"/>
    </row>
    <row r="47" spans="1:20">
      <c r="A47" s="47"/>
      <c r="B47" s="27"/>
      <c r="C47" s="3">
        <v>37</v>
      </c>
      <c r="D47" s="3" t="str">
        <f>VLOOKUP(C47,'MASTER DATA'!$A:$E,5,FALSE)</f>
        <v xml:space="preserve">TAPIADOR, JACKSON T. </v>
      </c>
      <c r="E47" s="27"/>
      <c r="F47" s="49"/>
      <c r="G47" s="47"/>
      <c r="H47" s="27"/>
      <c r="I47" s="3">
        <v>38</v>
      </c>
      <c r="J47" s="3" t="str">
        <f>VLOOKUP(I47,'MASTER DATA'!$A:$E,5,FALSE)</f>
        <v>GAMBOA, ELGIE F.</v>
      </c>
      <c r="K47" s="27"/>
      <c r="L47" s="49"/>
      <c r="M47" s="47"/>
      <c r="N47" s="27"/>
      <c r="O47" s="3">
        <v>39</v>
      </c>
      <c r="P47" s="3" t="str">
        <f>VLOOKUP(O47,'MASTER DATA'!$A:$E,5,FALSE)</f>
        <v>TORIO, MARLON P.</v>
      </c>
      <c r="Q47" s="27"/>
      <c r="R47" s="49"/>
    </row>
    <row r="48" spans="1:20">
      <c r="A48" s="47"/>
      <c r="B48" s="27"/>
      <c r="C48" s="3"/>
      <c r="D48" s="3" t="str">
        <f>VLOOKUP(C47,'MASTER DATA'!$A:$F,6,FALSE)</f>
        <v>GSS</v>
      </c>
      <c r="E48" s="27"/>
      <c r="F48" s="49"/>
      <c r="G48" s="47"/>
      <c r="H48" s="27"/>
      <c r="J48" s="3" t="str">
        <f>VLOOKUP(I47,'MASTER DATA'!$A:$F,6,FALSE)</f>
        <v>GSS</v>
      </c>
      <c r="K48" s="27"/>
      <c r="L48" s="49"/>
      <c r="M48" s="47"/>
      <c r="N48" s="27"/>
      <c r="O48" s="3"/>
      <c r="P48" s="3" t="str">
        <f>VLOOKUP(O47,'MASTER DATA'!$A:$F,6,FALSE)</f>
        <v>GSS</v>
      </c>
      <c r="Q48" s="27"/>
      <c r="R48" s="49"/>
    </row>
    <row r="49" spans="1:18">
      <c r="A49" s="47"/>
      <c r="B49" s="27"/>
      <c r="D49" s="29" t="str">
        <f>VLOOKUP(C47,'MASTER DATA'!$A:$G,7,FALSE)</f>
        <v>Administrative Asst. I</v>
      </c>
      <c r="E49" s="27"/>
      <c r="F49" s="49"/>
      <c r="G49" s="47"/>
      <c r="H49" s="27"/>
      <c r="J49" s="29" t="str">
        <f>VLOOKUP(I47,'MASTER DATA'!$A:$G,7,FALSE)</f>
        <v>Administrative Asst. I</v>
      </c>
      <c r="K49" s="27"/>
      <c r="L49" s="49"/>
      <c r="M49" s="47"/>
      <c r="N49" s="27"/>
      <c r="O49" s="3"/>
      <c r="P49" s="29" t="str">
        <f>VLOOKUP(O47,'MASTER DATA'!$A:$G,7,FALSE)</f>
        <v>Administrative Asst. I (Bus Driver)</v>
      </c>
      <c r="Q49" s="27"/>
      <c r="R49" s="49"/>
    </row>
    <row r="50" spans="1:18">
      <c r="A50" s="47"/>
      <c r="B50" s="27"/>
      <c r="D50" s="27" t="s">
        <v>4</v>
      </c>
      <c r="E50" s="30">
        <f>SUMIF('MASTER DATA'!$A:$A,GSS!C47,'MASTER DATA'!$N:$N)</f>
        <v>9310</v>
      </c>
      <c r="F50" s="50"/>
      <c r="G50" s="47"/>
      <c r="H50" s="27"/>
      <c r="J50" s="27" t="s">
        <v>4</v>
      </c>
      <c r="K50" s="30">
        <f>SUMIF('MASTER DATA'!$A:$A,GSS!I47,'MASTER DATA'!$N:$N)</f>
        <v>9310</v>
      </c>
      <c r="L50" s="50"/>
      <c r="M50" s="47"/>
      <c r="N50" s="27"/>
      <c r="O50" s="3"/>
      <c r="P50" s="27" t="s">
        <v>4</v>
      </c>
      <c r="Q50" s="30">
        <f>SUMIF('MASTER DATA'!$A:$A,GSS!O47,'MASTER DATA'!$N:$N)</f>
        <v>9310</v>
      </c>
      <c r="R50" s="50"/>
    </row>
    <row r="51" spans="1:18" ht="17.25">
      <c r="A51" s="47"/>
      <c r="B51" s="27"/>
      <c r="D51" s="27"/>
      <c r="E51" s="37"/>
      <c r="F51" s="51"/>
      <c r="G51" s="59"/>
      <c r="H51" s="39"/>
      <c r="I51" s="38"/>
      <c r="J51" s="27"/>
      <c r="K51" s="37"/>
      <c r="L51" s="51"/>
      <c r="M51" s="59"/>
      <c r="N51" s="39"/>
      <c r="O51" s="38"/>
      <c r="P51" s="27"/>
      <c r="Q51" s="37"/>
      <c r="R51" s="51"/>
    </row>
    <row r="52" spans="1:18">
      <c r="A52" s="47"/>
      <c r="B52" s="27"/>
      <c r="D52" s="27"/>
      <c r="E52" s="30"/>
      <c r="F52" s="50"/>
      <c r="G52" s="59"/>
      <c r="H52" s="39"/>
      <c r="I52" s="38"/>
      <c r="J52" s="27"/>
      <c r="K52" s="30"/>
      <c r="L52" s="50"/>
      <c r="M52" s="59"/>
      <c r="N52" s="39"/>
      <c r="O52" s="38"/>
      <c r="P52" s="27"/>
      <c r="Q52" s="30"/>
      <c r="R52" s="50"/>
    </row>
    <row r="53" spans="1:18" ht="17.25">
      <c r="A53" s="47"/>
      <c r="B53" s="27"/>
      <c r="D53" s="27"/>
      <c r="E53" s="37"/>
      <c r="F53" s="51"/>
      <c r="G53" s="59"/>
      <c r="H53" s="39"/>
      <c r="I53" s="38"/>
      <c r="J53" s="27"/>
      <c r="K53" s="37"/>
      <c r="L53" s="51"/>
      <c r="M53" s="59"/>
      <c r="N53" s="39"/>
      <c r="O53" s="38"/>
      <c r="P53" s="27"/>
      <c r="Q53" s="37"/>
      <c r="R53" s="51"/>
    </row>
    <row r="54" spans="1:18">
      <c r="A54" s="47"/>
      <c r="B54" s="27"/>
      <c r="D54" s="39" t="s">
        <v>5</v>
      </c>
      <c r="E54" s="40" t="s">
        <v>6</v>
      </c>
      <c r="F54" s="52"/>
      <c r="G54" s="47"/>
      <c r="H54" s="27"/>
      <c r="J54" s="39" t="s">
        <v>5</v>
      </c>
      <c r="K54" s="40" t="s">
        <v>6</v>
      </c>
      <c r="L54" s="52"/>
      <c r="M54" s="47"/>
      <c r="N54" s="27"/>
      <c r="O54" s="3"/>
      <c r="P54" s="39" t="s">
        <v>5</v>
      </c>
      <c r="Q54" s="40" t="s">
        <v>6</v>
      </c>
      <c r="R54" s="52"/>
    </row>
    <row r="55" spans="1:18">
      <c r="A55" s="47"/>
      <c r="B55" s="27"/>
      <c r="D55" s="27"/>
      <c r="E55" s="27"/>
      <c r="F55" s="49"/>
      <c r="G55" s="60"/>
      <c r="H55" s="30"/>
      <c r="I55" s="28"/>
      <c r="J55" s="27"/>
      <c r="K55" s="27"/>
      <c r="L55" s="49"/>
      <c r="M55" s="60"/>
      <c r="N55" s="30"/>
      <c r="O55" s="28"/>
      <c r="P55" s="27"/>
      <c r="Q55" s="27"/>
      <c r="R55" s="49"/>
    </row>
    <row r="56" spans="1:18">
      <c r="A56" s="47"/>
      <c r="B56" s="27"/>
      <c r="D56" s="30" t="s">
        <v>7</v>
      </c>
      <c r="E56" s="30">
        <f>SUMIF('MASTER DATA'!$A:$A,GSS!C47,'MASTER DATA'!$AL:$AL)</f>
        <v>0</v>
      </c>
      <c r="F56" s="50"/>
      <c r="G56" s="60"/>
      <c r="H56" s="30"/>
      <c r="I56" s="28"/>
      <c r="J56" s="30" t="s">
        <v>7</v>
      </c>
      <c r="K56" s="30">
        <f>SUMIF('MASTER DATA'!$A:$A,GSS!I47,'MASTER DATA'!$AL:$AL)</f>
        <v>2539.09</v>
      </c>
      <c r="L56" s="50"/>
      <c r="M56" s="60"/>
      <c r="N56" s="30"/>
      <c r="O56" s="28"/>
      <c r="P56" s="30" t="s">
        <v>7</v>
      </c>
      <c r="Q56" s="30">
        <f>SUMIF('MASTER DATA'!$A:$A,GSS!O47,'MASTER DATA'!$AL:$AL)</f>
        <v>0</v>
      </c>
      <c r="R56" s="50"/>
    </row>
    <row r="57" spans="1:18">
      <c r="A57" s="47"/>
      <c r="B57" s="27"/>
      <c r="D57" s="31" t="s">
        <v>8</v>
      </c>
      <c r="E57" s="30">
        <f>SUMIF('MASTER DATA'!$A:$A,GSS!C47,'MASTER DATA'!$AM:$AM)+SUMIF('MASTER DATA'!$A:$A,GSS!C47,'MASTER DATA'!$AN:$AN)</f>
        <v>0</v>
      </c>
      <c r="F57" s="50"/>
      <c r="G57" s="60"/>
      <c r="H57" s="30"/>
      <c r="I57" s="28"/>
      <c r="J57" s="31" t="s">
        <v>8</v>
      </c>
      <c r="K57" s="30">
        <f>SUMIF('MASTER DATA'!$A:$A,GSS!I47,'MASTER DATA'!$AM:$AM)+SUMIF('MASTER DATA'!$A:$A,GSS!I47,'MASTER DATA'!$AN:$AN)</f>
        <v>0</v>
      </c>
      <c r="L57" s="50"/>
      <c r="M57" s="60"/>
      <c r="N57" s="30"/>
      <c r="O57" s="28"/>
      <c r="P57" s="31" t="s">
        <v>8</v>
      </c>
      <c r="Q57" s="30">
        <f>SUMIF('MASTER DATA'!$A:$A,GSS!O47,'MASTER DATA'!$AM:$AM)+SUMIF('MASTER DATA'!$A:$A,GSS!O47,'MASTER DATA'!$AN:$AN)</f>
        <v>0</v>
      </c>
      <c r="R57" s="50"/>
    </row>
    <row r="58" spans="1:18">
      <c r="A58" s="47"/>
      <c r="B58" s="27"/>
      <c r="D58" s="30" t="s">
        <v>9</v>
      </c>
      <c r="E58" s="32">
        <f>SUMIF('MASTER DATA'!$A:$A,GSS!C47,'MASTER DATA'!$AP:$AP)</f>
        <v>0</v>
      </c>
      <c r="F58" s="50"/>
      <c r="G58" s="60"/>
      <c r="H58" s="30"/>
      <c r="I58" s="28"/>
      <c r="J58" s="30" t="s">
        <v>9</v>
      </c>
      <c r="K58" s="32">
        <f>SUMIF('MASTER DATA'!$A:$A,GSS!I47,'MASTER DATA'!$AP:$AP)</f>
        <v>0</v>
      </c>
      <c r="L58" s="50"/>
      <c r="M58" s="60"/>
      <c r="N58" s="30"/>
      <c r="O58" s="28"/>
      <c r="P58" s="30" t="s">
        <v>9</v>
      </c>
      <c r="Q58" s="32">
        <f>SUMIF('MASTER DATA'!$A:$A,GSS!O47,'MASTER DATA'!$AP:$AP)</f>
        <v>0</v>
      </c>
      <c r="R58" s="50"/>
    </row>
    <row r="59" spans="1:18">
      <c r="A59" s="47"/>
      <c r="B59" s="27"/>
      <c r="D59" s="30" t="s">
        <v>10</v>
      </c>
      <c r="E59" s="30">
        <f>SUM(E56:E58)</f>
        <v>0</v>
      </c>
      <c r="F59" s="50"/>
      <c r="G59" s="60"/>
      <c r="H59" s="30"/>
      <c r="I59" s="28"/>
      <c r="J59" s="30" t="s">
        <v>10</v>
      </c>
      <c r="K59" s="30">
        <f>SUM(K56:K58)</f>
        <v>2539.09</v>
      </c>
      <c r="L59" s="50"/>
      <c r="M59" s="60"/>
      <c r="N59" s="30"/>
      <c r="O59" s="28"/>
      <c r="P59" s="30" t="s">
        <v>10</v>
      </c>
      <c r="Q59" s="30">
        <f>SUM(Q56:Q58)</f>
        <v>0</v>
      </c>
      <c r="R59" s="50"/>
    </row>
    <row r="60" spans="1:18">
      <c r="A60" s="47"/>
      <c r="B60" s="27"/>
      <c r="D60" s="30"/>
      <c r="E60" s="30"/>
      <c r="F60" s="50"/>
      <c r="G60" s="60"/>
      <c r="H60" s="30"/>
      <c r="I60" s="28"/>
      <c r="J60" s="30"/>
      <c r="K60" s="30"/>
      <c r="L60" s="50"/>
      <c r="M60" s="60"/>
      <c r="N60" s="30"/>
      <c r="O60" s="28"/>
      <c r="P60" s="30"/>
      <c r="Q60" s="30"/>
      <c r="R60" s="50"/>
    </row>
    <row r="61" spans="1:18">
      <c r="A61" s="47"/>
      <c r="B61" s="27"/>
      <c r="D61" s="30" t="s">
        <v>12</v>
      </c>
      <c r="E61" s="30">
        <f>E50-E59</f>
        <v>9310</v>
      </c>
      <c r="F61" s="50"/>
      <c r="G61" s="60"/>
      <c r="H61" s="30"/>
      <c r="I61" s="28"/>
      <c r="J61" s="30" t="s">
        <v>12</v>
      </c>
      <c r="K61" s="30">
        <f>K50-K59</f>
        <v>6770.91</v>
      </c>
      <c r="L61" s="50"/>
      <c r="M61" s="60"/>
      <c r="N61" s="30"/>
      <c r="O61" s="28"/>
      <c r="P61" s="30" t="s">
        <v>12</v>
      </c>
      <c r="Q61" s="30">
        <f>Q50-Q59</f>
        <v>9310</v>
      </c>
      <c r="R61" s="50"/>
    </row>
    <row r="62" spans="1:18">
      <c r="A62" s="47"/>
      <c r="B62" s="27"/>
      <c r="D62" s="30" t="s">
        <v>13</v>
      </c>
      <c r="E62" s="30"/>
      <c r="F62" s="50"/>
      <c r="G62" s="60"/>
      <c r="H62" s="30"/>
      <c r="I62" s="28"/>
      <c r="J62" s="30" t="s">
        <v>13</v>
      </c>
      <c r="K62" s="30"/>
      <c r="L62" s="50"/>
      <c r="M62" s="60"/>
      <c r="N62" s="30"/>
      <c r="O62" s="28"/>
      <c r="P62" s="30" t="s">
        <v>13</v>
      </c>
      <c r="Q62" s="30"/>
      <c r="R62" s="50"/>
    </row>
    <row r="63" spans="1:18">
      <c r="A63" s="47"/>
      <c r="B63" s="27"/>
      <c r="D63" s="30" t="s">
        <v>14</v>
      </c>
      <c r="E63" s="30">
        <f>SUMIF('MASTER DATA'!$A:$A,GSS!C47,'MASTER DATA'!$AS:$AS)</f>
        <v>0</v>
      </c>
      <c r="F63" s="50"/>
      <c r="G63" s="60"/>
      <c r="H63" s="30"/>
      <c r="I63" s="28"/>
      <c r="J63" s="30" t="s">
        <v>14</v>
      </c>
      <c r="K63" s="30">
        <f>SUMIF('MASTER DATA'!$A:$A,GSS!I47,'MASTER DATA'!$AS:$AS)</f>
        <v>0</v>
      </c>
      <c r="L63" s="50"/>
      <c r="M63" s="60"/>
      <c r="N63" s="30"/>
      <c r="O63" s="28"/>
      <c r="P63" s="30" t="s">
        <v>14</v>
      </c>
      <c r="Q63" s="30">
        <f>SUMIF('MASTER DATA'!$A:$A,GSS!O47,'MASTER DATA'!$AS:$AS)</f>
        <v>0</v>
      </c>
      <c r="R63" s="50"/>
    </row>
    <row r="64" spans="1:18">
      <c r="A64" s="47"/>
      <c r="B64" s="27"/>
      <c r="D64" s="69" t="s">
        <v>160</v>
      </c>
      <c r="E64" s="30">
        <f>SUMIF('MASTER DATA'!$A:$A,GSS!C47,'MASTER DATA'!$AT:$AT)</f>
        <v>0</v>
      </c>
      <c r="F64" s="50"/>
      <c r="G64" s="60"/>
      <c r="H64" s="30"/>
      <c r="I64" s="28"/>
      <c r="J64" s="69" t="s">
        <v>160</v>
      </c>
      <c r="K64" s="30">
        <f>SUMIF('MASTER DATA'!$A:$A,GSS!I47,'MASTER DATA'!$AT:$AT)</f>
        <v>0</v>
      </c>
      <c r="L64" s="50"/>
      <c r="M64" s="60"/>
      <c r="N64" s="30"/>
      <c r="O64" s="28"/>
      <c r="P64" s="69" t="s">
        <v>160</v>
      </c>
      <c r="Q64" s="30">
        <f>SUMIF('MASTER DATA'!$A:$A,GSS!O47,'MASTER DATA'!$AT:$AT)</f>
        <v>0</v>
      </c>
      <c r="R64" s="50"/>
    </row>
    <row r="65" spans="1:18">
      <c r="A65" s="47"/>
      <c r="B65" s="27"/>
      <c r="D65" s="30" t="s">
        <v>15</v>
      </c>
      <c r="E65" s="30">
        <f>SUMIF('MASTER DATA'!$A:$A,GSS!C47,'MASTER DATA'!$AU:$AU)</f>
        <v>0</v>
      </c>
      <c r="F65" s="50"/>
      <c r="G65" s="60"/>
      <c r="H65" s="30"/>
      <c r="I65" s="28"/>
      <c r="J65" s="30" t="s">
        <v>15</v>
      </c>
      <c r="K65" s="30">
        <f>SUMIF('MASTER DATA'!$A:$A,GSS!I47,'MASTER DATA'!$AU:$AU)</f>
        <v>0</v>
      </c>
      <c r="L65" s="50"/>
      <c r="M65" s="60"/>
      <c r="N65" s="30"/>
      <c r="O65" s="28"/>
      <c r="P65" s="30" t="s">
        <v>15</v>
      </c>
      <c r="Q65" s="30">
        <f>SUMIF('MASTER DATA'!$A:$A,GSS!O47,'MASTER DATA'!$AU:$AU)</f>
        <v>0</v>
      </c>
      <c r="R65" s="50"/>
    </row>
    <row r="66" spans="1:18">
      <c r="A66" s="47"/>
      <c r="B66" s="27"/>
      <c r="D66" s="30" t="s">
        <v>19</v>
      </c>
      <c r="E66" s="30">
        <f>SUMIF('MASTER DATA'!$A:$A,GSS!C47,'MASTER DATA'!$AV:$AV)</f>
        <v>0</v>
      </c>
      <c r="F66" s="50"/>
      <c r="G66" s="60"/>
      <c r="H66" s="30"/>
      <c r="I66" s="28"/>
      <c r="J66" s="30" t="s">
        <v>19</v>
      </c>
      <c r="K66" s="30">
        <f>SUMIF('MASTER DATA'!$A:$A,GSS!I47,'MASTER DATA'!$AV:$AV)</f>
        <v>0</v>
      </c>
      <c r="L66" s="50"/>
      <c r="M66" s="60"/>
      <c r="N66" s="30"/>
      <c r="O66" s="28"/>
      <c r="P66" s="30" t="s">
        <v>19</v>
      </c>
      <c r="Q66" s="30">
        <f>SUMIF('MASTER DATA'!$A:$A,GSS!O47,'MASTER DATA'!$AV:$AV)</f>
        <v>0</v>
      </c>
      <c r="R66" s="50"/>
    </row>
    <row r="67" spans="1:18">
      <c r="A67" s="47"/>
      <c r="B67" s="27"/>
      <c r="D67" s="30" t="s">
        <v>20</v>
      </c>
      <c r="E67" s="30">
        <f>SUMIF('MASTER DATA'!$A:$A,GSS!C47,'MASTER DATA'!$AW:$AW)</f>
        <v>0</v>
      </c>
      <c r="F67" s="50"/>
      <c r="G67" s="60"/>
      <c r="H67" s="30"/>
      <c r="I67" s="28"/>
      <c r="J67" s="30" t="s">
        <v>20</v>
      </c>
      <c r="K67" s="30">
        <f>SUMIF('MASTER DATA'!$A:$A,GSS!I47,'MASTER DATA'!$AW:$AW)</f>
        <v>0</v>
      </c>
      <c r="L67" s="50"/>
      <c r="M67" s="60"/>
      <c r="N67" s="30"/>
      <c r="O67" s="28"/>
      <c r="P67" s="30" t="s">
        <v>20</v>
      </c>
      <c r="Q67" s="30">
        <f>SUMIF('MASTER DATA'!$A:$A,GSS!O47,'MASTER DATA'!$AW:$AW)</f>
        <v>0</v>
      </c>
      <c r="R67" s="50"/>
    </row>
    <row r="68" spans="1:18">
      <c r="A68" s="47"/>
      <c r="B68" s="27"/>
      <c r="D68" s="30" t="s">
        <v>23</v>
      </c>
      <c r="E68" s="30">
        <f>SUMIF('MASTER DATA'!$A:$A,GSS!C47,'MASTER DATA'!$AX:$AX)</f>
        <v>0</v>
      </c>
      <c r="F68" s="50"/>
      <c r="G68" s="60"/>
      <c r="H68" s="30"/>
      <c r="I68" s="28"/>
      <c r="J68" s="30" t="s">
        <v>23</v>
      </c>
      <c r="K68" s="30">
        <f>SUMIF('MASTER DATA'!$A:$A,GSS!I47,'MASTER DATA'!$AX:$AX)</f>
        <v>0</v>
      </c>
      <c r="L68" s="50"/>
      <c r="M68" s="60"/>
      <c r="N68" s="30"/>
      <c r="O68" s="28"/>
      <c r="P68" s="30" t="s">
        <v>23</v>
      </c>
      <c r="Q68" s="30">
        <f>SUMIF('MASTER DATA'!$A:$A,GSS!O47,'MASTER DATA'!$AX:$AX)</f>
        <v>0</v>
      </c>
      <c r="R68" s="50"/>
    </row>
    <row r="69" spans="1:18" ht="16.5" thickBot="1">
      <c r="A69" s="47"/>
      <c r="B69" s="27"/>
      <c r="D69" s="28" t="s">
        <v>16</v>
      </c>
      <c r="E69" s="33">
        <f>E61-SUM(E62:E68)</f>
        <v>9310</v>
      </c>
      <c r="F69" s="53"/>
      <c r="G69" s="60"/>
      <c r="H69" s="30"/>
      <c r="I69" s="28"/>
      <c r="J69" s="28" t="s">
        <v>16</v>
      </c>
      <c r="K69" s="33">
        <f>K61-SUM(K62:K68)</f>
        <v>6770.91</v>
      </c>
      <c r="L69" s="53"/>
      <c r="M69" s="60"/>
      <c r="N69" s="30"/>
      <c r="O69" s="28"/>
      <c r="P69" s="28" t="s">
        <v>16</v>
      </c>
      <c r="Q69" s="33">
        <f>Q61-SUM(Q62:Q68)</f>
        <v>9310</v>
      </c>
      <c r="R69" s="53"/>
    </row>
    <row r="70" spans="1:18" ht="16.5" thickTop="1">
      <c r="A70" s="47"/>
      <c r="B70" s="27"/>
      <c r="D70" s="30"/>
      <c r="E70" s="30"/>
      <c r="F70" s="50"/>
      <c r="G70" s="60"/>
      <c r="H70" s="30"/>
      <c r="I70" s="28"/>
      <c r="J70" s="30"/>
      <c r="K70" s="30"/>
      <c r="L70" s="50"/>
      <c r="M70" s="60"/>
      <c r="N70" s="30"/>
      <c r="O70" s="28"/>
      <c r="P70" s="30"/>
      <c r="Q70" s="30"/>
      <c r="R70" s="50"/>
    </row>
    <row r="71" spans="1:18" ht="60">
      <c r="A71" s="47"/>
      <c r="B71" s="27"/>
      <c r="D71" s="66"/>
      <c r="E71" s="27"/>
      <c r="F71" s="49"/>
      <c r="G71" s="47"/>
      <c r="H71" s="27"/>
      <c r="J71" s="88" t="s">
        <v>318</v>
      </c>
      <c r="K71" s="27"/>
      <c r="L71" s="49"/>
      <c r="M71" s="47"/>
      <c r="N71" s="27"/>
      <c r="O71" s="3"/>
      <c r="P71" s="88"/>
      <c r="Q71" s="27"/>
      <c r="R71" s="49"/>
    </row>
    <row r="72" spans="1:18" ht="17.25" customHeight="1" thickBot="1">
      <c r="A72" s="54"/>
      <c r="B72" s="55"/>
      <c r="C72" s="55"/>
      <c r="D72" s="55"/>
      <c r="E72" s="55"/>
      <c r="F72" s="56"/>
      <c r="G72" s="54"/>
      <c r="H72" s="55"/>
      <c r="I72" s="61"/>
      <c r="J72" s="55"/>
      <c r="K72" s="55"/>
      <c r="L72" s="56"/>
      <c r="M72" s="54"/>
      <c r="N72" s="55"/>
      <c r="O72" s="61"/>
      <c r="P72" s="77"/>
      <c r="Q72" s="55"/>
      <c r="R72" s="56"/>
    </row>
    <row r="73" spans="1:18">
      <c r="A73" s="78"/>
      <c r="B73" s="71"/>
      <c r="C73" s="80"/>
      <c r="D73" s="71"/>
      <c r="E73" s="71"/>
      <c r="F73" s="79" t="s">
        <v>235</v>
      </c>
      <c r="G73" s="78"/>
      <c r="H73" s="71"/>
      <c r="I73" s="80"/>
      <c r="J73" s="71"/>
      <c r="K73" s="71"/>
      <c r="L73" s="79" t="s">
        <v>235</v>
      </c>
    </row>
    <row r="74" spans="1:18" ht="18">
      <c r="A74" s="44"/>
      <c r="B74" s="34"/>
      <c r="C74" s="36"/>
      <c r="D74" s="34"/>
      <c r="E74" s="34"/>
      <c r="F74" s="45"/>
      <c r="G74" s="44"/>
      <c r="H74" s="34"/>
      <c r="I74" s="36"/>
      <c r="J74" s="34"/>
      <c r="K74" s="34"/>
      <c r="L74" s="45"/>
      <c r="P74" s="13">
        <f>E33+K33+Q33+E69+K69</f>
        <v>43610.22</v>
      </c>
    </row>
    <row r="75" spans="1:18" ht="18">
      <c r="A75" s="44"/>
      <c r="B75" s="34"/>
      <c r="C75" s="36"/>
      <c r="D75" s="35" t="s">
        <v>0</v>
      </c>
      <c r="E75" s="36"/>
      <c r="F75" s="46"/>
      <c r="G75" s="44"/>
      <c r="H75" s="34"/>
      <c r="I75" s="36"/>
      <c r="J75" s="35" t="s">
        <v>0</v>
      </c>
      <c r="K75" s="36"/>
      <c r="L75" s="46"/>
    </row>
    <row r="76" spans="1:18" ht="18">
      <c r="A76" s="44"/>
      <c r="B76" s="34"/>
      <c r="C76" s="36"/>
      <c r="D76" s="35" t="s">
        <v>1</v>
      </c>
      <c r="E76" s="36"/>
      <c r="F76" s="46"/>
      <c r="G76" s="44"/>
      <c r="H76" s="34"/>
      <c r="I76" s="36"/>
      <c r="J76" s="35" t="s">
        <v>1</v>
      </c>
      <c r="K76" s="36"/>
      <c r="L76" s="46"/>
    </row>
    <row r="77" spans="1:18" ht="18">
      <c r="A77" s="44"/>
      <c r="B77" s="34"/>
      <c r="C77" s="36"/>
      <c r="D77" s="35" t="s">
        <v>162</v>
      </c>
      <c r="E77" s="36"/>
      <c r="F77" s="46"/>
      <c r="G77" s="44"/>
      <c r="H77" s="34"/>
      <c r="I77" s="36"/>
      <c r="J77" s="35" t="s">
        <v>162</v>
      </c>
      <c r="K77" s="36"/>
      <c r="L77" s="46"/>
    </row>
    <row r="78" spans="1:18" ht="18">
      <c r="A78" s="44"/>
      <c r="B78" s="34"/>
      <c r="C78" s="36"/>
      <c r="D78" s="34"/>
      <c r="E78" s="34"/>
      <c r="F78" s="45"/>
      <c r="G78" s="44"/>
      <c r="H78" s="34"/>
      <c r="I78" s="36"/>
      <c r="J78" s="34"/>
      <c r="K78" s="34"/>
      <c r="L78" s="45"/>
    </row>
    <row r="79" spans="1:18" ht="18">
      <c r="A79" s="44"/>
      <c r="B79" s="34"/>
      <c r="C79" s="36"/>
      <c r="D79" s="34"/>
      <c r="E79" s="34"/>
      <c r="F79" s="45"/>
      <c r="G79" s="44"/>
      <c r="H79" s="34"/>
      <c r="I79" s="36"/>
      <c r="J79" s="34"/>
      <c r="K79" s="34"/>
      <c r="L79" s="45"/>
    </row>
    <row r="80" spans="1:18">
      <c r="A80" s="47"/>
      <c r="B80" s="27"/>
      <c r="C80" s="3"/>
      <c r="D80" s="3" t="s">
        <v>3</v>
      </c>
      <c r="E80" s="3"/>
      <c r="F80" s="48"/>
      <c r="G80" s="47"/>
      <c r="H80" s="27"/>
      <c r="J80" s="3" t="s">
        <v>3</v>
      </c>
      <c r="K80" s="3"/>
      <c r="L80" s="48"/>
    </row>
    <row r="81" spans="1:12">
      <c r="A81" s="58"/>
      <c r="B81" s="3"/>
      <c r="C81" s="3"/>
      <c r="D81" s="27" t="str">
        <f>D45</f>
        <v>FEB 16-28, 2026</v>
      </c>
      <c r="E81" s="27"/>
      <c r="F81" s="49"/>
      <c r="G81" s="58"/>
      <c r="H81" s="3"/>
      <c r="J81" s="27" t="str">
        <f>J45</f>
        <v>FEB 16-28, 2026</v>
      </c>
      <c r="K81" s="27"/>
      <c r="L81" s="49"/>
    </row>
    <row r="82" spans="1:12">
      <c r="A82" s="47"/>
      <c r="B82" s="27"/>
      <c r="C82" s="3"/>
      <c r="D82" s="3"/>
      <c r="E82" s="27"/>
      <c r="F82" s="49"/>
      <c r="G82" s="47"/>
      <c r="H82" s="27"/>
      <c r="J82" s="3"/>
      <c r="K82" s="27"/>
      <c r="L82" s="49"/>
    </row>
    <row r="83" spans="1:12">
      <c r="A83" s="47"/>
      <c r="B83" s="27"/>
      <c r="C83" s="3">
        <v>40</v>
      </c>
      <c r="D83" s="3" t="str">
        <f>VLOOKUP(C83,'MASTER DATA'!$A:$E,5,FALSE)</f>
        <v>NAMOCA, SANTIAGO J.</v>
      </c>
      <c r="E83" s="27"/>
      <c r="F83" s="49"/>
      <c r="G83" s="47"/>
      <c r="H83" s="27"/>
      <c r="I83" s="3">
        <v>41</v>
      </c>
      <c r="J83" s="3" t="str">
        <f>VLOOKUP(I83,'MASTER DATA'!$A:$E,5,FALSE)</f>
        <v xml:space="preserve">GUTIERREZ, DACHIEL P.  </v>
      </c>
      <c r="K83" s="27"/>
      <c r="L83" s="49"/>
    </row>
    <row r="84" spans="1:12">
      <c r="A84" s="47"/>
      <c r="B84" s="27"/>
      <c r="C84" s="3"/>
      <c r="D84" s="3" t="str">
        <f>VLOOKUP(C83,'MASTER DATA'!$A:$F,6,FALSE)</f>
        <v>GSS</v>
      </c>
      <c r="E84" s="27"/>
      <c r="F84" s="49"/>
      <c r="G84" s="47"/>
      <c r="H84" s="27"/>
      <c r="J84" s="3" t="str">
        <f>VLOOKUP(I83,'MASTER DATA'!$A:$F,6,FALSE)</f>
        <v>GSS</v>
      </c>
      <c r="K84" s="27"/>
      <c r="L84" s="49"/>
    </row>
    <row r="85" spans="1:12">
      <c r="A85" s="47"/>
      <c r="B85" s="27"/>
      <c r="C85" s="3"/>
      <c r="D85" s="29" t="str">
        <f>VLOOKUP(C83,'MASTER DATA'!$A:$G,7,FALSE)</f>
        <v>Administrative Asst. I (Bus Driver)</v>
      </c>
      <c r="E85" s="27"/>
      <c r="F85" s="49"/>
      <c r="G85" s="47"/>
      <c r="H85" s="27"/>
      <c r="J85" s="29" t="str">
        <f>VLOOKUP(I83,'MASTER DATA'!$A:$G,7,FALSE)</f>
        <v>Administrative Asst. I (Bus Driver)</v>
      </c>
      <c r="K85" s="27"/>
      <c r="L85" s="49"/>
    </row>
    <row r="86" spans="1:12">
      <c r="A86" s="47"/>
      <c r="B86" s="27"/>
      <c r="C86" s="3"/>
      <c r="D86" s="27" t="s">
        <v>4</v>
      </c>
      <c r="E86" s="30">
        <f>SUMIF('MASTER DATA'!$A:$A,GSS!C83,'MASTER DATA'!$N:$N)</f>
        <v>9310</v>
      </c>
      <c r="F86" s="50"/>
      <c r="G86" s="47"/>
      <c r="H86" s="27"/>
      <c r="J86" s="27" t="s">
        <v>4</v>
      </c>
      <c r="K86" s="30">
        <f>SUMIF('MASTER DATA'!$A:$A,GSS!I83,'MASTER DATA'!$N:$N)</f>
        <v>9310</v>
      </c>
      <c r="L86" s="50"/>
    </row>
    <row r="87" spans="1:12" ht="17.25">
      <c r="A87" s="59"/>
      <c r="B87" s="39"/>
      <c r="C87" s="38"/>
      <c r="D87" s="27"/>
      <c r="E87" s="37"/>
      <c r="F87" s="51"/>
      <c r="G87" s="59"/>
      <c r="H87" s="39"/>
      <c r="I87" s="38"/>
      <c r="J87" s="27"/>
      <c r="K87" s="37"/>
      <c r="L87" s="51"/>
    </row>
    <row r="88" spans="1:12">
      <c r="A88" s="59"/>
      <c r="B88" s="39"/>
      <c r="C88" s="38"/>
      <c r="D88" s="27"/>
      <c r="E88" s="30"/>
      <c r="F88" s="50"/>
      <c r="G88" s="59"/>
      <c r="H88" s="39"/>
      <c r="I88" s="38"/>
      <c r="J88" s="27"/>
      <c r="K88" s="30"/>
      <c r="L88" s="50"/>
    </row>
    <row r="89" spans="1:12" ht="17.25">
      <c r="A89" s="59"/>
      <c r="B89" s="39"/>
      <c r="C89" s="38"/>
      <c r="D89" s="27"/>
      <c r="E89" s="37"/>
      <c r="F89" s="51"/>
      <c r="G89" s="59"/>
      <c r="H89" s="39"/>
      <c r="I89" s="38"/>
      <c r="J89" s="27"/>
      <c r="K89" s="37"/>
      <c r="L89" s="51"/>
    </row>
    <row r="90" spans="1:12">
      <c r="A90" s="47"/>
      <c r="B90" s="27"/>
      <c r="C90" s="3"/>
      <c r="D90" s="39" t="s">
        <v>5</v>
      </c>
      <c r="E90" s="40" t="s">
        <v>6</v>
      </c>
      <c r="F90" s="52"/>
      <c r="G90" s="47"/>
      <c r="H90" s="27"/>
      <c r="J90" s="39" t="s">
        <v>5</v>
      </c>
      <c r="K90" s="40" t="s">
        <v>6</v>
      </c>
      <c r="L90" s="52"/>
    </row>
    <row r="91" spans="1:12">
      <c r="A91" s="60"/>
      <c r="B91" s="30"/>
      <c r="C91" s="28"/>
      <c r="D91" s="27"/>
      <c r="E91" s="27"/>
      <c r="F91" s="49"/>
      <c r="G91" s="60"/>
      <c r="H91" s="30"/>
      <c r="I91" s="28"/>
      <c r="J91" s="27"/>
      <c r="K91" s="27"/>
      <c r="L91" s="49"/>
    </row>
    <row r="92" spans="1:12">
      <c r="A92" s="60"/>
      <c r="B92" s="30"/>
      <c r="C92" s="28"/>
      <c r="D92" s="30" t="s">
        <v>7</v>
      </c>
      <c r="E92" s="30">
        <f>SUMIF('MASTER DATA'!$A:$A,GSS!C83,'MASTER DATA'!$AL:$AL)</f>
        <v>0</v>
      </c>
      <c r="F92" s="50"/>
      <c r="G92" s="60"/>
      <c r="H92" s="30"/>
      <c r="I92" s="28"/>
      <c r="J92" s="30" t="s">
        <v>7</v>
      </c>
      <c r="K92" s="30">
        <f>SUMIF('MASTER DATA'!$A:$A,GSS!I83,'MASTER DATA'!$AL:$AL)</f>
        <v>0</v>
      </c>
      <c r="L92" s="50"/>
    </row>
    <row r="93" spans="1:12">
      <c r="A93" s="60"/>
      <c r="B93" s="30"/>
      <c r="C93" s="28"/>
      <c r="D93" s="31" t="s">
        <v>8</v>
      </c>
      <c r="E93" s="30">
        <f>SUMIF('MASTER DATA'!$A:$A,GSS!C83,'MASTER DATA'!$AM:$AM)+SUMIF('MASTER DATA'!$A:$A,GSS!C83,'MASTER DATA'!$AN:$AN)</f>
        <v>0</v>
      </c>
      <c r="F93" s="50"/>
      <c r="G93" s="60"/>
      <c r="H93" s="30"/>
      <c r="I93" s="28"/>
      <c r="J93" s="31" t="s">
        <v>8</v>
      </c>
      <c r="K93" s="30">
        <f>SUMIF('MASTER DATA'!$A:$A,GSS!I83,'MASTER DATA'!$AM:$AM)+SUMIF('MASTER DATA'!$A:$A,GSS!I83,'MASTER DATA'!$AN:$AN)</f>
        <v>40.549999999999997</v>
      </c>
      <c r="L93" s="50"/>
    </row>
    <row r="94" spans="1:12">
      <c r="A94" s="60"/>
      <c r="B94" s="30"/>
      <c r="C94" s="28"/>
      <c r="D94" s="30" t="s">
        <v>9</v>
      </c>
      <c r="E94" s="32">
        <f>SUMIF('MASTER DATA'!$A:$A,GSS!C83,'MASTER DATA'!$AP:$AP)</f>
        <v>0</v>
      </c>
      <c r="F94" s="50"/>
      <c r="G94" s="60"/>
      <c r="H94" s="30"/>
      <c r="I94" s="28"/>
      <c r="J94" s="30" t="s">
        <v>9</v>
      </c>
      <c r="K94" s="32">
        <f>SUMIF('MASTER DATA'!$A:$A,GSS!I83,'MASTER DATA'!$AP:$AP)</f>
        <v>0</v>
      </c>
      <c r="L94" s="50"/>
    </row>
    <row r="95" spans="1:12">
      <c r="A95" s="60"/>
      <c r="B95" s="30"/>
      <c r="C95" s="28"/>
      <c r="D95" s="30" t="s">
        <v>10</v>
      </c>
      <c r="E95" s="30">
        <f>SUM(E92:E94)</f>
        <v>0</v>
      </c>
      <c r="F95" s="50"/>
      <c r="G95" s="60"/>
      <c r="H95" s="30"/>
      <c r="I95" s="28"/>
      <c r="J95" s="30" t="s">
        <v>10</v>
      </c>
      <c r="K95" s="30">
        <f>SUM(K92:K94)</f>
        <v>40.549999999999997</v>
      </c>
      <c r="L95" s="50"/>
    </row>
    <row r="96" spans="1:12">
      <c r="A96" s="60"/>
      <c r="B96" s="30"/>
      <c r="C96" s="28"/>
      <c r="D96" s="30"/>
      <c r="E96" s="30"/>
      <c r="F96" s="50"/>
      <c r="G96" s="60"/>
      <c r="H96" s="30"/>
      <c r="I96" s="28"/>
      <c r="J96" s="30"/>
      <c r="K96" s="30"/>
      <c r="L96" s="50"/>
    </row>
    <row r="97" spans="1:12">
      <c r="A97" s="60"/>
      <c r="B97" s="30"/>
      <c r="C97" s="28"/>
      <c r="D97" s="30" t="s">
        <v>12</v>
      </c>
      <c r="E97" s="30">
        <f>E86-E95</f>
        <v>9310</v>
      </c>
      <c r="F97" s="50"/>
      <c r="G97" s="60"/>
      <c r="H97" s="30"/>
      <c r="I97" s="28"/>
      <c r="J97" s="30" t="s">
        <v>12</v>
      </c>
      <c r="K97" s="30">
        <f>K86-K95</f>
        <v>9269.4500000000007</v>
      </c>
      <c r="L97" s="50"/>
    </row>
    <row r="98" spans="1:12">
      <c r="A98" s="60"/>
      <c r="B98" s="30"/>
      <c r="C98" s="28"/>
      <c r="D98" s="30" t="s">
        <v>13</v>
      </c>
      <c r="E98" s="30"/>
      <c r="F98" s="50"/>
      <c r="G98" s="60"/>
      <c r="H98" s="30"/>
      <c r="I98" s="28"/>
      <c r="J98" s="30" t="s">
        <v>13</v>
      </c>
      <c r="K98" s="30"/>
      <c r="L98" s="50"/>
    </row>
    <row r="99" spans="1:12">
      <c r="A99" s="60"/>
      <c r="B99" s="30"/>
      <c r="C99" s="28"/>
      <c r="D99" s="30" t="s">
        <v>14</v>
      </c>
      <c r="E99" s="30">
        <f>SUMIF('MASTER DATA'!$A:$A,GSS!C83,'MASTER DATA'!$AS:$AS)</f>
        <v>0</v>
      </c>
      <c r="F99" s="50"/>
      <c r="G99" s="60"/>
      <c r="H99" s="30"/>
      <c r="I99" s="28"/>
      <c r="J99" s="30" t="s">
        <v>14</v>
      </c>
      <c r="K99" s="30">
        <f>SUMIF('MASTER DATA'!$A:$A,GSS!I83,'MASTER DATA'!$AS:$AS)</f>
        <v>0</v>
      </c>
      <c r="L99" s="50"/>
    </row>
    <row r="100" spans="1:12">
      <c r="A100" s="60"/>
      <c r="B100" s="30"/>
      <c r="C100" s="28"/>
      <c r="D100" s="69" t="s">
        <v>160</v>
      </c>
      <c r="E100" s="30">
        <f>SUMIF('MASTER DATA'!$A:$A,GSS!C83,'MASTER DATA'!$AT:$AT)</f>
        <v>0</v>
      </c>
      <c r="F100" s="50"/>
      <c r="G100" s="60"/>
      <c r="H100" s="30"/>
      <c r="I100" s="28"/>
      <c r="J100" s="69" t="s">
        <v>160</v>
      </c>
      <c r="K100" s="30">
        <f>SUMIF('MASTER DATA'!$A:$A,GSS!I83,'MASTER DATA'!$AT:$AT)</f>
        <v>0</v>
      </c>
      <c r="L100" s="50"/>
    </row>
    <row r="101" spans="1:12">
      <c r="A101" s="60"/>
      <c r="B101" s="30"/>
      <c r="C101" s="28"/>
      <c r="D101" s="30" t="s">
        <v>15</v>
      </c>
      <c r="E101" s="30">
        <f>SUMIF('MASTER DATA'!$A:$A,GSS!C83,'MASTER DATA'!$AU:$AU)</f>
        <v>0</v>
      </c>
      <c r="F101" s="50"/>
      <c r="G101" s="60"/>
      <c r="H101" s="30"/>
      <c r="I101" s="28"/>
      <c r="J101" s="30" t="s">
        <v>15</v>
      </c>
      <c r="K101" s="30">
        <f>SUMIF('MASTER DATA'!$A:$A,GSS!I83,'MASTER DATA'!$AU:$AU)</f>
        <v>0</v>
      </c>
      <c r="L101" s="50"/>
    </row>
    <row r="102" spans="1:12">
      <c r="A102" s="60"/>
      <c r="B102" s="30"/>
      <c r="C102" s="28"/>
      <c r="D102" s="30" t="s">
        <v>19</v>
      </c>
      <c r="E102" s="30">
        <f>SUMIF('MASTER DATA'!$A:$A,GSS!C83,'MASTER DATA'!$AV:$AV)</f>
        <v>0</v>
      </c>
      <c r="F102" s="50"/>
      <c r="G102" s="60"/>
      <c r="H102" s="30"/>
      <c r="I102" s="28"/>
      <c r="J102" s="30" t="s">
        <v>19</v>
      </c>
      <c r="K102" s="30">
        <f>SUMIF('MASTER DATA'!$A:$A,GSS!I83,'MASTER DATA'!$AV:$AV)</f>
        <v>0</v>
      </c>
      <c r="L102" s="50"/>
    </row>
    <row r="103" spans="1:12">
      <c r="A103" s="60"/>
      <c r="B103" s="30"/>
      <c r="C103" s="28"/>
      <c r="D103" s="30" t="s">
        <v>20</v>
      </c>
      <c r="E103" s="30">
        <f>SUMIF('MASTER DATA'!$A:$A,GSS!C83,'MASTER DATA'!$AW:$AW)</f>
        <v>0</v>
      </c>
      <c r="F103" s="50"/>
      <c r="G103" s="60"/>
      <c r="H103" s="30"/>
      <c r="I103" s="28"/>
      <c r="J103" s="30" t="s">
        <v>20</v>
      </c>
      <c r="K103" s="30">
        <f>SUMIF('MASTER DATA'!$A:$A,GSS!I83,'MASTER DATA'!$AW:$AW)</f>
        <v>0</v>
      </c>
      <c r="L103" s="50"/>
    </row>
    <row r="104" spans="1:12">
      <c r="A104" s="60"/>
      <c r="B104" s="30"/>
      <c r="C104" s="28"/>
      <c r="D104" s="30" t="s">
        <v>23</v>
      </c>
      <c r="E104" s="30">
        <f>SUMIF('MASTER DATA'!$A:$A,GSS!C83,'MASTER DATA'!$AX:$AX)</f>
        <v>0</v>
      </c>
      <c r="F104" s="50"/>
      <c r="G104" s="60"/>
      <c r="H104" s="30"/>
      <c r="I104" s="28"/>
      <c r="J104" s="30" t="s">
        <v>23</v>
      </c>
      <c r="K104" s="30">
        <f>SUMIF('MASTER DATA'!$A:$A,GSS!I83,'MASTER DATA'!$AX:$AX)</f>
        <v>0</v>
      </c>
      <c r="L104" s="50"/>
    </row>
    <row r="105" spans="1:12" ht="16.5" thickBot="1">
      <c r="A105" s="60"/>
      <c r="B105" s="30"/>
      <c r="C105" s="28"/>
      <c r="D105" s="28" t="s">
        <v>16</v>
      </c>
      <c r="E105" s="33">
        <f>E97-SUM(E98:E104)</f>
        <v>9310</v>
      </c>
      <c r="F105" s="53"/>
      <c r="G105" s="60"/>
      <c r="H105" s="30"/>
      <c r="I105" s="28"/>
      <c r="J105" s="28" t="s">
        <v>16</v>
      </c>
      <c r="K105" s="33">
        <f>K97-SUM(K98:K104)</f>
        <v>9269.4500000000007</v>
      </c>
      <c r="L105" s="53"/>
    </row>
    <row r="106" spans="1:12" ht="16.5" thickTop="1">
      <c r="A106" s="60"/>
      <c r="B106" s="30"/>
      <c r="C106" s="28"/>
      <c r="D106" s="30"/>
      <c r="E106" s="30"/>
      <c r="F106" s="50"/>
      <c r="G106" s="60"/>
      <c r="H106" s="30"/>
      <c r="I106" s="28"/>
      <c r="J106" s="30"/>
      <c r="K106" s="30"/>
      <c r="L106" s="50"/>
    </row>
    <row r="107" spans="1:12" ht="60">
      <c r="A107" s="47"/>
      <c r="B107" s="27"/>
      <c r="C107" s="3"/>
      <c r="D107" s="88"/>
      <c r="E107" s="27"/>
      <c r="F107" s="49"/>
      <c r="G107" s="47"/>
      <c r="H107" s="27"/>
      <c r="J107" s="88" t="s">
        <v>318</v>
      </c>
      <c r="K107" s="27"/>
      <c r="L107" s="49"/>
    </row>
    <row r="108" spans="1:12" ht="16.5" thickBot="1">
      <c r="A108" s="54"/>
      <c r="B108" s="55"/>
      <c r="C108" s="61"/>
      <c r="D108" s="77"/>
      <c r="E108" s="55"/>
      <c r="F108" s="56"/>
      <c r="G108" s="54"/>
      <c r="H108" s="55"/>
      <c r="I108" s="61"/>
      <c r="J108" s="77"/>
      <c r="K108" s="55"/>
      <c r="L108" s="56"/>
    </row>
  </sheetData>
  <pageMargins left="0.70866141732283472" right="0.70866141732283472" top="0.74803149606299213" bottom="0.74803149606299213" header="0.31496062992125984" footer="0.31496062992125984"/>
  <pageSetup scale="75" orientation="portrait" r:id="rId1"/>
  <rowBreaks count="2" manualBreakCount="2">
    <brk id="36" max="17" man="1"/>
    <brk id="72" max="17" man="1"/>
  </rowBreaks>
  <colBreaks count="2" manualBreakCount="2">
    <brk id="6" max="107" man="1"/>
    <brk id="12" max="107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DE40-0E23-4CBB-A0B1-DCCD26453824}">
  <sheetPr codeName="Sheet14"/>
  <dimension ref="A1:S41"/>
  <sheetViews>
    <sheetView view="pageBreakPreview" zoomScale="70" zoomScaleNormal="70" zoomScaleSheetLayoutView="70" workbookViewId="0">
      <selection activeCell="J35" sqref="J35:J36"/>
    </sheetView>
  </sheetViews>
  <sheetFormatPr defaultColWidth="9.140625" defaultRowHeight="15.75"/>
  <cols>
    <col min="1" max="2" width="4.7109375" style="2" customWidth="1"/>
    <col min="3" max="3" width="3.5703125" style="27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3.5703125" style="3" customWidth="1"/>
    <col min="10" max="10" width="25.5703125" style="2" customWidth="1"/>
    <col min="11" max="11" width="13.5703125" style="2" customWidth="1"/>
    <col min="12" max="12" width="13.7109375" style="2" customWidth="1"/>
    <col min="13" max="14" width="4.7109375" style="2" customWidth="1"/>
    <col min="15" max="15" width="3.5703125" style="26" customWidth="1"/>
    <col min="16" max="16" width="25.5703125" style="2" customWidth="1"/>
    <col min="17" max="17" width="13.5703125" style="2" customWidth="1"/>
    <col min="18" max="18" width="13.7109375" style="2" customWidth="1"/>
    <col min="19" max="16384" width="9.140625" style="2"/>
  </cols>
  <sheetData>
    <row r="1" spans="1:18" s="27" customFormat="1" ht="18">
      <c r="A1" s="78"/>
      <c r="B1" s="71"/>
      <c r="C1" s="80"/>
      <c r="D1" s="71"/>
      <c r="E1" s="71"/>
      <c r="F1" s="79" t="s">
        <v>235</v>
      </c>
      <c r="G1" s="41"/>
      <c r="H1" s="42"/>
      <c r="I1" s="57"/>
      <c r="J1" s="42"/>
      <c r="K1" s="70"/>
      <c r="L1" s="79" t="s">
        <v>235</v>
      </c>
      <c r="M1" s="78"/>
      <c r="N1" s="71"/>
      <c r="O1" s="80"/>
      <c r="P1" s="71"/>
      <c r="Q1" s="71"/>
      <c r="R1" s="79" t="s">
        <v>235</v>
      </c>
    </row>
    <row r="2" spans="1:18" ht="18">
      <c r="A2" s="44"/>
      <c r="B2" s="34"/>
      <c r="C2" s="34"/>
      <c r="D2" s="34"/>
      <c r="E2" s="34"/>
      <c r="F2" s="45"/>
      <c r="G2" s="44"/>
      <c r="H2" s="34"/>
      <c r="I2" s="36"/>
      <c r="J2" s="34"/>
      <c r="K2" s="34"/>
      <c r="L2" s="45"/>
      <c r="M2" s="44"/>
      <c r="N2" s="34"/>
      <c r="O2" s="36"/>
      <c r="P2" s="34"/>
      <c r="Q2" s="34"/>
      <c r="R2" s="45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6"/>
      <c r="J3" s="35" t="s">
        <v>0</v>
      </c>
      <c r="K3" s="36"/>
      <c r="L3" s="45"/>
      <c r="M3" s="44"/>
      <c r="N3" s="34"/>
      <c r="O3" s="36"/>
      <c r="P3" s="35" t="s">
        <v>0</v>
      </c>
      <c r="Q3" s="36"/>
      <c r="R3" s="46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6"/>
      <c r="J4" s="35" t="s">
        <v>1</v>
      </c>
      <c r="K4" s="36"/>
      <c r="L4" s="45"/>
      <c r="M4" s="44"/>
      <c r="N4" s="34"/>
      <c r="O4" s="36"/>
      <c r="P4" s="35" t="s">
        <v>1</v>
      </c>
      <c r="Q4" s="36"/>
      <c r="R4" s="46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6"/>
      <c r="J5" s="35" t="s">
        <v>162</v>
      </c>
      <c r="K5" s="36"/>
      <c r="L5" s="45"/>
      <c r="M5" s="44"/>
      <c r="N5" s="34"/>
      <c r="O5" s="36"/>
      <c r="P5" s="35" t="s">
        <v>162</v>
      </c>
      <c r="Q5" s="36"/>
      <c r="R5" s="46"/>
    </row>
    <row r="6" spans="1:18" ht="18">
      <c r="A6" s="44"/>
      <c r="B6" s="34"/>
      <c r="C6" s="34"/>
      <c r="D6" s="34"/>
      <c r="E6" s="34"/>
      <c r="F6" s="45"/>
      <c r="G6" s="44"/>
      <c r="H6" s="34"/>
      <c r="I6" s="36"/>
      <c r="J6" s="34"/>
      <c r="K6" s="34"/>
      <c r="L6" s="45"/>
      <c r="M6" s="44"/>
      <c r="N6" s="34"/>
      <c r="O6" s="36"/>
      <c r="P6" s="34"/>
      <c r="Q6" s="34"/>
      <c r="R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6"/>
      <c r="J7" s="34"/>
      <c r="K7" s="34"/>
      <c r="L7" s="45"/>
      <c r="M7" s="44"/>
      <c r="N7" s="34"/>
      <c r="O7" s="36"/>
      <c r="P7" s="34"/>
      <c r="Q7" s="34"/>
      <c r="R7" s="45"/>
    </row>
    <row r="8" spans="1:18">
      <c r="A8" s="47"/>
      <c r="B8" s="27"/>
      <c r="D8" s="3" t="s">
        <v>3</v>
      </c>
      <c r="E8" s="3"/>
      <c r="F8" s="48"/>
      <c r="G8" s="47"/>
      <c r="H8" s="27"/>
      <c r="J8" s="3" t="s">
        <v>3</v>
      </c>
      <c r="K8" s="3"/>
      <c r="L8" s="49"/>
      <c r="M8" s="47"/>
      <c r="N8" s="27"/>
      <c r="O8" s="3"/>
      <c r="P8" s="3" t="s">
        <v>3</v>
      </c>
      <c r="Q8" s="3"/>
      <c r="R8" s="48"/>
    </row>
    <row r="9" spans="1:18">
      <c r="A9" s="47"/>
      <c r="B9" s="27"/>
      <c r="D9" s="27" t="s">
        <v>319</v>
      </c>
      <c r="E9" s="27"/>
      <c r="F9" s="49"/>
      <c r="G9" s="47"/>
      <c r="H9" s="27"/>
      <c r="J9" s="27" t="str">
        <f>D9</f>
        <v>FEB 16-28, 2026</v>
      </c>
      <c r="K9" s="27"/>
      <c r="L9" s="49"/>
      <c r="M9" s="58"/>
      <c r="N9" s="3"/>
      <c r="O9" s="3"/>
      <c r="P9" s="27" t="str">
        <f>J9</f>
        <v>FEB 16-28, 2026</v>
      </c>
      <c r="Q9" s="27"/>
      <c r="R9" s="49"/>
    </row>
    <row r="10" spans="1:18">
      <c r="A10" s="47"/>
      <c r="B10" s="27"/>
      <c r="D10" s="3"/>
      <c r="E10" s="27"/>
      <c r="F10" s="49"/>
      <c r="G10" s="47"/>
      <c r="H10" s="27"/>
      <c r="J10" s="27"/>
      <c r="K10" s="27"/>
      <c r="L10" s="49"/>
      <c r="M10" s="47"/>
      <c r="N10" s="27"/>
      <c r="O10" s="3"/>
      <c r="P10" s="3"/>
      <c r="Q10" s="27"/>
      <c r="R10" s="49"/>
    </row>
    <row r="11" spans="1:18" s="27" customFormat="1">
      <c r="A11" s="47"/>
      <c r="C11" s="3">
        <v>42</v>
      </c>
      <c r="D11" s="3" t="str">
        <f>VLOOKUP(C11,'MASTER DATA'!$A:$E,5,FALSE)</f>
        <v>PERALTA, JONEL</v>
      </c>
      <c r="F11" s="49"/>
      <c r="G11" s="47"/>
      <c r="I11" s="3">
        <v>13</v>
      </c>
      <c r="J11" s="3" t="str">
        <f>VLOOKUP(I11,'MASTER DATA (2)'!$A:$E,5,FALSE)</f>
        <v>RIVAS, JOSEPH S.</v>
      </c>
      <c r="L11" s="49"/>
      <c r="M11" s="47"/>
      <c r="O11" s="3">
        <v>44</v>
      </c>
      <c r="P11" s="3" t="str">
        <f>VLOOKUP(O11,'MASTER DATA'!$A:$E,5,FALSE)</f>
        <v xml:space="preserve">PATAN, LIOMYR A. </v>
      </c>
      <c r="R11" s="49"/>
    </row>
    <row r="12" spans="1:18" s="27" customFormat="1">
      <c r="A12" s="47"/>
      <c r="C12" s="3"/>
      <c r="D12" s="3" t="str">
        <f>VLOOKUP(C11,'MASTER DATA'!$A:$F,6,FALSE)</f>
        <v>INFRA</v>
      </c>
      <c r="F12" s="49"/>
      <c r="G12" s="47"/>
      <c r="I12" s="3"/>
      <c r="J12" s="3" t="str">
        <f>D12</f>
        <v>INFRA</v>
      </c>
      <c r="L12" s="49"/>
      <c r="M12" s="47"/>
      <c r="O12" s="3"/>
      <c r="P12" s="3" t="str">
        <f>VLOOKUP(O11,'MASTER DATA'!$A:$F,6,FALSE)</f>
        <v>INFRA</v>
      </c>
      <c r="R12" s="49"/>
    </row>
    <row r="13" spans="1:18" s="27" customFormat="1">
      <c r="A13" s="47"/>
      <c r="D13" s="29" t="str">
        <f>VLOOKUP(C11,'MASTER DATA'!$A:$G,7,FALSE)</f>
        <v>Civil Engineer II</v>
      </c>
      <c r="F13" s="49"/>
      <c r="G13" s="47"/>
      <c r="I13" s="3"/>
      <c r="J13" s="29" t="str">
        <f>VLOOKUP(I11,'MASTER DATA (2)'!$A:$G,7,FALSE)</f>
        <v>Electrician General Forman</v>
      </c>
      <c r="L13" s="49"/>
      <c r="M13" s="47"/>
      <c r="O13" s="3"/>
      <c r="P13" s="29" t="str">
        <f>VLOOKUP(O11,'MASTER DATA'!$A:$G,7,FALSE)</f>
        <v>Electrical Engineer I</v>
      </c>
      <c r="R13" s="49"/>
    </row>
    <row r="14" spans="1:18" s="27" customFormat="1">
      <c r="A14" s="47"/>
      <c r="D14" s="27" t="s">
        <v>4</v>
      </c>
      <c r="E14" s="30">
        <f>SUMIF('MASTER DATA'!$A:$A,INFRA!C11,'MASTER DATA'!$N:$N)</f>
        <v>19836</v>
      </c>
      <c r="F14" s="50"/>
      <c r="G14" s="47"/>
      <c r="I14" s="3"/>
      <c r="J14" s="27" t="s">
        <v>4</v>
      </c>
      <c r="K14" s="30">
        <f>SUMIF('MASTER DATA (2)'!$A:$A,INFRA!I11,'MASTER DATA (2)'!$N:$N)</f>
        <v>13500</v>
      </c>
      <c r="L14" s="49"/>
      <c r="M14" s="47"/>
      <c r="O14" s="3"/>
      <c r="P14" s="27" t="s">
        <v>4</v>
      </c>
      <c r="Q14" s="30">
        <f>SUMIF('MASTER DATA'!$A:$A,INFRA!O11,'MASTER DATA'!$N:$N)</f>
        <v>16921.5</v>
      </c>
      <c r="R14" s="50"/>
    </row>
    <row r="15" spans="1:18" s="27" customFormat="1" ht="17.25">
      <c r="A15" s="47"/>
      <c r="E15" s="37"/>
      <c r="F15" s="51"/>
      <c r="G15" s="47"/>
      <c r="I15" s="3"/>
      <c r="K15" s="37"/>
      <c r="L15" s="49"/>
      <c r="M15" s="59"/>
      <c r="N15" s="39"/>
      <c r="O15" s="38"/>
      <c r="Q15" s="37"/>
      <c r="R15" s="51"/>
    </row>
    <row r="16" spans="1:18" s="27" customFormat="1">
      <c r="A16" s="47"/>
      <c r="E16" s="30"/>
      <c r="F16" s="50"/>
      <c r="G16" s="47"/>
      <c r="I16" s="3"/>
      <c r="K16" s="30"/>
      <c r="L16" s="49"/>
      <c r="M16" s="59"/>
      <c r="N16" s="39"/>
      <c r="O16" s="38"/>
      <c r="Q16" s="30"/>
      <c r="R16" s="50"/>
    </row>
    <row r="17" spans="1:19" s="27" customFormat="1" ht="17.25">
      <c r="A17" s="47"/>
      <c r="E17" s="37"/>
      <c r="F17" s="51"/>
      <c r="G17" s="47"/>
      <c r="I17" s="3"/>
      <c r="K17" s="37"/>
      <c r="L17" s="49"/>
      <c r="M17" s="59"/>
      <c r="N17" s="39"/>
      <c r="O17" s="38"/>
      <c r="Q17" s="37"/>
      <c r="R17" s="51"/>
    </row>
    <row r="18" spans="1:19" s="27" customFormat="1">
      <c r="A18" s="47"/>
      <c r="D18" s="39" t="s">
        <v>5</v>
      </c>
      <c r="E18" s="40" t="s">
        <v>6</v>
      </c>
      <c r="F18" s="52"/>
      <c r="G18" s="47"/>
      <c r="I18" s="3"/>
      <c r="J18" s="39" t="s">
        <v>5</v>
      </c>
      <c r="K18" s="40" t="s">
        <v>6</v>
      </c>
      <c r="L18" s="49"/>
      <c r="M18" s="47"/>
      <c r="O18" s="3"/>
      <c r="P18" s="39" t="s">
        <v>5</v>
      </c>
      <c r="Q18" s="40" t="s">
        <v>6</v>
      </c>
      <c r="R18" s="52"/>
    </row>
    <row r="19" spans="1:19" s="27" customFormat="1">
      <c r="A19" s="47"/>
      <c r="F19" s="49"/>
      <c r="G19" s="60"/>
      <c r="H19" s="30"/>
      <c r="I19" s="28"/>
      <c r="L19" s="49"/>
      <c r="M19" s="60"/>
      <c r="N19" s="30"/>
      <c r="O19" s="28"/>
      <c r="R19" s="49"/>
    </row>
    <row r="20" spans="1:19" s="27" customFormat="1">
      <c r="A20" s="47"/>
      <c r="D20" s="30" t="s">
        <v>7</v>
      </c>
      <c r="E20" s="30">
        <f>SUMIF('MASTER DATA'!$A:$A,INFRA!C11,'MASTER DATA'!$AL:$AL)</f>
        <v>0</v>
      </c>
      <c r="F20" s="50"/>
      <c r="G20" s="60"/>
      <c r="H20" s="30"/>
      <c r="I20" s="28"/>
      <c r="J20" s="30" t="s">
        <v>7</v>
      </c>
      <c r="K20" s="30">
        <f>SUMIF('MASTER DATA (2)'!$A:$A,INFRA!I11,'MASTER DATA (2)'!$AL:$AL)</f>
        <v>0</v>
      </c>
      <c r="L20" s="49"/>
      <c r="M20" s="60"/>
      <c r="N20" s="30"/>
      <c r="O20" s="28"/>
      <c r="P20" s="30" t="s">
        <v>7</v>
      </c>
      <c r="Q20" s="30">
        <f>SUMIF('MASTER DATA'!$A:$A,INFRA!O11,'MASTER DATA'!$AL:$AL)</f>
        <v>1538.32</v>
      </c>
      <c r="R20" s="50"/>
    </row>
    <row r="21" spans="1:19" s="27" customFormat="1">
      <c r="A21" s="47"/>
      <c r="D21" s="31" t="s">
        <v>8</v>
      </c>
      <c r="E21" s="30">
        <f>SUMIF('MASTER DATA'!$A:$A,INFRA!C11,'MASTER DATA'!$AM:$AM)+SUMIF('MASTER DATA'!$A:$A,INFRA!C11,'MASTER DATA'!$AN:$AN)</f>
        <v>0</v>
      </c>
      <c r="F21" s="50"/>
      <c r="G21" s="60"/>
      <c r="H21" s="30"/>
      <c r="I21" s="28"/>
      <c r="J21" s="31" t="s">
        <v>8</v>
      </c>
      <c r="K21" s="30">
        <f>SUMIF('MASTER DATA (2)'!$A:$A,INFRA!I11,'MASTER DATA (2)'!$AM:$AM)+(SUMIF('MASTER DATA (2)'!$A:$A,INFRA!I11,'MASTER DATA (2)'!$AN:$AN))</f>
        <v>7.67</v>
      </c>
      <c r="L21" s="49"/>
      <c r="M21" s="60"/>
      <c r="N21" s="30"/>
      <c r="O21" s="28"/>
      <c r="P21" s="31" t="s">
        <v>8</v>
      </c>
      <c r="Q21" s="30">
        <f>SUMIF('MASTER DATA'!$A:$A,INFRA!O11,'MASTER DATA'!$AM:$AM)+SUMIF('MASTER DATA'!$A:$A,INFRA!O11,'MASTER DATA'!$AN:$AN)</f>
        <v>458.28999999999996</v>
      </c>
      <c r="R21" s="50"/>
    </row>
    <row r="22" spans="1:19" s="27" customFormat="1" ht="17.25">
      <c r="A22" s="47"/>
      <c r="D22" s="30" t="s">
        <v>9</v>
      </c>
      <c r="E22" s="32">
        <f>SUMIF('MASTER DATA'!$A:$A,INFRA!C11,'MASTER DATA'!$AP:$AP)</f>
        <v>0</v>
      </c>
      <c r="F22" s="50"/>
      <c r="G22" s="60"/>
      <c r="H22" s="30"/>
      <c r="I22" s="28"/>
      <c r="J22" s="30" t="s">
        <v>9</v>
      </c>
      <c r="K22" s="37">
        <f>SUMIF('MASTER DATA (2)'!$A:$A,INFRA!I11,'MASTER DATA (2)'!$AP:$AP)</f>
        <v>0</v>
      </c>
      <c r="L22" s="49"/>
      <c r="M22" s="60"/>
      <c r="N22" s="30"/>
      <c r="O22" s="28"/>
      <c r="P22" s="30" t="s">
        <v>9</v>
      </c>
      <c r="Q22" s="32">
        <f>SUMIF('MASTER DATA'!$A:$A,INFRA!O11,'MASTER DATA'!$AP:$AP)</f>
        <v>0.03</v>
      </c>
      <c r="R22" s="50"/>
    </row>
    <row r="23" spans="1:19" s="27" customFormat="1">
      <c r="A23" s="47"/>
      <c r="D23" s="30" t="s">
        <v>10</v>
      </c>
      <c r="E23" s="30">
        <f>SUM(E20:E22)</f>
        <v>0</v>
      </c>
      <c r="F23" s="50"/>
      <c r="G23" s="60"/>
      <c r="H23" s="30"/>
      <c r="I23" s="28"/>
      <c r="J23" s="30" t="s">
        <v>10</v>
      </c>
      <c r="K23" s="30">
        <f>SUM(K20:K22)</f>
        <v>7.67</v>
      </c>
      <c r="L23" s="49"/>
      <c r="M23" s="60"/>
      <c r="N23" s="30"/>
      <c r="O23" s="28"/>
      <c r="P23" s="30" t="s">
        <v>10</v>
      </c>
      <c r="Q23" s="30">
        <f>SUM(Q20:Q21)</f>
        <v>1996.61</v>
      </c>
      <c r="R23" s="50"/>
    </row>
    <row r="24" spans="1:19" s="27" customFormat="1">
      <c r="A24" s="47"/>
      <c r="D24" s="30"/>
      <c r="E24" s="30"/>
      <c r="F24" s="50"/>
      <c r="G24" s="60"/>
      <c r="H24" s="30"/>
      <c r="I24" s="28"/>
      <c r="J24" s="30"/>
      <c r="K24" s="30"/>
      <c r="L24" s="49"/>
      <c r="M24" s="60"/>
      <c r="N24" s="30"/>
      <c r="O24" s="28"/>
      <c r="P24" s="30"/>
      <c r="Q24" s="30"/>
      <c r="R24" s="50"/>
      <c r="S24" s="3" t="s">
        <v>11</v>
      </c>
    </row>
    <row r="25" spans="1:19" s="27" customFormat="1">
      <c r="A25" s="47"/>
      <c r="D25" s="30" t="s">
        <v>12</v>
      </c>
      <c r="E25" s="30">
        <f>E14-E23</f>
        <v>19836</v>
      </c>
      <c r="F25" s="50"/>
      <c r="G25" s="60"/>
      <c r="H25" s="30"/>
      <c r="I25" s="28"/>
      <c r="J25" s="30" t="s">
        <v>12</v>
      </c>
      <c r="K25" s="30">
        <f>K14-K23</f>
        <v>13492.33</v>
      </c>
      <c r="L25" s="49"/>
      <c r="M25" s="60"/>
      <c r="N25" s="30"/>
      <c r="O25" s="28"/>
      <c r="P25" s="30" t="s">
        <v>12</v>
      </c>
      <c r="Q25" s="30">
        <f>Q14-Q23+Q22</f>
        <v>14924.92</v>
      </c>
      <c r="R25" s="50"/>
    </row>
    <row r="26" spans="1:19" s="27" customFormat="1">
      <c r="A26" s="47"/>
      <c r="D26" s="30" t="s">
        <v>13</v>
      </c>
      <c r="E26" s="30"/>
      <c r="F26" s="50"/>
      <c r="G26" s="60"/>
      <c r="H26" s="30"/>
      <c r="I26" s="28"/>
      <c r="J26" s="30" t="s">
        <v>13</v>
      </c>
      <c r="K26" s="30"/>
      <c r="L26" s="49"/>
      <c r="M26" s="60"/>
      <c r="N26" s="30"/>
      <c r="O26" s="28"/>
      <c r="P26" s="30" t="s">
        <v>13</v>
      </c>
      <c r="Q26" s="30"/>
      <c r="R26" s="50"/>
    </row>
    <row r="27" spans="1:19" s="27" customFormat="1">
      <c r="A27" s="47"/>
      <c r="D27" s="30" t="s">
        <v>14</v>
      </c>
      <c r="E27" s="30">
        <f>SUMIF('MASTER DATA'!$A:$A,INFRA!C11,'MASTER DATA'!$AS:$AS)</f>
        <v>0</v>
      </c>
      <c r="F27" s="50"/>
      <c r="G27" s="60"/>
      <c r="H27" s="30"/>
      <c r="I27" s="28"/>
      <c r="J27" s="30" t="s">
        <v>14</v>
      </c>
      <c r="K27" s="30">
        <f>SUMIF('MASTER DATA (2)'!$A:$A,INFRA!I11,'MASTER DATA (2)'!$AS:$AS)</f>
        <v>0</v>
      </c>
      <c r="L27" s="49"/>
      <c r="M27" s="60"/>
      <c r="N27" s="30"/>
      <c r="O27" s="28"/>
      <c r="P27" s="30" t="s">
        <v>14</v>
      </c>
      <c r="Q27" s="30">
        <f>SUMIF('MASTER DATA'!$A:$A,INFRA!O11,'MASTER DATA'!$AS:$AS)</f>
        <v>0</v>
      </c>
      <c r="R27" s="50"/>
    </row>
    <row r="28" spans="1:19" s="27" customFormat="1">
      <c r="A28" s="47"/>
      <c r="D28" s="69" t="s">
        <v>211</v>
      </c>
      <c r="E28" s="30">
        <f>SUMIF('MASTER DATA'!$A:$A,INFRA!C11,'MASTER DATA'!$AT:$AT)</f>
        <v>1983.6</v>
      </c>
      <c r="F28" s="50"/>
      <c r="G28" s="60"/>
      <c r="H28" s="30"/>
      <c r="I28" s="28"/>
      <c r="J28" s="69" t="s">
        <v>160</v>
      </c>
      <c r="K28" s="30">
        <f>SUMIF('MASTER DATA (2)'!$A:$A,INFRA!I11,'MASTER DATA (2)'!$AT:$AT)</f>
        <v>0</v>
      </c>
      <c r="L28" s="49"/>
      <c r="M28" s="60"/>
      <c r="N28" s="30"/>
      <c r="O28" s="28"/>
      <c r="P28" s="69" t="s">
        <v>211</v>
      </c>
      <c r="Q28" s="30">
        <f>SUMIF('MASTER DATA'!$A:$A,INFRA!O11,'MASTER DATA'!$AT:$AT)</f>
        <v>1492.49</v>
      </c>
      <c r="R28" s="50"/>
    </row>
    <row r="29" spans="1:19" s="27" customFormat="1">
      <c r="A29" s="47"/>
      <c r="D29" s="30" t="s">
        <v>15</v>
      </c>
      <c r="E29" s="30">
        <f>SUMIF('MASTER DATA'!$A:$A,INFRA!C11,'MASTER DATA'!$AU:$AU)</f>
        <v>2000</v>
      </c>
      <c r="F29" s="50"/>
      <c r="G29" s="60"/>
      <c r="H29" s="30"/>
      <c r="I29" s="28"/>
      <c r="J29" s="30" t="s">
        <v>15</v>
      </c>
      <c r="K29" s="30">
        <f>SUMIF('MASTER DATA'!$A:$A,INFRA!I11,'MASTER DATA (2)'!$AU:$AU)</f>
        <v>0</v>
      </c>
      <c r="L29" s="49"/>
      <c r="M29" s="60"/>
      <c r="N29" s="30"/>
      <c r="O29" s="28"/>
      <c r="P29" s="30" t="s">
        <v>15</v>
      </c>
      <c r="Q29" s="30">
        <f>SUMIF('MASTER DATA'!$A:$A,INFRA!O11,'MASTER DATA'!$AU:$AU)</f>
        <v>0</v>
      </c>
      <c r="R29" s="50"/>
    </row>
    <row r="30" spans="1:19" s="27" customFormat="1">
      <c r="A30" s="47"/>
      <c r="D30" s="30" t="s">
        <v>19</v>
      </c>
      <c r="E30" s="30">
        <f>SUMIF('MASTER DATA'!$A:$A,INFRA!C11,'MASTER DATA'!$AV:$AV)</f>
        <v>922.78</v>
      </c>
      <c r="F30" s="50"/>
      <c r="G30" s="60"/>
      <c r="H30" s="30"/>
      <c r="I30" s="28"/>
      <c r="J30" s="30" t="s">
        <v>19</v>
      </c>
      <c r="K30" s="30">
        <f>SUMIF('MASTER DATA'!$A:$A,INFRA!I11,'MASTER DATA (2)'!$AV:$AV)</f>
        <v>0</v>
      </c>
      <c r="L30" s="49"/>
      <c r="M30" s="60"/>
      <c r="N30" s="30"/>
      <c r="O30" s="28"/>
      <c r="P30" s="30" t="s">
        <v>19</v>
      </c>
      <c r="Q30" s="30">
        <f>SUMIF('MASTER DATA'!$A:$A,INFRA!O11,'MASTER DATA'!$AV:$AV)</f>
        <v>0</v>
      </c>
      <c r="R30" s="50"/>
    </row>
    <row r="31" spans="1:19" s="27" customFormat="1">
      <c r="A31" s="47"/>
      <c r="D31" s="30" t="s">
        <v>20</v>
      </c>
      <c r="E31" s="30">
        <f>SUMIF('MASTER DATA'!$A:$A,INFRA!C11,'MASTER DATA'!$AW:$AW)</f>
        <v>0</v>
      </c>
      <c r="F31" s="50"/>
      <c r="G31" s="60"/>
      <c r="H31" s="30"/>
      <c r="I31" s="28"/>
      <c r="J31" s="30" t="s">
        <v>20</v>
      </c>
      <c r="K31" s="30">
        <f>SUMIF('MASTER DATA'!$A:$A,INFRA!I11,'MASTER DATA (2)'!$AX:$AX)</f>
        <v>0</v>
      </c>
      <c r="L31" s="49"/>
      <c r="M31" s="60"/>
      <c r="N31" s="30"/>
      <c r="O31" s="28"/>
      <c r="P31" s="30" t="s">
        <v>20</v>
      </c>
      <c r="Q31" s="30">
        <f>SUMIF('MASTER DATA'!$A:$A,INFRA!O11,'MASTER DATA'!$AW:$AW)</f>
        <v>0</v>
      </c>
      <c r="R31" s="50"/>
    </row>
    <row r="32" spans="1:19" s="27" customFormat="1">
      <c r="A32" s="47"/>
      <c r="D32" s="30" t="s">
        <v>23</v>
      </c>
      <c r="E32" s="30">
        <f>SUMIF('MASTER DATA'!$A:$A,INFRA!C11,'MASTER DATA'!$AX:$AX)</f>
        <v>0</v>
      </c>
      <c r="F32" s="50"/>
      <c r="G32" s="60"/>
      <c r="H32" s="30"/>
      <c r="I32" s="28"/>
      <c r="J32" s="89" t="s">
        <v>23</v>
      </c>
      <c r="K32" s="30">
        <f>SUMIF('MASTER DATA'!$A:$A,INFRA!I11,'MASTER DATA (2)'!$AW:$AW)</f>
        <v>0</v>
      </c>
      <c r="L32" s="49"/>
      <c r="M32" s="60"/>
      <c r="N32" s="30"/>
      <c r="O32" s="28"/>
      <c r="P32" s="30" t="s">
        <v>23</v>
      </c>
      <c r="Q32" s="30">
        <f>SUMIF('MASTER DATA'!$A:$A,INFRA!O11,'MASTER DATA'!$AX:$AX)</f>
        <v>0</v>
      </c>
      <c r="R32" s="50"/>
    </row>
    <row r="33" spans="1:18" s="27" customFormat="1" ht="16.5" thickBot="1">
      <c r="A33" s="47"/>
      <c r="D33" s="28" t="s">
        <v>16</v>
      </c>
      <c r="E33" s="33">
        <f>E25-SUM(E26:E32)</f>
        <v>14929.619999999999</v>
      </c>
      <c r="F33" s="53"/>
      <c r="G33" s="60"/>
      <c r="H33" s="30"/>
      <c r="I33" s="28"/>
      <c r="J33" s="28" t="s">
        <v>16</v>
      </c>
      <c r="K33" s="33">
        <f>K25-SUM(K26:K32)</f>
        <v>13492.33</v>
      </c>
      <c r="L33" s="49"/>
      <c r="M33" s="60"/>
      <c r="N33" s="30"/>
      <c r="O33" s="28"/>
      <c r="P33" s="28" t="s">
        <v>16</v>
      </c>
      <c r="Q33" s="33">
        <f>Q25-SUM(Q26:Q32)</f>
        <v>13432.43</v>
      </c>
      <c r="R33" s="53"/>
    </row>
    <row r="34" spans="1:18" s="27" customFormat="1" ht="16.5" thickTop="1">
      <c r="A34" s="47"/>
      <c r="D34" s="30"/>
      <c r="E34" s="30"/>
      <c r="F34" s="50"/>
      <c r="G34" s="60"/>
      <c r="H34" s="30"/>
      <c r="I34" s="28"/>
      <c r="J34" s="30"/>
      <c r="K34" s="30"/>
      <c r="L34" s="49"/>
      <c r="M34" s="60"/>
      <c r="N34" s="30"/>
      <c r="O34" s="28"/>
      <c r="P34" s="30"/>
      <c r="Q34" s="30"/>
      <c r="R34" s="50"/>
    </row>
    <row r="35" spans="1:18" s="27" customFormat="1" ht="67.5" customHeight="1">
      <c r="A35" s="47"/>
      <c r="D35" s="30"/>
      <c r="E35" s="30"/>
      <c r="F35" s="50"/>
      <c r="G35" s="60"/>
      <c r="H35" s="30"/>
      <c r="I35" s="28"/>
      <c r="J35" s="363" t="s">
        <v>318</v>
      </c>
      <c r="K35" s="30"/>
      <c r="L35" s="49"/>
      <c r="M35" s="60"/>
      <c r="N35" s="30"/>
      <c r="O35" s="28"/>
      <c r="P35" s="88" t="s">
        <v>318</v>
      </c>
      <c r="Q35" s="30"/>
      <c r="R35" s="50"/>
    </row>
    <row r="36" spans="1:18" s="27" customFormat="1" ht="30">
      <c r="A36" s="47"/>
      <c r="D36" s="88"/>
      <c r="F36" s="49"/>
      <c r="G36" s="60"/>
      <c r="H36" s="30"/>
      <c r="I36" s="28"/>
      <c r="J36" s="363"/>
      <c r="L36" s="49"/>
      <c r="M36" s="47"/>
      <c r="O36" s="3"/>
      <c r="P36" s="88" t="s">
        <v>320</v>
      </c>
      <c r="Q36" s="90">
        <v>0.03</v>
      </c>
      <c r="R36" s="49"/>
    </row>
    <row r="37" spans="1:18" s="27" customFormat="1" ht="16.5" thickBot="1">
      <c r="A37" s="54"/>
      <c r="B37" s="55"/>
      <c r="C37" s="55"/>
      <c r="D37" s="55"/>
      <c r="E37" s="55"/>
      <c r="F37" s="56"/>
      <c r="G37" s="62"/>
      <c r="H37" s="63"/>
      <c r="I37" s="64"/>
      <c r="J37" s="55"/>
      <c r="K37" s="55"/>
      <c r="L37" s="56"/>
      <c r="M37" s="54"/>
      <c r="N37" s="55"/>
      <c r="O37" s="61"/>
      <c r="P37" s="55"/>
      <c r="Q37" s="55"/>
      <c r="R37" s="56"/>
    </row>
    <row r="38" spans="1:18">
      <c r="D38" s="10"/>
      <c r="E38" s="10"/>
      <c r="F38" s="10"/>
    </row>
    <row r="39" spans="1:18">
      <c r="D39" s="10"/>
      <c r="E39" s="10"/>
      <c r="F39" s="10"/>
      <c r="J39" s="13">
        <f>K33+E33+Q33</f>
        <v>41854.379999999997</v>
      </c>
    </row>
    <row r="40" spans="1:18">
      <c r="D40" s="10"/>
      <c r="E40" s="10"/>
      <c r="F40" s="10"/>
    </row>
    <row r="41" spans="1:18">
      <c r="D41" s="6"/>
      <c r="E41" s="6"/>
      <c r="F41" s="6"/>
    </row>
  </sheetData>
  <mergeCells count="1">
    <mergeCell ref="J35:J36"/>
  </mergeCells>
  <pageMargins left="0.70866141732283472" right="0.70866141732283472" top="0.74803149606299213" bottom="0.74803149606299213" header="0.31496062992125984" footer="0.31496062992125984"/>
  <pageSetup scale="75" orientation="portrait" r:id="rId1"/>
  <colBreaks count="2" manualBreakCount="2">
    <brk id="6" max="35" man="1"/>
    <brk id="12" max="3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A5C9-7E06-45A5-9D59-1610E7D3A86B}">
  <sheetPr codeName="Sheet15"/>
  <dimension ref="A1:Y72"/>
  <sheetViews>
    <sheetView view="pageBreakPreview" topLeftCell="A30" zoomScale="70" zoomScaleNormal="40" zoomScaleSheetLayoutView="70" workbookViewId="0">
      <selection activeCell="J35" sqref="J35"/>
    </sheetView>
  </sheetViews>
  <sheetFormatPr defaultColWidth="9.140625" defaultRowHeight="15.75"/>
  <cols>
    <col min="1" max="2" width="4.7109375" style="2" customWidth="1"/>
    <col min="3" max="3" width="3.5703125" style="27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3.5703125" style="3" customWidth="1"/>
    <col min="10" max="10" width="25.5703125" style="2" customWidth="1"/>
    <col min="11" max="11" width="13.5703125" style="2" customWidth="1"/>
    <col min="12" max="12" width="13.7109375" style="2" customWidth="1"/>
    <col min="13" max="14" width="4.7109375" style="2" customWidth="1"/>
    <col min="15" max="15" width="3.5703125" style="26" customWidth="1"/>
    <col min="16" max="16" width="25.5703125" style="2" customWidth="1"/>
    <col min="17" max="17" width="13.5703125" style="2" customWidth="1"/>
    <col min="18" max="18" width="13.7109375" style="2" customWidth="1"/>
    <col min="19" max="19" width="11.5703125" style="2" bestFit="1" customWidth="1"/>
    <col min="20" max="20" width="11.28515625" style="2" bestFit="1" customWidth="1"/>
    <col min="21" max="16384" width="9.140625" style="2"/>
  </cols>
  <sheetData>
    <row r="1" spans="1:18" s="27" customFormat="1">
      <c r="A1" s="78"/>
      <c r="B1" s="71"/>
      <c r="C1" s="71"/>
      <c r="D1" s="71"/>
      <c r="E1" s="71"/>
      <c r="F1" s="79" t="s">
        <v>235</v>
      </c>
      <c r="G1" s="78"/>
      <c r="H1" s="71"/>
      <c r="I1" s="80"/>
      <c r="J1" s="71"/>
      <c r="K1" s="71"/>
      <c r="L1" s="79" t="s">
        <v>235</v>
      </c>
      <c r="M1" s="78"/>
      <c r="N1" s="71"/>
      <c r="O1" s="80"/>
      <c r="P1" s="71"/>
      <c r="Q1" s="71"/>
      <c r="R1" s="79" t="s">
        <v>235</v>
      </c>
    </row>
    <row r="2" spans="1:18" ht="18">
      <c r="A2" s="44"/>
      <c r="B2" s="34"/>
      <c r="C2" s="34"/>
      <c r="D2" s="34"/>
      <c r="E2" s="34"/>
      <c r="F2" s="45"/>
      <c r="G2" s="44"/>
      <c r="H2" s="34"/>
      <c r="I2" s="36"/>
      <c r="J2" s="34"/>
      <c r="K2" s="34"/>
      <c r="L2" s="45"/>
      <c r="M2" s="44"/>
      <c r="N2" s="34"/>
      <c r="O2" s="36"/>
      <c r="P2" s="34"/>
      <c r="Q2" s="34"/>
      <c r="R2" s="45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6"/>
      <c r="J3" s="35" t="s">
        <v>0</v>
      </c>
      <c r="K3" s="36"/>
      <c r="L3" s="46"/>
      <c r="M3" s="44"/>
      <c r="N3" s="34"/>
      <c r="O3" s="36"/>
      <c r="P3" s="35" t="s">
        <v>0</v>
      </c>
      <c r="Q3" s="36"/>
      <c r="R3" s="45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6"/>
      <c r="J4" s="35" t="s">
        <v>1</v>
      </c>
      <c r="K4" s="36"/>
      <c r="L4" s="46"/>
      <c r="M4" s="44"/>
      <c r="N4" s="34"/>
      <c r="O4" s="36"/>
      <c r="P4" s="35" t="s">
        <v>1</v>
      </c>
      <c r="Q4" s="36"/>
      <c r="R4" s="45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6"/>
      <c r="J5" s="35" t="s">
        <v>162</v>
      </c>
      <c r="K5" s="36"/>
      <c r="L5" s="46"/>
      <c r="M5" s="44"/>
      <c r="N5" s="34"/>
      <c r="O5" s="36"/>
      <c r="P5" s="35" t="s">
        <v>162</v>
      </c>
      <c r="Q5" s="36"/>
      <c r="R5" s="45"/>
    </row>
    <row r="6" spans="1:18" ht="18">
      <c r="A6" s="44"/>
      <c r="B6" s="34"/>
      <c r="C6" s="34"/>
      <c r="D6" s="34"/>
      <c r="E6" s="34"/>
      <c r="F6" s="45"/>
      <c r="G6" s="44"/>
      <c r="H6" s="34"/>
      <c r="I6" s="36"/>
      <c r="J6" s="34"/>
      <c r="K6" s="34"/>
      <c r="L6" s="45"/>
      <c r="M6" s="44"/>
      <c r="N6" s="34"/>
      <c r="O6" s="36"/>
      <c r="P6" s="34"/>
      <c r="Q6" s="34"/>
      <c r="R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6"/>
      <c r="J7" s="34"/>
      <c r="K7" s="34"/>
      <c r="L7" s="45"/>
      <c r="M7" s="44"/>
      <c r="N7" s="34"/>
      <c r="O7" s="36"/>
      <c r="P7" s="34"/>
      <c r="Q7" s="34"/>
      <c r="R7" s="45"/>
    </row>
    <row r="8" spans="1:18">
      <c r="A8" s="47"/>
      <c r="B8" s="27"/>
      <c r="D8" s="3" t="s">
        <v>3</v>
      </c>
      <c r="E8" s="3"/>
      <c r="F8" s="48"/>
      <c r="G8" s="47"/>
      <c r="H8" s="27"/>
      <c r="J8" s="3" t="s">
        <v>3</v>
      </c>
      <c r="K8" s="3"/>
      <c r="L8" s="48"/>
      <c r="M8" s="47"/>
      <c r="N8" s="27"/>
      <c r="O8" s="3"/>
      <c r="P8" s="3" t="s">
        <v>3</v>
      </c>
      <c r="Q8" s="3"/>
      <c r="R8" s="49"/>
    </row>
    <row r="9" spans="1:18">
      <c r="A9" s="47"/>
      <c r="B9" s="27"/>
      <c r="D9" s="27" t="s">
        <v>319</v>
      </c>
      <c r="E9" s="27"/>
      <c r="F9" s="49"/>
      <c r="G9" s="58"/>
      <c r="H9" s="3"/>
      <c r="J9" s="27" t="str">
        <f>D9</f>
        <v>FEB 16-28, 2026</v>
      </c>
      <c r="K9" s="27"/>
      <c r="L9" s="49"/>
      <c r="M9" s="47"/>
      <c r="N9" s="27"/>
      <c r="O9" s="3"/>
      <c r="P9" s="27" t="str">
        <f>D9</f>
        <v>FEB 16-28, 2026</v>
      </c>
      <c r="Q9" s="27"/>
      <c r="R9" s="49"/>
    </row>
    <row r="10" spans="1:18">
      <c r="A10" s="47"/>
      <c r="B10" s="27"/>
      <c r="D10" s="3"/>
      <c r="E10" s="27"/>
      <c r="F10" s="49"/>
      <c r="G10" s="47"/>
      <c r="H10" s="27"/>
      <c r="J10" s="3"/>
      <c r="K10" s="27"/>
      <c r="L10" s="49"/>
      <c r="M10" s="47"/>
      <c r="N10" s="27"/>
      <c r="O10" s="3"/>
      <c r="P10" s="27"/>
      <c r="Q10" s="27"/>
      <c r="R10" s="49"/>
    </row>
    <row r="11" spans="1:18" s="27" customFormat="1">
      <c r="A11" s="47"/>
      <c r="C11" s="3">
        <v>45</v>
      </c>
      <c r="D11" s="3" t="str">
        <f>VLOOKUP(C11,'MASTER DATA'!$A:$E,5,FALSE)</f>
        <v>LORENA, SUSAN G</v>
      </c>
      <c r="F11" s="49"/>
      <c r="G11" s="47"/>
      <c r="I11" s="3">
        <v>46</v>
      </c>
      <c r="J11" s="3" t="str">
        <f>VLOOKUP(I11,'MASTER DATA'!$A:$E,5,FALSE)</f>
        <v>GUZMAN, JESSA MAE G.</v>
      </c>
      <c r="L11" s="49"/>
      <c r="M11" s="47"/>
      <c r="O11" s="3">
        <v>47</v>
      </c>
      <c r="P11" s="3" t="str">
        <f>VLOOKUP(O11,'MASTER DATA'!$A:$E,5,FALSE)</f>
        <v>SERDONCILLO, RANIL G.</v>
      </c>
      <c r="R11" s="49"/>
    </row>
    <row r="12" spans="1:18" s="27" customFormat="1">
      <c r="A12" s="47"/>
      <c r="C12" s="3"/>
      <c r="D12" s="3" t="str">
        <f>VLOOKUP(C11,'MASTER DATA'!$A:$F,6,FALSE)</f>
        <v>COA</v>
      </c>
      <c r="F12" s="49"/>
      <c r="G12" s="47"/>
      <c r="I12" s="3"/>
      <c r="J12" s="3" t="str">
        <f>VLOOKUP(I11,'MASTER DATA'!$A:$F,6,FALSE)</f>
        <v>COA</v>
      </c>
      <c r="L12" s="49"/>
      <c r="M12" s="47"/>
      <c r="O12" s="3"/>
      <c r="P12" s="3" t="str">
        <f>VLOOKUP(O11,'MASTER DATA'!$A:$F,6,FALSE)</f>
        <v>COA</v>
      </c>
      <c r="R12" s="49"/>
    </row>
    <row r="13" spans="1:18" s="27" customFormat="1">
      <c r="A13" s="47"/>
      <c r="D13" s="29" t="str">
        <f>VLOOKUP(C11,'MASTER DATA'!$A:$G,7,FALSE)</f>
        <v>Administrative Asst. II</v>
      </c>
      <c r="F13" s="49"/>
      <c r="G13" s="47"/>
      <c r="I13" s="3"/>
      <c r="J13" s="29" t="str">
        <f>VLOOKUP(I11,'MASTER DATA'!$A:$G,7,FALSE)</f>
        <v>Administrative Asst. II</v>
      </c>
      <c r="L13" s="49"/>
      <c r="M13" s="47"/>
      <c r="O13" s="3"/>
      <c r="P13" s="29" t="str">
        <f>VLOOKUP(O11,'MASTER DATA'!$A:$G,7,FALSE)</f>
        <v>Administrative Asst. I</v>
      </c>
      <c r="R13" s="49"/>
    </row>
    <row r="14" spans="1:18" s="27" customFormat="1">
      <c r="A14" s="47"/>
      <c r="D14" s="27" t="s">
        <v>4</v>
      </c>
      <c r="E14" s="30">
        <f>SUMIF('MASTER DATA'!$A:$A,COA!C11,'MASTER DATA'!$N:$N)</f>
        <v>9872</v>
      </c>
      <c r="F14" s="50"/>
      <c r="G14" s="47"/>
      <c r="I14" s="3"/>
      <c r="J14" s="27" t="s">
        <v>4</v>
      </c>
      <c r="K14" s="30">
        <f>SUMIF('MASTER DATA'!$A:$A,COA!I11,'MASTER DATA'!$N:$N)</f>
        <v>9872</v>
      </c>
      <c r="L14" s="50"/>
      <c r="M14" s="47"/>
      <c r="O14" s="3"/>
      <c r="P14" s="27" t="s">
        <v>4</v>
      </c>
      <c r="Q14" s="30">
        <f>SUMIF('MASTER DATA'!$A:$A,COA!O11,'MASTER DATA'!$N:$N)</f>
        <v>9310</v>
      </c>
      <c r="R14" s="49"/>
    </row>
    <row r="15" spans="1:18" s="27" customFormat="1" ht="17.25">
      <c r="A15" s="47"/>
      <c r="E15" s="37"/>
      <c r="F15" s="51"/>
      <c r="G15" s="59"/>
      <c r="H15" s="39"/>
      <c r="I15" s="38"/>
      <c r="K15" s="37"/>
      <c r="L15" s="51"/>
      <c r="M15" s="47"/>
      <c r="O15" s="38"/>
      <c r="Q15" s="37"/>
      <c r="R15" s="49"/>
    </row>
    <row r="16" spans="1:18" s="27" customFormat="1">
      <c r="A16" s="47"/>
      <c r="E16" s="30"/>
      <c r="F16" s="50"/>
      <c r="G16" s="59"/>
      <c r="H16" s="39"/>
      <c r="I16" s="38"/>
      <c r="K16" s="30"/>
      <c r="L16" s="50"/>
      <c r="M16" s="47"/>
      <c r="O16" s="38"/>
      <c r="Q16" s="30"/>
      <c r="R16" s="49"/>
    </row>
    <row r="17" spans="1:25" s="27" customFormat="1" ht="17.25">
      <c r="A17" s="47"/>
      <c r="E17" s="37"/>
      <c r="F17" s="51"/>
      <c r="G17" s="59"/>
      <c r="H17" s="39"/>
      <c r="I17" s="38"/>
      <c r="K17" s="37"/>
      <c r="L17" s="51"/>
      <c r="M17" s="47"/>
      <c r="O17" s="38"/>
      <c r="Q17" s="37"/>
      <c r="R17" s="49"/>
    </row>
    <row r="18" spans="1:25" s="27" customFormat="1">
      <c r="A18" s="47"/>
      <c r="D18" s="39" t="s">
        <v>5</v>
      </c>
      <c r="E18" s="40" t="s">
        <v>6</v>
      </c>
      <c r="F18" s="52"/>
      <c r="G18" s="47"/>
      <c r="I18" s="3"/>
      <c r="J18" s="39" t="s">
        <v>5</v>
      </c>
      <c r="K18" s="40" t="s">
        <v>6</v>
      </c>
      <c r="L18" s="52"/>
      <c r="M18" s="47"/>
      <c r="O18" s="3"/>
      <c r="P18" s="39" t="s">
        <v>5</v>
      </c>
      <c r="Q18" s="40" t="s">
        <v>6</v>
      </c>
      <c r="R18" s="49"/>
    </row>
    <row r="19" spans="1:25" s="27" customFormat="1">
      <c r="A19" s="47"/>
      <c r="F19" s="49"/>
      <c r="G19" s="60"/>
      <c r="H19" s="30"/>
      <c r="I19" s="28"/>
      <c r="L19" s="49"/>
      <c r="M19" s="60"/>
      <c r="N19" s="30"/>
      <c r="O19" s="28"/>
      <c r="R19" s="49"/>
    </row>
    <row r="20" spans="1:25" s="27" customFormat="1">
      <c r="A20" s="47"/>
      <c r="D20" s="30" t="s">
        <v>7</v>
      </c>
      <c r="E20" s="30">
        <f>SUMIF('MASTER DATA'!$A:$A,COA!C11,'MASTER DATA'!$AL:$AL)</f>
        <v>0</v>
      </c>
      <c r="F20" s="50"/>
      <c r="G20" s="60"/>
      <c r="H20" s="30"/>
      <c r="I20" s="28"/>
      <c r="J20" s="30" t="s">
        <v>7</v>
      </c>
      <c r="K20" s="30">
        <f>SUMIF('MASTER DATA'!$A:$A,COA!I11,'MASTER DATA'!$AL:$AL)</f>
        <v>0</v>
      </c>
      <c r="L20" s="50"/>
      <c r="M20" s="60"/>
      <c r="N20" s="30"/>
      <c r="O20" s="28"/>
      <c r="P20" s="30" t="s">
        <v>7</v>
      </c>
      <c r="Q20" s="30">
        <f>SUMIF('MASTER DATA'!$A:$A,COA!O11,'MASTER DATA'!$AL:$AL)</f>
        <v>0</v>
      </c>
      <c r="R20" s="49"/>
    </row>
    <row r="21" spans="1:25" s="27" customFormat="1">
      <c r="A21" s="47"/>
      <c r="D21" s="31" t="s">
        <v>8</v>
      </c>
      <c r="E21" s="30">
        <f>SUMIF('MASTER DATA'!$A:$A,COA!C11,'MASTER DATA'!$AM:$AM)+SUMIF('MASTER DATA'!$A:$A,COA!C11,'MASTER DATA'!$AN:$AN)</f>
        <v>0</v>
      </c>
      <c r="F21" s="50"/>
      <c r="G21" s="60"/>
      <c r="H21" s="30"/>
      <c r="I21" s="28"/>
      <c r="J21" s="31" t="s">
        <v>8</v>
      </c>
      <c r="K21" s="30">
        <f>SUMIF('MASTER DATA'!$A:$A,COA!I11,'MASTER DATA'!$AM:$AM)+SUMIF('MASTER DATA'!$A:$A,COA!I11,'MASTER DATA'!$AN:$AN)</f>
        <v>125.27000000000001</v>
      </c>
      <c r="L21" s="50"/>
      <c r="M21" s="60"/>
      <c r="N21" s="30"/>
      <c r="O21" s="28"/>
      <c r="P21" s="31" t="s">
        <v>8</v>
      </c>
      <c r="Q21" s="30">
        <f>SUMIF('MASTER DATA'!$A:$A,COA!O11,'MASTER DATA'!$AM:$AM)+SUMIF('MASTER DATA'!$A:$A,COA!O11,'MASTER DATA'!$AN:$AN)</f>
        <v>1.76</v>
      </c>
      <c r="R21" s="49"/>
    </row>
    <row r="22" spans="1:25" s="27" customFormat="1">
      <c r="A22" s="47"/>
      <c r="D22" s="30" t="s">
        <v>9</v>
      </c>
      <c r="E22" s="32">
        <f>SUMIF('MASTER DATA'!$A:$A,COA!C11,'MASTER DATA'!$AP:$AP)</f>
        <v>0</v>
      </c>
      <c r="F22" s="50"/>
      <c r="G22" s="60"/>
      <c r="H22" s="30"/>
      <c r="I22" s="28"/>
      <c r="J22" s="30" t="s">
        <v>9</v>
      </c>
      <c r="K22" s="32">
        <f>SUMIF('MASTER DATA'!$A:$A,COA!I11,'MASTER DATA'!$AP:$AP)</f>
        <v>0</v>
      </c>
      <c r="L22" s="50"/>
      <c r="M22" s="60"/>
      <c r="N22" s="30"/>
      <c r="O22" s="28"/>
      <c r="P22" s="30" t="s">
        <v>9</v>
      </c>
      <c r="Q22" s="32">
        <f>SUMIF('MASTER DATA'!$A:$A,COA!O11,'MASTER DATA'!$AP:$AP)</f>
        <v>0</v>
      </c>
      <c r="R22" s="49"/>
    </row>
    <row r="23" spans="1:25" s="27" customFormat="1">
      <c r="A23" s="47"/>
      <c r="D23" s="30" t="s">
        <v>10</v>
      </c>
      <c r="E23" s="30">
        <f>SUM(E20:E22)</f>
        <v>0</v>
      </c>
      <c r="F23" s="50"/>
      <c r="G23" s="60"/>
      <c r="H23" s="30"/>
      <c r="I23" s="28"/>
      <c r="J23" s="30" t="s">
        <v>10</v>
      </c>
      <c r="K23" s="30">
        <f>SUM(K20:K22)</f>
        <v>125.27000000000001</v>
      </c>
      <c r="L23" s="50"/>
      <c r="M23" s="60"/>
      <c r="N23" s="30"/>
      <c r="O23" s="28"/>
      <c r="P23" s="30" t="s">
        <v>10</v>
      </c>
      <c r="Q23" s="30">
        <f>SUM(Q20:Q22)</f>
        <v>1.76</v>
      </c>
      <c r="R23" s="49"/>
    </row>
    <row r="24" spans="1:25" s="27" customFormat="1">
      <c r="A24" s="47"/>
      <c r="D24" s="30"/>
      <c r="E24" s="30"/>
      <c r="F24" s="50"/>
      <c r="G24" s="60"/>
      <c r="H24" s="30"/>
      <c r="I24" s="28"/>
      <c r="J24" s="30"/>
      <c r="K24" s="30"/>
      <c r="L24" s="50"/>
      <c r="M24" s="60"/>
      <c r="N24" s="30"/>
      <c r="O24" s="28"/>
      <c r="P24" s="30"/>
      <c r="Q24" s="30"/>
      <c r="R24" s="49"/>
      <c r="Y24" s="3" t="s">
        <v>11</v>
      </c>
    </row>
    <row r="25" spans="1:25" s="27" customFormat="1">
      <c r="A25" s="47"/>
      <c r="D25" s="30" t="s">
        <v>12</v>
      </c>
      <c r="E25" s="30">
        <f>E14-E23</f>
        <v>9872</v>
      </c>
      <c r="F25" s="50"/>
      <c r="G25" s="60"/>
      <c r="H25" s="30"/>
      <c r="I25" s="28"/>
      <c r="J25" s="30" t="s">
        <v>12</v>
      </c>
      <c r="K25" s="30">
        <f>K14-K23</f>
        <v>9746.73</v>
      </c>
      <c r="L25" s="50"/>
      <c r="M25" s="60"/>
      <c r="N25" s="30"/>
      <c r="O25" s="28"/>
      <c r="P25" s="30" t="s">
        <v>12</v>
      </c>
      <c r="Q25" s="30">
        <f>Q14-Q23</f>
        <v>9308.24</v>
      </c>
      <c r="R25" s="49"/>
    </row>
    <row r="26" spans="1:25" s="27" customFormat="1">
      <c r="A26" s="47"/>
      <c r="D26" s="30" t="s">
        <v>13</v>
      </c>
      <c r="E26" s="30"/>
      <c r="F26" s="50"/>
      <c r="G26" s="60"/>
      <c r="H26" s="30"/>
      <c r="I26" s="28"/>
      <c r="J26" s="30" t="s">
        <v>13</v>
      </c>
      <c r="K26" s="30"/>
      <c r="L26" s="50"/>
      <c r="M26" s="60"/>
      <c r="N26" s="30"/>
      <c r="O26" s="28"/>
      <c r="P26" s="30" t="s">
        <v>13</v>
      </c>
      <c r="Q26" s="30"/>
      <c r="R26" s="49"/>
    </row>
    <row r="27" spans="1:25" s="27" customFormat="1">
      <c r="A27" s="47"/>
      <c r="D27" s="30" t="s">
        <v>14</v>
      </c>
      <c r="E27" s="30">
        <f>SUMIF('MASTER DATA'!$A:$A,COA!C11,'MASTER DATA'!$AS:$AS)</f>
        <v>0</v>
      </c>
      <c r="F27" s="50"/>
      <c r="G27" s="60"/>
      <c r="H27" s="30"/>
      <c r="I27" s="28"/>
      <c r="J27" s="30" t="s">
        <v>14</v>
      </c>
      <c r="K27" s="30">
        <f>SUMIF('MASTER DATA'!$A:$A,COA!I11,'MASTER DATA'!$AS:$AS)</f>
        <v>0</v>
      </c>
      <c r="L27" s="50"/>
      <c r="M27" s="60"/>
      <c r="N27" s="30"/>
      <c r="O27" s="28"/>
      <c r="P27" s="30" t="s">
        <v>14</v>
      </c>
      <c r="Q27" s="30">
        <f>SUMIF('MASTER DATA'!$A:$A,COA!O11,'MASTER DATA'!$AS:$AS)</f>
        <v>0</v>
      </c>
      <c r="R27" s="49"/>
    </row>
    <row r="28" spans="1:25" s="27" customFormat="1">
      <c r="A28" s="47"/>
      <c r="D28" s="69" t="s">
        <v>160</v>
      </c>
      <c r="E28" s="30">
        <f>SUMIF('MASTER DATA'!$A:$A,COA!C11,'MASTER DATA'!$AT:$AT)</f>
        <v>0</v>
      </c>
      <c r="F28" s="50"/>
      <c r="G28" s="60"/>
      <c r="H28" s="30"/>
      <c r="I28" s="28"/>
      <c r="J28" s="69" t="s">
        <v>160</v>
      </c>
      <c r="K28" s="30">
        <f>SUMIF('MASTER DATA'!$A:$A,COA!I11,'MASTER DATA'!$AT:$AT)</f>
        <v>0</v>
      </c>
      <c r="L28" s="50"/>
      <c r="M28" s="60"/>
      <c r="N28" s="30"/>
      <c r="O28" s="28"/>
      <c r="P28" s="69" t="s">
        <v>160</v>
      </c>
      <c r="Q28" s="30">
        <f>SUMIF('MASTER DATA'!$A:$A,COA!O11,'MASTER DATA'!$AT:$AT)</f>
        <v>0</v>
      </c>
      <c r="R28" s="49"/>
    </row>
    <row r="29" spans="1:25" s="27" customFormat="1">
      <c r="A29" s="47"/>
      <c r="D29" s="30" t="s">
        <v>15</v>
      </c>
      <c r="E29" s="30">
        <f>SUMIF('MASTER DATA'!$A:$A,COA!C11,'MASTER DATA'!$AU:$AU)</f>
        <v>0</v>
      </c>
      <c r="F29" s="50"/>
      <c r="G29" s="60"/>
      <c r="H29" s="30"/>
      <c r="I29" s="28"/>
      <c r="J29" s="30" t="s">
        <v>15</v>
      </c>
      <c r="K29" s="30">
        <f>SUMIF('MASTER DATA'!$A:$A,COA!I11,'MASTER DATA'!$AU:$AU)</f>
        <v>0</v>
      </c>
      <c r="L29" s="50"/>
      <c r="M29" s="60"/>
      <c r="N29" s="30"/>
      <c r="O29" s="28"/>
      <c r="P29" s="30" t="s">
        <v>15</v>
      </c>
      <c r="Q29" s="30">
        <f>SUMIF('MASTER DATA'!$A:$A,COA!O11,'MASTER DATA'!$AU:$AU)</f>
        <v>0</v>
      </c>
      <c r="R29" s="49"/>
      <c r="T29" s="29"/>
    </row>
    <row r="30" spans="1:25" s="27" customFormat="1">
      <c r="A30" s="47"/>
      <c r="D30" s="30" t="s">
        <v>19</v>
      </c>
      <c r="E30" s="30">
        <f>SUMIF('MASTER DATA'!$A:$A,COA!C11,'MASTER DATA'!$AV:$AV)</f>
        <v>0</v>
      </c>
      <c r="F30" s="50"/>
      <c r="G30" s="60"/>
      <c r="H30" s="30"/>
      <c r="I30" s="28"/>
      <c r="J30" s="30" t="s">
        <v>19</v>
      </c>
      <c r="K30" s="30">
        <f>SUMIF('MASTER DATA'!$A:$A,COA!I11,'MASTER DATA'!$AV:$AV)</f>
        <v>0</v>
      </c>
      <c r="L30" s="50"/>
      <c r="M30" s="60"/>
      <c r="N30" s="30"/>
      <c r="O30" s="28"/>
      <c r="P30" s="30" t="s">
        <v>19</v>
      </c>
      <c r="Q30" s="30">
        <f>SUMIF('MASTER DATA'!$A:$A,COA!O11,'MASTER DATA'!$AV:$AV)</f>
        <v>0</v>
      </c>
      <c r="R30" s="49"/>
      <c r="T30" s="29"/>
    </row>
    <row r="31" spans="1:25" s="27" customFormat="1">
      <c r="A31" s="47"/>
      <c r="D31" s="30" t="s">
        <v>20</v>
      </c>
      <c r="E31" s="30">
        <f>SUMIF('MASTER DATA'!$A:$A,COA!C11,'MASTER DATA'!$AW:$AW)</f>
        <v>0</v>
      </c>
      <c r="F31" s="50"/>
      <c r="G31" s="60"/>
      <c r="H31" s="30"/>
      <c r="I31" s="28"/>
      <c r="J31" s="30" t="s">
        <v>20</v>
      </c>
      <c r="K31" s="30">
        <f>SUMIF('MASTER DATA'!$A:$A,COA!I11,'MASTER DATA'!$AW:$AW)</f>
        <v>0</v>
      </c>
      <c r="L31" s="50"/>
      <c r="M31" s="60"/>
      <c r="N31" s="30"/>
      <c r="O31" s="28"/>
      <c r="P31" s="30" t="s">
        <v>20</v>
      </c>
      <c r="Q31" s="30">
        <f>SUMIF('MASTER DATA'!$A:$A,COA!O11,'MASTER DATA'!$AW:$AW)</f>
        <v>0</v>
      </c>
      <c r="R31" s="49"/>
      <c r="T31" s="29"/>
    </row>
    <row r="32" spans="1:25" s="27" customFormat="1">
      <c r="A32" s="47"/>
      <c r="D32" s="30" t="s">
        <v>23</v>
      </c>
      <c r="E32" s="30">
        <f>SUMIF('MASTER DATA'!$A:$A,COA!C11,'MASTER DATA'!$AX:$AX)</f>
        <v>0</v>
      </c>
      <c r="F32" s="50"/>
      <c r="G32" s="60"/>
      <c r="H32" s="30"/>
      <c r="I32" s="28"/>
      <c r="J32" s="30" t="s">
        <v>23</v>
      </c>
      <c r="K32" s="30">
        <f>SUMIF('MASTER DATA'!$A:$A,COA!I11,'MASTER DATA'!$AX:$AX)</f>
        <v>0</v>
      </c>
      <c r="L32" s="50"/>
      <c r="M32" s="60"/>
      <c r="N32" s="30"/>
      <c r="O32" s="28"/>
      <c r="P32" s="30" t="s">
        <v>23</v>
      </c>
      <c r="Q32" s="30">
        <f>SUMIF('MASTER DATA'!$A:$A,COA!O11,'MASTER DATA'!$AX:$AX)</f>
        <v>0</v>
      </c>
      <c r="R32" s="49"/>
      <c r="T32" s="29"/>
    </row>
    <row r="33" spans="1:20" s="27" customFormat="1" ht="16.5" thickBot="1">
      <c r="A33" s="47"/>
      <c r="D33" s="28" t="s">
        <v>16</v>
      </c>
      <c r="E33" s="33">
        <f>E25-SUM(E26:E32)</f>
        <v>9872</v>
      </c>
      <c r="F33" s="53"/>
      <c r="G33" s="60"/>
      <c r="H33" s="30"/>
      <c r="I33" s="28"/>
      <c r="J33" s="28" t="s">
        <v>16</v>
      </c>
      <c r="K33" s="33">
        <f>K25-SUM(K26:K32)</f>
        <v>9746.73</v>
      </c>
      <c r="L33" s="53"/>
      <c r="M33" s="60"/>
      <c r="N33" s="30"/>
      <c r="O33" s="28"/>
      <c r="P33" s="28" t="s">
        <v>16</v>
      </c>
      <c r="Q33" s="33">
        <f>Q25-SUM(Q26:Q32)</f>
        <v>9308.24</v>
      </c>
      <c r="R33" s="49"/>
      <c r="T33" s="29"/>
    </row>
    <row r="34" spans="1:20" s="27" customFormat="1" ht="16.5" thickTop="1">
      <c r="A34" s="47"/>
      <c r="D34" s="30"/>
      <c r="E34" s="30"/>
      <c r="F34" s="50"/>
      <c r="G34" s="60"/>
      <c r="H34" s="30"/>
      <c r="I34" s="28"/>
      <c r="J34" s="30"/>
      <c r="K34" s="30"/>
      <c r="L34" s="50"/>
      <c r="M34" s="60"/>
      <c r="N34" s="30"/>
      <c r="O34" s="28"/>
      <c r="P34" s="30"/>
      <c r="Q34" s="30"/>
      <c r="R34" s="49"/>
    </row>
    <row r="35" spans="1:20" s="27" customFormat="1" ht="69.75" customHeight="1">
      <c r="A35" s="47"/>
      <c r="B35" s="364"/>
      <c r="C35" s="364"/>
      <c r="D35" s="69"/>
      <c r="E35" s="364"/>
      <c r="F35" s="49"/>
      <c r="G35" s="47"/>
      <c r="H35" s="364"/>
      <c r="I35" s="365"/>
      <c r="J35" s="88" t="s">
        <v>318</v>
      </c>
      <c r="K35" s="364"/>
      <c r="L35" s="49"/>
      <c r="M35" s="60"/>
      <c r="N35" s="30"/>
      <c r="O35" s="28"/>
      <c r="P35" s="88" t="s">
        <v>318</v>
      </c>
      <c r="Q35" s="364"/>
      <c r="R35" s="49"/>
      <c r="S35" s="29"/>
    </row>
    <row r="36" spans="1:20" s="27" customFormat="1" ht="16.5" thickBot="1">
      <c r="A36" s="54"/>
      <c r="B36" s="55"/>
      <c r="C36" s="55"/>
      <c r="D36" s="55"/>
      <c r="E36" s="55"/>
      <c r="F36" s="56"/>
      <c r="G36" s="54"/>
      <c r="H36" s="55"/>
      <c r="I36" s="61"/>
      <c r="J36" s="366"/>
      <c r="K36" s="55"/>
      <c r="L36" s="56"/>
      <c r="M36" s="62"/>
      <c r="N36" s="63"/>
      <c r="O36" s="64"/>
      <c r="P36" s="55"/>
      <c r="Q36" s="55"/>
      <c r="R36" s="56"/>
      <c r="S36" s="65"/>
    </row>
    <row r="37" spans="1:20">
      <c r="A37" s="78"/>
      <c r="B37" s="71"/>
      <c r="C37" s="80"/>
      <c r="D37" s="71"/>
      <c r="E37" s="71"/>
      <c r="F37" s="79" t="s">
        <v>235</v>
      </c>
    </row>
    <row r="38" spans="1:20" ht="18">
      <c r="A38" s="44"/>
      <c r="B38" s="367"/>
      <c r="C38" s="368"/>
      <c r="D38" s="367"/>
      <c r="E38" s="367"/>
      <c r="F38" s="45"/>
      <c r="J38" s="13">
        <f>E33+K33</f>
        <v>19618.73</v>
      </c>
    </row>
    <row r="39" spans="1:20" ht="18">
      <c r="A39" s="44"/>
      <c r="B39" s="367"/>
      <c r="C39" s="368"/>
      <c r="D39" s="369" t="s">
        <v>0</v>
      </c>
      <c r="E39" s="368"/>
      <c r="F39" s="45"/>
    </row>
    <row r="40" spans="1:20" ht="18">
      <c r="A40" s="44"/>
      <c r="B40" s="367"/>
      <c r="C40" s="368"/>
      <c r="D40" s="369" t="s">
        <v>1</v>
      </c>
      <c r="E40" s="368"/>
      <c r="F40" s="45"/>
    </row>
    <row r="41" spans="1:20" ht="18">
      <c r="A41" s="44"/>
      <c r="B41" s="367"/>
      <c r="C41" s="368"/>
      <c r="D41" s="369" t="s">
        <v>162</v>
      </c>
      <c r="E41" s="368"/>
      <c r="F41" s="45"/>
    </row>
    <row r="42" spans="1:20" ht="18">
      <c r="A42" s="44"/>
      <c r="B42" s="367"/>
      <c r="C42" s="368"/>
      <c r="D42" s="367"/>
      <c r="E42" s="367"/>
      <c r="F42" s="45"/>
    </row>
    <row r="43" spans="1:20" ht="18">
      <c r="A43" s="44"/>
      <c r="B43" s="367"/>
      <c r="C43" s="368"/>
      <c r="D43" s="367"/>
      <c r="E43" s="367"/>
      <c r="F43" s="45"/>
    </row>
    <row r="44" spans="1:20">
      <c r="A44" s="47"/>
      <c r="B44" s="364"/>
      <c r="C44" s="365"/>
      <c r="D44" s="365" t="s">
        <v>3</v>
      </c>
      <c r="E44" s="365"/>
      <c r="F44" s="49"/>
    </row>
    <row r="45" spans="1:20">
      <c r="A45" s="47"/>
      <c r="B45" s="364"/>
      <c r="C45" s="365"/>
      <c r="D45" s="364" t="str">
        <f>D9</f>
        <v>FEB 16-28, 2026</v>
      </c>
      <c r="E45" s="364"/>
      <c r="F45" s="49"/>
    </row>
    <row r="46" spans="1:20">
      <c r="A46" s="47"/>
      <c r="B46" s="364"/>
      <c r="C46" s="365"/>
      <c r="D46" s="364"/>
      <c r="E46" s="364"/>
      <c r="F46" s="49"/>
    </row>
    <row r="47" spans="1:20">
      <c r="A47" s="47"/>
      <c r="B47" s="364"/>
      <c r="C47" s="365">
        <v>48</v>
      </c>
      <c r="D47" s="365" t="str">
        <f>VLOOKUP(C47,'MASTER DATA'!$A:$E,5,FALSE)</f>
        <v>COMPLETO, CRIZANTO E.</v>
      </c>
      <c r="E47" s="364"/>
      <c r="F47" s="49"/>
    </row>
    <row r="48" spans="1:20">
      <c r="A48" s="47"/>
      <c r="B48" s="364"/>
      <c r="C48" s="365"/>
      <c r="D48" s="365" t="str">
        <f>VLOOKUP(C47,'MASTER DATA'!$A:$F,6,FALSE)</f>
        <v>COA</v>
      </c>
      <c r="E48" s="364"/>
      <c r="F48" s="49"/>
    </row>
    <row r="49" spans="1:6">
      <c r="A49" s="47"/>
      <c r="B49" s="364"/>
      <c r="C49" s="365"/>
      <c r="D49" s="370" t="str">
        <f>VLOOKUP(C47,'MASTER DATA'!$A:$G,7,FALSE)</f>
        <v>Administrative Asst. I</v>
      </c>
      <c r="E49" s="364"/>
      <c r="F49" s="49"/>
    </row>
    <row r="50" spans="1:6">
      <c r="A50" s="47"/>
      <c r="B50" s="364"/>
      <c r="C50" s="365"/>
      <c r="D50" s="364" t="s">
        <v>4</v>
      </c>
      <c r="E50" s="30">
        <f>SUMIF('MASTER DATA'!$A:$A,COA!C47,'MASTER DATA'!$N:$N)</f>
        <v>9310</v>
      </c>
      <c r="F50" s="49"/>
    </row>
    <row r="51" spans="1:6" ht="17.25">
      <c r="A51" s="47"/>
      <c r="B51" s="364"/>
      <c r="C51" s="371"/>
      <c r="D51" s="364"/>
      <c r="E51" s="37"/>
      <c r="F51" s="49"/>
    </row>
    <row r="52" spans="1:6">
      <c r="A52" s="47"/>
      <c r="B52" s="364"/>
      <c r="C52" s="371"/>
      <c r="D52" s="364"/>
      <c r="E52" s="30"/>
      <c r="F52" s="49"/>
    </row>
    <row r="53" spans="1:6" ht="17.25">
      <c r="A53" s="47"/>
      <c r="B53" s="364"/>
      <c r="C53" s="371"/>
      <c r="D53" s="364"/>
      <c r="E53" s="37"/>
      <c r="F53" s="49"/>
    </row>
    <row r="54" spans="1:6">
      <c r="A54" s="47"/>
      <c r="B54" s="364"/>
      <c r="C54" s="365"/>
      <c r="D54" s="372" t="s">
        <v>5</v>
      </c>
      <c r="E54" s="373" t="s">
        <v>6</v>
      </c>
      <c r="F54" s="49"/>
    </row>
    <row r="55" spans="1:6">
      <c r="A55" s="60"/>
      <c r="B55" s="30"/>
      <c r="C55" s="28"/>
      <c r="D55" s="364"/>
      <c r="E55" s="364"/>
      <c r="F55" s="49"/>
    </row>
    <row r="56" spans="1:6">
      <c r="A56" s="60"/>
      <c r="B56" s="30"/>
      <c r="C56" s="28"/>
      <c r="D56" s="30" t="s">
        <v>7</v>
      </c>
      <c r="E56" s="30">
        <f>SUMIF('MASTER DATA'!$A:$A,COA!C47,'MASTER DATA'!$AL:$AL)</f>
        <v>0</v>
      </c>
      <c r="F56" s="49"/>
    </row>
    <row r="57" spans="1:6">
      <c r="A57" s="60"/>
      <c r="B57" s="30"/>
      <c r="C57" s="28"/>
      <c r="D57" s="31" t="s">
        <v>8</v>
      </c>
      <c r="E57" s="30">
        <f>SUMIF('MASTER DATA'!$A:$A,COA!C47,'MASTER DATA'!$AM:$AM)+SUMIF('MASTER DATA'!$A:$A,COA!C47,'MASTER DATA'!$AN:$AN)</f>
        <v>0</v>
      </c>
      <c r="F57" s="49"/>
    </row>
    <row r="58" spans="1:6">
      <c r="A58" s="60"/>
      <c r="B58" s="30"/>
      <c r="C58" s="28"/>
      <c r="D58" s="30" t="s">
        <v>9</v>
      </c>
      <c r="E58" s="32">
        <f>SUMIF('MASTER DATA'!$A:$A,COA!C47,'MASTER DATA'!$AP:$AP)</f>
        <v>0</v>
      </c>
      <c r="F58" s="49"/>
    </row>
    <row r="59" spans="1:6">
      <c r="A59" s="60"/>
      <c r="B59" s="30"/>
      <c r="C59" s="28"/>
      <c r="D59" s="30" t="s">
        <v>10</v>
      </c>
      <c r="E59" s="30">
        <f>SUM(E56:E58)</f>
        <v>0</v>
      </c>
      <c r="F59" s="49"/>
    </row>
    <row r="60" spans="1:6">
      <c r="A60" s="60"/>
      <c r="B60" s="30"/>
      <c r="C60" s="28"/>
      <c r="D60" s="30"/>
      <c r="E60" s="30"/>
      <c r="F60" s="49"/>
    </row>
    <row r="61" spans="1:6">
      <c r="A61" s="60"/>
      <c r="B61" s="30"/>
      <c r="C61" s="28"/>
      <c r="D61" s="30" t="s">
        <v>12</v>
      </c>
      <c r="E61" s="30">
        <f>E50-E59</f>
        <v>9310</v>
      </c>
      <c r="F61" s="49"/>
    </row>
    <row r="62" spans="1:6">
      <c r="A62" s="60"/>
      <c r="B62" s="30"/>
      <c r="C62" s="28"/>
      <c r="D62" s="30" t="s">
        <v>13</v>
      </c>
      <c r="E62" s="30"/>
      <c r="F62" s="49"/>
    </row>
    <row r="63" spans="1:6">
      <c r="A63" s="60"/>
      <c r="B63" s="30"/>
      <c r="C63" s="28"/>
      <c r="D63" s="30" t="s">
        <v>14</v>
      </c>
      <c r="E63" s="30">
        <f>SUMIF('MASTER DATA'!$A:$A,COA!C47,'MASTER DATA'!$AS:$AS)</f>
        <v>0</v>
      </c>
      <c r="F63" s="49"/>
    </row>
    <row r="64" spans="1:6">
      <c r="A64" s="60"/>
      <c r="B64" s="30"/>
      <c r="C64" s="28"/>
      <c r="D64" s="69" t="s">
        <v>160</v>
      </c>
      <c r="E64" s="30">
        <f>SUMIF('MASTER DATA'!$A:$A,COA!C47,'MASTER DATA'!$AT:$AT)</f>
        <v>0</v>
      </c>
      <c r="F64" s="49"/>
    </row>
    <row r="65" spans="1:6">
      <c r="A65" s="60"/>
      <c r="B65" s="30"/>
      <c r="C65" s="28"/>
      <c r="D65" s="30" t="s">
        <v>15</v>
      </c>
      <c r="E65" s="30">
        <f>SUMIF('MASTER DATA'!$A:$A,COA!C47,'MASTER DATA'!$AU:$AU)</f>
        <v>0</v>
      </c>
      <c r="F65" s="49"/>
    </row>
    <row r="66" spans="1:6">
      <c r="A66" s="60"/>
      <c r="B66" s="30"/>
      <c r="C66" s="28"/>
      <c r="D66" s="30" t="s">
        <v>19</v>
      </c>
      <c r="E66" s="30">
        <f>SUMIF('MASTER DATA'!$A:$A,COA!C47,'MASTER DATA'!$AV:$AV)</f>
        <v>0</v>
      </c>
      <c r="F66" s="49"/>
    </row>
    <row r="67" spans="1:6">
      <c r="A67" s="60"/>
      <c r="B67" s="30"/>
      <c r="C67" s="28"/>
      <c r="D67" s="30" t="s">
        <v>20</v>
      </c>
      <c r="E67" s="30">
        <f>SUMIF('MASTER DATA'!$A:$A,COA!C47,'MASTER DATA'!$AW:$AW)</f>
        <v>0</v>
      </c>
      <c r="F67" s="49"/>
    </row>
    <row r="68" spans="1:6">
      <c r="A68" s="60"/>
      <c r="B68" s="30"/>
      <c r="C68" s="28"/>
      <c r="D68" s="30" t="s">
        <v>23</v>
      </c>
      <c r="E68" s="30">
        <f>SUMIF('MASTER DATA'!$A:$A,COA!C47,'MASTER DATA'!$AX:$AX)</f>
        <v>0</v>
      </c>
      <c r="F68" s="49"/>
    </row>
    <row r="69" spans="1:6" ht="16.5" thickBot="1">
      <c r="A69" s="60"/>
      <c r="B69" s="30"/>
      <c r="C69" s="28"/>
      <c r="D69" s="28" t="s">
        <v>16</v>
      </c>
      <c r="E69" s="33">
        <f>E61-SUM(E62:E68)</f>
        <v>9310</v>
      </c>
      <c r="F69" s="49"/>
    </row>
    <row r="70" spans="1:6" ht="16.5" thickTop="1">
      <c r="A70" s="60"/>
      <c r="B70" s="30"/>
      <c r="C70" s="28"/>
      <c r="D70" s="30"/>
      <c r="E70" s="30"/>
      <c r="F70" s="49"/>
    </row>
    <row r="71" spans="1:6">
      <c r="A71" s="60"/>
      <c r="B71" s="30"/>
      <c r="C71" s="28"/>
      <c r="D71" s="88"/>
      <c r="E71" s="364"/>
      <c r="F71" s="49"/>
    </row>
    <row r="72" spans="1:6" ht="16.5" thickBot="1">
      <c r="A72" s="62"/>
      <c r="B72" s="63"/>
      <c r="C72" s="64"/>
      <c r="D72" s="55"/>
      <c r="E72" s="55"/>
      <c r="F72" s="56"/>
    </row>
  </sheetData>
  <pageMargins left="0.70866141732283472" right="0.70866141732283472" top="0.74803149606299213" bottom="0.74803149606299213" header="0.31496062992125984" footer="0.31496062992125984"/>
  <pageSetup scale="75" orientation="portrait" r:id="rId1"/>
  <rowBreaks count="1" manualBreakCount="1">
    <brk id="36" max="17" man="1"/>
  </rowBreaks>
  <colBreaks count="2" manualBreakCount="2">
    <brk id="6" max="71" man="1"/>
    <brk id="12" max="71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AAFC-0616-47F6-969F-C54F4DE5D648}">
  <sheetPr codeName="Sheet16"/>
  <dimension ref="A1:X40"/>
  <sheetViews>
    <sheetView view="pageBreakPreview" zoomScale="70" zoomScaleNormal="70" zoomScaleSheetLayoutView="70" workbookViewId="0">
      <selection activeCell="J35" sqref="J35"/>
    </sheetView>
  </sheetViews>
  <sheetFormatPr defaultColWidth="9.140625" defaultRowHeight="15.75"/>
  <cols>
    <col min="1" max="2" width="4.7109375" style="2" customWidth="1"/>
    <col min="3" max="3" width="3.5703125" style="27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3.5703125" style="3" customWidth="1"/>
    <col min="10" max="10" width="25.5703125" style="2" customWidth="1"/>
    <col min="11" max="11" width="13.5703125" style="2" customWidth="1"/>
    <col min="12" max="12" width="13.7109375" style="2" customWidth="1"/>
    <col min="13" max="13" width="4.7109375" style="2" customWidth="1"/>
    <col min="14" max="14" width="2.7109375" style="26" customWidth="1"/>
    <col min="15" max="15" width="25.5703125" style="2" customWidth="1"/>
    <col min="16" max="16" width="13.5703125" style="2" customWidth="1"/>
    <col min="17" max="17" width="13.7109375" style="2" customWidth="1"/>
    <col min="18" max="18" width="11.5703125" style="2" bestFit="1" customWidth="1"/>
    <col min="19" max="19" width="11.28515625" style="2" bestFit="1" customWidth="1"/>
    <col min="20" max="16384" width="9.140625" style="2"/>
  </cols>
  <sheetData>
    <row r="1" spans="1:17" ht="18">
      <c r="A1" s="41"/>
      <c r="B1" s="42"/>
      <c r="C1" s="42"/>
      <c r="D1" s="42"/>
      <c r="E1" s="42"/>
      <c r="F1" s="79" t="s">
        <v>235</v>
      </c>
      <c r="G1" s="78"/>
      <c r="H1" s="71"/>
      <c r="I1" s="80"/>
      <c r="J1" s="71"/>
      <c r="K1" s="71"/>
      <c r="L1" s="79" t="s">
        <v>235</v>
      </c>
      <c r="M1" s="41"/>
      <c r="N1" s="42"/>
      <c r="O1" s="57"/>
      <c r="P1" s="42"/>
      <c r="Q1" s="68"/>
    </row>
    <row r="2" spans="1:17" ht="18">
      <c r="A2" s="44"/>
      <c r="B2" s="34"/>
      <c r="C2" s="34"/>
      <c r="D2" s="34"/>
      <c r="E2" s="34"/>
      <c r="F2" s="45"/>
      <c r="G2" s="44"/>
      <c r="H2" s="34"/>
      <c r="I2" s="36"/>
      <c r="J2" s="34"/>
      <c r="K2" s="34"/>
      <c r="L2" s="45"/>
      <c r="M2" s="44"/>
      <c r="N2" s="36"/>
      <c r="O2" s="34"/>
      <c r="P2" s="34"/>
      <c r="Q2" s="45"/>
    </row>
    <row r="3" spans="1:17" ht="18">
      <c r="A3" s="44"/>
      <c r="B3" s="34"/>
      <c r="C3" s="34"/>
      <c r="D3" s="35" t="s">
        <v>0</v>
      </c>
      <c r="E3" s="36"/>
      <c r="F3" s="46"/>
      <c r="G3" s="44"/>
      <c r="H3" s="34"/>
      <c r="I3" s="36"/>
      <c r="J3" s="35" t="s">
        <v>0</v>
      </c>
      <c r="K3" s="36"/>
      <c r="L3" s="46"/>
      <c r="M3" s="44"/>
      <c r="N3" s="36"/>
      <c r="O3" s="35"/>
      <c r="P3" s="36"/>
      <c r="Q3" s="45"/>
    </row>
    <row r="4" spans="1:17" ht="18">
      <c r="A4" s="44"/>
      <c r="B4" s="34"/>
      <c r="C4" s="34"/>
      <c r="D4" s="35" t="s">
        <v>1</v>
      </c>
      <c r="E4" s="36"/>
      <c r="F4" s="46"/>
      <c r="G4" s="44"/>
      <c r="H4" s="34"/>
      <c r="I4" s="36"/>
      <c r="J4" s="35" t="s">
        <v>1</v>
      </c>
      <c r="K4" s="36"/>
      <c r="L4" s="46"/>
      <c r="M4" s="44"/>
      <c r="N4" s="36"/>
      <c r="O4" s="35"/>
      <c r="P4" s="36"/>
      <c r="Q4" s="45"/>
    </row>
    <row r="5" spans="1:17" ht="18">
      <c r="A5" s="44"/>
      <c r="B5" s="34"/>
      <c r="C5" s="34"/>
      <c r="D5" s="35" t="s">
        <v>162</v>
      </c>
      <c r="E5" s="36"/>
      <c r="F5" s="46"/>
      <c r="G5" s="44"/>
      <c r="H5" s="34"/>
      <c r="I5" s="36"/>
      <c r="J5" s="35" t="s">
        <v>162</v>
      </c>
      <c r="K5" s="36"/>
      <c r="L5" s="46"/>
      <c r="M5" s="44"/>
      <c r="N5" s="36"/>
      <c r="O5" s="35"/>
      <c r="P5" s="36"/>
      <c r="Q5" s="45"/>
    </row>
    <row r="6" spans="1:17" ht="18">
      <c r="A6" s="44"/>
      <c r="B6" s="34"/>
      <c r="C6" s="34"/>
      <c r="D6" s="34"/>
      <c r="E6" s="34"/>
      <c r="F6" s="45"/>
      <c r="G6" s="44"/>
      <c r="H6" s="34"/>
      <c r="I6" s="36"/>
      <c r="J6" s="34"/>
      <c r="K6" s="34"/>
      <c r="L6" s="45"/>
      <c r="M6" s="44"/>
      <c r="N6" s="36"/>
      <c r="O6" s="34"/>
      <c r="P6" s="34"/>
      <c r="Q6" s="45"/>
    </row>
    <row r="7" spans="1:17" ht="18">
      <c r="A7" s="44"/>
      <c r="B7" s="34"/>
      <c r="C7" s="34"/>
      <c r="D7" s="34"/>
      <c r="E7" s="34"/>
      <c r="F7" s="45"/>
      <c r="G7" s="44"/>
      <c r="H7" s="34"/>
      <c r="I7" s="36"/>
      <c r="J7" s="34"/>
      <c r="K7" s="34"/>
      <c r="L7" s="45"/>
      <c r="M7" s="44"/>
      <c r="N7" s="36"/>
      <c r="O7" s="34"/>
      <c r="P7" s="34"/>
      <c r="Q7" s="45"/>
    </row>
    <row r="8" spans="1:17">
      <c r="A8" s="47"/>
      <c r="B8" s="27"/>
      <c r="D8" s="3" t="s">
        <v>3</v>
      </c>
      <c r="E8" s="3"/>
      <c r="F8" s="48"/>
      <c r="G8" s="47"/>
      <c r="H8" s="27"/>
      <c r="J8" s="3" t="s">
        <v>3</v>
      </c>
      <c r="K8" s="3"/>
      <c r="L8" s="48"/>
      <c r="M8" s="47"/>
      <c r="N8" s="3"/>
      <c r="O8" s="3"/>
      <c r="P8" s="3"/>
      <c r="Q8" s="49"/>
    </row>
    <row r="9" spans="1:17">
      <c r="A9" s="47"/>
      <c r="B9" s="27"/>
      <c r="D9" s="27" t="s">
        <v>319</v>
      </c>
      <c r="E9" s="27"/>
      <c r="F9" s="49"/>
      <c r="G9" s="58"/>
      <c r="H9" s="3"/>
      <c r="J9" s="27" t="str">
        <f>D9</f>
        <v>FEB 16-28, 2026</v>
      </c>
      <c r="K9" s="27"/>
      <c r="L9" s="49"/>
      <c r="M9" s="47"/>
      <c r="N9" s="3"/>
      <c r="O9" s="27"/>
      <c r="P9" s="27"/>
      <c r="Q9" s="49"/>
    </row>
    <row r="10" spans="1:17">
      <c r="A10" s="47"/>
      <c r="B10" s="27"/>
      <c r="D10" s="3"/>
      <c r="E10" s="27"/>
      <c r="F10" s="49"/>
      <c r="G10" s="47"/>
      <c r="H10" s="27"/>
      <c r="J10" s="3"/>
      <c r="K10" s="27"/>
      <c r="L10" s="49"/>
      <c r="M10" s="47"/>
      <c r="N10" s="3"/>
      <c r="O10" s="27"/>
      <c r="P10" s="27"/>
      <c r="Q10" s="49"/>
    </row>
    <row r="11" spans="1:17" s="27" customFormat="1">
      <c r="A11" s="47"/>
      <c r="C11" s="3">
        <v>49</v>
      </c>
      <c r="D11" s="3" t="str">
        <f>VLOOKUP(C11,'MASTER DATA'!$A:$E,5,FALSE)</f>
        <v>GAGUCAS, MICHAEL B.</v>
      </c>
      <c r="F11" s="49"/>
      <c r="G11" s="47"/>
      <c r="I11" s="3">
        <v>50</v>
      </c>
      <c r="J11" s="3" t="str">
        <f>VLOOKUP(I11,'MASTER DATA'!$A:$E,5,FALSE)</f>
        <v>WALICAN, CARLA S.</v>
      </c>
      <c r="L11" s="49"/>
      <c r="M11" s="47"/>
      <c r="N11" s="3"/>
      <c r="O11" s="3"/>
      <c r="Q11" s="49"/>
    </row>
    <row r="12" spans="1:17" s="27" customFormat="1">
      <c r="A12" s="47"/>
      <c r="C12" s="3"/>
      <c r="D12" s="3" t="str">
        <f>VLOOKUP(C11,'MASTER DATA'!$A:$F,6,FALSE)</f>
        <v>SMS</v>
      </c>
      <c r="F12" s="49"/>
      <c r="G12" s="47"/>
      <c r="I12" s="3"/>
      <c r="J12" s="3" t="str">
        <f>VLOOKUP(I11,'MASTER DATA'!$A:$F,6,FALSE)</f>
        <v>SMS</v>
      </c>
      <c r="L12" s="49"/>
      <c r="M12" s="47"/>
      <c r="N12" s="3"/>
      <c r="O12" s="3"/>
      <c r="Q12" s="49"/>
    </row>
    <row r="13" spans="1:17" s="27" customFormat="1">
      <c r="A13" s="47"/>
      <c r="D13" s="29" t="str">
        <f>VLOOKUP(C11,'MASTER DATA'!$A:$G,7,FALSE)</f>
        <v>Administrative Asst. II</v>
      </c>
      <c r="F13" s="49"/>
      <c r="G13" s="47"/>
      <c r="I13" s="3"/>
      <c r="J13" s="29" t="str">
        <f>VLOOKUP(I11,'MASTER DATA'!$A:$G,7,FALSE)</f>
        <v>Administrative Asst. II</v>
      </c>
      <c r="L13" s="49"/>
      <c r="M13" s="47"/>
      <c r="N13" s="3"/>
      <c r="O13" s="29"/>
      <c r="Q13" s="49"/>
    </row>
    <row r="14" spans="1:17" s="27" customFormat="1">
      <c r="A14" s="47"/>
      <c r="D14" s="27" t="s">
        <v>4</v>
      </c>
      <c r="E14" s="30">
        <f>SUMIF('MASTER DATA'!$A:$A,SMS!C11,'MASTER DATA'!$N:$N)</f>
        <v>9872</v>
      </c>
      <c r="F14" s="50"/>
      <c r="G14" s="47"/>
      <c r="I14" s="3"/>
      <c r="J14" s="27" t="s">
        <v>4</v>
      </c>
      <c r="K14" s="30">
        <f>SUMIF('MASTER DATA'!$A:$A,SMS!I11,'MASTER DATA'!$N:$N)</f>
        <v>9872</v>
      </c>
      <c r="L14" s="50"/>
      <c r="M14" s="47"/>
      <c r="N14" s="3"/>
      <c r="P14" s="30"/>
      <c r="Q14" s="49"/>
    </row>
    <row r="15" spans="1:17" s="27" customFormat="1" ht="17.25">
      <c r="A15" s="47"/>
      <c r="E15" s="37"/>
      <c r="F15" s="51"/>
      <c r="G15" s="59"/>
      <c r="H15" s="39"/>
      <c r="I15" s="38"/>
      <c r="K15" s="37"/>
      <c r="L15" s="51"/>
      <c r="M15" s="47"/>
      <c r="N15" s="3"/>
      <c r="P15" s="37"/>
      <c r="Q15" s="49"/>
    </row>
    <row r="16" spans="1:17" s="27" customFormat="1">
      <c r="A16" s="47"/>
      <c r="E16" s="30"/>
      <c r="F16" s="50"/>
      <c r="G16" s="59"/>
      <c r="H16" s="39"/>
      <c r="I16" s="38"/>
      <c r="K16" s="30"/>
      <c r="L16" s="50"/>
      <c r="M16" s="47"/>
      <c r="N16" s="3"/>
      <c r="P16" s="30"/>
      <c r="Q16" s="49"/>
    </row>
    <row r="17" spans="1:24" s="27" customFormat="1" ht="17.25">
      <c r="A17" s="47"/>
      <c r="E17" s="37"/>
      <c r="F17" s="51"/>
      <c r="G17" s="59"/>
      <c r="H17" s="39"/>
      <c r="I17" s="38"/>
      <c r="K17" s="37"/>
      <c r="L17" s="51"/>
      <c r="M17" s="47"/>
      <c r="N17" s="3"/>
      <c r="P17" s="37"/>
      <c r="Q17" s="49"/>
    </row>
    <row r="18" spans="1:24" s="27" customFormat="1">
      <c r="A18" s="47"/>
      <c r="D18" s="39" t="s">
        <v>5</v>
      </c>
      <c r="E18" s="40" t="s">
        <v>6</v>
      </c>
      <c r="F18" s="52"/>
      <c r="G18" s="47"/>
      <c r="I18" s="3"/>
      <c r="J18" s="39" t="s">
        <v>5</v>
      </c>
      <c r="K18" s="40" t="s">
        <v>6</v>
      </c>
      <c r="L18" s="52"/>
      <c r="M18" s="47"/>
      <c r="N18" s="3"/>
      <c r="O18" s="39"/>
      <c r="P18" s="40"/>
      <c r="Q18" s="49"/>
    </row>
    <row r="19" spans="1:24" s="27" customFormat="1">
      <c r="A19" s="47"/>
      <c r="F19" s="49"/>
      <c r="G19" s="60"/>
      <c r="H19" s="30"/>
      <c r="I19" s="28"/>
      <c r="L19" s="49"/>
      <c r="M19" s="60"/>
      <c r="N19" s="28"/>
      <c r="Q19" s="49"/>
    </row>
    <row r="20" spans="1:24" s="27" customFormat="1">
      <c r="A20" s="47"/>
      <c r="D20" s="30" t="s">
        <v>7</v>
      </c>
      <c r="E20" s="30">
        <f>SUMIF('MASTER DATA'!$A:$A,SMS!C11,'MASTER DATA'!$AL:$AL)</f>
        <v>0</v>
      </c>
      <c r="F20" s="50"/>
      <c r="G20" s="60"/>
      <c r="H20" s="30"/>
      <c r="I20" s="28"/>
      <c r="J20" s="30" t="s">
        <v>7</v>
      </c>
      <c r="K20" s="30">
        <f>SUMIF('MASTER DATA'!$A:$A,SMS!I11,'MASTER DATA'!$AL:$AL)</f>
        <v>0</v>
      </c>
      <c r="L20" s="50"/>
      <c r="M20" s="60"/>
      <c r="N20" s="28"/>
      <c r="O20" s="30"/>
      <c r="P20" s="30"/>
      <c r="Q20" s="49"/>
    </row>
    <row r="21" spans="1:24" s="27" customFormat="1">
      <c r="A21" s="47"/>
      <c r="D21" s="31" t="s">
        <v>8</v>
      </c>
      <c r="E21" s="30">
        <f>SUMIF('MASTER DATA'!$A:$A,SMS!C11,'MASTER DATA'!$AM:$AM)+SUMIF('MASTER DATA'!$A:$A,SMS!C11,'MASTER DATA'!$AN:$AN)</f>
        <v>123.4</v>
      </c>
      <c r="F21" s="50"/>
      <c r="G21" s="60"/>
      <c r="H21" s="30"/>
      <c r="I21" s="28"/>
      <c r="J21" s="31" t="s">
        <v>8</v>
      </c>
      <c r="K21" s="30">
        <f>SUMIF('MASTER DATA'!$A:$A,SMS!I11,'MASTER DATA'!$AM:$AM)+SUMIF('MASTER DATA'!$A:$A,SMS!I11,'MASTER DATA'!$AN:$AN)</f>
        <v>16.829999999999998</v>
      </c>
      <c r="L21" s="50"/>
      <c r="M21" s="60"/>
      <c r="N21" s="28"/>
      <c r="O21" s="31"/>
      <c r="P21" s="30"/>
      <c r="Q21" s="49"/>
    </row>
    <row r="22" spans="1:24" s="27" customFormat="1">
      <c r="A22" s="47"/>
      <c r="D22" s="30" t="s">
        <v>9</v>
      </c>
      <c r="E22" s="32">
        <f>SUMIF('MASTER DATA'!$A:$A,SMS!C11,'MASTER DATA'!$AP:$AP)</f>
        <v>0</v>
      </c>
      <c r="F22" s="50"/>
      <c r="G22" s="60"/>
      <c r="H22" s="30"/>
      <c r="I22" s="28"/>
      <c r="J22" s="30" t="s">
        <v>9</v>
      </c>
      <c r="K22" s="32">
        <f>SUMIF('MASTER DATA'!$A:$A,SMS!I11,'MASTER DATA'!$AP:$AP)</f>
        <v>0</v>
      </c>
      <c r="L22" s="50"/>
      <c r="M22" s="60"/>
      <c r="N22" s="28"/>
      <c r="O22" s="30"/>
      <c r="P22" s="30"/>
      <c r="Q22" s="49"/>
    </row>
    <row r="23" spans="1:24" s="27" customFormat="1">
      <c r="A23" s="47"/>
      <c r="D23" s="30" t="s">
        <v>10</v>
      </c>
      <c r="E23" s="30">
        <f>SUM(E20:E22)</f>
        <v>123.4</v>
      </c>
      <c r="F23" s="50"/>
      <c r="G23" s="60"/>
      <c r="H23" s="30"/>
      <c r="I23" s="28"/>
      <c r="J23" s="30" t="s">
        <v>10</v>
      </c>
      <c r="K23" s="30">
        <f>SUM(K20:K22)</f>
        <v>16.829999999999998</v>
      </c>
      <c r="L23" s="50"/>
      <c r="M23" s="60"/>
      <c r="N23" s="28"/>
      <c r="O23" s="30"/>
      <c r="P23" s="30"/>
      <c r="Q23" s="49"/>
    </row>
    <row r="24" spans="1:24" s="27" customFormat="1">
      <c r="A24" s="47"/>
      <c r="D24" s="30"/>
      <c r="E24" s="30"/>
      <c r="F24" s="50"/>
      <c r="G24" s="60"/>
      <c r="H24" s="30"/>
      <c r="I24" s="28"/>
      <c r="J24" s="30"/>
      <c r="K24" s="30"/>
      <c r="L24" s="50"/>
      <c r="M24" s="60"/>
      <c r="N24" s="28"/>
      <c r="O24" s="30"/>
      <c r="P24" s="30"/>
      <c r="Q24" s="49"/>
      <c r="X24" s="3" t="s">
        <v>11</v>
      </c>
    </row>
    <row r="25" spans="1:24" s="27" customFormat="1">
      <c r="A25" s="47"/>
      <c r="D25" s="30" t="s">
        <v>12</v>
      </c>
      <c r="E25" s="30">
        <f>E14-E23</f>
        <v>9748.6</v>
      </c>
      <c r="F25" s="50"/>
      <c r="G25" s="60"/>
      <c r="H25" s="30"/>
      <c r="I25" s="28"/>
      <c r="J25" s="30" t="s">
        <v>12</v>
      </c>
      <c r="K25" s="30">
        <f>K14-K23</f>
        <v>9855.17</v>
      </c>
      <c r="L25" s="50"/>
      <c r="M25" s="60"/>
      <c r="N25" s="28"/>
      <c r="O25" s="30"/>
      <c r="P25" s="30"/>
      <c r="Q25" s="49"/>
    </row>
    <row r="26" spans="1:24" s="27" customFormat="1">
      <c r="A26" s="47"/>
      <c r="D26" s="30" t="s">
        <v>13</v>
      </c>
      <c r="E26" s="30"/>
      <c r="F26" s="50"/>
      <c r="G26" s="60"/>
      <c r="H26" s="30"/>
      <c r="I26" s="28"/>
      <c r="J26" s="30" t="s">
        <v>13</v>
      </c>
      <c r="K26" s="30"/>
      <c r="L26" s="50"/>
      <c r="M26" s="60"/>
      <c r="N26" s="28"/>
      <c r="O26" s="30"/>
      <c r="P26" s="30"/>
      <c r="Q26" s="49"/>
    </row>
    <row r="27" spans="1:24" s="27" customFormat="1">
      <c r="A27" s="47"/>
      <c r="D27" s="30" t="s">
        <v>14</v>
      </c>
      <c r="E27" s="30">
        <f>SUMIF('MASTER DATA'!$A:$A,SMS!C11,'MASTER DATA'!$AS:$AS)</f>
        <v>0</v>
      </c>
      <c r="F27" s="50"/>
      <c r="G27" s="60"/>
      <c r="H27" s="30"/>
      <c r="I27" s="28"/>
      <c r="J27" s="30" t="s">
        <v>14</v>
      </c>
      <c r="K27" s="30">
        <f>SUMIF('MASTER DATA'!$A:$A,SMS!I11,'MASTER DATA'!$AS:$AS)</f>
        <v>0</v>
      </c>
      <c r="L27" s="50"/>
      <c r="M27" s="60"/>
      <c r="N27" s="28"/>
      <c r="O27" s="30"/>
      <c r="P27" s="30"/>
      <c r="Q27" s="49"/>
    </row>
    <row r="28" spans="1:24" s="27" customFormat="1">
      <c r="A28" s="47"/>
      <c r="D28" s="69" t="s">
        <v>160</v>
      </c>
      <c r="E28" s="30">
        <f>SUMIF('MASTER DATA'!$A:$A,SMS!C11,'MASTER DATA'!$AT:$AT)</f>
        <v>0</v>
      </c>
      <c r="F28" s="50"/>
      <c r="G28" s="60"/>
      <c r="H28" s="30"/>
      <c r="I28" s="28"/>
      <c r="J28" s="69" t="s">
        <v>160</v>
      </c>
      <c r="K28" s="30">
        <f>SUMIF('MASTER DATA'!$A:$A,SMS!I11,'MASTER DATA'!$AT:$AT)</f>
        <v>0</v>
      </c>
      <c r="L28" s="50"/>
      <c r="M28" s="60"/>
      <c r="N28" s="28"/>
      <c r="O28" s="30"/>
      <c r="P28" s="30"/>
      <c r="Q28" s="49"/>
    </row>
    <row r="29" spans="1:24" s="27" customFormat="1">
      <c r="A29" s="47"/>
      <c r="D29" s="30" t="s">
        <v>15</v>
      </c>
      <c r="E29" s="30">
        <f>SUMIF('MASTER DATA'!$A:$A,SMS!C11,'MASTER DATA'!$AU:$AU)</f>
        <v>0</v>
      </c>
      <c r="F29" s="50"/>
      <c r="G29" s="60"/>
      <c r="H29" s="30"/>
      <c r="I29" s="28"/>
      <c r="J29" s="30" t="s">
        <v>15</v>
      </c>
      <c r="K29" s="30">
        <f>SUMIF('MASTER DATA'!$A:$A,SMS!I11,'MASTER DATA'!$AU:$AU)</f>
        <v>0</v>
      </c>
      <c r="L29" s="50"/>
      <c r="M29" s="60"/>
      <c r="N29" s="28"/>
      <c r="O29" s="30"/>
      <c r="P29" s="30"/>
      <c r="Q29" s="49"/>
      <c r="S29" s="29"/>
    </row>
    <row r="30" spans="1:24" s="27" customFormat="1">
      <c r="A30" s="47"/>
      <c r="D30" s="30" t="s">
        <v>19</v>
      </c>
      <c r="E30" s="30">
        <f>SUMIF('MASTER DATA'!$A:$A,SMS!C11,'MASTER DATA'!$AV:$AV)</f>
        <v>0</v>
      </c>
      <c r="F30" s="50"/>
      <c r="G30" s="60"/>
      <c r="H30" s="30"/>
      <c r="I30" s="28"/>
      <c r="J30" s="30" t="s">
        <v>19</v>
      </c>
      <c r="K30" s="30">
        <f>SUMIF('MASTER DATA'!$A:$A,SMS!I11,'MASTER DATA'!$AV:$AV)</f>
        <v>0</v>
      </c>
      <c r="L30" s="50"/>
      <c r="M30" s="60"/>
      <c r="N30" s="28"/>
      <c r="O30" s="30"/>
      <c r="P30" s="30"/>
      <c r="Q30" s="49"/>
      <c r="S30" s="29"/>
    </row>
    <row r="31" spans="1:24" s="27" customFormat="1">
      <c r="A31" s="47"/>
      <c r="D31" s="30" t="s">
        <v>20</v>
      </c>
      <c r="E31" s="30">
        <f>SUMIF('MASTER DATA'!$A:$A,SMS!C11,'MASTER DATA'!$AW:$AW)</f>
        <v>0</v>
      </c>
      <c r="F31" s="50"/>
      <c r="G31" s="60"/>
      <c r="H31" s="30"/>
      <c r="I31" s="28"/>
      <c r="J31" s="30" t="s">
        <v>20</v>
      </c>
      <c r="K31" s="30">
        <f>SUMIF('MASTER DATA'!$A:$A,SMS!I11,'MASTER DATA'!$AW:$AW)</f>
        <v>0</v>
      </c>
      <c r="L31" s="50"/>
      <c r="M31" s="60"/>
      <c r="N31" s="28"/>
      <c r="O31" s="30"/>
      <c r="P31" s="30"/>
      <c r="Q31" s="49"/>
      <c r="S31" s="29"/>
    </row>
    <row r="32" spans="1:24" s="27" customFormat="1">
      <c r="A32" s="47"/>
      <c r="D32" s="30" t="s">
        <v>23</v>
      </c>
      <c r="E32" s="30">
        <f>SUMIF('MASTER DATA'!$A:$A,SMS!C11,'MASTER DATA'!$AX:$AX)</f>
        <v>0</v>
      </c>
      <c r="F32" s="50"/>
      <c r="G32" s="60"/>
      <c r="H32" s="30"/>
      <c r="I32" s="28"/>
      <c r="J32" s="30" t="s">
        <v>23</v>
      </c>
      <c r="K32" s="30">
        <f>SUMIF('MASTER DATA'!$A:$A,SMS!I11,'MASTER DATA'!$AX:$AX)</f>
        <v>0</v>
      </c>
      <c r="L32" s="50"/>
      <c r="M32" s="60"/>
      <c r="N32" s="28"/>
      <c r="O32" s="30"/>
      <c r="P32" s="30"/>
      <c r="Q32" s="49"/>
      <c r="S32" s="29"/>
    </row>
    <row r="33" spans="1:19" s="27" customFormat="1" ht="16.5" thickBot="1">
      <c r="A33" s="47"/>
      <c r="D33" s="28" t="s">
        <v>16</v>
      </c>
      <c r="E33" s="33">
        <f>E25-SUM(E26:E32)</f>
        <v>9748.6</v>
      </c>
      <c r="F33" s="53"/>
      <c r="G33" s="60"/>
      <c r="H33" s="30"/>
      <c r="I33" s="28"/>
      <c r="J33" s="28" t="s">
        <v>16</v>
      </c>
      <c r="K33" s="33">
        <f>K25-SUM(K26:K32)</f>
        <v>9855.17</v>
      </c>
      <c r="L33" s="53"/>
      <c r="M33" s="60"/>
      <c r="N33" s="28"/>
      <c r="O33" s="28"/>
      <c r="P33" s="28"/>
      <c r="Q33" s="49"/>
      <c r="S33" s="29"/>
    </row>
    <row r="34" spans="1:19" s="27" customFormat="1" ht="16.5" thickTop="1">
      <c r="A34" s="47"/>
      <c r="D34" s="30"/>
      <c r="E34" s="30"/>
      <c r="F34" s="50"/>
      <c r="G34" s="60"/>
      <c r="H34" s="30"/>
      <c r="I34" s="28"/>
      <c r="J34" s="30"/>
      <c r="K34" s="30"/>
      <c r="L34" s="50"/>
      <c r="M34" s="60"/>
      <c r="N34" s="28"/>
      <c r="O34" s="30"/>
      <c r="P34" s="30"/>
      <c r="Q34" s="49"/>
    </row>
    <row r="35" spans="1:19" s="27" customFormat="1" ht="60">
      <c r="A35" s="47"/>
      <c r="D35" s="88" t="s">
        <v>318</v>
      </c>
      <c r="F35" s="49"/>
      <c r="G35" s="47"/>
      <c r="I35" s="3"/>
      <c r="J35" s="88" t="s">
        <v>318</v>
      </c>
      <c r="L35" s="49"/>
      <c r="M35" s="60"/>
      <c r="N35" s="28"/>
      <c r="Q35" s="49"/>
      <c r="R35" s="29"/>
    </row>
    <row r="36" spans="1:19" s="27" customFormat="1" ht="16.5" thickBot="1">
      <c r="A36" s="54"/>
      <c r="B36" s="55"/>
      <c r="C36" s="55"/>
      <c r="D36" s="55"/>
      <c r="E36" s="55"/>
      <c r="F36" s="56"/>
      <c r="G36" s="54"/>
      <c r="H36" s="55"/>
      <c r="I36" s="61"/>
      <c r="J36" s="55"/>
      <c r="K36" s="55"/>
      <c r="L36" s="56"/>
      <c r="M36" s="62"/>
      <c r="N36" s="64"/>
      <c r="O36" s="55"/>
      <c r="P36" s="55"/>
      <c r="Q36" s="56"/>
      <c r="R36" s="65"/>
    </row>
    <row r="37" spans="1:19">
      <c r="D37" s="10"/>
      <c r="E37" s="10"/>
      <c r="F37" s="10"/>
    </row>
    <row r="38" spans="1:19">
      <c r="D38" s="10"/>
      <c r="E38" s="10"/>
      <c r="F38" s="10"/>
      <c r="J38" s="13">
        <f>E33+K33</f>
        <v>19603.77</v>
      </c>
    </row>
    <row r="39" spans="1:19">
      <c r="D39" s="10"/>
      <c r="E39" s="10"/>
      <c r="F39" s="10"/>
    </row>
    <row r="40" spans="1:19">
      <c r="D40" s="6"/>
      <c r="E40" s="6"/>
      <c r="F40" s="6"/>
    </row>
  </sheetData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6" max="3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3E27-4458-4EEF-885A-DAC8A0A1B7B7}">
  <sheetPr codeName="Sheet17"/>
  <dimension ref="A1:Y40"/>
  <sheetViews>
    <sheetView view="pageBreakPreview" zoomScale="70" zoomScaleNormal="70" zoomScaleSheetLayoutView="70" workbookViewId="0">
      <selection activeCell="K34" sqref="K34"/>
    </sheetView>
  </sheetViews>
  <sheetFormatPr defaultColWidth="9.140625" defaultRowHeight="15.75"/>
  <cols>
    <col min="1" max="2" width="4.7109375" style="2" customWidth="1"/>
    <col min="3" max="3" width="3.5703125" style="27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3.85546875" style="3" customWidth="1"/>
    <col min="10" max="10" width="25.5703125" style="2" customWidth="1"/>
    <col min="11" max="11" width="13.5703125" style="2" customWidth="1"/>
    <col min="12" max="12" width="13.7109375" style="2" customWidth="1"/>
    <col min="13" max="14" width="4.7109375" style="2" customWidth="1"/>
    <col min="15" max="15" width="2.7109375" style="26" customWidth="1"/>
    <col min="16" max="16" width="25.5703125" style="2" customWidth="1"/>
    <col min="17" max="17" width="13.5703125" style="2" customWidth="1"/>
    <col min="18" max="18" width="13.7109375" style="2" customWidth="1"/>
    <col min="19" max="19" width="11.5703125" style="2" bestFit="1" customWidth="1"/>
    <col min="20" max="20" width="11.28515625" style="2" bestFit="1" customWidth="1"/>
    <col min="21" max="16384" width="9.140625" style="2"/>
  </cols>
  <sheetData>
    <row r="1" spans="1:18" ht="17.25" customHeight="1">
      <c r="A1" s="41"/>
      <c r="B1" s="42"/>
      <c r="C1" s="42"/>
      <c r="D1" s="42"/>
      <c r="E1" s="42"/>
      <c r="F1" s="79" t="s">
        <v>235</v>
      </c>
      <c r="G1" s="41"/>
      <c r="H1" s="42"/>
      <c r="I1" s="42"/>
      <c r="J1" s="42"/>
      <c r="K1" s="42"/>
      <c r="L1" s="79" t="s">
        <v>235</v>
      </c>
      <c r="M1" s="41"/>
      <c r="N1" s="42"/>
      <c r="O1" s="57"/>
      <c r="P1" s="42"/>
      <c r="Q1" s="42"/>
      <c r="R1" s="43"/>
    </row>
    <row r="2" spans="1:18" ht="18">
      <c r="A2" s="44"/>
      <c r="B2" s="34"/>
      <c r="C2" s="34"/>
      <c r="D2" s="34"/>
      <c r="E2" s="34"/>
      <c r="F2" s="45"/>
      <c r="G2" s="44"/>
      <c r="H2" s="34"/>
      <c r="I2" s="34"/>
      <c r="J2" s="34"/>
      <c r="K2" s="34"/>
      <c r="L2" s="45"/>
      <c r="M2" s="44"/>
      <c r="N2" s="34"/>
      <c r="O2" s="36"/>
      <c r="P2" s="34"/>
      <c r="Q2" s="34"/>
      <c r="R2" s="45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4"/>
      <c r="J3" s="35" t="s">
        <v>0</v>
      </c>
      <c r="K3" s="36"/>
      <c r="L3" s="46"/>
      <c r="M3" s="44"/>
      <c r="N3" s="34"/>
      <c r="O3" s="36"/>
      <c r="P3" s="35"/>
      <c r="Q3" s="36"/>
      <c r="R3" s="45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4"/>
      <c r="J4" s="35" t="s">
        <v>1</v>
      </c>
      <c r="K4" s="36"/>
      <c r="L4" s="46"/>
      <c r="M4" s="44"/>
      <c r="N4" s="34"/>
      <c r="O4" s="36"/>
      <c r="P4" s="35"/>
      <c r="Q4" s="36"/>
      <c r="R4" s="45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4"/>
      <c r="J5" s="35" t="s">
        <v>162</v>
      </c>
      <c r="K5" s="36"/>
      <c r="L5" s="46"/>
      <c r="M5" s="44"/>
      <c r="N5" s="34"/>
      <c r="O5" s="36"/>
      <c r="P5" s="35"/>
      <c r="Q5" s="36"/>
      <c r="R5" s="45"/>
    </row>
    <row r="6" spans="1:18" ht="18">
      <c r="A6" s="44"/>
      <c r="B6" s="34"/>
      <c r="C6" s="34"/>
      <c r="D6" s="34"/>
      <c r="E6" s="34"/>
      <c r="F6" s="45"/>
      <c r="G6" s="44"/>
      <c r="H6" s="34"/>
      <c r="I6" s="34"/>
      <c r="J6" s="34"/>
      <c r="K6" s="34"/>
      <c r="L6" s="45"/>
      <c r="M6" s="44"/>
      <c r="N6" s="34"/>
      <c r="O6" s="36"/>
      <c r="P6" s="34"/>
      <c r="Q6" s="34"/>
      <c r="R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4"/>
      <c r="J7" s="34"/>
      <c r="K7" s="34"/>
      <c r="L7" s="45"/>
      <c r="M7" s="44"/>
      <c r="N7" s="34"/>
      <c r="O7" s="36"/>
      <c r="P7" s="34"/>
      <c r="Q7" s="34"/>
      <c r="R7" s="45"/>
    </row>
    <row r="8" spans="1:18">
      <c r="A8" s="47"/>
      <c r="B8" s="27"/>
      <c r="D8" s="3" t="s">
        <v>3</v>
      </c>
      <c r="E8" s="3"/>
      <c r="F8" s="48"/>
      <c r="G8" s="47"/>
      <c r="H8" s="27"/>
      <c r="I8" s="27"/>
      <c r="J8" s="3" t="s">
        <v>3</v>
      </c>
      <c r="K8" s="3"/>
      <c r="L8" s="48"/>
      <c r="M8" s="47"/>
      <c r="N8" s="27"/>
      <c r="O8" s="3"/>
      <c r="P8" s="3"/>
      <c r="Q8" s="3"/>
      <c r="R8" s="49"/>
    </row>
    <row r="9" spans="1:18">
      <c r="A9" s="47"/>
      <c r="B9" s="27"/>
      <c r="D9" s="27" t="s">
        <v>319</v>
      </c>
      <c r="E9" s="27"/>
      <c r="F9" s="49"/>
      <c r="G9" s="47"/>
      <c r="H9" s="27"/>
      <c r="I9" s="27"/>
      <c r="J9" s="27" t="str">
        <f>D9</f>
        <v>FEB 16-28, 2026</v>
      </c>
      <c r="K9" s="27"/>
      <c r="L9" s="49"/>
      <c r="M9" s="47"/>
      <c r="N9" s="27"/>
      <c r="O9" s="3"/>
      <c r="P9" s="27"/>
      <c r="Q9" s="27"/>
      <c r="R9" s="49"/>
    </row>
    <row r="10" spans="1:18">
      <c r="A10" s="47"/>
      <c r="B10" s="27"/>
      <c r="D10" s="3"/>
      <c r="E10" s="27"/>
      <c r="F10" s="49"/>
      <c r="G10" s="47"/>
      <c r="H10" s="27"/>
      <c r="I10" s="27"/>
      <c r="J10" s="3"/>
      <c r="K10" s="27"/>
      <c r="L10" s="49"/>
      <c r="M10" s="47"/>
      <c r="N10" s="27"/>
      <c r="O10" s="3"/>
      <c r="P10" s="27"/>
      <c r="Q10" s="27"/>
      <c r="R10" s="49"/>
    </row>
    <row r="11" spans="1:18" s="27" customFormat="1">
      <c r="A11" s="47"/>
      <c r="C11" s="3">
        <v>51</v>
      </c>
      <c r="D11" s="3" t="str">
        <f>VLOOKUP(C11,'MASTER DATA'!$A:$E,5,FALSE)</f>
        <v>AKUT, FILSAN G.</v>
      </c>
      <c r="F11" s="49"/>
      <c r="G11" s="47"/>
      <c r="I11" s="3">
        <v>52</v>
      </c>
      <c r="J11" s="3" t="str">
        <f>VLOOKUP(I11,'MASTER DATA'!$A:$E,5,FALSE)</f>
        <v>LIPAN, AGNES J.</v>
      </c>
      <c r="L11" s="49"/>
      <c r="M11" s="47"/>
      <c r="O11" s="3"/>
      <c r="P11" s="3"/>
      <c r="R11" s="49"/>
    </row>
    <row r="12" spans="1:18" s="27" customFormat="1">
      <c r="A12" s="47"/>
      <c r="C12" s="3"/>
      <c r="D12" s="3" t="str">
        <f>VLOOKUP(C11,'MASTER DATA'!$A:$F,6,FALSE)</f>
        <v>BAC</v>
      </c>
      <c r="F12" s="49"/>
      <c r="G12" s="47"/>
      <c r="I12" s="3"/>
      <c r="J12" s="3" t="str">
        <f>VLOOKUP(I11,'MASTER DATA'!$A:$F,6,FALSE)</f>
        <v>BAC</v>
      </c>
      <c r="L12" s="49"/>
      <c r="M12" s="47"/>
      <c r="O12" s="3"/>
      <c r="P12" s="3"/>
      <c r="R12" s="49"/>
    </row>
    <row r="13" spans="1:18" s="27" customFormat="1">
      <c r="A13" s="47"/>
      <c r="D13" s="29" t="str">
        <f>VLOOKUP(C11,'MASTER DATA'!$A:$G,7,FALSE)</f>
        <v>Administrative Asst. IV</v>
      </c>
      <c r="F13" s="49"/>
      <c r="G13" s="47"/>
      <c r="J13" s="29" t="str">
        <f>VLOOKUP(I11,'MASTER DATA'!$A:$G,7,FALSE)</f>
        <v>Administrative Asst. II</v>
      </c>
      <c r="L13" s="49"/>
      <c r="M13" s="47"/>
      <c r="O13" s="3"/>
      <c r="P13" s="29"/>
      <c r="R13" s="49"/>
    </row>
    <row r="14" spans="1:18" s="27" customFormat="1">
      <c r="A14" s="47"/>
      <c r="D14" s="27" t="s">
        <v>4</v>
      </c>
      <c r="E14" s="30">
        <f>SUMIF('MASTER DATA'!$A:$A,BAC!C11,'MASTER DATA'!$N:$N)</f>
        <v>11588</v>
      </c>
      <c r="F14" s="50"/>
      <c r="G14" s="47"/>
      <c r="J14" s="27" t="s">
        <v>4</v>
      </c>
      <c r="K14" s="30">
        <f>SUMIF('MASTER DATA'!$A:$A,BAC!I11,'MASTER DATA'!$N:$N)</f>
        <v>9872</v>
      </c>
      <c r="L14" s="50"/>
      <c r="M14" s="47"/>
      <c r="O14" s="3"/>
      <c r="Q14" s="30"/>
      <c r="R14" s="49"/>
    </row>
    <row r="15" spans="1:18" s="27" customFormat="1" ht="17.25">
      <c r="A15" s="47"/>
      <c r="E15" s="37"/>
      <c r="F15" s="51"/>
      <c r="G15" s="47"/>
      <c r="K15" s="37"/>
      <c r="L15" s="51"/>
      <c r="M15" s="47"/>
      <c r="O15" s="3"/>
      <c r="Q15" s="37"/>
      <c r="R15" s="49"/>
    </row>
    <row r="16" spans="1:18" s="27" customFormat="1">
      <c r="A16" s="47"/>
      <c r="E16" s="30"/>
      <c r="F16" s="50"/>
      <c r="G16" s="47"/>
      <c r="K16" s="30"/>
      <c r="L16" s="50"/>
      <c r="M16" s="47"/>
      <c r="O16" s="3"/>
      <c r="Q16" s="30"/>
      <c r="R16" s="49"/>
    </row>
    <row r="17" spans="1:25" s="27" customFormat="1" ht="17.25">
      <c r="A17" s="47"/>
      <c r="E17" s="37"/>
      <c r="F17" s="51"/>
      <c r="G17" s="47"/>
      <c r="K17" s="37"/>
      <c r="L17" s="51"/>
      <c r="M17" s="47"/>
      <c r="O17" s="3"/>
      <c r="Q17" s="37"/>
      <c r="R17" s="49"/>
    </row>
    <row r="18" spans="1:25" s="27" customFormat="1">
      <c r="A18" s="47"/>
      <c r="D18" s="39" t="s">
        <v>5</v>
      </c>
      <c r="E18" s="40" t="s">
        <v>6</v>
      </c>
      <c r="F18" s="52"/>
      <c r="G18" s="47"/>
      <c r="J18" s="39" t="s">
        <v>5</v>
      </c>
      <c r="K18" s="40" t="s">
        <v>6</v>
      </c>
      <c r="L18" s="52"/>
      <c r="M18" s="47"/>
      <c r="O18" s="3"/>
      <c r="P18" s="39"/>
      <c r="Q18" s="40"/>
      <c r="R18" s="49"/>
    </row>
    <row r="19" spans="1:25" s="27" customFormat="1">
      <c r="A19" s="47"/>
      <c r="F19" s="49"/>
      <c r="G19" s="47"/>
      <c r="L19" s="49"/>
      <c r="M19" s="60"/>
      <c r="N19" s="30"/>
      <c r="O19" s="28"/>
      <c r="R19" s="49"/>
    </row>
    <row r="20" spans="1:25" s="27" customFormat="1">
      <c r="A20" s="47"/>
      <c r="D20" s="30" t="s">
        <v>7</v>
      </c>
      <c r="E20" s="30">
        <f>SUMIF('MASTER DATA'!$A:$A,BAC!C11,'MASTER DATA'!$AL:$AL)</f>
        <v>0</v>
      </c>
      <c r="F20" s="50"/>
      <c r="G20" s="47"/>
      <c r="J20" s="30" t="s">
        <v>7</v>
      </c>
      <c r="K20" s="30">
        <f>SUMIF('MASTER DATA'!$A:$A,BAC!I11,'MASTER DATA'!$AL:$AL)</f>
        <v>0</v>
      </c>
      <c r="L20" s="50"/>
      <c r="M20" s="60"/>
      <c r="N20" s="30"/>
      <c r="O20" s="28"/>
      <c r="P20" s="30"/>
      <c r="Q20" s="30"/>
      <c r="R20" s="49"/>
    </row>
    <row r="21" spans="1:25" s="27" customFormat="1">
      <c r="A21" s="47"/>
      <c r="D21" s="31" t="s">
        <v>8</v>
      </c>
      <c r="E21" s="30">
        <f>SUMIF('MASTER DATA'!$A:$A,BAC!C11,'MASTER DATA'!$AM:$AM)+SUMIF('MASTER DATA'!$A:$A,BAC!C11,'MASTER DATA'!$AN:$AN)</f>
        <v>0</v>
      </c>
      <c r="F21" s="50"/>
      <c r="G21" s="47"/>
      <c r="J21" s="31" t="s">
        <v>8</v>
      </c>
      <c r="K21" s="30">
        <f>SUMIF('MASTER DATA'!$A:$A,BAC!I11,'MASTER DATA'!$AM:$AM)+SUMIF('MASTER DATA'!$A:$A,BAC!I11,'MASTER DATA'!$AN:$AN)</f>
        <v>9.35</v>
      </c>
      <c r="L21" s="50"/>
      <c r="M21" s="60"/>
      <c r="N21" s="30"/>
      <c r="O21" s="28"/>
      <c r="P21" s="31"/>
      <c r="Q21" s="30"/>
      <c r="R21" s="49"/>
    </row>
    <row r="22" spans="1:25" s="27" customFormat="1">
      <c r="A22" s="47"/>
      <c r="D22" s="30" t="s">
        <v>9</v>
      </c>
      <c r="E22" s="32">
        <f>SUMIF('MASTER DATA'!$A:$A,BAC!C11,'MASTER DATA'!$AP:$AP)</f>
        <v>0</v>
      </c>
      <c r="F22" s="50"/>
      <c r="G22" s="47"/>
      <c r="J22" s="30" t="s">
        <v>9</v>
      </c>
      <c r="K22" s="32">
        <f>SUMIF('MASTER DATA'!$A:$A,BAC!I11,'MASTER DATA'!$AP:$AP)</f>
        <v>0</v>
      </c>
      <c r="L22" s="50"/>
      <c r="M22" s="60"/>
      <c r="N22" s="30"/>
      <c r="O22" s="28"/>
      <c r="P22" s="30"/>
      <c r="Q22" s="30"/>
      <c r="R22" s="49"/>
    </row>
    <row r="23" spans="1:25" s="27" customFormat="1">
      <c r="A23" s="47"/>
      <c r="D23" s="30" t="s">
        <v>10</v>
      </c>
      <c r="E23" s="30">
        <f>SUM(E20:E22)</f>
        <v>0</v>
      </c>
      <c r="F23" s="50"/>
      <c r="G23" s="47"/>
      <c r="J23" s="30" t="s">
        <v>10</v>
      </c>
      <c r="K23" s="30">
        <f>SUM(K20:K22)</f>
        <v>9.35</v>
      </c>
      <c r="L23" s="50"/>
      <c r="M23" s="60"/>
      <c r="N23" s="30"/>
      <c r="O23" s="28"/>
      <c r="P23" s="30"/>
      <c r="Q23" s="30"/>
      <c r="R23" s="49"/>
    </row>
    <row r="24" spans="1:25" s="27" customFormat="1">
      <c r="A24" s="47"/>
      <c r="D24" s="30"/>
      <c r="E24" s="30"/>
      <c r="F24" s="50"/>
      <c r="G24" s="47"/>
      <c r="J24" s="30"/>
      <c r="K24" s="30"/>
      <c r="L24" s="50"/>
      <c r="M24" s="60"/>
      <c r="N24" s="30"/>
      <c r="O24" s="28"/>
      <c r="P24" s="30"/>
      <c r="Q24" s="30"/>
      <c r="R24" s="49"/>
      <c r="Y24" s="3" t="s">
        <v>11</v>
      </c>
    </row>
    <row r="25" spans="1:25" s="27" customFormat="1">
      <c r="A25" s="47"/>
      <c r="D25" s="30" t="s">
        <v>12</v>
      </c>
      <c r="E25" s="30">
        <f>E14-E23</f>
        <v>11588</v>
      </c>
      <c r="F25" s="50"/>
      <c r="G25" s="47"/>
      <c r="J25" s="30" t="s">
        <v>12</v>
      </c>
      <c r="K25" s="30">
        <f>K14-K23</f>
        <v>9862.65</v>
      </c>
      <c r="L25" s="50"/>
      <c r="M25" s="60"/>
      <c r="N25" s="30"/>
      <c r="O25" s="28"/>
      <c r="P25" s="30"/>
      <c r="Q25" s="30"/>
      <c r="R25" s="49"/>
    </row>
    <row r="26" spans="1:25" s="27" customFormat="1">
      <c r="A26" s="47"/>
      <c r="D26" s="30" t="s">
        <v>13</v>
      </c>
      <c r="E26" s="30"/>
      <c r="F26" s="50"/>
      <c r="G26" s="47"/>
      <c r="J26" s="30" t="s">
        <v>13</v>
      </c>
      <c r="K26" s="30"/>
      <c r="L26" s="50"/>
      <c r="M26" s="60"/>
      <c r="N26" s="30"/>
      <c r="O26" s="28"/>
      <c r="P26" s="30"/>
      <c r="Q26" s="30"/>
      <c r="R26" s="49"/>
    </row>
    <row r="27" spans="1:25" s="27" customFormat="1">
      <c r="A27" s="47"/>
      <c r="D27" s="30" t="s">
        <v>14</v>
      </c>
      <c r="E27" s="30">
        <f>SUMIF('MASTER DATA'!$A:$A,BAC!C11,'MASTER DATA'!$AS:$AS)</f>
        <v>0</v>
      </c>
      <c r="F27" s="50"/>
      <c r="G27" s="47"/>
      <c r="J27" s="30" t="s">
        <v>14</v>
      </c>
      <c r="K27" s="30">
        <f>SUMIF('MASTER DATA'!$A:$A,BAC!I11,'MASTER DATA'!$AS:$AS)</f>
        <v>0</v>
      </c>
      <c r="L27" s="50"/>
      <c r="M27" s="60"/>
      <c r="N27" s="30"/>
      <c r="O27" s="28"/>
      <c r="P27" s="30"/>
      <c r="Q27" s="30"/>
      <c r="R27" s="49"/>
    </row>
    <row r="28" spans="1:25" s="27" customFormat="1" ht="39" customHeight="1">
      <c r="A28" s="47"/>
      <c r="D28" s="69" t="s">
        <v>160</v>
      </c>
      <c r="E28" s="30">
        <f>SUMIF('MASTER DATA'!$A:$A,BAC!C11,'MASTER DATA'!$AT:$AT)</f>
        <v>0</v>
      </c>
      <c r="F28" s="50"/>
      <c r="G28" s="47"/>
      <c r="J28" s="69" t="s">
        <v>160</v>
      </c>
      <c r="K28" s="30">
        <f>SUMIF('MASTER DATA'!$A:$A,BAC!I11,'MASTER DATA'!$AT:$AT)</f>
        <v>0</v>
      </c>
      <c r="L28" s="50"/>
      <c r="M28" s="60"/>
      <c r="N28" s="30"/>
      <c r="O28" s="28"/>
      <c r="P28" s="30"/>
      <c r="Q28" s="30"/>
      <c r="R28" s="49"/>
    </row>
    <row r="29" spans="1:25" s="27" customFormat="1">
      <c r="A29" s="47"/>
      <c r="D29" s="30" t="s">
        <v>15</v>
      </c>
      <c r="E29" s="30">
        <f>SUMIF('MASTER DATA'!$A:$A,BAC!C11,'MASTER DATA'!$AU:$AU)</f>
        <v>0</v>
      </c>
      <c r="F29" s="50"/>
      <c r="G29" s="47"/>
      <c r="J29" s="30" t="s">
        <v>15</v>
      </c>
      <c r="K29" s="30">
        <f>SUMIF('MASTER DATA'!$A:$A,BAC!I11,'MASTER DATA'!$AU:$AU)</f>
        <v>0</v>
      </c>
      <c r="L29" s="50"/>
      <c r="M29" s="60"/>
      <c r="N29" s="30"/>
      <c r="O29" s="28"/>
      <c r="P29" s="30"/>
      <c r="Q29" s="30"/>
      <c r="R29" s="49"/>
      <c r="T29" s="29"/>
    </row>
    <row r="30" spans="1:25" s="27" customFormat="1">
      <c r="A30" s="47"/>
      <c r="D30" s="30" t="s">
        <v>19</v>
      </c>
      <c r="E30" s="30">
        <f>SUMIF('MASTER DATA'!$A:$A,BAC!C11,'MASTER DATA'!$AV:$AV)</f>
        <v>0</v>
      </c>
      <c r="F30" s="50"/>
      <c r="G30" s="47"/>
      <c r="J30" s="30" t="s">
        <v>19</v>
      </c>
      <c r="K30" s="30">
        <f>SUMIF('MASTER DATA'!$A:$A,BAC!I11,'MASTER DATA'!$AV:$AV)</f>
        <v>0</v>
      </c>
      <c r="L30" s="50"/>
      <c r="M30" s="60"/>
      <c r="N30" s="30"/>
      <c r="O30" s="28"/>
      <c r="P30" s="30"/>
      <c r="Q30" s="30"/>
      <c r="R30" s="49"/>
      <c r="T30" s="29"/>
    </row>
    <row r="31" spans="1:25" s="27" customFormat="1">
      <c r="A31" s="47"/>
      <c r="D31" s="30" t="s">
        <v>20</v>
      </c>
      <c r="E31" s="30">
        <f>SUMIF('MASTER DATA'!$A:$A,BAC!C11,'MASTER DATA'!$AW:$AW)</f>
        <v>0</v>
      </c>
      <c r="F31" s="50"/>
      <c r="G31" s="47"/>
      <c r="J31" s="30" t="s">
        <v>20</v>
      </c>
      <c r="K31" s="30">
        <f>SUMIF('MASTER DATA'!$A:$A,BAC!I11,'MASTER DATA'!$AW:$AW)</f>
        <v>0</v>
      </c>
      <c r="L31" s="50"/>
      <c r="M31" s="60"/>
      <c r="N31" s="30"/>
      <c r="O31" s="28"/>
      <c r="P31" s="30"/>
      <c r="Q31" s="30"/>
      <c r="R31" s="49"/>
      <c r="T31" s="29"/>
    </row>
    <row r="32" spans="1:25" s="27" customFormat="1">
      <c r="A32" s="47"/>
      <c r="D32" s="30" t="s">
        <v>23</v>
      </c>
      <c r="E32" s="30">
        <f>SUMIF('MASTER DATA'!$A:$A,BAC!C11,'MASTER DATA'!$AX:$AX)</f>
        <v>0</v>
      </c>
      <c r="F32" s="50"/>
      <c r="G32" s="47"/>
      <c r="J32" s="30" t="s">
        <v>23</v>
      </c>
      <c r="K32" s="30">
        <f>SUMIF('MASTER DATA'!$A:$A,BAC!I11,'MASTER DATA'!$AX:$AX)</f>
        <v>0</v>
      </c>
      <c r="L32" s="50"/>
      <c r="M32" s="60"/>
      <c r="N32" s="30"/>
      <c r="O32" s="28"/>
      <c r="P32" s="30"/>
      <c r="Q32" s="30"/>
      <c r="R32" s="49"/>
      <c r="T32" s="29"/>
    </row>
    <row r="33" spans="1:20" s="27" customFormat="1" ht="16.5" thickBot="1">
      <c r="A33" s="47"/>
      <c r="D33" s="28" t="s">
        <v>16</v>
      </c>
      <c r="E33" s="33">
        <f>E25-SUM(E26:E32)</f>
        <v>11588</v>
      </c>
      <c r="F33" s="53"/>
      <c r="G33" s="47"/>
      <c r="J33" s="28" t="s">
        <v>16</v>
      </c>
      <c r="K33" s="33">
        <f>K25-SUM(K26:K32)</f>
        <v>9862.65</v>
      </c>
      <c r="L33" s="53"/>
      <c r="M33" s="60"/>
      <c r="N33" s="30"/>
      <c r="O33" s="28"/>
      <c r="P33" s="28"/>
      <c r="Q33" s="28"/>
      <c r="R33" s="49"/>
      <c r="T33" s="29"/>
    </row>
    <row r="34" spans="1:20" s="27" customFormat="1" ht="16.5" thickTop="1">
      <c r="A34" s="47"/>
      <c r="D34" s="30"/>
      <c r="E34" s="30"/>
      <c r="F34" s="50"/>
      <c r="G34" s="47"/>
      <c r="J34" s="30"/>
      <c r="K34" s="30"/>
      <c r="L34" s="50"/>
      <c r="M34" s="60"/>
      <c r="N34" s="30"/>
      <c r="O34" s="28"/>
      <c r="P34" s="30"/>
      <c r="Q34" s="30"/>
      <c r="R34" s="49"/>
    </row>
    <row r="35" spans="1:20" s="27" customFormat="1" ht="60">
      <c r="A35" s="47"/>
      <c r="D35" s="88"/>
      <c r="F35" s="49"/>
      <c r="G35" s="47"/>
      <c r="J35" s="88" t="s">
        <v>318</v>
      </c>
      <c r="L35" s="49"/>
      <c r="M35" s="60"/>
      <c r="N35" s="30"/>
      <c r="O35" s="28"/>
      <c r="R35" s="49"/>
      <c r="S35" s="29"/>
    </row>
    <row r="36" spans="1:20" s="27" customFormat="1" ht="16.5" thickBot="1">
      <c r="A36" s="54"/>
      <c r="B36" s="55"/>
      <c r="C36" s="55"/>
      <c r="D36" s="55"/>
      <c r="E36" s="55"/>
      <c r="F36" s="56"/>
      <c r="G36" s="54"/>
      <c r="H36" s="55"/>
      <c r="I36" s="55"/>
      <c r="J36" s="55"/>
      <c r="K36" s="55"/>
      <c r="L36" s="56"/>
      <c r="M36" s="62"/>
      <c r="N36" s="63"/>
      <c r="O36" s="64"/>
      <c r="P36" s="55"/>
      <c r="Q36" s="55"/>
      <c r="R36" s="56"/>
      <c r="S36" s="65"/>
    </row>
    <row r="37" spans="1:20">
      <c r="D37" s="10"/>
      <c r="E37" s="10"/>
      <c r="F37" s="10"/>
    </row>
    <row r="38" spans="1:20">
      <c r="D38" s="10"/>
      <c r="E38" s="10"/>
      <c r="F38" s="10"/>
      <c r="J38" s="13">
        <f>E33</f>
        <v>11588</v>
      </c>
    </row>
    <row r="39" spans="1:20">
      <c r="D39" s="10"/>
      <c r="E39" s="10"/>
      <c r="F39" s="10"/>
    </row>
    <row r="40" spans="1:20">
      <c r="D40" s="6"/>
      <c r="E40" s="6"/>
      <c r="F40" s="6"/>
    </row>
  </sheetData>
  <pageMargins left="0.7" right="0.7" top="0.75" bottom="0.75" header="0.3" footer="0.3"/>
  <pageSetup scale="75" orientation="portrait" r:id="rId1"/>
  <colBreaks count="1" manualBreakCount="1">
    <brk id="6" max="3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7C6C-8527-4700-A008-87360D797B77}">
  <sheetPr codeName="Sheet18"/>
  <dimension ref="A1:R38"/>
  <sheetViews>
    <sheetView view="pageBreakPreview" zoomScale="70" zoomScaleNormal="70" zoomScaleSheetLayoutView="70" workbookViewId="0">
      <selection activeCell="D35" sqref="D35"/>
    </sheetView>
  </sheetViews>
  <sheetFormatPr defaultColWidth="9.140625" defaultRowHeight="15"/>
  <cols>
    <col min="1" max="2" width="4.7109375" style="2" customWidth="1"/>
    <col min="3" max="3" width="5.140625" style="27" bestFit="1" customWidth="1"/>
    <col min="4" max="4" width="25.5703125" style="2" customWidth="1"/>
    <col min="5" max="5" width="13.5703125" style="2" customWidth="1"/>
    <col min="6" max="6" width="13.7109375" style="2" customWidth="1"/>
    <col min="7" max="9" width="4.7109375" style="2" customWidth="1"/>
    <col min="10" max="10" width="25.5703125" style="2" customWidth="1"/>
    <col min="11" max="11" width="13.5703125" style="2" customWidth="1"/>
    <col min="12" max="12" width="13.7109375" style="2" customWidth="1"/>
    <col min="13" max="16384" width="9.140625" style="2"/>
  </cols>
  <sheetData>
    <row r="1" spans="1:18" ht="18">
      <c r="A1" s="41"/>
      <c r="B1" s="42"/>
      <c r="C1" s="42"/>
      <c r="D1" s="42"/>
      <c r="E1" s="42"/>
      <c r="F1" s="79" t="s">
        <v>235</v>
      </c>
      <c r="G1" s="78"/>
      <c r="H1" s="71"/>
      <c r="I1" s="80"/>
      <c r="J1" s="71"/>
      <c r="K1" s="71"/>
      <c r="L1" s="79"/>
      <c r="M1" s="41"/>
      <c r="N1" s="42"/>
      <c r="O1" s="57"/>
      <c r="P1" s="42"/>
      <c r="Q1" s="70"/>
      <c r="R1" s="68"/>
    </row>
    <row r="2" spans="1:18" ht="18">
      <c r="A2" s="44"/>
      <c r="B2" s="34"/>
      <c r="C2" s="34"/>
      <c r="D2" s="34"/>
      <c r="E2" s="34"/>
      <c r="F2" s="45"/>
      <c r="G2" s="44"/>
      <c r="H2" s="34"/>
      <c r="I2" s="34"/>
      <c r="J2" s="34"/>
      <c r="K2" s="34"/>
      <c r="L2" s="45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4"/>
      <c r="J3" s="35"/>
      <c r="K3" s="36"/>
      <c r="L3" s="46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4"/>
      <c r="J4" s="35"/>
      <c r="K4" s="36"/>
      <c r="L4" s="46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4"/>
      <c r="J5" s="35"/>
      <c r="K5" s="36"/>
      <c r="L5" s="46"/>
    </row>
    <row r="6" spans="1:18" ht="18">
      <c r="A6" s="44"/>
      <c r="B6" s="34"/>
      <c r="C6" s="34"/>
      <c r="D6" s="34"/>
      <c r="E6" s="34"/>
      <c r="F6" s="45"/>
      <c r="G6" s="44"/>
      <c r="H6" s="34"/>
      <c r="I6" s="34"/>
      <c r="J6" s="34"/>
      <c r="K6" s="34"/>
      <c r="L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4"/>
      <c r="J7" s="34"/>
      <c r="K7" s="34"/>
      <c r="L7" s="45"/>
    </row>
    <row r="8" spans="1:18" ht="15.75">
      <c r="A8" s="47"/>
      <c r="B8" s="27"/>
      <c r="D8" s="3" t="s">
        <v>3</v>
      </c>
      <c r="E8" s="3"/>
      <c r="F8" s="48"/>
      <c r="G8" s="47"/>
      <c r="H8" s="27"/>
      <c r="I8" s="27"/>
      <c r="J8" s="3"/>
      <c r="K8" s="3"/>
      <c r="L8" s="48"/>
    </row>
    <row r="9" spans="1:18">
      <c r="A9" s="47"/>
      <c r="B9" s="27"/>
      <c r="D9" s="27" t="s">
        <v>319</v>
      </c>
      <c r="E9" s="27"/>
      <c r="F9" s="49"/>
      <c r="G9" s="47"/>
      <c r="H9" s="27"/>
      <c r="I9" s="27"/>
      <c r="J9" s="27"/>
      <c r="K9" s="27"/>
      <c r="L9" s="49"/>
    </row>
    <row r="10" spans="1:18" ht="15.75">
      <c r="A10" s="47"/>
      <c r="B10" s="27"/>
      <c r="D10" s="3"/>
      <c r="E10" s="27"/>
      <c r="F10" s="49"/>
      <c r="G10" s="47"/>
      <c r="H10" s="27"/>
      <c r="I10" s="27"/>
      <c r="J10" s="3"/>
      <c r="K10" s="27"/>
      <c r="L10" s="49"/>
    </row>
    <row r="11" spans="1:18" s="27" customFormat="1" ht="15.75">
      <c r="A11" s="47"/>
      <c r="C11" s="3">
        <v>53</v>
      </c>
      <c r="D11" s="3" t="str">
        <f>VLOOKUP(C11,'MASTER DATA'!$A:$E,5,FALSE)</f>
        <v>CELOCIA, ROSELY-ANN G.</v>
      </c>
      <c r="F11" s="49"/>
      <c r="G11" s="47"/>
      <c r="I11" s="3"/>
      <c r="J11" s="3"/>
      <c r="L11" s="49"/>
    </row>
    <row r="12" spans="1:18" s="27" customFormat="1" ht="15.75">
      <c r="A12" s="47"/>
      <c r="C12" s="3"/>
      <c r="D12" s="3" t="str">
        <f>VLOOKUP(C11,'MASTER DATA'!$A:$F,6,FALSE)</f>
        <v>DO</v>
      </c>
      <c r="F12" s="49"/>
      <c r="G12" s="47"/>
      <c r="I12" s="3"/>
      <c r="J12" s="3"/>
      <c r="L12" s="49"/>
    </row>
    <row r="13" spans="1:18" s="27" customFormat="1">
      <c r="A13" s="47"/>
      <c r="D13" s="29" t="str">
        <f>VLOOKUP(C11,'MASTER DATA'!$A:$G,7,FALSE)</f>
        <v>Administrative Asst. II</v>
      </c>
      <c r="F13" s="49"/>
      <c r="G13" s="47"/>
      <c r="J13" s="29"/>
      <c r="L13" s="49"/>
    </row>
    <row r="14" spans="1:18" s="27" customFormat="1">
      <c r="A14" s="47"/>
      <c r="D14" s="27" t="s">
        <v>4</v>
      </c>
      <c r="E14" s="30">
        <f>SUMIF('MASTER DATA'!$A:$A,DO!C11,'MASTER DATA'!$N:$N)</f>
        <v>9872</v>
      </c>
      <c r="F14" s="50"/>
      <c r="G14" s="47"/>
      <c r="K14" s="30"/>
      <c r="L14" s="50"/>
    </row>
    <row r="15" spans="1:18" s="27" customFormat="1" ht="17.25">
      <c r="A15" s="47"/>
      <c r="E15" s="37"/>
      <c r="F15" s="51"/>
      <c r="G15" s="47"/>
      <c r="K15" s="37"/>
      <c r="L15" s="51"/>
    </row>
    <row r="16" spans="1:18" s="27" customFormat="1">
      <c r="A16" s="47"/>
      <c r="E16" s="30"/>
      <c r="F16" s="50"/>
      <c r="G16" s="47"/>
      <c r="K16" s="30"/>
      <c r="L16" s="50"/>
    </row>
    <row r="17" spans="1:12" s="27" customFormat="1" ht="17.25">
      <c r="A17" s="47"/>
      <c r="E17" s="37"/>
      <c r="F17" s="51"/>
      <c r="G17" s="47"/>
      <c r="K17" s="37"/>
      <c r="L17" s="51"/>
    </row>
    <row r="18" spans="1:12" s="27" customFormat="1">
      <c r="A18" s="47"/>
      <c r="D18" s="39" t="s">
        <v>5</v>
      </c>
      <c r="E18" s="40" t="s">
        <v>6</v>
      </c>
      <c r="F18" s="52"/>
      <c r="G18" s="47"/>
      <c r="J18" s="39"/>
      <c r="K18" s="40"/>
      <c r="L18" s="52"/>
    </row>
    <row r="19" spans="1:12" s="27" customFormat="1">
      <c r="A19" s="47"/>
      <c r="F19" s="49"/>
      <c r="G19" s="47"/>
      <c r="L19" s="49"/>
    </row>
    <row r="20" spans="1:12" s="27" customFormat="1">
      <c r="A20" s="47"/>
      <c r="D20" s="30" t="s">
        <v>7</v>
      </c>
      <c r="E20" s="30">
        <f>SUMIF('MASTER DATA'!$A:$A,DO!C11,'MASTER DATA'!$AL:$AL)</f>
        <v>0</v>
      </c>
      <c r="F20" s="50"/>
      <c r="G20" s="47"/>
      <c r="J20" s="30"/>
      <c r="K20" s="30"/>
      <c r="L20" s="50"/>
    </row>
    <row r="21" spans="1:12" s="27" customFormat="1">
      <c r="A21" s="47"/>
      <c r="D21" s="31" t="s">
        <v>8</v>
      </c>
      <c r="E21" s="30">
        <f>SUMIF('MASTER DATA'!$A:$A,DO!C11,'MASTER DATA'!$AM:$AM)+SUMIF('MASTER DATA'!$A:$A,DO!C11,'MASTER DATA'!$AN:$AN)</f>
        <v>489.86</v>
      </c>
      <c r="F21" s="50"/>
      <c r="G21" s="47"/>
      <c r="J21" s="31"/>
      <c r="K21" s="30"/>
      <c r="L21" s="50"/>
    </row>
    <row r="22" spans="1:12" s="27" customFormat="1">
      <c r="A22" s="47"/>
      <c r="D22" s="30" t="s">
        <v>9</v>
      </c>
      <c r="E22" s="32">
        <f>SUMIF('MASTER DATA'!$A:$A,DO!C11,'MASTER DATA'!$AP:$AP)</f>
        <v>0</v>
      </c>
      <c r="F22" s="50"/>
      <c r="G22" s="47"/>
      <c r="J22" s="30"/>
      <c r="K22" s="30"/>
      <c r="L22" s="50"/>
    </row>
    <row r="23" spans="1:12" s="27" customFormat="1">
      <c r="A23" s="47"/>
      <c r="D23" s="30" t="s">
        <v>10</v>
      </c>
      <c r="E23" s="30">
        <f>SUM(E20:E22)</f>
        <v>489.86</v>
      </c>
      <c r="F23" s="50"/>
      <c r="G23" s="47"/>
      <c r="J23" s="30"/>
      <c r="K23" s="30"/>
      <c r="L23" s="50"/>
    </row>
    <row r="24" spans="1:12" s="27" customFormat="1">
      <c r="A24" s="47"/>
      <c r="D24" s="30"/>
      <c r="E24" s="30"/>
      <c r="F24" s="50"/>
      <c r="G24" s="47"/>
      <c r="J24" s="30"/>
      <c r="K24" s="30"/>
      <c r="L24" s="50"/>
    </row>
    <row r="25" spans="1:12" s="27" customFormat="1">
      <c r="A25" s="47"/>
      <c r="D25" s="30" t="s">
        <v>12</v>
      </c>
      <c r="E25" s="30">
        <f>E14-E23</f>
        <v>9382.14</v>
      </c>
      <c r="F25" s="50"/>
      <c r="G25" s="47"/>
      <c r="J25" s="30"/>
      <c r="K25" s="30"/>
      <c r="L25" s="50"/>
    </row>
    <row r="26" spans="1:12" s="27" customFormat="1">
      <c r="A26" s="47"/>
      <c r="D26" s="30" t="s">
        <v>13</v>
      </c>
      <c r="E26" s="30"/>
      <c r="F26" s="50"/>
      <c r="G26" s="47"/>
      <c r="J26" s="30"/>
      <c r="K26" s="30"/>
      <c r="L26" s="50"/>
    </row>
    <row r="27" spans="1:12" s="27" customFormat="1">
      <c r="A27" s="47"/>
      <c r="D27" s="30" t="s">
        <v>14</v>
      </c>
      <c r="E27" s="30">
        <f>SUMIF('MASTER DATA'!$A:$A,DO!C11,'MASTER DATA'!$AS:$AS)</f>
        <v>0</v>
      </c>
      <c r="F27" s="50"/>
      <c r="G27" s="47"/>
      <c r="J27" s="30"/>
      <c r="K27" s="30"/>
      <c r="L27" s="50"/>
    </row>
    <row r="28" spans="1:12" s="27" customFormat="1">
      <c r="A28" s="47"/>
      <c r="D28" s="69" t="s">
        <v>160</v>
      </c>
      <c r="E28" s="30">
        <f>SUMIF('MASTER DATA'!$A:$A,DO!C11,'MASTER DATA'!$AT:$AT)</f>
        <v>0</v>
      </c>
      <c r="F28" s="50"/>
      <c r="G28" s="47"/>
      <c r="J28" s="69"/>
      <c r="K28" s="30"/>
      <c r="L28" s="50"/>
    </row>
    <row r="29" spans="1:12" s="27" customFormat="1">
      <c r="A29" s="47"/>
      <c r="D29" s="30" t="s">
        <v>15</v>
      </c>
      <c r="E29" s="30">
        <f>SUMIF('MASTER DATA'!$A:$A,DO!C11,'MASTER DATA'!$AU:$AU)</f>
        <v>0</v>
      </c>
      <c r="F29" s="50"/>
      <c r="G29" s="47"/>
      <c r="J29" s="30"/>
      <c r="K29" s="30"/>
      <c r="L29" s="50"/>
    </row>
    <row r="30" spans="1:12" s="27" customFormat="1">
      <c r="A30" s="47"/>
      <c r="D30" s="30" t="s">
        <v>19</v>
      </c>
      <c r="E30" s="30">
        <f>SUMIF('MASTER DATA'!$A:$A,DO!C11,'MASTER DATA'!$AV:$AV)</f>
        <v>0</v>
      </c>
      <c r="F30" s="50"/>
      <c r="G30" s="47"/>
      <c r="J30" s="30"/>
      <c r="K30" s="30"/>
      <c r="L30" s="50"/>
    </row>
    <row r="31" spans="1:12" s="27" customFormat="1">
      <c r="A31" s="47"/>
      <c r="D31" s="30" t="s">
        <v>20</v>
      </c>
      <c r="E31" s="30">
        <f>SUMIF('MASTER DATA'!$A:$A,DO!C11,'MASTER DATA'!$AW:$AW)</f>
        <v>0</v>
      </c>
      <c r="F31" s="50"/>
      <c r="G31" s="47"/>
      <c r="J31" s="30"/>
      <c r="K31" s="30"/>
      <c r="L31" s="50"/>
    </row>
    <row r="32" spans="1:12" s="27" customFormat="1">
      <c r="A32" s="47"/>
      <c r="D32" s="30" t="s">
        <v>23</v>
      </c>
      <c r="E32" s="30">
        <f>SUMIF('MASTER DATA'!$A:$A,DO!C11,'MASTER DATA'!$AX:$AX)</f>
        <v>0</v>
      </c>
      <c r="F32" s="50"/>
      <c r="G32" s="47"/>
      <c r="J32" s="30"/>
      <c r="K32" s="30"/>
      <c r="L32" s="50"/>
    </row>
    <row r="33" spans="1:12" s="27" customFormat="1" ht="16.5" thickBot="1">
      <c r="A33" s="47"/>
      <c r="D33" s="28" t="s">
        <v>16</v>
      </c>
      <c r="E33" s="33">
        <f>E25-SUM(E26:E32)</f>
        <v>9382.14</v>
      </c>
      <c r="F33" s="53"/>
      <c r="G33" s="47"/>
      <c r="J33" s="28"/>
      <c r="K33" s="28"/>
      <c r="L33" s="53"/>
    </row>
    <row r="34" spans="1:12" s="27" customFormat="1" ht="15.75" thickTop="1">
      <c r="A34" s="47"/>
      <c r="D34" s="30"/>
      <c r="E34" s="30"/>
      <c r="F34" s="50"/>
      <c r="G34" s="47"/>
      <c r="J34" s="30"/>
      <c r="K34" s="30"/>
      <c r="L34" s="50"/>
    </row>
    <row r="35" spans="1:12" s="27" customFormat="1" ht="69" customHeight="1">
      <c r="A35" s="47"/>
      <c r="D35" s="88" t="s">
        <v>318</v>
      </c>
      <c r="F35" s="49"/>
      <c r="G35" s="47"/>
      <c r="J35" s="66"/>
      <c r="L35" s="49"/>
    </row>
    <row r="36" spans="1:12" s="27" customFormat="1" ht="15.75" thickBot="1">
      <c r="A36" s="54"/>
      <c r="B36" s="55"/>
      <c r="C36" s="55"/>
      <c r="D36" s="55"/>
      <c r="E36" s="55"/>
      <c r="F36" s="56"/>
      <c r="G36" s="54"/>
      <c r="H36" s="55"/>
      <c r="I36" s="55"/>
      <c r="J36" s="55"/>
      <c r="K36" s="55"/>
      <c r="L36" s="56"/>
    </row>
    <row r="38" spans="1:12">
      <c r="D38" s="13"/>
      <c r="E38" s="13"/>
    </row>
  </sheetData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6" max="3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1716-2296-41B6-81A4-96FCC38E099A}">
  <sheetPr codeName="Sheet19"/>
  <dimension ref="A1:Y146"/>
  <sheetViews>
    <sheetView view="pageBreakPreview" topLeftCell="A100" zoomScale="70" zoomScaleNormal="70" zoomScaleSheetLayoutView="70" workbookViewId="0">
      <selection activeCell="J126" sqref="J126"/>
    </sheetView>
  </sheetViews>
  <sheetFormatPr defaultColWidth="9.140625" defaultRowHeight="15.75"/>
  <cols>
    <col min="1" max="2" width="4.7109375" style="2" customWidth="1"/>
    <col min="3" max="3" width="5.140625" style="27" bestFit="1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5.140625" style="3" bestFit="1" customWidth="1"/>
    <col min="10" max="10" width="25.5703125" style="2" customWidth="1"/>
    <col min="11" max="11" width="13.5703125" style="2" customWidth="1"/>
    <col min="12" max="12" width="13.7109375" style="2" customWidth="1"/>
    <col min="13" max="14" width="4.7109375" style="2" customWidth="1"/>
    <col min="15" max="15" width="3.85546875" style="26" bestFit="1" customWidth="1"/>
    <col min="16" max="16" width="25.5703125" style="2" customWidth="1"/>
    <col min="17" max="17" width="13.5703125" style="2" customWidth="1"/>
    <col min="18" max="18" width="13.7109375" style="2" customWidth="1"/>
    <col min="19" max="19" width="11.5703125" style="2" bestFit="1" customWidth="1"/>
    <col min="20" max="20" width="11.28515625" style="2" bestFit="1" customWidth="1"/>
    <col min="21" max="16384" width="9.140625" style="2"/>
  </cols>
  <sheetData>
    <row r="1" spans="1:18" ht="18">
      <c r="A1" s="41"/>
      <c r="B1" s="42"/>
      <c r="C1" s="42"/>
      <c r="D1" s="42"/>
      <c r="E1" s="42"/>
      <c r="F1" s="79" t="s">
        <v>235</v>
      </c>
      <c r="G1" s="41"/>
      <c r="H1" s="42"/>
      <c r="I1" s="42"/>
      <c r="J1" s="42"/>
      <c r="K1" s="42"/>
      <c r="L1" s="79" t="s">
        <v>235</v>
      </c>
      <c r="M1" s="41"/>
      <c r="N1" s="42"/>
      <c r="O1" s="42"/>
      <c r="P1" s="42"/>
      <c r="Q1" s="42"/>
      <c r="R1" s="79" t="s">
        <v>235</v>
      </c>
    </row>
    <row r="2" spans="1:18" ht="18">
      <c r="A2" s="44"/>
      <c r="B2" s="34"/>
      <c r="C2" s="34"/>
      <c r="D2" s="34"/>
      <c r="E2" s="34"/>
      <c r="F2" s="45"/>
      <c r="G2" s="44"/>
      <c r="H2" s="34"/>
      <c r="I2" s="36"/>
      <c r="J2" s="34"/>
      <c r="K2" s="34"/>
      <c r="L2" s="45"/>
      <c r="M2" s="44"/>
      <c r="N2" s="34"/>
      <c r="O2" s="36"/>
      <c r="P2" s="34"/>
      <c r="Q2" s="34"/>
      <c r="R2" s="45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6"/>
      <c r="J3" s="35" t="s">
        <v>0</v>
      </c>
      <c r="K3" s="36"/>
      <c r="L3" s="46"/>
      <c r="M3" s="44"/>
      <c r="N3" s="34"/>
      <c r="O3" s="36"/>
      <c r="P3" s="35" t="s">
        <v>0</v>
      </c>
      <c r="Q3" s="36"/>
      <c r="R3" s="45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6"/>
      <c r="J4" s="35" t="s">
        <v>1</v>
      </c>
      <c r="K4" s="36"/>
      <c r="L4" s="46"/>
      <c r="M4" s="44"/>
      <c r="N4" s="34"/>
      <c r="O4" s="36"/>
      <c r="P4" s="35" t="s">
        <v>1</v>
      </c>
      <c r="Q4" s="36"/>
      <c r="R4" s="45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6"/>
      <c r="J5" s="35" t="s">
        <v>162</v>
      </c>
      <c r="K5" s="36"/>
      <c r="L5" s="46"/>
      <c r="M5" s="44"/>
      <c r="N5" s="34"/>
      <c r="O5" s="36"/>
      <c r="P5" s="35" t="s">
        <v>162</v>
      </c>
      <c r="Q5" s="36"/>
      <c r="R5" s="45"/>
    </row>
    <row r="6" spans="1:18" ht="18">
      <c r="A6" s="44"/>
      <c r="B6" s="34"/>
      <c r="C6" s="34"/>
      <c r="D6" s="34"/>
      <c r="E6" s="34"/>
      <c r="F6" s="45"/>
      <c r="G6" s="44"/>
      <c r="H6" s="34"/>
      <c r="I6" s="36"/>
      <c r="J6" s="34"/>
      <c r="K6" s="34"/>
      <c r="L6" s="45"/>
      <c r="M6" s="44"/>
      <c r="N6" s="34"/>
      <c r="O6" s="36"/>
      <c r="P6" s="34"/>
      <c r="Q6" s="34"/>
      <c r="R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6"/>
      <c r="J7" s="34"/>
      <c r="K7" s="34"/>
      <c r="L7" s="45"/>
      <c r="M7" s="44"/>
      <c r="N7" s="34"/>
      <c r="O7" s="36"/>
      <c r="P7" s="34"/>
      <c r="Q7" s="34"/>
      <c r="R7" s="45"/>
    </row>
    <row r="8" spans="1:18">
      <c r="A8" s="47"/>
      <c r="B8" s="27"/>
      <c r="D8" s="3" t="s">
        <v>3</v>
      </c>
      <c r="E8" s="3"/>
      <c r="F8" s="48"/>
      <c r="G8" s="47"/>
      <c r="H8" s="27"/>
      <c r="J8" s="3" t="s">
        <v>3</v>
      </c>
      <c r="K8" s="3"/>
      <c r="L8" s="48"/>
      <c r="M8" s="47"/>
      <c r="N8" s="27"/>
      <c r="O8" s="3"/>
      <c r="P8" s="3" t="s">
        <v>3</v>
      </c>
      <c r="Q8" s="3"/>
      <c r="R8" s="49"/>
    </row>
    <row r="9" spans="1:18">
      <c r="A9" s="47"/>
      <c r="B9" s="27"/>
      <c r="D9" s="27" t="s">
        <v>319</v>
      </c>
      <c r="E9" s="27"/>
      <c r="F9" s="49"/>
      <c r="G9" s="58"/>
      <c r="H9" s="3"/>
      <c r="J9" s="27" t="str">
        <f>D9</f>
        <v>FEB 16-28, 2026</v>
      </c>
      <c r="K9" s="27"/>
      <c r="L9" s="49"/>
      <c r="M9" s="47"/>
      <c r="N9" s="27"/>
      <c r="O9" s="3"/>
      <c r="P9" s="27" t="str">
        <f>D9</f>
        <v>FEB 16-28, 2026</v>
      </c>
      <c r="Q9" s="27"/>
      <c r="R9" s="49"/>
    </row>
    <row r="10" spans="1:18">
      <c r="A10" s="47"/>
      <c r="B10" s="27"/>
      <c r="D10" s="3"/>
      <c r="E10" s="27"/>
      <c r="F10" s="49"/>
      <c r="G10" s="47"/>
      <c r="H10" s="27"/>
      <c r="J10" s="3"/>
      <c r="K10" s="27"/>
      <c r="L10" s="49"/>
      <c r="M10" s="47"/>
      <c r="N10" s="27"/>
      <c r="O10" s="3"/>
      <c r="P10" s="27"/>
      <c r="Q10" s="27"/>
      <c r="R10" s="49"/>
    </row>
    <row r="11" spans="1:18" s="27" customFormat="1">
      <c r="A11" s="47"/>
      <c r="C11" s="3">
        <v>54</v>
      </c>
      <c r="D11" s="3" t="str">
        <f>VLOOKUP(C11,'MASTER DATA'!$A:$E,5,FALSE)</f>
        <v>BRUZON, ANGENNITTE F.</v>
      </c>
      <c r="F11" s="49"/>
      <c r="G11" s="47"/>
      <c r="I11" s="3">
        <v>55</v>
      </c>
      <c r="J11" s="3" t="str">
        <f>VLOOKUP(I11,'MASTER DATA'!$A:$E,5,FALSE)</f>
        <v>BADILLO, ALBINO M.</v>
      </c>
      <c r="L11" s="49"/>
      <c r="M11" s="47"/>
      <c r="O11" s="3">
        <v>56</v>
      </c>
      <c r="P11" s="3" t="str">
        <f>VLOOKUP(O11,'MASTER DATA'!$A:$E,5,FALSE)</f>
        <v>BELO, JOSHUA G.</v>
      </c>
      <c r="R11" s="49"/>
    </row>
    <row r="12" spans="1:18" s="27" customFormat="1">
      <c r="A12" s="47"/>
      <c r="C12" s="3"/>
      <c r="D12" s="3" t="str">
        <f>VLOOKUP(C11,'MASTER DATA'!$A:$F,6,FALSE)</f>
        <v>PAD</v>
      </c>
      <c r="F12" s="49"/>
      <c r="G12" s="47"/>
      <c r="I12" s="3"/>
      <c r="J12" s="3" t="str">
        <f>VLOOKUP(I11,'MASTER DATA'!$A:$F,6,FALSE)</f>
        <v>PAD</v>
      </c>
      <c r="L12" s="49"/>
      <c r="M12" s="47"/>
      <c r="O12" s="3"/>
      <c r="P12" s="3" t="str">
        <f>VLOOKUP(O11,'MASTER DATA'!$A:$F,6,FALSE)</f>
        <v>PAD</v>
      </c>
      <c r="R12" s="49"/>
    </row>
    <row r="13" spans="1:18" s="27" customFormat="1">
      <c r="A13" s="47"/>
      <c r="D13" s="29" t="str">
        <f>VLOOKUP(C11,'MASTER DATA'!$A:$G,7,FALSE)</f>
        <v>Administrative Asst. II</v>
      </c>
      <c r="F13" s="49"/>
      <c r="G13" s="47"/>
      <c r="I13" s="3"/>
      <c r="J13" s="29" t="str">
        <f>VLOOKUP(I11,'MASTER DATA'!$A:$G,7,FALSE)</f>
        <v>Administrative Aide VI (Gardener)</v>
      </c>
      <c r="L13" s="49"/>
      <c r="M13" s="47"/>
      <c r="O13" s="3"/>
      <c r="P13" s="29" t="str">
        <f>VLOOKUP(O11,'MASTER DATA'!$A:$G,7,FALSE)</f>
        <v>Administrative Aide VI (Gardener)</v>
      </c>
      <c r="R13" s="49"/>
    </row>
    <row r="14" spans="1:18" s="27" customFormat="1">
      <c r="A14" s="47"/>
      <c r="D14" s="27" t="s">
        <v>4</v>
      </c>
      <c r="E14" s="30">
        <v>9872</v>
      </c>
      <c r="F14" s="50"/>
      <c r="G14" s="47"/>
      <c r="I14" s="3"/>
      <c r="J14" s="27" t="s">
        <v>4</v>
      </c>
      <c r="K14" s="30">
        <v>8776.5</v>
      </c>
      <c r="L14" s="50"/>
      <c r="M14" s="47"/>
      <c r="O14" s="3"/>
      <c r="P14" s="27" t="s">
        <v>4</v>
      </c>
      <c r="Q14" s="30">
        <v>8776.5</v>
      </c>
      <c r="R14" s="49"/>
    </row>
    <row r="15" spans="1:18" s="27" customFormat="1" ht="17.25">
      <c r="A15" s="47"/>
      <c r="E15" s="37"/>
      <c r="F15" s="51"/>
      <c r="G15" s="59"/>
      <c r="H15" s="39"/>
      <c r="I15" s="38"/>
      <c r="K15" s="37"/>
      <c r="L15" s="51"/>
      <c r="M15" s="47"/>
      <c r="O15" s="3"/>
      <c r="Q15" s="37"/>
      <c r="R15" s="49"/>
    </row>
    <row r="16" spans="1:18" s="27" customFormat="1">
      <c r="A16" s="47"/>
      <c r="E16" s="30"/>
      <c r="F16" s="50"/>
      <c r="G16" s="59"/>
      <c r="H16" s="39"/>
      <c r="I16" s="38"/>
      <c r="K16" s="30"/>
      <c r="L16" s="50"/>
      <c r="M16" s="47"/>
      <c r="O16" s="3"/>
      <c r="Q16" s="30"/>
      <c r="R16" s="49"/>
    </row>
    <row r="17" spans="1:25" s="27" customFormat="1" ht="17.25">
      <c r="A17" s="47"/>
      <c r="E17" s="37"/>
      <c r="F17" s="51"/>
      <c r="G17" s="59"/>
      <c r="H17" s="39"/>
      <c r="I17" s="38"/>
      <c r="K17" s="37"/>
      <c r="L17" s="51"/>
      <c r="M17" s="47"/>
      <c r="O17" s="3"/>
      <c r="Q17" s="37"/>
      <c r="R17" s="49"/>
    </row>
    <row r="18" spans="1:25" s="27" customFormat="1">
      <c r="A18" s="47"/>
      <c r="D18" s="39" t="s">
        <v>5</v>
      </c>
      <c r="E18" s="40" t="s">
        <v>6</v>
      </c>
      <c r="F18" s="52"/>
      <c r="G18" s="47"/>
      <c r="I18" s="3"/>
      <c r="J18" s="39" t="s">
        <v>5</v>
      </c>
      <c r="K18" s="40" t="s">
        <v>6</v>
      </c>
      <c r="L18" s="52"/>
      <c r="M18" s="47"/>
      <c r="O18" s="3"/>
      <c r="P18" s="39" t="s">
        <v>5</v>
      </c>
      <c r="Q18" s="40" t="s">
        <v>6</v>
      </c>
      <c r="R18" s="49"/>
    </row>
    <row r="19" spans="1:25" s="27" customFormat="1">
      <c r="A19" s="47"/>
      <c r="F19" s="49"/>
      <c r="G19" s="60"/>
      <c r="H19" s="30"/>
      <c r="I19" s="28"/>
      <c r="L19" s="49"/>
      <c r="M19" s="60"/>
      <c r="N19" s="30"/>
      <c r="O19" s="28"/>
      <c r="R19" s="49"/>
    </row>
    <row r="20" spans="1:25" s="27" customFormat="1">
      <c r="A20" s="47"/>
      <c r="D20" s="30" t="s">
        <v>7</v>
      </c>
      <c r="E20" s="30">
        <f>SUMIF('MASTER DATA'!$A:$A,PAD!C11,'MASTER DATA'!$AL:$AL)</f>
        <v>0</v>
      </c>
      <c r="F20" s="50"/>
      <c r="G20" s="60"/>
      <c r="H20" s="30"/>
      <c r="I20" s="28"/>
      <c r="J20" s="30" t="s">
        <v>7</v>
      </c>
      <c r="K20" s="30">
        <f>SUMIF('MASTER DATA'!$A:$A,PAD!I11,'MASTER DATA'!$AL:$AL)</f>
        <v>0</v>
      </c>
      <c r="L20" s="50"/>
      <c r="M20" s="60"/>
      <c r="N20" s="30"/>
      <c r="O20" s="28"/>
      <c r="P20" s="30" t="s">
        <v>7</v>
      </c>
      <c r="Q20" s="30">
        <f>SUMIF('MASTER DATA'!$A:$A,PAD!O11,'MASTER DATA'!$AL:$AL)</f>
        <v>0</v>
      </c>
      <c r="R20" s="49"/>
    </row>
    <row r="21" spans="1:25" s="27" customFormat="1">
      <c r="A21" s="47"/>
      <c r="D21" s="31" t="s">
        <v>8</v>
      </c>
      <c r="E21" s="30">
        <f>SUMIF('MASTER DATA'!$A:$A,PAD!C11,'MASTER DATA'!$AM:$AM)+SUMIF('MASTER DATA'!$A:$A,PAD!C11,'MASTER DATA'!$AN:$AN)</f>
        <v>506.69</v>
      </c>
      <c r="F21" s="50"/>
      <c r="G21" s="60"/>
      <c r="H21" s="30"/>
      <c r="I21" s="28"/>
      <c r="J21" s="31" t="s">
        <v>8</v>
      </c>
      <c r="K21" s="30">
        <f>SUMIF('MASTER DATA'!$A:$A,PAD!I11,'MASTER DATA'!$AM:$AM)+SUMIF('MASTER DATA'!$A:$A,PAD!I11,'MASTER DATA'!$AN:$AN)</f>
        <v>0</v>
      </c>
      <c r="L21" s="50"/>
      <c r="M21" s="60"/>
      <c r="N21" s="30"/>
      <c r="O21" s="28"/>
      <c r="P21" s="31" t="s">
        <v>8</v>
      </c>
      <c r="Q21" s="30">
        <f>SUMIF('MASTER DATA'!$A:$A,PAD!O11,'MASTER DATA'!$AM:$AM)+SUMIF('MASTER DATA'!$A:$A,PAD!O11,'MASTER DATA'!$AN:$AN)</f>
        <v>0</v>
      </c>
      <c r="R21" s="49"/>
    </row>
    <row r="22" spans="1:25" s="27" customFormat="1">
      <c r="A22" s="47"/>
      <c r="D22" s="30" t="s">
        <v>9</v>
      </c>
      <c r="E22" s="32">
        <f>SUMIF('MASTER DATA'!$A:$A,PAD!C11,'MASTER DATA'!$AP:$AP)</f>
        <v>0</v>
      </c>
      <c r="F22" s="50"/>
      <c r="G22" s="60"/>
      <c r="H22" s="30"/>
      <c r="I22" s="28"/>
      <c r="J22" s="30" t="s">
        <v>9</v>
      </c>
      <c r="K22" s="32">
        <f>SUMIF('MASTER DATA'!$A:$A,PAD!I11,'MASTER DATA'!$AP:$AP)</f>
        <v>0</v>
      </c>
      <c r="L22" s="50"/>
      <c r="M22" s="60"/>
      <c r="N22" s="30"/>
      <c r="O22" s="28"/>
      <c r="P22" s="30" t="s">
        <v>9</v>
      </c>
      <c r="Q22" s="32">
        <f>SUMIF('MASTER DATA'!$A:$A,PAD!O11,'MASTER DATA'!$AP:$AP)</f>
        <v>0</v>
      </c>
      <c r="R22" s="49"/>
    </row>
    <row r="23" spans="1:25" s="27" customFormat="1">
      <c r="A23" s="47"/>
      <c r="D23" s="30" t="s">
        <v>10</v>
      </c>
      <c r="E23" s="30">
        <f>SUM(E20:E22)</f>
        <v>506.69</v>
      </c>
      <c r="F23" s="50"/>
      <c r="G23" s="60"/>
      <c r="H23" s="30"/>
      <c r="I23" s="28"/>
      <c r="J23" s="30" t="s">
        <v>10</v>
      </c>
      <c r="K23" s="30">
        <f>SUM(K20:K22)</f>
        <v>0</v>
      </c>
      <c r="L23" s="50"/>
      <c r="M23" s="60"/>
      <c r="N23" s="30"/>
      <c r="O23" s="28"/>
      <c r="P23" s="30" t="s">
        <v>10</v>
      </c>
      <c r="Q23" s="30">
        <f>SUM(Q20:Q22)</f>
        <v>0</v>
      </c>
      <c r="R23" s="49"/>
    </row>
    <row r="24" spans="1:25" s="27" customFormat="1">
      <c r="A24" s="47"/>
      <c r="D24" s="30"/>
      <c r="E24" s="30"/>
      <c r="F24" s="50"/>
      <c r="G24" s="60"/>
      <c r="H24" s="30"/>
      <c r="I24" s="28"/>
      <c r="J24" s="30"/>
      <c r="K24" s="30"/>
      <c r="L24" s="50"/>
      <c r="M24" s="60"/>
      <c r="N24" s="30"/>
      <c r="O24" s="28"/>
      <c r="P24" s="30"/>
      <c r="Q24" s="30"/>
      <c r="R24" s="49"/>
      <c r="Y24" s="3" t="s">
        <v>11</v>
      </c>
    </row>
    <row r="25" spans="1:25" s="27" customFormat="1">
      <c r="A25" s="47"/>
      <c r="D25" s="30" t="s">
        <v>12</v>
      </c>
      <c r="E25" s="30">
        <f>E14-E23</f>
        <v>9365.31</v>
      </c>
      <c r="F25" s="50"/>
      <c r="G25" s="60"/>
      <c r="H25" s="30"/>
      <c r="I25" s="28"/>
      <c r="J25" s="30" t="s">
        <v>12</v>
      </c>
      <c r="K25" s="30">
        <f>K14-K23</f>
        <v>8776.5</v>
      </c>
      <c r="L25" s="50"/>
      <c r="M25" s="60"/>
      <c r="N25" s="30"/>
      <c r="O25" s="28"/>
      <c r="P25" s="30" t="s">
        <v>12</v>
      </c>
      <c r="Q25" s="30">
        <f>Q14-Q23</f>
        <v>8776.5</v>
      </c>
      <c r="R25" s="49"/>
    </row>
    <row r="26" spans="1:25" s="27" customFormat="1">
      <c r="A26" s="47"/>
      <c r="D26" s="30" t="s">
        <v>13</v>
      </c>
      <c r="E26" s="30"/>
      <c r="F26" s="50"/>
      <c r="G26" s="60"/>
      <c r="H26" s="30"/>
      <c r="I26" s="28"/>
      <c r="J26" s="30" t="s">
        <v>13</v>
      </c>
      <c r="K26" s="30"/>
      <c r="L26" s="50"/>
      <c r="M26" s="60"/>
      <c r="N26" s="30"/>
      <c r="O26" s="28"/>
      <c r="P26" s="30" t="s">
        <v>13</v>
      </c>
      <c r="Q26" s="30"/>
      <c r="R26" s="49"/>
    </row>
    <row r="27" spans="1:25" s="27" customFormat="1">
      <c r="A27" s="47"/>
      <c r="D27" s="30" t="s">
        <v>14</v>
      </c>
      <c r="E27" s="30">
        <f>SUMIF('MASTER DATA'!$A:$A,PAD!C11,'MASTER DATA'!$AS:$AS)</f>
        <v>0</v>
      </c>
      <c r="F27" s="50"/>
      <c r="G27" s="60"/>
      <c r="H27" s="30"/>
      <c r="I27" s="28"/>
      <c r="J27" s="30" t="s">
        <v>14</v>
      </c>
      <c r="K27" s="30">
        <f>SUMIF('MASTER DATA'!$A:$A,PAD!I11,'MASTER DATA'!$AS:$AS)</f>
        <v>0</v>
      </c>
      <c r="L27" s="50"/>
      <c r="M27" s="60"/>
      <c r="N27" s="30"/>
      <c r="O27" s="28"/>
      <c r="P27" s="30" t="s">
        <v>14</v>
      </c>
      <c r="Q27" s="30">
        <f>SUMIF('MASTER DATA'!$A:$A,PAD!O11,'MASTER DATA'!$AS:$AS)</f>
        <v>0</v>
      </c>
      <c r="R27" s="49"/>
    </row>
    <row r="28" spans="1:25" s="27" customFormat="1">
      <c r="A28" s="47"/>
      <c r="D28" s="69" t="s">
        <v>160</v>
      </c>
      <c r="E28" s="30">
        <f>SUMIF('MASTER DATA'!$A:$A,PAD!C11,'MASTER DATA'!$AT:$AT)</f>
        <v>0</v>
      </c>
      <c r="F28" s="50"/>
      <c r="G28" s="60"/>
      <c r="H28" s="30"/>
      <c r="I28" s="28"/>
      <c r="J28" s="69" t="s">
        <v>160</v>
      </c>
      <c r="K28" s="30">
        <f>SUMIF('MASTER DATA'!$A:$A,PAD!I11,'MASTER DATA'!$AT:$AT)</f>
        <v>0</v>
      </c>
      <c r="L28" s="50"/>
      <c r="M28" s="60"/>
      <c r="N28" s="30"/>
      <c r="O28" s="28"/>
      <c r="P28" s="69" t="s">
        <v>160</v>
      </c>
      <c r="Q28" s="30">
        <f>SUMIF('MASTER DATA'!$A:$A,PAD!O11,'MASTER DATA'!$AT:$AT)</f>
        <v>0</v>
      </c>
      <c r="R28" s="49"/>
    </row>
    <row r="29" spans="1:25" s="27" customFormat="1">
      <c r="A29" s="47"/>
      <c r="D29" s="30" t="s">
        <v>15</v>
      </c>
      <c r="E29" s="30">
        <f>SUMIF('MASTER DATA'!$A:$A,PAD!C11,'MASTER DATA'!$AU:$AU)</f>
        <v>0</v>
      </c>
      <c r="F29" s="50"/>
      <c r="G29" s="60"/>
      <c r="H29" s="30"/>
      <c r="I29" s="28"/>
      <c r="J29" s="30" t="s">
        <v>15</v>
      </c>
      <c r="K29" s="30">
        <f>SUMIF('MASTER DATA'!$A:$A,PAD!I11,'MASTER DATA'!$AU:$AU)</f>
        <v>0</v>
      </c>
      <c r="L29" s="50"/>
      <c r="M29" s="60"/>
      <c r="N29" s="30"/>
      <c r="O29" s="28"/>
      <c r="P29" s="30" t="s">
        <v>15</v>
      </c>
      <c r="Q29" s="30">
        <f>SUMIF('MASTER DATA'!$A:$A,PAD!O11,'MASTER DATA'!$AU:$AU)</f>
        <v>0</v>
      </c>
      <c r="R29" s="49"/>
      <c r="T29" s="29"/>
    </row>
    <row r="30" spans="1:25" s="27" customFormat="1">
      <c r="A30" s="47"/>
      <c r="D30" s="30" t="s">
        <v>19</v>
      </c>
      <c r="E30" s="30">
        <f>SUMIF('MASTER DATA'!$A:$A,PAD!C11,'MASTER DATA'!$AV:$AV)</f>
        <v>0</v>
      </c>
      <c r="F30" s="50"/>
      <c r="G30" s="60"/>
      <c r="H30" s="30"/>
      <c r="I30" s="28"/>
      <c r="J30" s="30" t="s">
        <v>19</v>
      </c>
      <c r="K30" s="30">
        <f>SUMIF('MASTER DATA'!$A:$A,PAD!I11,'MASTER DATA'!$AV:$AV)</f>
        <v>0</v>
      </c>
      <c r="L30" s="50"/>
      <c r="M30" s="60"/>
      <c r="N30" s="30"/>
      <c r="O30" s="28"/>
      <c r="P30" s="30" t="s">
        <v>19</v>
      </c>
      <c r="Q30" s="30">
        <f>SUMIF('MASTER DATA'!$A:$A,PAD!O11,'MASTER DATA'!$AV:$AV)</f>
        <v>0</v>
      </c>
      <c r="R30" s="49"/>
      <c r="T30" s="29"/>
    </row>
    <row r="31" spans="1:25" s="27" customFormat="1">
      <c r="A31" s="47"/>
      <c r="D31" s="30" t="s">
        <v>20</v>
      </c>
      <c r="E31" s="30">
        <f>SUMIF('MASTER DATA'!$A:$A,PAD!C11,'MASTER DATA'!$AW:$AW)</f>
        <v>0</v>
      </c>
      <c r="F31" s="50"/>
      <c r="G31" s="60"/>
      <c r="H31" s="30"/>
      <c r="I31" s="28"/>
      <c r="J31" s="30" t="s">
        <v>20</v>
      </c>
      <c r="K31" s="30">
        <f>SUMIF('MASTER DATA'!$A:$A,PAD!I11,'MASTER DATA'!$AW:$AW)</f>
        <v>0</v>
      </c>
      <c r="L31" s="50"/>
      <c r="M31" s="60"/>
      <c r="N31" s="30"/>
      <c r="O31" s="28"/>
      <c r="P31" s="30" t="s">
        <v>20</v>
      </c>
      <c r="Q31" s="30">
        <f>SUMIF('MASTER DATA'!$A:$A,PAD!O11,'MASTER DATA'!$AW:$AW)</f>
        <v>0</v>
      </c>
      <c r="R31" s="49"/>
      <c r="T31" s="29"/>
    </row>
    <row r="32" spans="1:25" s="27" customFormat="1">
      <c r="A32" s="47"/>
      <c r="D32" s="30" t="s">
        <v>23</v>
      </c>
      <c r="E32" s="30">
        <f>SUMIF('MASTER DATA'!$A:$A,PAD!C11,'MASTER DATA'!$AX:$AX)</f>
        <v>0</v>
      </c>
      <c r="F32" s="50"/>
      <c r="G32" s="60"/>
      <c r="H32" s="30"/>
      <c r="I32" s="28"/>
      <c r="J32" s="30" t="s">
        <v>23</v>
      </c>
      <c r="K32" s="30">
        <f>SUMIF('MASTER DATA'!$A:$A,PAD!I11,'MASTER DATA'!$AX:$AX)</f>
        <v>0</v>
      </c>
      <c r="L32" s="50"/>
      <c r="M32" s="60"/>
      <c r="N32" s="30"/>
      <c r="O32" s="28"/>
      <c r="P32" s="30" t="s">
        <v>23</v>
      </c>
      <c r="Q32" s="30">
        <f>SUMIF('MASTER DATA'!$A:$A,PAD!O11,'MASTER DATA'!$AX:$AX)</f>
        <v>0</v>
      </c>
      <c r="R32" s="49"/>
      <c r="T32" s="29"/>
    </row>
    <row r="33" spans="1:20" s="27" customFormat="1" ht="16.5" thickBot="1">
      <c r="A33" s="47"/>
      <c r="D33" s="28" t="s">
        <v>16</v>
      </c>
      <c r="E33" s="33">
        <f>E25-SUM(E26:E32)</f>
        <v>9365.31</v>
      </c>
      <c r="F33" s="53"/>
      <c r="G33" s="60"/>
      <c r="H33" s="30"/>
      <c r="I33" s="28"/>
      <c r="J33" s="28" t="s">
        <v>16</v>
      </c>
      <c r="K33" s="33">
        <f>K25-SUM(K26:K32)</f>
        <v>8776.5</v>
      </c>
      <c r="L33" s="53"/>
      <c r="M33" s="60"/>
      <c r="N33" s="30"/>
      <c r="O33" s="28"/>
      <c r="P33" s="28" t="s">
        <v>16</v>
      </c>
      <c r="Q33" s="33">
        <f>Q25-SUM(Q26:Q32)</f>
        <v>8776.5</v>
      </c>
      <c r="R33" s="49"/>
      <c r="T33" s="29"/>
    </row>
    <row r="34" spans="1:20" s="27" customFormat="1" ht="16.5" thickTop="1">
      <c r="A34" s="47"/>
      <c r="D34" s="30"/>
      <c r="E34" s="30"/>
      <c r="F34" s="50"/>
      <c r="G34" s="60"/>
      <c r="H34" s="30"/>
      <c r="I34" s="28"/>
      <c r="J34" s="30"/>
      <c r="K34" s="30"/>
      <c r="L34" s="50"/>
      <c r="M34" s="60"/>
      <c r="N34" s="30"/>
      <c r="O34" s="28"/>
      <c r="P34" s="30"/>
      <c r="Q34" s="30"/>
      <c r="R34" s="49"/>
    </row>
    <row r="35" spans="1:20" s="27" customFormat="1" ht="69" customHeight="1">
      <c r="A35" s="47"/>
      <c r="D35" s="88" t="s">
        <v>318</v>
      </c>
      <c r="E35" s="30"/>
      <c r="F35" s="50"/>
      <c r="G35" s="60"/>
      <c r="H35" s="30"/>
      <c r="I35" s="28"/>
      <c r="J35" s="88"/>
      <c r="K35" s="30"/>
      <c r="L35" s="50"/>
      <c r="M35" s="60"/>
      <c r="N35" s="30"/>
      <c r="O35" s="28"/>
      <c r="P35" s="69"/>
      <c r="Q35" s="91"/>
      <c r="R35" s="49"/>
    </row>
    <row r="36" spans="1:20" s="27" customFormat="1" ht="16.5" thickBot="1">
      <c r="A36" s="54"/>
      <c r="B36" s="55"/>
      <c r="C36" s="55"/>
      <c r="D36" s="55"/>
      <c r="E36" s="55"/>
      <c r="F36" s="56"/>
      <c r="G36" s="54"/>
      <c r="H36" s="55"/>
      <c r="I36" s="61"/>
      <c r="J36" s="55"/>
      <c r="K36" s="55"/>
      <c r="L36" s="56"/>
      <c r="M36" s="62"/>
      <c r="N36" s="63"/>
      <c r="O36" s="64"/>
      <c r="P36" s="55"/>
      <c r="Q36" s="55"/>
      <c r="R36" s="56"/>
      <c r="S36" s="65"/>
    </row>
    <row r="37" spans="1:20" ht="18">
      <c r="A37" s="41"/>
      <c r="B37" s="42"/>
      <c r="C37" s="42"/>
      <c r="D37" s="42"/>
      <c r="E37" s="42"/>
      <c r="F37" s="79" t="s">
        <v>235</v>
      </c>
      <c r="G37" s="41"/>
      <c r="H37" s="42"/>
      <c r="I37" s="42"/>
      <c r="J37" s="42"/>
      <c r="K37" s="42"/>
      <c r="L37" s="79" t="s">
        <v>235</v>
      </c>
      <c r="M37" s="41"/>
      <c r="N37" s="42"/>
      <c r="O37" s="42"/>
      <c r="P37" s="42"/>
      <c r="Q37" s="42"/>
      <c r="R37" s="79" t="s">
        <v>235</v>
      </c>
    </row>
    <row r="38" spans="1:20" ht="18">
      <c r="A38" s="44"/>
      <c r="B38" s="34"/>
      <c r="C38" s="34"/>
      <c r="D38" s="34"/>
      <c r="E38" s="34"/>
      <c r="F38" s="45"/>
      <c r="G38" s="44"/>
      <c r="H38" s="34"/>
      <c r="I38" s="36"/>
      <c r="J38" s="34"/>
      <c r="K38" s="34"/>
      <c r="L38" s="45"/>
      <c r="M38" s="44"/>
      <c r="N38" s="34"/>
      <c r="O38" s="36"/>
      <c r="P38" s="34"/>
      <c r="Q38" s="34"/>
      <c r="R38" s="45"/>
    </row>
    <row r="39" spans="1:20" ht="18">
      <c r="A39" s="44"/>
      <c r="B39" s="34"/>
      <c r="C39" s="34"/>
      <c r="D39" s="35" t="s">
        <v>0</v>
      </c>
      <c r="E39" s="36"/>
      <c r="F39" s="46"/>
      <c r="G39" s="44"/>
      <c r="H39" s="34"/>
      <c r="I39" s="36"/>
      <c r="J39" s="35" t="s">
        <v>0</v>
      </c>
      <c r="K39" s="36"/>
      <c r="L39" s="46"/>
      <c r="M39" s="44"/>
      <c r="N39" s="34"/>
      <c r="O39" s="36"/>
      <c r="P39" s="35" t="s">
        <v>0</v>
      </c>
      <c r="Q39" s="36"/>
      <c r="R39" s="45"/>
    </row>
    <row r="40" spans="1:20" ht="18">
      <c r="A40" s="44"/>
      <c r="B40" s="34"/>
      <c r="C40" s="34"/>
      <c r="D40" s="35" t="s">
        <v>1</v>
      </c>
      <c r="E40" s="36"/>
      <c r="F40" s="46"/>
      <c r="G40" s="44"/>
      <c r="H40" s="34"/>
      <c r="I40" s="36"/>
      <c r="J40" s="35" t="s">
        <v>1</v>
      </c>
      <c r="K40" s="36"/>
      <c r="L40" s="46"/>
      <c r="M40" s="44"/>
      <c r="N40" s="34"/>
      <c r="O40" s="36"/>
      <c r="P40" s="35" t="s">
        <v>1</v>
      </c>
      <c r="Q40" s="36"/>
      <c r="R40" s="45"/>
    </row>
    <row r="41" spans="1:20" ht="18">
      <c r="A41" s="44"/>
      <c r="B41" s="34"/>
      <c r="C41" s="34"/>
      <c r="D41" s="35" t="s">
        <v>162</v>
      </c>
      <c r="E41" s="36"/>
      <c r="F41" s="46"/>
      <c r="G41" s="44"/>
      <c r="H41" s="34"/>
      <c r="I41" s="36"/>
      <c r="J41" s="35" t="s">
        <v>162</v>
      </c>
      <c r="K41" s="36"/>
      <c r="L41" s="46"/>
      <c r="M41" s="44"/>
      <c r="N41" s="34"/>
      <c r="O41" s="36"/>
      <c r="P41" s="35" t="s">
        <v>162</v>
      </c>
      <c r="Q41" s="36"/>
      <c r="R41" s="45"/>
    </row>
    <row r="42" spans="1:20" ht="18">
      <c r="A42" s="44"/>
      <c r="B42" s="34"/>
      <c r="C42" s="34"/>
      <c r="D42" s="34"/>
      <c r="E42" s="34"/>
      <c r="F42" s="45"/>
      <c r="G42" s="44"/>
      <c r="H42" s="34"/>
      <c r="I42" s="36"/>
      <c r="J42" s="34"/>
      <c r="K42" s="34"/>
      <c r="L42" s="45"/>
      <c r="M42" s="44"/>
      <c r="N42" s="34"/>
      <c r="O42" s="36"/>
      <c r="P42" s="34"/>
      <c r="Q42" s="34"/>
      <c r="R42" s="45"/>
    </row>
    <row r="43" spans="1:20" ht="18">
      <c r="A43" s="44"/>
      <c r="B43" s="34"/>
      <c r="C43" s="34"/>
      <c r="D43" s="34"/>
      <c r="E43" s="34"/>
      <c r="F43" s="45"/>
      <c r="G43" s="44"/>
      <c r="H43" s="34"/>
      <c r="I43" s="36"/>
      <c r="J43" s="34"/>
      <c r="K43" s="34"/>
      <c r="L43" s="45"/>
      <c r="M43" s="44"/>
      <c r="N43" s="34"/>
      <c r="O43" s="36"/>
      <c r="P43" s="34"/>
      <c r="Q43" s="34"/>
      <c r="R43" s="45"/>
    </row>
    <row r="44" spans="1:20">
      <c r="A44" s="47"/>
      <c r="B44" s="27"/>
      <c r="D44" s="3" t="s">
        <v>3</v>
      </c>
      <c r="E44" s="3"/>
      <c r="F44" s="48"/>
      <c r="G44" s="47"/>
      <c r="H44" s="27"/>
      <c r="J44" s="3" t="s">
        <v>3</v>
      </c>
      <c r="K44" s="3"/>
      <c r="L44" s="48"/>
      <c r="M44" s="47"/>
      <c r="N44" s="27"/>
      <c r="O44" s="3"/>
      <c r="P44" s="3" t="s">
        <v>3</v>
      </c>
      <c r="Q44" s="3"/>
      <c r="R44" s="49"/>
    </row>
    <row r="45" spans="1:20">
      <c r="A45" s="47"/>
      <c r="B45" s="27"/>
      <c r="D45" s="27" t="str">
        <f>D9</f>
        <v>FEB 16-28, 2026</v>
      </c>
      <c r="E45" s="27"/>
      <c r="F45" s="49"/>
      <c r="G45" s="58"/>
      <c r="H45" s="3"/>
      <c r="J45" s="27" t="str">
        <f>D45</f>
        <v>FEB 16-28, 2026</v>
      </c>
      <c r="K45" s="27"/>
      <c r="L45" s="49"/>
      <c r="M45" s="47"/>
      <c r="N45" s="27"/>
      <c r="O45" s="3"/>
      <c r="P45" s="27" t="str">
        <f>D45</f>
        <v>FEB 16-28, 2026</v>
      </c>
      <c r="Q45" s="27"/>
      <c r="R45" s="49"/>
    </row>
    <row r="46" spans="1:20">
      <c r="A46" s="47"/>
      <c r="B46" s="27"/>
      <c r="D46" s="3"/>
      <c r="E46" s="27"/>
      <c r="F46" s="49"/>
      <c r="G46" s="47"/>
      <c r="H46" s="27"/>
      <c r="J46" s="3"/>
      <c r="K46" s="27"/>
      <c r="L46" s="49"/>
      <c r="M46" s="47"/>
      <c r="N46" s="27"/>
      <c r="O46" s="3"/>
      <c r="P46" s="27"/>
      <c r="Q46" s="27"/>
      <c r="R46" s="49"/>
    </row>
    <row r="47" spans="1:20">
      <c r="A47" s="47"/>
      <c r="B47" s="27"/>
      <c r="C47" s="3">
        <v>57</v>
      </c>
      <c r="D47" s="3" t="str">
        <f>VLOOKUP(C47,'MASTER DATA'!$A:$E,5,FALSE)</f>
        <v>CATIMBANG, SHANDEE FAY O.</v>
      </c>
      <c r="E47" s="27"/>
      <c r="F47" s="49"/>
      <c r="G47" s="47"/>
      <c r="H47" s="27"/>
      <c r="I47" s="3">
        <v>58</v>
      </c>
      <c r="J47" s="3" t="str">
        <f>VLOOKUP(I47,'MASTER DATA'!$A:$E,5,FALSE)</f>
        <v>MANGILOG, ERICCA MAE V.</v>
      </c>
      <c r="K47" s="27"/>
      <c r="L47" s="49"/>
      <c r="M47" s="47"/>
      <c r="N47" s="27"/>
      <c r="O47" s="3">
        <v>59</v>
      </c>
      <c r="P47" s="3" t="str">
        <f>VLOOKUP(O47,'MASTER DATA'!$A:$E,5,FALSE)</f>
        <v>FRANCISCO, ULYSSES H.</v>
      </c>
      <c r="Q47" s="27"/>
      <c r="R47" s="49"/>
    </row>
    <row r="48" spans="1:20">
      <c r="A48" s="47"/>
      <c r="B48" s="27"/>
      <c r="C48" s="3"/>
      <c r="D48" s="3" t="str">
        <f>VLOOKUP(C47,'MASTER DATA'!$A:$F,6,FALSE)</f>
        <v>PAD</v>
      </c>
      <c r="E48" s="27"/>
      <c r="F48" s="49"/>
      <c r="G48" s="47"/>
      <c r="H48" s="27"/>
      <c r="J48" s="3" t="str">
        <f>VLOOKUP(I47,'MASTER DATA'!$A:$F,6,FALSE)</f>
        <v>PAD</v>
      </c>
      <c r="K48" s="27"/>
      <c r="L48" s="49"/>
      <c r="M48" s="47"/>
      <c r="N48" s="27"/>
      <c r="O48" s="3"/>
      <c r="P48" s="3" t="str">
        <f>VLOOKUP(O47,'MASTER DATA'!$A:$F,6,FALSE)</f>
        <v>PAD</v>
      </c>
      <c r="Q48" s="27"/>
      <c r="R48" s="49"/>
    </row>
    <row r="49" spans="1:18">
      <c r="A49" s="47"/>
      <c r="B49" s="27"/>
      <c r="D49" s="29" t="str">
        <f>VLOOKUP(C47,'MASTER DATA'!$A:$G,7,FALSE)</f>
        <v>Agriculturist I</v>
      </c>
      <c r="E49" s="27"/>
      <c r="F49" s="49"/>
      <c r="G49" s="47"/>
      <c r="H49" s="27"/>
      <c r="J49" s="29" t="str">
        <f>VLOOKUP(I47,'MASTER DATA'!$A:$G,7,FALSE)</f>
        <v>Technical Support Staff IV</v>
      </c>
      <c r="K49" s="27"/>
      <c r="L49" s="49"/>
      <c r="M49" s="47"/>
      <c r="N49" s="27"/>
      <c r="O49" s="3"/>
      <c r="P49" s="29" t="str">
        <f>VLOOKUP(O47,'MASTER DATA'!$A:$G,7,FALSE)</f>
        <v>Development Management Officer II</v>
      </c>
      <c r="Q49" s="27"/>
      <c r="R49" s="49"/>
    </row>
    <row r="50" spans="1:18">
      <c r="A50" s="47"/>
      <c r="B50" s="27"/>
      <c r="D50" s="27" t="s">
        <v>4</v>
      </c>
      <c r="E50" s="30">
        <v>13500</v>
      </c>
      <c r="F50" s="50"/>
      <c r="G50" s="47"/>
      <c r="H50" s="27"/>
      <c r="J50" s="27" t="s">
        <v>4</v>
      </c>
      <c r="K50" s="30">
        <v>13500</v>
      </c>
      <c r="L50" s="50"/>
      <c r="M50" s="47"/>
      <c r="N50" s="27"/>
      <c r="O50" s="3"/>
      <c r="P50" s="27" t="s">
        <v>4</v>
      </c>
      <c r="Q50" s="30">
        <v>18309.5</v>
      </c>
      <c r="R50" s="49"/>
    </row>
    <row r="51" spans="1:18" ht="17.25">
      <c r="A51" s="47"/>
      <c r="B51" s="27"/>
      <c r="D51" s="27"/>
      <c r="E51" s="37"/>
      <c r="F51" s="51"/>
      <c r="G51" s="59"/>
      <c r="H51" s="39"/>
      <c r="I51" s="38"/>
      <c r="J51" s="27"/>
      <c r="K51" s="37"/>
      <c r="L51" s="51"/>
      <c r="M51" s="47"/>
      <c r="N51" s="27"/>
      <c r="O51" s="3"/>
      <c r="P51" s="27"/>
      <c r="Q51" s="37"/>
      <c r="R51" s="49"/>
    </row>
    <row r="52" spans="1:18">
      <c r="A52" s="47"/>
      <c r="B52" s="27"/>
      <c r="D52" s="27"/>
      <c r="E52" s="30"/>
      <c r="F52" s="50"/>
      <c r="G52" s="59"/>
      <c r="H52" s="39"/>
      <c r="I52" s="38"/>
      <c r="J52" s="27"/>
      <c r="K52" s="30"/>
      <c r="L52" s="50"/>
      <c r="M52" s="47"/>
      <c r="N52" s="27"/>
      <c r="O52" s="3"/>
      <c r="P52" s="27"/>
      <c r="Q52" s="30"/>
      <c r="R52" s="49"/>
    </row>
    <row r="53" spans="1:18" ht="17.25">
      <c r="A53" s="47"/>
      <c r="B53" s="27"/>
      <c r="D53" s="27"/>
      <c r="E53" s="37"/>
      <c r="F53" s="51"/>
      <c r="G53" s="59"/>
      <c r="H53" s="39"/>
      <c r="I53" s="38"/>
      <c r="J53" s="27"/>
      <c r="K53" s="37"/>
      <c r="L53" s="51"/>
      <c r="M53" s="47"/>
      <c r="N53" s="27"/>
      <c r="O53" s="3"/>
      <c r="P53" s="27"/>
      <c r="Q53" s="37"/>
      <c r="R53" s="49"/>
    </row>
    <row r="54" spans="1:18">
      <c r="A54" s="47"/>
      <c r="B54" s="27"/>
      <c r="D54" s="39" t="s">
        <v>5</v>
      </c>
      <c r="E54" s="40" t="s">
        <v>6</v>
      </c>
      <c r="F54" s="52"/>
      <c r="G54" s="47"/>
      <c r="H54" s="27"/>
      <c r="J54" s="39" t="s">
        <v>5</v>
      </c>
      <c r="K54" s="40" t="s">
        <v>6</v>
      </c>
      <c r="L54" s="52"/>
      <c r="M54" s="47"/>
      <c r="N54" s="27"/>
      <c r="O54" s="3"/>
      <c r="P54" s="39" t="s">
        <v>5</v>
      </c>
      <c r="Q54" s="40" t="s">
        <v>6</v>
      </c>
      <c r="R54" s="49"/>
    </row>
    <row r="55" spans="1:18">
      <c r="A55" s="47"/>
      <c r="B55" s="27"/>
      <c r="D55" s="27"/>
      <c r="E55" s="27"/>
      <c r="F55" s="49"/>
      <c r="G55" s="60"/>
      <c r="H55" s="30"/>
      <c r="I55" s="28"/>
      <c r="J55" s="27"/>
      <c r="K55" s="27"/>
      <c r="L55" s="49"/>
      <c r="M55" s="60"/>
      <c r="N55" s="30"/>
      <c r="O55" s="28"/>
      <c r="P55" s="27"/>
      <c r="Q55" s="27"/>
      <c r="R55" s="49"/>
    </row>
    <row r="56" spans="1:18">
      <c r="A56" s="47"/>
      <c r="B56" s="27"/>
      <c r="D56" s="30" t="s">
        <v>7</v>
      </c>
      <c r="E56" s="30">
        <f>SUMIF('MASTER DATA'!$A:$A,PAD!C47,'MASTER DATA'!$AL:$AL)</f>
        <v>0</v>
      </c>
      <c r="F56" s="50"/>
      <c r="G56" s="60"/>
      <c r="H56" s="30"/>
      <c r="I56" s="28"/>
      <c r="J56" s="30" t="s">
        <v>7</v>
      </c>
      <c r="K56" s="30">
        <f>SUMIF('MASTER DATA'!$A:$A,PAD!I47,'MASTER DATA'!$AL:$AL)</f>
        <v>0</v>
      </c>
      <c r="L56" s="50"/>
      <c r="M56" s="60"/>
      <c r="N56" s="30"/>
      <c r="O56" s="28"/>
      <c r="P56" s="30" t="s">
        <v>7</v>
      </c>
      <c r="Q56" s="30">
        <f>SUMIF('MASTER DATA'!$A:$A,PAD!O47,'MASTER DATA'!$AL:$AL)</f>
        <v>0</v>
      </c>
      <c r="R56" s="49"/>
    </row>
    <row r="57" spans="1:18">
      <c r="A57" s="47"/>
      <c r="B57" s="27"/>
      <c r="D57" s="31" t="s">
        <v>8</v>
      </c>
      <c r="E57" s="30">
        <f>SUMIF('MASTER DATA'!$A:$A,PAD!C47,'MASTER DATA'!$AM:$AM)+SUMIF('MASTER DATA'!$A:$A,PAD!C47,'MASTER DATA'!$AN:$AN)</f>
        <v>0</v>
      </c>
      <c r="F57" s="50"/>
      <c r="G57" s="60"/>
      <c r="H57" s="30"/>
      <c r="I57" s="28"/>
      <c r="J57" s="31" t="s">
        <v>8</v>
      </c>
      <c r="K57" s="30">
        <f>SUMIF('MASTER DATA'!$A:$A,PAD!I47,'MASTER DATA'!$AM:$AM)+SUMIF('MASTER DATA'!$A:$A,PAD!I47,'MASTER DATA'!$AN:$AN)</f>
        <v>97.16</v>
      </c>
      <c r="L57" s="50"/>
      <c r="M57" s="60"/>
      <c r="N57" s="30"/>
      <c r="O57" s="28"/>
      <c r="P57" s="31" t="s">
        <v>8</v>
      </c>
      <c r="Q57" s="30">
        <f>SUMIF('MASTER DATA'!$A:$A,PAD!O47,'MASTER DATA'!$AM:$AM)+SUMIF('MASTER DATA'!$A:$A,PAD!O47,'MASTER DATA'!$AN:$AN)</f>
        <v>0</v>
      </c>
      <c r="R57" s="49"/>
    </row>
    <row r="58" spans="1:18">
      <c r="A58" s="47"/>
      <c r="B58" s="27"/>
      <c r="D58" s="30" t="s">
        <v>9</v>
      </c>
      <c r="E58" s="32">
        <f>SUMIF('MASTER DATA'!$A:$A,PAD!C47,'MASTER DATA'!$AP:$AP)</f>
        <v>0</v>
      </c>
      <c r="F58" s="50"/>
      <c r="G58" s="60"/>
      <c r="H58" s="30"/>
      <c r="I58" s="28"/>
      <c r="J58" s="30" t="s">
        <v>9</v>
      </c>
      <c r="K58" s="32">
        <f>SUMIF('MASTER DATA'!$A:$A,PAD!I47,'MASTER DATA'!$AP:$AP)</f>
        <v>0</v>
      </c>
      <c r="L58" s="50"/>
      <c r="M58" s="60"/>
      <c r="N58" s="30"/>
      <c r="O58" s="28"/>
      <c r="P58" s="30" t="s">
        <v>9</v>
      </c>
      <c r="Q58" s="32">
        <f>SUMIF('MASTER DATA'!$A:$A,PAD!O47,'MASTER DATA'!$AP:$AP)</f>
        <v>0</v>
      </c>
      <c r="R58" s="49"/>
    </row>
    <row r="59" spans="1:18">
      <c r="A59" s="47"/>
      <c r="B59" s="27"/>
      <c r="D59" s="30" t="s">
        <v>10</v>
      </c>
      <c r="E59" s="30">
        <f>SUM(E56:E58)</f>
        <v>0</v>
      </c>
      <c r="F59" s="50"/>
      <c r="G59" s="60"/>
      <c r="H59" s="30"/>
      <c r="I59" s="28"/>
      <c r="J59" s="30" t="s">
        <v>10</v>
      </c>
      <c r="K59" s="30">
        <f>SUM(K56:K58)</f>
        <v>97.16</v>
      </c>
      <c r="L59" s="50"/>
      <c r="M59" s="60"/>
      <c r="N59" s="30"/>
      <c r="O59" s="28"/>
      <c r="P59" s="30" t="s">
        <v>10</v>
      </c>
      <c r="Q59" s="30">
        <f>SUM(Q56:Q58)</f>
        <v>0</v>
      </c>
      <c r="R59" s="49"/>
    </row>
    <row r="60" spans="1:18">
      <c r="A60" s="47"/>
      <c r="B60" s="27"/>
      <c r="D60" s="30"/>
      <c r="E60" s="30"/>
      <c r="F60" s="50"/>
      <c r="G60" s="60"/>
      <c r="H60" s="30"/>
      <c r="I60" s="28"/>
      <c r="J60" s="30"/>
      <c r="K60" s="30"/>
      <c r="L60" s="50"/>
      <c r="M60" s="60"/>
      <c r="N60" s="30"/>
      <c r="O60" s="28"/>
      <c r="P60" s="30"/>
      <c r="Q60" s="30"/>
      <c r="R60" s="49"/>
    </row>
    <row r="61" spans="1:18">
      <c r="A61" s="47"/>
      <c r="B61" s="27"/>
      <c r="D61" s="30" t="s">
        <v>12</v>
      </c>
      <c r="E61" s="30">
        <f>E50-E59</f>
        <v>13500</v>
      </c>
      <c r="F61" s="50"/>
      <c r="G61" s="60"/>
      <c r="H61" s="30"/>
      <c r="I61" s="28"/>
      <c r="J61" s="30" t="s">
        <v>12</v>
      </c>
      <c r="K61" s="30">
        <f>K50-K59</f>
        <v>13402.84</v>
      </c>
      <c r="L61" s="50"/>
      <c r="M61" s="60"/>
      <c r="N61" s="30"/>
      <c r="O61" s="28"/>
      <c r="P61" s="30" t="s">
        <v>12</v>
      </c>
      <c r="Q61" s="30">
        <f>Q50-Q59</f>
        <v>18309.5</v>
      </c>
      <c r="R61" s="49"/>
    </row>
    <row r="62" spans="1:18">
      <c r="A62" s="47"/>
      <c r="B62" s="27"/>
      <c r="D62" s="30" t="s">
        <v>13</v>
      </c>
      <c r="E62" s="30"/>
      <c r="F62" s="50"/>
      <c r="G62" s="60"/>
      <c r="H62" s="30"/>
      <c r="I62" s="28"/>
      <c r="J62" s="30" t="s">
        <v>13</v>
      </c>
      <c r="K62" s="30"/>
      <c r="L62" s="50"/>
      <c r="M62" s="60"/>
      <c r="N62" s="30"/>
      <c r="O62" s="28"/>
      <c r="P62" s="30" t="s">
        <v>13</v>
      </c>
      <c r="Q62" s="30"/>
      <c r="R62" s="49"/>
    </row>
    <row r="63" spans="1:18">
      <c r="A63" s="47"/>
      <c r="B63" s="27"/>
      <c r="D63" s="30" t="s">
        <v>14</v>
      </c>
      <c r="E63" s="30">
        <f>SUMIF('MASTER DATA'!$A:$A,PAD!C47,'MASTER DATA'!$AS:$AS)</f>
        <v>0</v>
      </c>
      <c r="F63" s="50"/>
      <c r="G63" s="60"/>
      <c r="H63" s="30"/>
      <c r="I63" s="28"/>
      <c r="J63" s="30" t="s">
        <v>14</v>
      </c>
      <c r="K63" s="30">
        <f>SUMIF('MASTER DATA'!$A:$A,PAD!I47,'MASTER DATA'!$AS:$AS)</f>
        <v>0</v>
      </c>
      <c r="L63" s="50"/>
      <c r="M63" s="60"/>
      <c r="N63" s="30"/>
      <c r="O63" s="28"/>
      <c r="P63" s="30" t="s">
        <v>14</v>
      </c>
      <c r="Q63" s="30">
        <f>SUMIF('MASTER DATA'!$A:$A,PAD!O47,'MASTER DATA'!$AS:$AS)</f>
        <v>0</v>
      </c>
      <c r="R63" s="49"/>
    </row>
    <row r="64" spans="1:18">
      <c r="A64" s="47"/>
      <c r="B64" s="27"/>
      <c r="D64" s="69" t="s">
        <v>160</v>
      </c>
      <c r="E64" s="30">
        <f>SUMIF('MASTER DATA'!$A:$A,PAD!C47,'MASTER DATA'!$AT:$AT)</f>
        <v>0</v>
      </c>
      <c r="F64" s="50"/>
      <c r="G64" s="60"/>
      <c r="H64" s="30"/>
      <c r="I64" s="28"/>
      <c r="J64" s="69" t="s">
        <v>160</v>
      </c>
      <c r="K64" s="30">
        <f>SUMIF('MASTER DATA'!$A:$A,PAD!I47,'MASTER DATA'!$AT:$AT)</f>
        <v>0</v>
      </c>
      <c r="L64" s="50"/>
      <c r="M64" s="60"/>
      <c r="N64" s="30"/>
      <c r="O64" s="28"/>
      <c r="P64" s="69" t="s">
        <v>160</v>
      </c>
      <c r="Q64" s="30">
        <f>SUMIF('MASTER DATA'!$A:$A,PAD!O47,'MASTER DATA'!$AT:$AT)</f>
        <v>0</v>
      </c>
      <c r="R64" s="49"/>
    </row>
    <row r="65" spans="1:18">
      <c r="A65" s="47"/>
      <c r="B65" s="27"/>
      <c r="D65" s="30" t="s">
        <v>15</v>
      </c>
      <c r="E65" s="30">
        <f>SUMIF('MASTER DATA'!$A:$A,PAD!C47,'MASTER DATA'!$AU:$AU)</f>
        <v>0</v>
      </c>
      <c r="F65" s="50"/>
      <c r="G65" s="60"/>
      <c r="H65" s="30"/>
      <c r="I65" s="28"/>
      <c r="J65" s="30" t="s">
        <v>15</v>
      </c>
      <c r="K65" s="30">
        <f>SUMIF('MASTER DATA'!$A:$A,PAD!I47,'MASTER DATA'!$AU:$AU)</f>
        <v>0</v>
      </c>
      <c r="L65" s="50"/>
      <c r="M65" s="60"/>
      <c r="N65" s="30"/>
      <c r="O65" s="28"/>
      <c r="P65" s="30" t="s">
        <v>15</v>
      </c>
      <c r="Q65" s="30">
        <f>SUMIF('MASTER DATA'!$A:$A,PAD!O47,'MASTER DATA'!$AU:$AU)</f>
        <v>0</v>
      </c>
      <c r="R65" s="49"/>
    </row>
    <row r="66" spans="1:18">
      <c r="A66" s="47"/>
      <c r="B66" s="27"/>
      <c r="D66" s="30" t="s">
        <v>19</v>
      </c>
      <c r="E66" s="30">
        <f>SUMIF('MASTER DATA'!$A:$A,PAD!C47,'MASTER DATA'!$AV:$AV)</f>
        <v>0</v>
      </c>
      <c r="F66" s="50"/>
      <c r="G66" s="60"/>
      <c r="H66" s="30"/>
      <c r="I66" s="28"/>
      <c r="J66" s="30" t="s">
        <v>19</v>
      </c>
      <c r="K66" s="30">
        <f>SUMIF('MASTER DATA'!$A:$A,PAD!I47,'MASTER DATA'!$AV:$AV)</f>
        <v>0</v>
      </c>
      <c r="L66" s="50"/>
      <c r="M66" s="60"/>
      <c r="N66" s="30"/>
      <c r="O66" s="28"/>
      <c r="P66" s="30" t="s">
        <v>19</v>
      </c>
      <c r="Q66" s="30">
        <f>SUMIF('MASTER DATA'!$A:$A,PAD!O47,'MASTER DATA'!$AV:$AV)</f>
        <v>0</v>
      </c>
      <c r="R66" s="49"/>
    </row>
    <row r="67" spans="1:18">
      <c r="A67" s="47"/>
      <c r="B67" s="27"/>
      <c r="D67" s="30" t="s">
        <v>20</v>
      </c>
      <c r="E67" s="30">
        <f>SUMIF('MASTER DATA'!$A:$A,PAD!C47,'MASTER DATA'!$AW:$AW)</f>
        <v>0</v>
      </c>
      <c r="F67" s="50"/>
      <c r="G67" s="60"/>
      <c r="H67" s="30"/>
      <c r="I67" s="28"/>
      <c r="J67" s="30" t="s">
        <v>20</v>
      </c>
      <c r="K67" s="30">
        <f>SUMIF('MASTER DATA'!$A:$A,PAD!I47,'MASTER DATA'!$AW:$AW)</f>
        <v>0</v>
      </c>
      <c r="L67" s="50"/>
      <c r="M67" s="60"/>
      <c r="N67" s="30"/>
      <c r="O67" s="28"/>
      <c r="P67" s="30" t="s">
        <v>20</v>
      </c>
      <c r="Q67" s="30">
        <f>SUMIF('MASTER DATA'!$A:$A,PAD!O47,'MASTER DATA'!$AW:$AW)</f>
        <v>0</v>
      </c>
      <c r="R67" s="49"/>
    </row>
    <row r="68" spans="1:18">
      <c r="A68" s="47"/>
      <c r="B68" s="27"/>
      <c r="D68" s="30" t="s">
        <v>23</v>
      </c>
      <c r="E68" s="30">
        <f>SUMIF('MASTER DATA'!$A:$A,PAD!C47,'MASTER DATA'!$AX:$AX)</f>
        <v>0</v>
      </c>
      <c r="F68" s="50"/>
      <c r="G68" s="60"/>
      <c r="H68" s="30"/>
      <c r="I68" s="28"/>
      <c r="J68" s="30" t="s">
        <v>23</v>
      </c>
      <c r="K68" s="30">
        <f>SUMIF('MASTER DATA'!$A:$A,PAD!I47,'MASTER DATA'!$AX:$AX)</f>
        <v>0</v>
      </c>
      <c r="L68" s="50"/>
      <c r="M68" s="60"/>
      <c r="N68" s="30"/>
      <c r="O68" s="28"/>
      <c r="P68" s="30" t="s">
        <v>23</v>
      </c>
      <c r="Q68" s="30">
        <f>SUMIF('MASTER DATA'!$A:$A,PAD!O47,'MASTER DATA'!$AX:$AX)</f>
        <v>0</v>
      </c>
      <c r="R68" s="49"/>
    </row>
    <row r="69" spans="1:18" ht="16.5" thickBot="1">
      <c r="A69" s="47"/>
      <c r="B69" s="27"/>
      <c r="D69" s="28" t="s">
        <v>16</v>
      </c>
      <c r="E69" s="33">
        <f>E61-SUM(E62:E68)</f>
        <v>13500</v>
      </c>
      <c r="F69" s="53"/>
      <c r="G69" s="60"/>
      <c r="H69" s="30"/>
      <c r="I69" s="28"/>
      <c r="J69" s="28" t="s">
        <v>16</v>
      </c>
      <c r="K69" s="33">
        <f>K61-SUM(K62:K68)</f>
        <v>13402.84</v>
      </c>
      <c r="L69" s="53"/>
      <c r="M69" s="60"/>
      <c r="N69" s="30"/>
      <c r="O69" s="28"/>
      <c r="P69" s="28" t="s">
        <v>16</v>
      </c>
      <c r="Q69" s="33">
        <f>Q61-SUM(Q62:Q68)</f>
        <v>18309.5</v>
      </c>
      <c r="R69" s="49"/>
    </row>
    <row r="70" spans="1:18" ht="16.5" thickTop="1">
      <c r="A70" s="47"/>
      <c r="B70" s="27"/>
      <c r="D70" s="30"/>
      <c r="E70" s="30"/>
      <c r="F70" s="50"/>
      <c r="G70" s="60"/>
      <c r="H70" s="30"/>
      <c r="I70" s="28"/>
      <c r="J70" s="30"/>
      <c r="K70" s="30"/>
      <c r="L70" s="50"/>
      <c r="M70" s="60"/>
      <c r="N70" s="30"/>
      <c r="O70" s="28"/>
      <c r="P70" s="30"/>
      <c r="Q70" s="30"/>
      <c r="R70" s="49"/>
    </row>
    <row r="71" spans="1:18" ht="60">
      <c r="A71" s="47"/>
      <c r="B71" s="27"/>
      <c r="D71" s="66"/>
      <c r="E71" s="27"/>
      <c r="F71" s="49"/>
      <c r="G71" s="47"/>
      <c r="H71" s="27"/>
      <c r="J71" s="88" t="s">
        <v>318</v>
      </c>
      <c r="K71" s="27"/>
      <c r="L71" s="49"/>
      <c r="M71" s="60"/>
      <c r="N71" s="30"/>
      <c r="O71" s="28"/>
      <c r="P71" s="66"/>
      <c r="Q71" s="27"/>
      <c r="R71" s="49"/>
    </row>
    <row r="72" spans="1:18" ht="16.5" thickBot="1">
      <c r="A72" s="54"/>
      <c r="B72" s="55"/>
      <c r="C72" s="55"/>
      <c r="D72" s="55"/>
      <c r="E72" s="55"/>
      <c r="F72" s="56"/>
      <c r="G72" s="54"/>
      <c r="H72" s="55"/>
      <c r="I72" s="61"/>
      <c r="J72" s="55"/>
      <c r="K72" s="55"/>
      <c r="L72" s="56"/>
      <c r="M72" s="62"/>
      <c r="N72" s="63"/>
      <c r="O72" s="64"/>
      <c r="P72" s="55"/>
      <c r="Q72" s="55"/>
      <c r="R72" s="56"/>
    </row>
    <row r="73" spans="1:18" ht="18">
      <c r="A73" s="41"/>
      <c r="B73" s="42"/>
      <c r="C73" s="42"/>
      <c r="D73" s="42"/>
      <c r="E73" s="42"/>
      <c r="F73" s="79" t="s">
        <v>235</v>
      </c>
      <c r="G73" s="41"/>
      <c r="H73" s="42"/>
      <c r="I73" s="42"/>
      <c r="J73" s="42"/>
      <c r="K73" s="42"/>
      <c r="L73" s="79" t="s">
        <v>235</v>
      </c>
      <c r="M73" s="41"/>
      <c r="N73" s="42"/>
      <c r="O73" s="42"/>
      <c r="P73" s="42"/>
      <c r="Q73" s="42"/>
      <c r="R73" s="79" t="s">
        <v>235</v>
      </c>
    </row>
    <row r="74" spans="1:18" ht="18">
      <c r="A74" s="44"/>
      <c r="B74" s="34"/>
      <c r="C74" s="34"/>
      <c r="D74" s="34"/>
      <c r="E74" s="34"/>
      <c r="F74" s="45"/>
      <c r="G74" s="44"/>
      <c r="H74" s="34"/>
      <c r="I74" s="34"/>
      <c r="J74" s="34"/>
      <c r="K74" s="34"/>
      <c r="L74" s="75"/>
      <c r="M74" s="44"/>
      <c r="N74" s="34"/>
      <c r="O74" s="34"/>
      <c r="P74" s="34"/>
      <c r="Q74" s="34"/>
      <c r="R74" s="75"/>
    </row>
    <row r="75" spans="1:18" ht="18">
      <c r="A75" s="44"/>
      <c r="B75" s="34"/>
      <c r="C75" s="34"/>
      <c r="D75" s="35" t="s">
        <v>0</v>
      </c>
      <c r="E75" s="36"/>
      <c r="F75" s="46"/>
      <c r="G75" s="44"/>
      <c r="H75" s="34"/>
      <c r="I75" s="34"/>
      <c r="J75" s="35" t="s">
        <v>0</v>
      </c>
      <c r="K75" s="36"/>
      <c r="L75" s="46"/>
      <c r="M75" s="44"/>
      <c r="N75" s="34"/>
      <c r="O75" s="34"/>
      <c r="P75" s="35" t="s">
        <v>0</v>
      </c>
      <c r="Q75" s="36"/>
      <c r="R75" s="46"/>
    </row>
    <row r="76" spans="1:18" ht="18">
      <c r="A76" s="44"/>
      <c r="B76" s="34"/>
      <c r="C76" s="34"/>
      <c r="D76" s="35" t="s">
        <v>1</v>
      </c>
      <c r="E76" s="36"/>
      <c r="F76" s="46"/>
      <c r="G76" s="44"/>
      <c r="H76" s="34"/>
      <c r="I76" s="34"/>
      <c r="J76" s="35" t="s">
        <v>1</v>
      </c>
      <c r="K76" s="36"/>
      <c r="L76" s="46"/>
      <c r="M76" s="44"/>
      <c r="N76" s="34"/>
      <c r="O76" s="34"/>
      <c r="P76" s="35" t="s">
        <v>1</v>
      </c>
      <c r="Q76" s="36"/>
      <c r="R76" s="46"/>
    </row>
    <row r="77" spans="1:18" ht="18">
      <c r="A77" s="44"/>
      <c r="B77" s="34"/>
      <c r="C77" s="34"/>
      <c r="D77" s="35" t="s">
        <v>162</v>
      </c>
      <c r="E77" s="36"/>
      <c r="F77" s="46"/>
      <c r="G77" s="44"/>
      <c r="H77" s="34"/>
      <c r="I77" s="34"/>
      <c r="J77" s="35" t="s">
        <v>162</v>
      </c>
      <c r="K77" s="36"/>
      <c r="L77" s="46"/>
      <c r="M77" s="44"/>
      <c r="N77" s="34"/>
      <c r="O77" s="34"/>
      <c r="P77" s="35" t="s">
        <v>162</v>
      </c>
      <c r="Q77" s="36"/>
      <c r="R77" s="46"/>
    </row>
    <row r="78" spans="1:18" ht="18">
      <c r="A78" s="44"/>
      <c r="B78" s="34"/>
      <c r="C78" s="34"/>
      <c r="D78" s="34"/>
      <c r="E78" s="34"/>
      <c r="F78" s="45"/>
      <c r="G78" s="44"/>
      <c r="H78" s="34"/>
      <c r="I78" s="34"/>
      <c r="J78" s="34"/>
      <c r="K78" s="34"/>
      <c r="L78" s="45"/>
      <c r="M78" s="44"/>
      <c r="N78" s="34"/>
      <c r="O78" s="34"/>
      <c r="P78" s="34"/>
      <c r="Q78" s="34"/>
      <c r="R78" s="45"/>
    </row>
    <row r="79" spans="1:18" ht="18">
      <c r="A79" s="44"/>
      <c r="B79" s="34"/>
      <c r="C79" s="34"/>
      <c r="D79" s="34"/>
      <c r="E79" s="34"/>
      <c r="F79" s="45"/>
      <c r="G79" s="44"/>
      <c r="H79" s="34"/>
      <c r="I79" s="34"/>
      <c r="J79" s="34"/>
      <c r="K79" s="34"/>
      <c r="L79" s="45"/>
      <c r="M79" s="44"/>
      <c r="N79" s="34"/>
      <c r="O79" s="34"/>
      <c r="P79" s="34"/>
      <c r="Q79" s="34"/>
      <c r="R79" s="45"/>
    </row>
    <row r="80" spans="1:18">
      <c r="A80" s="47"/>
      <c r="B80" s="27"/>
      <c r="D80" s="3" t="s">
        <v>3</v>
      </c>
      <c r="E80" s="3"/>
      <c r="F80" s="48"/>
      <c r="G80" s="47"/>
      <c r="H80" s="27"/>
      <c r="I80" s="27"/>
      <c r="J80" s="3" t="s">
        <v>3</v>
      </c>
      <c r="K80" s="3"/>
      <c r="L80" s="48"/>
      <c r="M80" s="47"/>
      <c r="N80" s="27"/>
      <c r="O80" s="27"/>
      <c r="P80" s="3" t="s">
        <v>3</v>
      </c>
      <c r="Q80" s="3"/>
      <c r="R80" s="48"/>
    </row>
    <row r="81" spans="1:18" ht="15">
      <c r="A81" s="47"/>
      <c r="B81" s="27"/>
      <c r="D81" s="27" t="str">
        <f>D45</f>
        <v>FEB 16-28, 2026</v>
      </c>
      <c r="E81" s="27"/>
      <c r="F81" s="49"/>
      <c r="G81" s="47"/>
      <c r="H81" s="27"/>
      <c r="I81" s="27"/>
      <c r="J81" s="27" t="str">
        <f>D81</f>
        <v>FEB 16-28, 2026</v>
      </c>
      <c r="K81" s="27"/>
      <c r="L81" s="49"/>
      <c r="M81" s="47"/>
      <c r="N81" s="27"/>
      <c r="O81" s="27"/>
      <c r="P81" s="27" t="str">
        <f>J81</f>
        <v>FEB 16-28, 2026</v>
      </c>
      <c r="Q81" s="27"/>
      <c r="R81" s="49"/>
    </row>
    <row r="82" spans="1:18">
      <c r="A82" s="47"/>
      <c r="B82" s="27"/>
      <c r="D82" s="3"/>
      <c r="E82" s="27"/>
      <c r="F82" s="49"/>
      <c r="G82" s="47"/>
      <c r="H82" s="27"/>
      <c r="I82" s="27"/>
      <c r="J82" s="3"/>
      <c r="K82" s="27"/>
      <c r="L82" s="49"/>
      <c r="M82" s="47"/>
      <c r="N82" s="27"/>
      <c r="O82" s="27"/>
      <c r="P82" s="3"/>
      <c r="Q82" s="27"/>
      <c r="R82" s="49"/>
    </row>
    <row r="83" spans="1:18">
      <c r="A83" s="47"/>
      <c r="B83" s="27"/>
      <c r="C83" s="3">
        <v>60</v>
      </c>
      <c r="D83" s="3" t="str">
        <f>VLOOKUP(C83,'MASTER DATA'!$A:$E,5,FALSE)</f>
        <v>DITCHE, ALLIAH LYN P.</v>
      </c>
      <c r="E83" s="27"/>
      <c r="F83" s="49"/>
      <c r="G83" s="47"/>
      <c r="H83" s="27"/>
      <c r="I83" s="3">
        <v>61</v>
      </c>
      <c r="J83" s="3" t="str">
        <f>VLOOKUP(I83,'MASTER DATA'!$A:$E,5,FALSE)</f>
        <v>CORDOVA, JOEL M.</v>
      </c>
      <c r="K83" s="27"/>
      <c r="L83" s="49"/>
      <c r="M83" s="47"/>
      <c r="N83" s="27"/>
      <c r="O83" s="3">
        <v>62</v>
      </c>
      <c r="P83" s="3" t="str">
        <f>VLOOKUP(O83,'MASTER DATA'!$A:$E,5,FALSE)</f>
        <v>ARANAZ, CZAREE JOSIAH A.</v>
      </c>
      <c r="Q83" s="27"/>
      <c r="R83" s="49"/>
    </row>
    <row r="84" spans="1:18">
      <c r="A84" s="47"/>
      <c r="B84" s="27"/>
      <c r="C84" s="3"/>
      <c r="D84" s="3" t="str">
        <f>VLOOKUP(C83,'MASTER DATA'!$A:$F,6,FALSE)</f>
        <v>PAD</v>
      </c>
      <c r="E84" s="27"/>
      <c r="F84" s="49"/>
      <c r="G84" s="47"/>
      <c r="H84" s="27"/>
      <c r="J84" s="3" t="str">
        <f>VLOOKUP(I83,'MASTER DATA'!$A:$F,6,FALSE)</f>
        <v>PAD</v>
      </c>
      <c r="K84" s="27"/>
      <c r="L84" s="49"/>
      <c r="M84" s="47"/>
      <c r="N84" s="27"/>
      <c r="O84" s="3"/>
      <c r="P84" s="3" t="str">
        <f>VLOOKUP(O83,'MASTER DATA'!$A:$F,6,FALSE)</f>
        <v>PAD</v>
      </c>
      <c r="Q84" s="27"/>
      <c r="R84" s="49"/>
    </row>
    <row r="85" spans="1:18" ht="15">
      <c r="A85" s="47"/>
      <c r="B85" s="27"/>
      <c r="D85" s="29" t="str">
        <f>VLOOKUP(C83,'MASTER DATA'!$A:$G,7,FALSE)</f>
        <v>Development Management Officer II</v>
      </c>
      <c r="E85" s="27"/>
      <c r="F85" s="49"/>
      <c r="G85" s="47"/>
      <c r="H85" s="27"/>
      <c r="I85" s="27"/>
      <c r="J85" s="29" t="str">
        <f>VLOOKUP(I83,'MASTER DATA'!$A:$G,7,FALSE)</f>
        <v>Encoder</v>
      </c>
      <c r="K85" s="27"/>
      <c r="L85" s="49"/>
      <c r="M85" s="47"/>
      <c r="N85" s="27"/>
      <c r="O85" s="27"/>
      <c r="P85" s="29" t="str">
        <f>VLOOKUP(O83,'MASTER DATA'!$A:$G,7,FALSE)</f>
        <v>Agriculturist I</v>
      </c>
      <c r="Q85" s="27"/>
      <c r="R85" s="49"/>
    </row>
    <row r="86" spans="1:18" ht="15">
      <c r="A86" s="47"/>
      <c r="B86" s="27"/>
      <c r="D86" s="27" t="s">
        <v>4</v>
      </c>
      <c r="E86" s="30">
        <v>18309.5</v>
      </c>
      <c r="F86" s="50"/>
      <c r="G86" s="47"/>
      <c r="H86" s="27"/>
      <c r="I86" s="27"/>
      <c r="J86" s="27" t="s">
        <v>4</v>
      </c>
      <c r="K86" s="30">
        <v>8776.5</v>
      </c>
      <c r="L86" s="50"/>
      <c r="M86" s="47"/>
      <c r="N86" s="27"/>
      <c r="O86" s="27"/>
      <c r="P86" s="27" t="s">
        <v>4</v>
      </c>
      <c r="Q86" s="30">
        <v>13500</v>
      </c>
      <c r="R86" s="50"/>
    </row>
    <row r="87" spans="1:18" ht="17.25">
      <c r="A87" s="47"/>
      <c r="B87" s="27"/>
      <c r="D87" s="27"/>
      <c r="E87" s="37"/>
      <c r="F87" s="51"/>
      <c r="G87" s="47"/>
      <c r="H87" s="27"/>
      <c r="I87" s="27"/>
      <c r="J87" s="27"/>
      <c r="K87" s="37"/>
      <c r="L87" s="51"/>
      <c r="M87" s="47"/>
      <c r="N87" s="27"/>
      <c r="O87" s="27"/>
      <c r="P87" s="27"/>
      <c r="Q87" s="37"/>
      <c r="R87" s="51"/>
    </row>
    <row r="88" spans="1:18" ht="15">
      <c r="A88" s="47"/>
      <c r="B88" s="27"/>
      <c r="D88" s="27"/>
      <c r="E88" s="30"/>
      <c r="F88" s="50"/>
      <c r="G88" s="47"/>
      <c r="H88" s="27"/>
      <c r="I88" s="27"/>
      <c r="J88" s="27"/>
      <c r="K88" s="30"/>
      <c r="L88" s="50"/>
      <c r="M88" s="47"/>
      <c r="N88" s="27"/>
      <c r="O88" s="27"/>
      <c r="P88" s="27"/>
      <c r="Q88" s="30"/>
      <c r="R88" s="50"/>
    </row>
    <row r="89" spans="1:18" ht="17.25">
      <c r="A89" s="47"/>
      <c r="B89" s="27"/>
      <c r="D89" s="27"/>
      <c r="E89" s="37"/>
      <c r="F89" s="51"/>
      <c r="G89" s="47"/>
      <c r="H89" s="27"/>
      <c r="I89" s="27"/>
      <c r="J89" s="27"/>
      <c r="K89" s="37"/>
      <c r="L89" s="51"/>
      <c r="M89" s="47"/>
      <c r="N89" s="27"/>
      <c r="O89" s="27"/>
      <c r="P89" s="27"/>
      <c r="Q89" s="37"/>
      <c r="R89" s="51"/>
    </row>
    <row r="90" spans="1:18" ht="15">
      <c r="A90" s="47"/>
      <c r="B90" s="27"/>
      <c r="D90" s="39" t="s">
        <v>5</v>
      </c>
      <c r="E90" s="40" t="s">
        <v>6</v>
      </c>
      <c r="F90" s="52"/>
      <c r="G90" s="47"/>
      <c r="H90" s="27"/>
      <c r="I90" s="27"/>
      <c r="J90" s="39" t="s">
        <v>5</v>
      </c>
      <c r="K90" s="40" t="s">
        <v>6</v>
      </c>
      <c r="L90" s="52"/>
      <c r="M90" s="47"/>
      <c r="N90" s="27"/>
      <c r="O90" s="27"/>
      <c r="P90" s="39" t="s">
        <v>5</v>
      </c>
      <c r="Q90" s="40" t="s">
        <v>6</v>
      </c>
      <c r="R90" s="52"/>
    </row>
    <row r="91" spans="1:18" ht="15">
      <c r="A91" s="47"/>
      <c r="B91" s="27"/>
      <c r="D91" s="27"/>
      <c r="E91" s="27"/>
      <c r="F91" s="49"/>
      <c r="G91" s="47"/>
      <c r="H91" s="27"/>
      <c r="I91" s="27"/>
      <c r="J91" s="27"/>
      <c r="K91" s="27"/>
      <c r="L91" s="49"/>
      <c r="M91" s="47"/>
      <c r="N91" s="27"/>
      <c r="O91" s="27"/>
      <c r="P91" s="27"/>
      <c r="Q91" s="27"/>
      <c r="R91" s="49"/>
    </row>
    <row r="92" spans="1:18" ht="15">
      <c r="A92" s="47"/>
      <c r="B92" s="27"/>
      <c r="D92" s="30" t="s">
        <v>7</v>
      </c>
      <c r="E92" s="30">
        <f>SUMIF('MASTER DATA'!$A:$A,PAD!C83,'MASTER DATA'!$AL:$AL)</f>
        <v>0</v>
      </c>
      <c r="F92" s="50"/>
      <c r="G92" s="47"/>
      <c r="H92" s="27"/>
      <c r="I92" s="27"/>
      <c r="J92" s="30" t="s">
        <v>7</v>
      </c>
      <c r="K92" s="30">
        <f>SUMIF('MASTER DATA'!$A:$A,PAD!I83,'MASTER DATA'!$AL:$AL)</f>
        <v>0</v>
      </c>
      <c r="L92" s="50"/>
      <c r="M92" s="47"/>
      <c r="N92" s="27"/>
      <c r="O92" s="27"/>
      <c r="P92" s="30" t="s">
        <v>7</v>
      </c>
      <c r="Q92" s="30">
        <f>SUMIF('MASTER DATA'!$A:$A,PAD!O83,'MASTER DATA'!$AL:$AL)</f>
        <v>0</v>
      </c>
      <c r="R92" s="50"/>
    </row>
    <row r="93" spans="1:18" ht="15">
      <c r="A93" s="47"/>
      <c r="B93" s="27"/>
      <c r="D93" s="31" t="s">
        <v>8</v>
      </c>
      <c r="E93" s="30">
        <f>SUMIF('MASTER DATA'!$A:$A,PAD!C83,'MASTER DATA'!$AM:$AM)+SUMIF('MASTER DATA'!$A:$A,PAD!C83,'MASTER DATA'!$AN:$AN)</f>
        <v>6.94</v>
      </c>
      <c r="F93" s="50"/>
      <c r="G93" s="47"/>
      <c r="H93" s="27"/>
      <c r="I93" s="27"/>
      <c r="J93" s="31" t="s">
        <v>8</v>
      </c>
      <c r="K93" s="30">
        <f>SUMIF('MASTER DATA'!$A:$A,PAD!I83,'MASTER DATA'!$AM:$AM)+SUMIF('MASTER DATA'!$A:$A,PAD!I83,'MASTER DATA'!$AN:$AN)</f>
        <v>0</v>
      </c>
      <c r="L93" s="50"/>
      <c r="M93" s="47"/>
      <c r="N93" s="27"/>
      <c r="O93" s="27"/>
      <c r="P93" s="31" t="s">
        <v>8</v>
      </c>
      <c r="Q93" s="30">
        <f>SUMIF('MASTER DATA'!$A:$A,PAD!O83,'MASTER DATA'!$AM:$AM)+SUMIF('MASTER DATA'!$A:$A,PAD!O83,'MASTER DATA'!$AN:$AN)</f>
        <v>63.92</v>
      </c>
      <c r="R93" s="50"/>
    </row>
    <row r="94" spans="1:18" ht="15">
      <c r="A94" s="47"/>
      <c r="B94" s="27"/>
      <c r="D94" s="30" t="s">
        <v>9</v>
      </c>
      <c r="E94" s="32">
        <f>SUMIF('MASTER DATA'!$A:$A,PAD!C83,'MASTER DATA'!$AP:$AP)</f>
        <v>0</v>
      </c>
      <c r="F94" s="50"/>
      <c r="G94" s="47"/>
      <c r="H94" s="27"/>
      <c r="I94" s="27"/>
      <c r="J94" s="30" t="s">
        <v>9</v>
      </c>
      <c r="K94" s="32">
        <f>SUMIF('MASTER DATA'!$A:$A,PAD!I83,'MASTER DATA'!$AP:$AP)</f>
        <v>0</v>
      </c>
      <c r="L94" s="50"/>
      <c r="M94" s="47"/>
      <c r="N94" s="27"/>
      <c r="O94" s="27"/>
      <c r="P94" s="30" t="s">
        <v>9</v>
      </c>
      <c r="Q94" s="32">
        <f>SUMIF('MASTER DATA'!$A:$A,PAD!O83,'MASTER DATA'!$AP:$AP)</f>
        <v>0</v>
      </c>
      <c r="R94" s="50"/>
    </row>
    <row r="95" spans="1:18" ht="15">
      <c r="A95" s="47"/>
      <c r="B95" s="27"/>
      <c r="D95" s="30" t="s">
        <v>10</v>
      </c>
      <c r="E95" s="30">
        <f>SUM(E92:E94)</f>
        <v>6.94</v>
      </c>
      <c r="F95" s="50"/>
      <c r="G95" s="47"/>
      <c r="H95" s="27"/>
      <c r="I95" s="27"/>
      <c r="J95" s="30" t="s">
        <v>10</v>
      </c>
      <c r="K95" s="30">
        <f>SUM(K92:K94)</f>
        <v>0</v>
      </c>
      <c r="L95" s="50"/>
      <c r="M95" s="47"/>
      <c r="N95" s="27"/>
      <c r="O95" s="27"/>
      <c r="P95" s="30" t="s">
        <v>10</v>
      </c>
      <c r="Q95" s="30">
        <f>SUM(Q92:Q94)</f>
        <v>63.92</v>
      </c>
      <c r="R95" s="50"/>
    </row>
    <row r="96" spans="1:18" ht="15">
      <c r="A96" s="47"/>
      <c r="B96" s="27"/>
      <c r="D96" s="30"/>
      <c r="E96" s="30"/>
      <c r="F96" s="50"/>
      <c r="G96" s="47"/>
      <c r="H96" s="27"/>
      <c r="I96" s="27"/>
      <c r="J96" s="30"/>
      <c r="K96" s="30"/>
      <c r="L96" s="50"/>
      <c r="M96" s="47"/>
      <c r="N96" s="27"/>
      <c r="O96" s="27"/>
      <c r="P96" s="30"/>
      <c r="Q96" s="30"/>
      <c r="R96" s="50"/>
    </row>
    <row r="97" spans="1:18" ht="15">
      <c r="A97" s="47"/>
      <c r="B97" s="27"/>
      <c r="D97" s="30" t="s">
        <v>12</v>
      </c>
      <c r="E97" s="30">
        <f>E86-E95</f>
        <v>18302.560000000001</v>
      </c>
      <c r="F97" s="50"/>
      <c r="G97" s="47"/>
      <c r="H97" s="27"/>
      <c r="I97" s="27"/>
      <c r="J97" s="30" t="s">
        <v>12</v>
      </c>
      <c r="K97" s="30">
        <f>K86-K95</f>
        <v>8776.5</v>
      </c>
      <c r="L97" s="50"/>
      <c r="M97" s="47"/>
      <c r="N97" s="27"/>
      <c r="O97" s="27"/>
      <c r="P97" s="30" t="s">
        <v>12</v>
      </c>
      <c r="Q97" s="30">
        <f>Q86-Q95</f>
        <v>13436.08</v>
      </c>
      <c r="R97" s="50"/>
    </row>
    <row r="98" spans="1:18" ht="15">
      <c r="A98" s="47"/>
      <c r="B98" s="27"/>
      <c r="D98" s="30" t="s">
        <v>13</v>
      </c>
      <c r="E98" s="30"/>
      <c r="F98" s="50"/>
      <c r="G98" s="47"/>
      <c r="H98" s="27"/>
      <c r="I98" s="27"/>
      <c r="J98" s="30" t="s">
        <v>13</v>
      </c>
      <c r="K98" s="30"/>
      <c r="L98" s="50"/>
      <c r="M98" s="47"/>
      <c r="N98" s="27"/>
      <c r="O98" s="27"/>
      <c r="P98" s="30" t="s">
        <v>13</v>
      </c>
      <c r="Q98" s="30"/>
      <c r="R98" s="50"/>
    </row>
    <row r="99" spans="1:18" ht="15">
      <c r="A99" s="47"/>
      <c r="B99" s="27"/>
      <c r="D99" s="30" t="s">
        <v>14</v>
      </c>
      <c r="E99" s="30">
        <f>SUMIF('MASTER DATA'!$A:$A,PAD!C83,'MASTER DATA'!$AS:$AS)</f>
        <v>0</v>
      </c>
      <c r="F99" s="50"/>
      <c r="G99" s="47"/>
      <c r="H99" s="27"/>
      <c r="I99" s="27"/>
      <c r="J99" s="30" t="s">
        <v>14</v>
      </c>
      <c r="K99" s="30">
        <f>SUMIF('MASTER DATA'!$A:$A,PAD!I83,'MASTER DATA'!$AS:$AS)</f>
        <v>0</v>
      </c>
      <c r="L99" s="50"/>
      <c r="M99" s="47"/>
      <c r="N99" s="27"/>
      <c r="O99" s="27"/>
      <c r="P99" s="30" t="s">
        <v>14</v>
      </c>
      <c r="Q99" s="30">
        <f>SUMIF('MASTER DATA'!$A:$A,PAD!O83,'MASTER DATA'!$AS:$AS)</f>
        <v>0</v>
      </c>
      <c r="R99" s="50"/>
    </row>
    <row r="100" spans="1:18" ht="15">
      <c r="A100" s="47"/>
      <c r="B100" s="27"/>
      <c r="D100" s="69" t="s">
        <v>160</v>
      </c>
      <c r="E100" s="30">
        <f>SUMIF('MASTER DATA'!$A:$A,PAD!C83,'MASTER DATA'!$AT:$AT)</f>
        <v>0</v>
      </c>
      <c r="F100" s="50"/>
      <c r="G100" s="47"/>
      <c r="H100" s="27"/>
      <c r="I100" s="27"/>
      <c r="J100" s="69" t="s">
        <v>160</v>
      </c>
      <c r="K100" s="30">
        <f>SUMIF('MASTER DATA'!$A:$A,PAD!I83,'MASTER DATA'!$AT:$AT)</f>
        <v>0</v>
      </c>
      <c r="L100" s="50"/>
      <c r="M100" s="47"/>
      <c r="N100" s="27"/>
      <c r="O100" s="27"/>
      <c r="P100" s="69" t="s">
        <v>160</v>
      </c>
      <c r="Q100" s="30">
        <f>SUMIF('MASTER DATA'!$A:$A,PAD!O83,'MASTER DATA'!$AT:$AT)</f>
        <v>0</v>
      </c>
      <c r="R100" s="50"/>
    </row>
    <row r="101" spans="1:18" ht="15">
      <c r="A101" s="47"/>
      <c r="B101" s="27"/>
      <c r="D101" s="30" t="s">
        <v>15</v>
      </c>
      <c r="E101" s="30">
        <f>SUMIF('MASTER DATA'!$A:$A,PAD!C83,'MASTER DATA'!$AU:$AU)</f>
        <v>0</v>
      </c>
      <c r="F101" s="50"/>
      <c r="G101" s="47"/>
      <c r="H101" s="27"/>
      <c r="I101" s="27"/>
      <c r="J101" s="30" t="s">
        <v>15</v>
      </c>
      <c r="K101" s="30">
        <f>SUMIF('MASTER DATA'!$A:$A,PAD!I83,'MASTER DATA'!$AU:$AU)</f>
        <v>0</v>
      </c>
      <c r="L101" s="50"/>
      <c r="M101" s="47"/>
      <c r="N101" s="27"/>
      <c r="O101" s="27"/>
      <c r="P101" s="30" t="s">
        <v>15</v>
      </c>
      <c r="Q101" s="30">
        <f>SUMIF('MASTER DATA'!$A:$A,PAD!O83,'MASTER DATA'!$AU:$AU)</f>
        <v>0</v>
      </c>
      <c r="R101" s="50"/>
    </row>
    <row r="102" spans="1:18" ht="15">
      <c r="A102" s="47"/>
      <c r="B102" s="27"/>
      <c r="D102" s="30" t="s">
        <v>19</v>
      </c>
      <c r="E102" s="30">
        <f>SUMIF('MASTER DATA'!$A:$A,PAD!C83,'MASTER DATA'!$AV:$AV)</f>
        <v>0</v>
      </c>
      <c r="F102" s="50"/>
      <c r="G102" s="47"/>
      <c r="H102" s="27"/>
      <c r="I102" s="27"/>
      <c r="J102" s="30" t="s">
        <v>19</v>
      </c>
      <c r="K102" s="30">
        <f>SUMIF('MASTER DATA'!$A:$A,PAD!I83,'MASTER DATA'!$AV:$AV)</f>
        <v>0</v>
      </c>
      <c r="L102" s="50"/>
      <c r="M102" s="47"/>
      <c r="N102" s="27"/>
      <c r="O102" s="27"/>
      <c r="P102" s="30" t="s">
        <v>19</v>
      </c>
      <c r="Q102" s="30">
        <f>SUMIF('MASTER DATA'!$A:$A,PAD!O83,'MASTER DATA'!$AV:$AV)</f>
        <v>0</v>
      </c>
      <c r="R102" s="50"/>
    </row>
    <row r="103" spans="1:18" ht="15">
      <c r="A103" s="47"/>
      <c r="B103" s="27"/>
      <c r="D103" s="30" t="s">
        <v>20</v>
      </c>
      <c r="E103" s="30">
        <f>SUMIF('MASTER DATA'!$A:$A,PAD!C83,'MASTER DATA'!$AW:$AW)</f>
        <v>0</v>
      </c>
      <c r="F103" s="50"/>
      <c r="G103" s="47"/>
      <c r="H103" s="27"/>
      <c r="I103" s="27"/>
      <c r="J103" s="30" t="s">
        <v>20</v>
      </c>
      <c r="K103" s="30">
        <f>SUMIF('MASTER DATA'!$A:$A,PAD!I83,'MASTER DATA'!$AW:$AW)</f>
        <v>0</v>
      </c>
      <c r="L103" s="50"/>
      <c r="M103" s="47"/>
      <c r="N103" s="27"/>
      <c r="O103" s="27"/>
      <c r="P103" s="30" t="s">
        <v>20</v>
      </c>
      <c r="Q103" s="30">
        <f>SUMIF('MASTER DATA'!$A:$A,PAD!O83,'MASTER DATA'!$AW:$AW)</f>
        <v>0</v>
      </c>
      <c r="R103" s="50"/>
    </row>
    <row r="104" spans="1:18" ht="15">
      <c r="A104" s="47"/>
      <c r="B104" s="27"/>
      <c r="D104" s="30" t="s">
        <v>23</v>
      </c>
      <c r="E104" s="30">
        <f>SUMIF('MASTER DATA'!$A:$A,PAD!C83,'MASTER DATA'!$AX:$AX)</f>
        <v>0</v>
      </c>
      <c r="F104" s="50"/>
      <c r="G104" s="47"/>
      <c r="H104" s="27"/>
      <c r="I104" s="27"/>
      <c r="J104" s="30" t="s">
        <v>23</v>
      </c>
      <c r="K104" s="30">
        <f>SUMIF('MASTER DATA'!$A:$A,PAD!I83,'MASTER DATA'!$AX:$AX)</f>
        <v>0</v>
      </c>
      <c r="L104" s="50"/>
      <c r="M104" s="47"/>
      <c r="N104" s="27"/>
      <c r="O104" s="27"/>
      <c r="P104" s="30" t="s">
        <v>23</v>
      </c>
      <c r="Q104" s="30">
        <f>SUMIF('MASTER DATA'!$A:$A,PAD!O83,'MASTER DATA'!$AX:$AX)</f>
        <v>0</v>
      </c>
      <c r="R104" s="50"/>
    </row>
    <row r="105" spans="1:18" ht="16.5" thickBot="1">
      <c r="A105" s="47"/>
      <c r="B105" s="27"/>
      <c r="D105" s="28" t="s">
        <v>16</v>
      </c>
      <c r="E105" s="33">
        <f>E97-SUM(E98:E104)</f>
        <v>18302.560000000001</v>
      </c>
      <c r="F105" s="53"/>
      <c r="G105" s="47"/>
      <c r="H105" s="27"/>
      <c r="I105" s="27"/>
      <c r="J105" s="28" t="s">
        <v>16</v>
      </c>
      <c r="K105" s="33">
        <f>K97-SUM(K98:K104)</f>
        <v>8776.5</v>
      </c>
      <c r="L105" s="53"/>
      <c r="M105" s="47"/>
      <c r="N105" s="27"/>
      <c r="O105" s="27"/>
      <c r="P105" s="28" t="s">
        <v>16</v>
      </c>
      <c r="Q105" s="33">
        <f>Q97-SUM(Q98:Q104)</f>
        <v>13436.08</v>
      </c>
      <c r="R105" s="53"/>
    </row>
    <row r="106" spans="1:18" thickTop="1">
      <c r="A106" s="47"/>
      <c r="B106" s="27"/>
      <c r="D106" s="30"/>
      <c r="E106" s="30"/>
      <c r="F106" s="50"/>
      <c r="G106" s="47"/>
      <c r="H106" s="27"/>
      <c r="I106" s="27"/>
      <c r="J106" s="30"/>
      <c r="K106" s="30"/>
      <c r="L106" s="50"/>
      <c r="M106" s="47"/>
      <c r="N106" s="27"/>
      <c r="O106" s="27"/>
      <c r="P106" s="30"/>
      <c r="Q106" s="30"/>
      <c r="R106" s="50"/>
    </row>
    <row r="107" spans="1:18" ht="60">
      <c r="A107" s="47"/>
      <c r="B107" s="27"/>
      <c r="D107" s="88" t="s">
        <v>318</v>
      </c>
      <c r="E107" s="81"/>
      <c r="F107" s="49"/>
      <c r="G107" s="47"/>
      <c r="H107" s="27"/>
      <c r="I107" s="27"/>
      <c r="J107" s="88"/>
      <c r="K107" s="27"/>
      <c r="L107" s="49"/>
      <c r="M107" s="47"/>
      <c r="N107" s="27"/>
      <c r="O107" s="27"/>
      <c r="P107" s="88" t="s">
        <v>318</v>
      </c>
      <c r="Q107" s="27"/>
      <c r="R107" s="49"/>
    </row>
    <row r="108" spans="1:18" thickBot="1">
      <c r="A108" s="54"/>
      <c r="B108" s="55"/>
      <c r="C108" s="55"/>
      <c r="D108" s="55"/>
      <c r="E108" s="55"/>
      <c r="F108" s="56"/>
      <c r="G108" s="54"/>
      <c r="H108" s="55"/>
      <c r="I108" s="55"/>
      <c r="J108" s="77"/>
      <c r="K108" s="55"/>
      <c r="L108" s="56"/>
      <c r="M108" s="54"/>
      <c r="N108" s="55"/>
      <c r="O108" s="55"/>
      <c r="P108" s="77"/>
      <c r="Q108" s="55"/>
      <c r="R108" s="56"/>
    </row>
    <row r="109" spans="1:18" ht="18">
      <c r="A109" s="41"/>
      <c r="B109" s="42"/>
      <c r="C109" s="42"/>
      <c r="D109" s="42"/>
      <c r="E109" s="42"/>
      <c r="F109" s="79" t="s">
        <v>235</v>
      </c>
      <c r="G109" s="41"/>
      <c r="H109" s="42"/>
      <c r="I109" s="42"/>
      <c r="J109" s="42"/>
      <c r="K109" s="42"/>
      <c r="L109" s="79"/>
      <c r="M109" s="41"/>
      <c r="N109" s="42"/>
      <c r="O109" s="42"/>
      <c r="P109" s="42"/>
      <c r="Q109" s="42"/>
      <c r="R109" s="79" t="s">
        <v>235</v>
      </c>
    </row>
    <row r="110" spans="1:18" ht="18">
      <c r="A110" s="44"/>
      <c r="B110" s="34"/>
      <c r="C110" s="34"/>
      <c r="D110" s="34"/>
      <c r="E110" s="34"/>
      <c r="F110" s="75"/>
      <c r="G110" s="44"/>
      <c r="H110" s="34"/>
      <c r="I110" s="34"/>
      <c r="J110" s="34"/>
      <c r="K110" s="34"/>
      <c r="L110" s="75"/>
      <c r="M110" s="44"/>
      <c r="N110" s="34"/>
      <c r="O110" s="36"/>
      <c r="P110" s="34"/>
      <c r="Q110" s="34"/>
      <c r="R110" s="45"/>
    </row>
    <row r="111" spans="1:18" ht="18">
      <c r="A111" s="44"/>
      <c r="B111" s="34"/>
      <c r="C111" s="34"/>
      <c r="D111" s="35" t="s">
        <v>0</v>
      </c>
      <c r="E111" s="36"/>
      <c r="F111" s="46"/>
      <c r="G111" s="44"/>
      <c r="H111" s="34"/>
      <c r="I111" s="34"/>
      <c r="J111" s="35"/>
      <c r="K111" s="36"/>
      <c r="L111" s="46"/>
      <c r="M111" s="44"/>
      <c r="N111" s="34"/>
      <c r="O111" s="36"/>
      <c r="P111" s="35"/>
      <c r="Q111" s="36"/>
      <c r="R111" s="46"/>
    </row>
    <row r="112" spans="1:18" ht="18">
      <c r="A112" s="44"/>
      <c r="B112" s="34"/>
      <c r="C112" s="34"/>
      <c r="D112" s="35" t="s">
        <v>1</v>
      </c>
      <c r="E112" s="36"/>
      <c r="F112" s="46"/>
      <c r="G112" s="44"/>
      <c r="H112" s="34"/>
      <c r="I112" s="34"/>
      <c r="J112" s="35"/>
      <c r="K112" s="36"/>
      <c r="L112" s="46"/>
      <c r="M112" s="44"/>
      <c r="N112" s="34"/>
      <c r="O112" s="36"/>
      <c r="P112" s="35"/>
      <c r="Q112" s="36"/>
      <c r="R112" s="46"/>
    </row>
    <row r="113" spans="1:18" ht="18">
      <c r="A113" s="44"/>
      <c r="B113" s="34"/>
      <c r="C113" s="34"/>
      <c r="D113" s="35" t="s">
        <v>162</v>
      </c>
      <c r="E113" s="36"/>
      <c r="F113" s="46"/>
      <c r="G113" s="44"/>
      <c r="H113" s="34"/>
      <c r="I113" s="34"/>
      <c r="J113" s="35"/>
      <c r="K113" s="36"/>
      <c r="L113" s="46"/>
      <c r="M113" s="44"/>
      <c r="N113" s="34"/>
      <c r="O113" s="36"/>
      <c r="P113" s="35"/>
      <c r="Q113" s="36"/>
      <c r="R113" s="46"/>
    </row>
    <row r="114" spans="1:18" ht="18">
      <c r="A114" s="44"/>
      <c r="B114" s="34"/>
      <c r="C114" s="34"/>
      <c r="D114" s="34"/>
      <c r="E114" s="34"/>
      <c r="F114" s="45"/>
      <c r="G114" s="44"/>
      <c r="H114" s="34"/>
      <c r="I114" s="34"/>
      <c r="J114" s="34"/>
      <c r="K114" s="34"/>
      <c r="L114" s="45"/>
      <c r="M114" s="44"/>
      <c r="N114" s="34"/>
      <c r="O114" s="36"/>
      <c r="P114" s="34"/>
      <c r="Q114" s="34"/>
      <c r="R114" s="45"/>
    </row>
    <row r="115" spans="1:18" ht="18">
      <c r="A115" s="44"/>
      <c r="B115" s="34"/>
      <c r="C115" s="34"/>
      <c r="D115" s="34"/>
      <c r="E115" s="34"/>
      <c r="F115" s="45"/>
      <c r="G115" s="44"/>
      <c r="H115" s="34"/>
      <c r="I115" s="34"/>
      <c r="J115" s="34"/>
      <c r="K115" s="34"/>
      <c r="L115" s="45"/>
      <c r="M115" s="44"/>
      <c r="N115" s="34"/>
      <c r="O115" s="36"/>
      <c r="P115" s="34"/>
      <c r="Q115" s="34"/>
      <c r="R115" s="45"/>
    </row>
    <row r="116" spans="1:18">
      <c r="A116" s="47"/>
      <c r="B116" s="27"/>
      <c r="D116" s="3" t="s">
        <v>3</v>
      </c>
      <c r="E116" s="3"/>
      <c r="F116" s="48"/>
      <c r="G116" s="47"/>
      <c r="H116" s="27"/>
      <c r="I116" s="27"/>
      <c r="J116" s="3"/>
      <c r="K116" s="3"/>
      <c r="L116" s="48"/>
      <c r="M116" s="47"/>
      <c r="N116" s="27"/>
      <c r="O116" s="3"/>
      <c r="P116" s="3"/>
      <c r="Q116" s="3"/>
      <c r="R116" s="48"/>
    </row>
    <row r="117" spans="1:18">
      <c r="A117" s="47"/>
      <c r="B117" s="27"/>
      <c r="D117" s="27" t="str">
        <f>D81</f>
        <v>FEB 16-28, 2026</v>
      </c>
      <c r="E117" s="27"/>
      <c r="F117" s="49"/>
      <c r="G117" s="47"/>
      <c r="H117" s="27"/>
      <c r="I117" s="27"/>
      <c r="J117" s="27"/>
      <c r="K117" s="27"/>
      <c r="L117" s="49"/>
      <c r="M117" s="58"/>
      <c r="N117" s="3"/>
      <c r="O117" s="3"/>
      <c r="P117" s="27"/>
      <c r="Q117" s="27"/>
      <c r="R117" s="49"/>
    </row>
    <row r="118" spans="1:18">
      <c r="A118" s="47"/>
      <c r="B118" s="27"/>
      <c r="D118" s="3"/>
      <c r="E118" s="27"/>
      <c r="F118" s="49"/>
      <c r="G118" s="47"/>
      <c r="H118" s="27"/>
      <c r="I118" s="27"/>
      <c r="J118" s="3"/>
      <c r="K118" s="27"/>
      <c r="L118" s="49"/>
      <c r="M118" s="47"/>
      <c r="N118" s="27"/>
      <c r="O118" s="3"/>
      <c r="P118" s="3"/>
      <c r="Q118" s="27"/>
      <c r="R118" s="49"/>
    </row>
    <row r="119" spans="1:18">
      <c r="A119" s="47"/>
      <c r="B119" s="27"/>
      <c r="C119" s="3">
        <v>63</v>
      </c>
      <c r="D119" s="3" t="str">
        <f>VLOOKUP(C119,'MASTER DATA'!$A:$E,5,FALSE)</f>
        <v>AGUSTIN, PAULYN B.</v>
      </c>
      <c r="E119" s="27"/>
      <c r="F119" s="49"/>
      <c r="G119" s="47"/>
      <c r="H119" s="27"/>
      <c r="J119" s="3"/>
      <c r="K119" s="27"/>
      <c r="L119" s="49"/>
      <c r="M119" s="47"/>
      <c r="N119" s="27"/>
      <c r="O119" s="3"/>
      <c r="P119" s="3"/>
      <c r="Q119" s="27"/>
      <c r="R119" s="49"/>
    </row>
    <row r="120" spans="1:18">
      <c r="A120" s="47"/>
      <c r="B120" s="27"/>
      <c r="C120" s="3"/>
      <c r="D120" s="3" t="str">
        <f>VLOOKUP(C119,'MASTER DATA'!$A:$F,6,FALSE)</f>
        <v>PAD</v>
      </c>
      <c r="E120" s="27"/>
      <c r="F120" s="49"/>
      <c r="G120" s="47"/>
      <c r="H120" s="27"/>
      <c r="J120" s="3"/>
      <c r="K120" s="27"/>
      <c r="L120" s="49"/>
      <c r="M120" s="47"/>
      <c r="N120" s="27"/>
      <c r="O120" s="3"/>
      <c r="P120" s="3"/>
      <c r="Q120" s="27"/>
      <c r="R120" s="49"/>
    </row>
    <row r="121" spans="1:18">
      <c r="A121" s="47"/>
      <c r="B121" s="27"/>
      <c r="D121" s="29" t="str">
        <f>VLOOKUP(C119,'MASTER DATA'!$A:$G,7,FALSE)</f>
        <v>Agriculturist I</v>
      </c>
      <c r="E121" s="27"/>
      <c r="F121" s="49"/>
      <c r="G121" s="47"/>
      <c r="H121" s="27"/>
      <c r="I121" s="27"/>
      <c r="J121" s="29"/>
      <c r="K121" s="27"/>
      <c r="L121" s="49"/>
      <c r="M121" s="47"/>
      <c r="N121" s="27"/>
      <c r="O121" s="3"/>
      <c r="P121" s="29"/>
      <c r="Q121" s="27"/>
      <c r="R121" s="49"/>
    </row>
    <row r="122" spans="1:18">
      <c r="A122" s="47"/>
      <c r="B122" s="27"/>
      <c r="D122" s="27" t="s">
        <v>4</v>
      </c>
      <c r="E122" s="30">
        <v>13500</v>
      </c>
      <c r="F122" s="50"/>
      <c r="G122" s="47"/>
      <c r="H122" s="27"/>
      <c r="I122" s="27"/>
      <c r="J122" s="27"/>
      <c r="K122" s="30"/>
      <c r="L122" s="50"/>
      <c r="M122" s="47"/>
      <c r="N122" s="27"/>
      <c r="O122" s="3"/>
      <c r="P122" s="27"/>
      <c r="Q122" s="30"/>
      <c r="R122" s="50"/>
    </row>
    <row r="123" spans="1:18" ht="17.25">
      <c r="A123" s="47"/>
      <c r="B123" s="27"/>
      <c r="D123" s="27"/>
      <c r="E123" s="37"/>
      <c r="F123" s="51"/>
      <c r="G123" s="47"/>
      <c r="H123" s="27"/>
      <c r="I123" s="27"/>
      <c r="J123" s="27"/>
      <c r="K123" s="37"/>
      <c r="L123" s="51"/>
      <c r="M123" s="59"/>
      <c r="N123" s="39"/>
      <c r="O123" s="38"/>
      <c r="P123" s="27"/>
      <c r="Q123" s="37"/>
      <c r="R123" s="51"/>
    </row>
    <row r="124" spans="1:18">
      <c r="A124" s="47"/>
      <c r="B124" s="27"/>
      <c r="D124" s="27"/>
      <c r="E124" s="30"/>
      <c r="F124" s="50"/>
      <c r="G124" s="47"/>
      <c r="H124" s="27"/>
      <c r="I124" s="27"/>
      <c r="J124" s="27"/>
      <c r="K124" s="30"/>
      <c r="L124" s="50"/>
      <c r="M124" s="59"/>
      <c r="N124" s="39"/>
      <c r="O124" s="38"/>
      <c r="P124" s="27"/>
      <c r="Q124" s="30"/>
      <c r="R124" s="50"/>
    </row>
    <row r="125" spans="1:18" ht="17.25">
      <c r="A125" s="47"/>
      <c r="B125" s="27"/>
      <c r="D125" s="27"/>
      <c r="E125" s="37"/>
      <c r="F125" s="51"/>
      <c r="G125" s="47"/>
      <c r="H125" s="27"/>
      <c r="I125" s="27"/>
      <c r="J125" s="27"/>
      <c r="K125" s="37"/>
      <c r="L125" s="51"/>
      <c r="M125" s="59"/>
      <c r="N125" s="39"/>
      <c r="O125" s="38"/>
      <c r="P125" s="27"/>
      <c r="Q125" s="37"/>
      <c r="R125" s="51"/>
    </row>
    <row r="126" spans="1:18">
      <c r="A126" s="47"/>
      <c r="B126" s="27"/>
      <c r="D126" s="39" t="s">
        <v>5</v>
      </c>
      <c r="E126" s="40" t="s">
        <v>6</v>
      </c>
      <c r="F126" s="52"/>
      <c r="G126" s="47"/>
      <c r="H126" s="27"/>
      <c r="I126" s="27"/>
      <c r="J126" s="39"/>
      <c r="K126" s="40"/>
      <c r="L126" s="52"/>
      <c r="M126" s="47"/>
      <c r="N126" s="27"/>
      <c r="O126" s="3"/>
      <c r="P126" s="39"/>
      <c r="Q126" s="40"/>
      <c r="R126" s="52"/>
    </row>
    <row r="127" spans="1:18">
      <c r="A127" s="47"/>
      <c r="B127" s="27"/>
      <c r="D127" s="27"/>
      <c r="E127" s="27"/>
      <c r="F127" s="49"/>
      <c r="G127" s="47"/>
      <c r="H127" s="27"/>
      <c r="I127" s="27"/>
      <c r="J127" s="27"/>
      <c r="K127" s="27"/>
      <c r="L127" s="49"/>
      <c r="M127" s="60"/>
      <c r="N127" s="30"/>
      <c r="O127" s="28"/>
      <c r="P127" s="27"/>
      <c r="Q127" s="27"/>
      <c r="R127" s="49"/>
    </row>
    <row r="128" spans="1:18">
      <c r="A128" s="47"/>
      <c r="B128" s="27"/>
      <c r="D128" s="30" t="s">
        <v>7</v>
      </c>
      <c r="E128" s="30">
        <f>SUMIF('MASTER DATA'!$A:$A,PAD!C119,'MASTER DATA'!$AL:$AL)</f>
        <v>0</v>
      </c>
      <c r="F128" s="50"/>
      <c r="G128" s="47"/>
      <c r="H128" s="27"/>
      <c r="I128" s="27"/>
      <c r="J128" s="30"/>
      <c r="K128" s="30"/>
      <c r="L128" s="50"/>
      <c r="M128" s="60"/>
      <c r="N128" s="30"/>
      <c r="O128" s="28"/>
      <c r="P128" s="30"/>
      <c r="Q128" s="30"/>
      <c r="R128" s="50"/>
    </row>
    <row r="129" spans="1:18">
      <c r="A129" s="47"/>
      <c r="B129" s="27"/>
      <c r="D129" s="31" t="s">
        <v>8</v>
      </c>
      <c r="E129" s="30">
        <f>SUMIF('MASTER DATA'!$A:$A,PAD!C119,'MASTER DATA'!$AM:$AM)+SUMIF('MASTER DATA'!$A:$A,PAD!C119,'MASTER DATA'!$AN:$AN)</f>
        <v>0</v>
      </c>
      <c r="F129" s="50"/>
      <c r="G129" s="47"/>
      <c r="H129" s="27"/>
      <c r="I129" s="27"/>
      <c r="J129" s="31"/>
      <c r="K129" s="30"/>
      <c r="L129" s="50"/>
      <c r="M129" s="60"/>
      <c r="N129" s="30"/>
      <c r="O129" s="28"/>
      <c r="P129" s="31"/>
      <c r="Q129" s="30"/>
      <c r="R129" s="50"/>
    </row>
    <row r="130" spans="1:18">
      <c r="A130" s="47"/>
      <c r="B130" s="27"/>
      <c r="D130" s="30" t="s">
        <v>9</v>
      </c>
      <c r="E130" s="32">
        <f>SUMIF('MASTER DATA'!$A:$A,PAD!C119,'MASTER DATA'!$AP:$AP)</f>
        <v>0</v>
      </c>
      <c r="F130" s="50"/>
      <c r="G130" s="47"/>
      <c r="H130" s="27"/>
      <c r="I130" s="27"/>
      <c r="J130" s="30"/>
      <c r="K130" s="30"/>
      <c r="L130" s="50"/>
      <c r="M130" s="60"/>
      <c r="N130" s="30"/>
      <c r="O130" s="28"/>
      <c r="P130" s="30"/>
      <c r="Q130" s="30"/>
      <c r="R130" s="50"/>
    </row>
    <row r="131" spans="1:18">
      <c r="A131" s="47"/>
      <c r="B131" s="27"/>
      <c r="D131" s="30" t="s">
        <v>10</v>
      </c>
      <c r="E131" s="30">
        <f>SUM(E128:E130)</f>
        <v>0</v>
      </c>
      <c r="F131" s="50"/>
      <c r="G131" s="47"/>
      <c r="H131" s="27"/>
      <c r="I131" s="27"/>
      <c r="J131" s="30"/>
      <c r="K131" s="30"/>
      <c r="L131" s="50"/>
      <c r="M131" s="60"/>
      <c r="N131" s="30"/>
      <c r="O131" s="28"/>
      <c r="P131" s="30"/>
      <c r="Q131" s="30"/>
      <c r="R131" s="50"/>
    </row>
    <row r="132" spans="1:18">
      <c r="A132" s="47"/>
      <c r="B132" s="27"/>
      <c r="D132" s="30"/>
      <c r="E132" s="30"/>
      <c r="F132" s="50"/>
      <c r="G132" s="47"/>
      <c r="H132" s="27"/>
      <c r="I132" s="27"/>
      <c r="J132" s="30"/>
      <c r="K132" s="30"/>
      <c r="L132" s="50"/>
      <c r="M132" s="60"/>
      <c r="N132" s="30"/>
      <c r="O132" s="28"/>
      <c r="P132" s="30"/>
      <c r="Q132" s="30"/>
      <c r="R132" s="50"/>
    </row>
    <row r="133" spans="1:18">
      <c r="A133" s="47"/>
      <c r="B133" s="27"/>
      <c r="D133" s="30" t="s">
        <v>12</v>
      </c>
      <c r="E133" s="30">
        <f>E122-E131</f>
        <v>13500</v>
      </c>
      <c r="F133" s="50"/>
      <c r="G133" s="47"/>
      <c r="H133" s="27"/>
      <c r="I133" s="27"/>
      <c r="J133" s="30"/>
      <c r="K133" s="30"/>
      <c r="L133" s="50"/>
      <c r="M133" s="60"/>
      <c r="N133" s="30"/>
      <c r="O133" s="28"/>
      <c r="P133" s="30"/>
      <c r="Q133" s="30"/>
      <c r="R133" s="50"/>
    </row>
    <row r="134" spans="1:18">
      <c r="A134" s="47"/>
      <c r="B134" s="27"/>
      <c r="D134" s="30" t="s">
        <v>13</v>
      </c>
      <c r="E134" s="30"/>
      <c r="F134" s="50"/>
      <c r="G134" s="47"/>
      <c r="H134" s="27"/>
      <c r="I134" s="27"/>
      <c r="J134" s="30"/>
      <c r="K134" s="30"/>
      <c r="L134" s="50"/>
      <c r="M134" s="60"/>
      <c r="N134" s="30"/>
      <c r="O134" s="28"/>
      <c r="P134" s="30"/>
      <c r="Q134" s="30"/>
      <c r="R134" s="50"/>
    </row>
    <row r="135" spans="1:18">
      <c r="A135" s="47"/>
      <c r="B135" s="27"/>
      <c r="D135" s="30" t="s">
        <v>14</v>
      </c>
      <c r="E135" s="30">
        <f>SUMIF('MASTER DATA'!$A:$A,PAD!C119,'MASTER DATA'!$AS:$AS)</f>
        <v>0</v>
      </c>
      <c r="F135" s="50"/>
      <c r="G135" s="47"/>
      <c r="H135" s="27"/>
      <c r="I135" s="27"/>
      <c r="J135" s="30"/>
      <c r="K135" s="30"/>
      <c r="L135" s="50"/>
      <c r="M135" s="60"/>
      <c r="N135" s="30"/>
      <c r="O135" s="28"/>
      <c r="P135" s="30"/>
      <c r="Q135" s="30"/>
      <c r="R135" s="50"/>
    </row>
    <row r="136" spans="1:18">
      <c r="A136" s="47"/>
      <c r="B136" s="27"/>
      <c r="D136" s="69" t="s">
        <v>160</v>
      </c>
      <c r="E136" s="30">
        <f>SUMIF('MASTER DATA'!$A:$A,PAD!C119,'MASTER DATA'!$AT:$AT)</f>
        <v>0</v>
      </c>
      <c r="F136" s="50"/>
      <c r="G136" s="47"/>
      <c r="H136" s="27"/>
      <c r="I136" s="27"/>
      <c r="J136" s="69"/>
      <c r="K136" s="30"/>
      <c r="L136" s="50"/>
      <c r="M136" s="60"/>
      <c r="N136" s="30"/>
      <c r="O136" s="28"/>
      <c r="P136" s="69"/>
      <c r="Q136" s="30"/>
      <c r="R136" s="50"/>
    </row>
    <row r="137" spans="1:18">
      <c r="A137" s="47"/>
      <c r="B137" s="27"/>
      <c r="D137" s="30" t="s">
        <v>15</v>
      </c>
      <c r="E137" s="30">
        <f>SUMIF('MASTER DATA'!$A:$A,PAD!C119,'MASTER DATA'!$AU:$AU)</f>
        <v>0</v>
      </c>
      <c r="F137" s="50"/>
      <c r="G137" s="47"/>
      <c r="H137" s="27"/>
      <c r="I137" s="27"/>
      <c r="J137" s="30"/>
      <c r="K137" s="30"/>
      <c r="L137" s="50"/>
      <c r="M137" s="60"/>
      <c r="N137" s="30"/>
      <c r="O137" s="28"/>
      <c r="P137" s="30"/>
      <c r="Q137" s="30"/>
      <c r="R137" s="50"/>
    </row>
    <row r="138" spans="1:18">
      <c r="A138" s="47"/>
      <c r="B138" s="27"/>
      <c r="D138" s="30" t="s">
        <v>19</v>
      </c>
      <c r="E138" s="30">
        <f>SUMIF('MASTER DATA'!$A:$A,PAD!C119,'MASTER DATA'!$AV:$AV)</f>
        <v>0</v>
      </c>
      <c r="F138" s="50"/>
      <c r="G138" s="47"/>
      <c r="H138" s="27"/>
      <c r="I138" s="27"/>
      <c r="J138" s="30"/>
      <c r="K138" s="30"/>
      <c r="L138" s="50"/>
      <c r="M138" s="60"/>
      <c r="N138" s="30"/>
      <c r="O138" s="28"/>
      <c r="P138" s="30"/>
      <c r="Q138" s="30"/>
      <c r="R138" s="50"/>
    </row>
    <row r="139" spans="1:18">
      <c r="A139" s="47"/>
      <c r="B139" s="27"/>
      <c r="D139" s="30" t="s">
        <v>20</v>
      </c>
      <c r="E139" s="30">
        <f>SUMIF('MASTER DATA'!$A:$A,PAD!C119,'MASTER DATA'!$AW:$AW)</f>
        <v>0</v>
      </c>
      <c r="F139" s="50"/>
      <c r="G139" s="47"/>
      <c r="H139" s="27"/>
      <c r="I139" s="27"/>
      <c r="J139" s="30"/>
      <c r="K139" s="30"/>
      <c r="L139" s="50"/>
      <c r="M139" s="60"/>
      <c r="N139" s="30"/>
      <c r="O139" s="28"/>
      <c r="P139" s="30"/>
      <c r="Q139" s="30"/>
      <c r="R139" s="50"/>
    </row>
    <row r="140" spans="1:18">
      <c r="A140" s="47"/>
      <c r="B140" s="27"/>
      <c r="D140" s="30" t="s">
        <v>23</v>
      </c>
      <c r="E140" s="30">
        <f>SUMIF('MASTER DATA'!$A:$A,PAD!C119,'MASTER DATA'!$AX:$AX)</f>
        <v>0</v>
      </c>
      <c r="F140" s="50"/>
      <c r="G140" s="47"/>
      <c r="H140" s="27"/>
      <c r="I140" s="27"/>
      <c r="J140" s="30"/>
      <c r="K140" s="30"/>
      <c r="L140" s="50"/>
      <c r="M140" s="60"/>
      <c r="N140" s="30"/>
      <c r="O140" s="28"/>
      <c r="P140" s="30"/>
      <c r="Q140" s="30"/>
      <c r="R140" s="50"/>
    </row>
    <row r="141" spans="1:18" ht="16.5" thickBot="1">
      <c r="A141" s="47"/>
      <c r="B141" s="27"/>
      <c r="D141" s="28" t="s">
        <v>16</v>
      </c>
      <c r="E141" s="33">
        <f>E133-SUM(E134:E140)</f>
        <v>13500</v>
      </c>
      <c r="F141" s="53"/>
      <c r="G141" s="47"/>
      <c r="H141" s="27"/>
      <c r="I141" s="27"/>
      <c r="J141" s="28"/>
      <c r="K141" s="28"/>
      <c r="L141" s="53"/>
      <c r="M141" s="60"/>
      <c r="N141" s="30"/>
      <c r="O141" s="28"/>
      <c r="P141" s="28"/>
      <c r="Q141" s="28"/>
      <c r="R141" s="53"/>
    </row>
    <row r="142" spans="1:18" ht="16.5" thickTop="1">
      <c r="A142" s="47"/>
      <c r="B142" s="27"/>
      <c r="D142" s="30"/>
      <c r="E142" s="30"/>
      <c r="F142" s="50"/>
      <c r="G142" s="47"/>
      <c r="H142" s="27"/>
      <c r="I142" s="27"/>
      <c r="J142" s="30"/>
      <c r="K142" s="30"/>
      <c r="L142" s="50"/>
      <c r="M142" s="60"/>
      <c r="N142" s="30"/>
      <c r="O142" s="28"/>
      <c r="P142" s="30"/>
      <c r="Q142" s="30"/>
      <c r="R142" s="50"/>
    </row>
    <row r="143" spans="1:18">
      <c r="A143" s="47"/>
      <c r="B143" s="27"/>
      <c r="D143" s="88"/>
      <c r="E143" s="27"/>
      <c r="F143" s="49"/>
      <c r="G143" s="47"/>
      <c r="H143" s="27"/>
      <c r="I143" s="27"/>
      <c r="J143" s="66"/>
      <c r="K143" s="27"/>
      <c r="L143" s="49"/>
      <c r="M143" s="47"/>
      <c r="N143" s="27"/>
      <c r="O143" s="3"/>
      <c r="P143" s="66"/>
      <c r="Q143" s="27"/>
      <c r="R143" s="49"/>
    </row>
    <row r="144" spans="1:18" ht="16.5" thickBot="1">
      <c r="A144" s="54"/>
      <c r="B144" s="55"/>
      <c r="C144" s="55"/>
      <c r="D144" s="77"/>
      <c r="E144" s="55"/>
      <c r="F144" s="56"/>
      <c r="G144" s="54"/>
      <c r="H144" s="55"/>
      <c r="I144" s="55"/>
      <c r="J144" s="77"/>
      <c r="K144" s="55"/>
      <c r="L144" s="56"/>
      <c r="M144" s="54"/>
      <c r="N144" s="55"/>
      <c r="O144" s="61"/>
      <c r="P144" s="55"/>
      <c r="Q144" s="55"/>
      <c r="R144" s="56"/>
    </row>
    <row r="146" spans="4:12">
      <c r="D146" s="13"/>
      <c r="E146" s="13"/>
      <c r="L146" s="13">
        <f>E33+K33+Q33+E69+K69+Q69+E105+K105+E141+K141</f>
        <v>112709.70999999999</v>
      </c>
    </row>
  </sheetData>
  <pageMargins left="0.70866141732283472" right="0.70866141732283472" top="0.74803149606299213" bottom="0.74803149606299213" header="0.31496062992125984" footer="0.31496062992125984"/>
  <pageSetup scale="75" orientation="portrait" r:id="rId1"/>
  <rowBreaks count="3" manualBreakCount="3">
    <brk id="36" max="17" man="1"/>
    <brk id="72" max="17" man="1"/>
    <brk id="108" max="17" man="1"/>
  </rowBreaks>
  <colBreaks count="2" manualBreakCount="2">
    <brk id="6" max="143" man="1"/>
    <brk id="12" max="143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96B1-DEBE-4F96-BEC7-4D9F215B6884}">
  <sheetPr codeName="Sheet21"/>
  <dimension ref="A1:Y144"/>
  <sheetViews>
    <sheetView tabSelected="1" view="pageBreakPreview" topLeftCell="A99" zoomScale="70" zoomScaleNormal="70" zoomScaleSheetLayoutView="70" workbookViewId="0">
      <selection activeCell="Q141" sqref="Q141"/>
    </sheetView>
  </sheetViews>
  <sheetFormatPr defaultColWidth="9.140625" defaultRowHeight="15.75"/>
  <cols>
    <col min="1" max="2" width="4.7109375" style="2" customWidth="1"/>
    <col min="3" max="3" width="3.85546875" style="27" customWidth="1"/>
    <col min="4" max="4" width="25.5703125" style="2" customWidth="1"/>
    <col min="5" max="5" width="13.5703125" style="2" customWidth="1"/>
    <col min="6" max="6" width="13.7109375" style="2" customWidth="1"/>
    <col min="7" max="8" width="4.7109375" style="2" customWidth="1"/>
    <col min="9" max="9" width="3.85546875" style="3" customWidth="1"/>
    <col min="10" max="10" width="25.5703125" style="2" customWidth="1"/>
    <col min="11" max="11" width="13.5703125" style="2" customWidth="1"/>
    <col min="12" max="12" width="16.140625" style="2" customWidth="1"/>
    <col min="13" max="14" width="4.7109375" style="2" customWidth="1"/>
    <col min="15" max="15" width="3.5703125" style="26" customWidth="1"/>
    <col min="16" max="16" width="25.5703125" style="2" customWidth="1"/>
    <col min="17" max="17" width="13.5703125" style="2" customWidth="1"/>
    <col min="18" max="18" width="13.7109375" style="2" customWidth="1"/>
    <col min="19" max="19" width="11.5703125" style="2" bestFit="1" customWidth="1"/>
    <col min="20" max="20" width="11.28515625" style="2" bestFit="1" customWidth="1"/>
    <col min="21" max="16384" width="9.140625" style="2"/>
  </cols>
  <sheetData>
    <row r="1" spans="1:18" ht="18">
      <c r="A1" s="41"/>
      <c r="B1" s="42"/>
      <c r="C1" s="42"/>
      <c r="D1" s="42"/>
      <c r="E1" s="42"/>
      <c r="F1" s="79" t="s">
        <v>235</v>
      </c>
      <c r="G1" s="41"/>
      <c r="H1" s="42"/>
      <c r="I1" s="42"/>
      <c r="J1" s="42"/>
      <c r="K1" s="42"/>
      <c r="L1" s="79" t="s">
        <v>235</v>
      </c>
      <c r="M1" s="41"/>
      <c r="N1" s="42"/>
      <c r="O1" s="42"/>
      <c r="P1" s="42"/>
      <c r="Q1" s="42"/>
      <c r="R1" s="79" t="s">
        <v>235</v>
      </c>
    </row>
    <row r="2" spans="1:18" ht="18">
      <c r="A2" s="44"/>
      <c r="B2" s="34"/>
      <c r="C2" s="34"/>
      <c r="D2" s="34"/>
      <c r="E2" s="34"/>
      <c r="F2" s="45"/>
      <c r="G2" s="44"/>
      <c r="H2" s="34"/>
      <c r="I2" s="36"/>
      <c r="J2" s="34"/>
      <c r="K2" s="34"/>
      <c r="L2" s="45"/>
      <c r="M2" s="44"/>
      <c r="N2" s="34"/>
      <c r="O2" s="36"/>
      <c r="P2" s="34"/>
      <c r="Q2" s="34"/>
      <c r="R2" s="45"/>
    </row>
    <row r="3" spans="1:18" ht="18">
      <c r="A3" s="44"/>
      <c r="B3" s="34"/>
      <c r="C3" s="34"/>
      <c r="D3" s="35" t="s">
        <v>0</v>
      </c>
      <c r="E3" s="36"/>
      <c r="F3" s="46"/>
      <c r="G3" s="44"/>
      <c r="H3" s="34"/>
      <c r="I3" s="36"/>
      <c r="J3" s="35" t="s">
        <v>0</v>
      </c>
      <c r="K3" s="36"/>
      <c r="L3" s="46"/>
      <c r="M3" s="44"/>
      <c r="N3" s="34"/>
      <c r="O3" s="36"/>
      <c r="P3" s="35" t="s">
        <v>0</v>
      </c>
      <c r="Q3" s="36"/>
      <c r="R3" s="45"/>
    </row>
    <row r="4" spans="1:18" ht="18">
      <c r="A4" s="44"/>
      <c r="B4" s="34"/>
      <c r="C4" s="34"/>
      <c r="D4" s="35" t="s">
        <v>1</v>
      </c>
      <c r="E4" s="36"/>
      <c r="F4" s="46"/>
      <c r="G4" s="44"/>
      <c r="H4" s="34"/>
      <c r="I4" s="36"/>
      <c r="J4" s="35" t="s">
        <v>1</v>
      </c>
      <c r="K4" s="36"/>
      <c r="L4" s="46"/>
      <c r="M4" s="44"/>
      <c r="N4" s="34"/>
      <c r="O4" s="36"/>
      <c r="P4" s="35" t="s">
        <v>1</v>
      </c>
      <c r="Q4" s="36"/>
      <c r="R4" s="45"/>
    </row>
    <row r="5" spans="1:18" ht="18">
      <c r="A5" s="44"/>
      <c r="B5" s="34"/>
      <c r="C5" s="34"/>
      <c r="D5" s="35" t="s">
        <v>162</v>
      </c>
      <c r="E5" s="36"/>
      <c r="F5" s="46"/>
      <c r="G5" s="44"/>
      <c r="H5" s="34"/>
      <c r="I5" s="36"/>
      <c r="J5" s="35" t="s">
        <v>162</v>
      </c>
      <c r="K5" s="36"/>
      <c r="L5" s="46"/>
      <c r="M5" s="44"/>
      <c r="N5" s="34"/>
      <c r="O5" s="36"/>
      <c r="P5" s="35" t="s">
        <v>162</v>
      </c>
      <c r="Q5" s="36"/>
      <c r="R5" s="45"/>
    </row>
    <row r="6" spans="1:18" ht="18">
      <c r="A6" s="44"/>
      <c r="B6" s="34"/>
      <c r="C6" s="34"/>
      <c r="D6" s="34"/>
      <c r="E6" s="34"/>
      <c r="F6" s="45"/>
      <c r="G6" s="44"/>
      <c r="H6" s="34"/>
      <c r="I6" s="36"/>
      <c r="J6" s="34"/>
      <c r="K6" s="34"/>
      <c r="L6" s="45"/>
      <c r="M6" s="44"/>
      <c r="N6" s="34"/>
      <c r="O6" s="36"/>
      <c r="P6" s="34"/>
      <c r="Q6" s="34"/>
      <c r="R6" s="45"/>
    </row>
    <row r="7" spans="1:18" ht="18">
      <c r="A7" s="44"/>
      <c r="B7" s="34"/>
      <c r="C7" s="34"/>
      <c r="D7" s="34"/>
      <c r="E7" s="34"/>
      <c r="F7" s="45"/>
      <c r="G7" s="44"/>
      <c r="H7" s="34"/>
      <c r="I7" s="36"/>
      <c r="J7" s="34"/>
      <c r="K7" s="34"/>
      <c r="L7" s="45"/>
      <c r="M7" s="44"/>
      <c r="N7" s="34"/>
      <c r="O7" s="36"/>
      <c r="P7" s="34"/>
      <c r="Q7" s="34"/>
      <c r="R7" s="45"/>
    </row>
    <row r="8" spans="1:18">
      <c r="A8" s="47"/>
      <c r="B8" s="27"/>
      <c r="D8" s="3" t="s">
        <v>3</v>
      </c>
      <c r="E8" s="3"/>
      <c r="F8" s="48"/>
      <c r="G8" s="47"/>
      <c r="H8" s="27"/>
      <c r="J8" s="3" t="s">
        <v>3</v>
      </c>
      <c r="K8" s="3"/>
      <c r="L8" s="48"/>
      <c r="M8" s="47"/>
      <c r="N8" s="27"/>
      <c r="O8" s="3"/>
      <c r="P8" s="3" t="s">
        <v>3</v>
      </c>
      <c r="Q8" s="3"/>
      <c r="R8" s="49"/>
    </row>
    <row r="9" spans="1:18">
      <c r="A9" s="47"/>
      <c r="B9" s="27"/>
      <c r="D9" s="27" t="s">
        <v>319</v>
      </c>
      <c r="E9" s="27"/>
      <c r="F9" s="49"/>
      <c r="G9" s="58"/>
      <c r="H9" s="3"/>
      <c r="J9" s="27" t="str">
        <f>D9</f>
        <v>FEB 16-28, 2026</v>
      </c>
      <c r="K9" s="27"/>
      <c r="L9" s="49"/>
      <c r="M9" s="47"/>
      <c r="N9" s="27"/>
      <c r="O9" s="3"/>
      <c r="P9" s="27" t="str">
        <f>D9</f>
        <v>FEB 16-28, 2026</v>
      </c>
      <c r="Q9" s="27"/>
      <c r="R9" s="49"/>
    </row>
    <row r="10" spans="1:18">
      <c r="A10" s="47"/>
      <c r="B10" s="27"/>
      <c r="D10" s="3"/>
      <c r="E10" s="27"/>
      <c r="F10" s="49"/>
      <c r="G10" s="47"/>
      <c r="H10" s="27"/>
      <c r="J10" s="3"/>
      <c r="K10" s="27"/>
      <c r="L10" s="49"/>
      <c r="M10" s="47"/>
      <c r="N10" s="27"/>
      <c r="O10" s="3"/>
      <c r="P10" s="27"/>
      <c r="Q10" s="27"/>
      <c r="R10" s="49"/>
    </row>
    <row r="11" spans="1:18" s="27" customFormat="1">
      <c r="A11" s="47"/>
      <c r="C11" s="3">
        <f>'[1]MASTER DATA'!$C$10</f>
        <v>1</v>
      </c>
      <c r="D11" s="3" t="str">
        <f>VLOOKUP(C11,'MASTER DATA (2)'!$A:$E,5,FALSE)</f>
        <v>ALBOROTO, JANET P.</v>
      </c>
      <c r="F11" s="49"/>
      <c r="G11" s="47"/>
      <c r="I11" s="3">
        <f>'[1]MASTER DATA'!$C$11</f>
        <v>2</v>
      </c>
      <c r="J11" s="3" t="str">
        <f>VLOOKUP(I11,'MASTER DATA (2)'!$A:$E,5,FALSE)</f>
        <v>ARENAS, DIANA ROSE A.</v>
      </c>
      <c r="L11" s="49"/>
      <c r="M11" s="47"/>
      <c r="O11" s="3">
        <v>0</v>
      </c>
      <c r="P11" s="3" t="e">
        <f>VLOOKUP(O11,'MASTER DATA (2)'!$A:$E,5,FALSE)</f>
        <v>#N/A</v>
      </c>
      <c r="R11" s="49"/>
    </row>
    <row r="12" spans="1:18" s="27" customFormat="1">
      <c r="A12" s="47"/>
      <c r="C12" s="3"/>
      <c r="D12" s="3" t="str">
        <f>VLOOKUP(C11,'MASTER DATA (2)'!$A:$F,6,FALSE)</f>
        <v>GH</v>
      </c>
      <c r="F12" s="49"/>
      <c r="G12" s="47"/>
      <c r="I12" s="3"/>
      <c r="J12" s="3" t="str">
        <f>VLOOKUP(I11,'MASTER DATA (2)'!$A:$F,6,FALSE)</f>
        <v>GH</v>
      </c>
      <c r="L12" s="49"/>
      <c r="M12" s="47"/>
      <c r="O12" s="3"/>
      <c r="P12" s="3" t="e">
        <f>VLOOKUP(O11,'MASTER DATA (2)'!$A:$F,6,FALSE)</f>
        <v>#N/A</v>
      </c>
      <c r="R12" s="49"/>
    </row>
    <row r="13" spans="1:18" s="27" customFormat="1">
      <c r="A13" s="47"/>
      <c r="D13" s="29" t="str">
        <f>VLOOKUP(C11,'MASTER DATA (2)'!$A:$G,7,FALSE)</f>
        <v>Administrative Asst. III</v>
      </c>
      <c r="F13" s="49"/>
      <c r="G13" s="47"/>
      <c r="I13" s="3"/>
      <c r="J13" s="29" t="str">
        <f>VLOOKUP(I11,'MASTER DATA (2)'!$A:$G,7,FALSE)</f>
        <v xml:space="preserve"> Administrative Asst. IV (Dormitory Assistant)</v>
      </c>
      <c r="L13" s="49"/>
      <c r="M13" s="47"/>
      <c r="O13" s="3"/>
      <c r="P13" s="29" t="e">
        <f>VLOOKUP(O11,'MASTER DATA (2)'!$A:$G,7,FALSE)</f>
        <v>#N/A</v>
      </c>
      <c r="R13" s="49"/>
    </row>
    <row r="14" spans="1:18" s="27" customFormat="1">
      <c r="A14" s="47"/>
      <c r="D14" s="27" t="s">
        <v>4</v>
      </c>
      <c r="E14" s="30">
        <f>SUMIF('MASTER DATA (2)'!$A:$A,GH!C11,'MASTER DATA (2)'!$N:$N)</f>
        <v>10605.5</v>
      </c>
      <c r="F14" s="50"/>
      <c r="G14" s="47"/>
      <c r="I14" s="3"/>
      <c r="J14" s="27" t="s">
        <v>4</v>
      </c>
      <c r="K14" s="30">
        <f>SUMIF('MASTER DATA (2)'!$A:$A,GH!I11,'MASTER DATA (2)'!$N:$N)</f>
        <v>11588</v>
      </c>
      <c r="L14" s="50"/>
      <c r="M14" s="47"/>
      <c r="O14" s="3"/>
      <c r="P14" s="27" t="s">
        <v>4</v>
      </c>
      <c r="Q14" s="30">
        <f>SUMIF('MASTER DATA (2)'!$A:$A,GH!O11,'MASTER DATA (2)'!$N:$N)</f>
        <v>0</v>
      </c>
      <c r="R14" s="49"/>
    </row>
    <row r="15" spans="1:18" s="27" customFormat="1" ht="17.25">
      <c r="A15" s="47"/>
      <c r="E15" s="37"/>
      <c r="F15" s="51"/>
      <c r="G15" s="59"/>
      <c r="H15" s="39"/>
      <c r="I15" s="38"/>
      <c r="K15" s="37"/>
      <c r="L15" s="51"/>
      <c r="M15" s="47"/>
      <c r="O15" s="3"/>
      <c r="Q15" s="37"/>
      <c r="R15" s="49"/>
    </row>
    <row r="16" spans="1:18" s="27" customFormat="1">
      <c r="A16" s="47"/>
      <c r="E16" s="30"/>
      <c r="F16" s="50"/>
      <c r="G16" s="59"/>
      <c r="H16" s="39"/>
      <c r="I16" s="38"/>
      <c r="K16" s="30"/>
      <c r="L16" s="50"/>
      <c r="M16" s="47"/>
      <c r="O16" s="3"/>
      <c r="Q16" s="30"/>
      <c r="R16" s="49"/>
    </row>
    <row r="17" spans="1:25" s="27" customFormat="1" ht="17.25">
      <c r="A17" s="47"/>
      <c r="E17" s="37"/>
      <c r="F17" s="51"/>
      <c r="G17" s="59"/>
      <c r="H17" s="39"/>
      <c r="I17" s="38"/>
      <c r="K17" s="37"/>
      <c r="L17" s="51"/>
      <c r="M17" s="47"/>
      <c r="O17" s="3"/>
      <c r="Q17" s="37"/>
      <c r="R17" s="49"/>
    </row>
    <row r="18" spans="1:25" s="27" customFormat="1">
      <c r="A18" s="47"/>
      <c r="D18" s="39" t="s">
        <v>5</v>
      </c>
      <c r="E18" s="40" t="s">
        <v>6</v>
      </c>
      <c r="F18" s="52"/>
      <c r="G18" s="47"/>
      <c r="I18" s="3"/>
      <c r="J18" s="39" t="s">
        <v>5</v>
      </c>
      <c r="K18" s="40" t="s">
        <v>6</v>
      </c>
      <c r="L18" s="52"/>
      <c r="M18" s="47"/>
      <c r="O18" s="3"/>
      <c r="P18" s="39" t="s">
        <v>5</v>
      </c>
      <c r="Q18" s="40" t="s">
        <v>6</v>
      </c>
      <c r="R18" s="49"/>
    </row>
    <row r="19" spans="1:25" s="27" customFormat="1">
      <c r="A19" s="47"/>
      <c r="F19" s="49"/>
      <c r="G19" s="60"/>
      <c r="H19" s="30"/>
      <c r="I19" s="28"/>
      <c r="L19" s="49"/>
      <c r="M19" s="60"/>
      <c r="N19" s="30"/>
      <c r="O19" s="28"/>
      <c r="R19" s="49"/>
    </row>
    <row r="20" spans="1:25" s="27" customFormat="1">
      <c r="A20" s="47"/>
      <c r="D20" s="30" t="s">
        <v>7</v>
      </c>
      <c r="E20" s="30">
        <f>SUMIF('MASTER DATA (2)'!$A:$A,GH!C11,'MASTER DATA (2)'!$AL:$AL)</f>
        <v>0</v>
      </c>
      <c r="F20" s="50"/>
      <c r="G20" s="60"/>
      <c r="H20" s="30"/>
      <c r="I20" s="28"/>
      <c r="J20" s="30" t="s">
        <v>7</v>
      </c>
      <c r="K20" s="30">
        <f>SUMIF('MASTER DATA (2)'!$A:$A,GH!I11,'MASTER DATA (2)'!$AL:$AL)</f>
        <v>0</v>
      </c>
      <c r="L20" s="50"/>
      <c r="M20" s="60"/>
      <c r="N20" s="30"/>
      <c r="O20" s="28"/>
      <c r="P20" s="30" t="s">
        <v>7</v>
      </c>
      <c r="Q20" s="30">
        <f>SUMIF('MASTER DATA (2)'!$A:$A,GH!O11,'MASTER DATA (2)'!$AL:$AL)</f>
        <v>0</v>
      </c>
      <c r="R20" s="49"/>
    </row>
    <row r="21" spans="1:25" s="27" customFormat="1">
      <c r="A21" s="47"/>
      <c r="D21" s="31" t="s">
        <v>8</v>
      </c>
      <c r="E21" s="30">
        <f>SUMIF('MASTER DATA (2)'!$A:$A,GH!C11,'MASTER DATA (2)'!$AM:$AM)+(SUMIF('MASTER DATA (2)'!$A:$A,GH!C11,'MASTER DATA (2)'!$AN:$AN))</f>
        <v>0</v>
      </c>
      <c r="F21" s="50"/>
      <c r="G21" s="60"/>
      <c r="H21" s="30"/>
      <c r="I21" s="28"/>
      <c r="J21" s="31" t="s">
        <v>8</v>
      </c>
      <c r="K21" s="30">
        <f>SUMIF('MASTER DATA (2)'!$A:$A,GH!I11,'MASTER DATA (2)'!$AM:$AM)+(SUMIF('MASTER DATA (2)'!$A:$A,GH!I11,'MASTER DATA (2)'!$AN:$AN))</f>
        <v>8.7799999999999994</v>
      </c>
      <c r="L21" s="50"/>
      <c r="M21" s="60"/>
      <c r="N21" s="30"/>
      <c r="O21" s="28"/>
      <c r="P21" s="31" t="s">
        <v>8</v>
      </c>
      <c r="Q21" s="30">
        <f>SUMIF('MASTER DATA (2)'!$A:$A,GH!O11,'MASTER DATA (2)'!$AM:$AM)+(SUMIF('MASTER DATA (2)'!$A:$A,GH!O11,'MASTER DATA (2)'!$AN:$AN))</f>
        <v>0</v>
      </c>
      <c r="R21" s="49"/>
    </row>
    <row r="22" spans="1:25" s="27" customFormat="1" ht="17.25">
      <c r="A22" s="47"/>
      <c r="D22" s="30" t="s">
        <v>9</v>
      </c>
      <c r="E22" s="37">
        <f>SUMIF('MASTER DATA (2)'!$A:$A,GH!C11,'MASTER DATA (2)'!$AP:$AP)</f>
        <v>0</v>
      </c>
      <c r="F22" s="50"/>
      <c r="G22" s="60"/>
      <c r="H22" s="30"/>
      <c r="I22" s="28"/>
      <c r="J22" s="30" t="s">
        <v>9</v>
      </c>
      <c r="K22" s="37">
        <f>SUMIF('MASTER DATA (2)'!$A:$A,GH!I11,'MASTER DATA (2)'!$AP:$AP)</f>
        <v>0</v>
      </c>
      <c r="L22" s="50"/>
      <c r="M22" s="60"/>
      <c r="N22" s="30"/>
      <c r="O22" s="28"/>
      <c r="P22" s="30" t="s">
        <v>9</v>
      </c>
      <c r="Q22" s="37">
        <f>SUMIF('MASTER DATA (2)'!$A:$A,GH!O11,'MASTER DATA (2)'!$AP:$AP)</f>
        <v>0</v>
      </c>
      <c r="R22" s="49"/>
    </row>
    <row r="23" spans="1:25" s="27" customFormat="1">
      <c r="A23" s="47"/>
      <c r="D23" s="30" t="s">
        <v>10</v>
      </c>
      <c r="E23" s="30">
        <f>SUM(E20:E22)</f>
        <v>0</v>
      </c>
      <c r="F23" s="50"/>
      <c r="G23" s="60"/>
      <c r="H23" s="30"/>
      <c r="I23" s="28"/>
      <c r="J23" s="30" t="s">
        <v>10</v>
      </c>
      <c r="K23" s="30">
        <f>SUM(K20:K22)</f>
        <v>8.7799999999999994</v>
      </c>
      <c r="L23" s="50"/>
      <c r="M23" s="60"/>
      <c r="N23" s="30"/>
      <c r="O23" s="28"/>
      <c r="P23" s="30" t="s">
        <v>10</v>
      </c>
      <c r="Q23" s="30">
        <f>SUM(Q20:Q22)</f>
        <v>0</v>
      </c>
      <c r="R23" s="49"/>
    </row>
    <row r="24" spans="1:25" s="27" customFormat="1">
      <c r="A24" s="47"/>
      <c r="D24" s="30"/>
      <c r="E24" s="30"/>
      <c r="F24" s="50"/>
      <c r="G24" s="60"/>
      <c r="H24" s="30"/>
      <c r="I24" s="28"/>
      <c r="J24" s="30"/>
      <c r="K24" s="30"/>
      <c r="L24" s="50"/>
      <c r="M24" s="60"/>
      <c r="N24" s="30"/>
      <c r="O24" s="28"/>
      <c r="P24" s="30"/>
      <c r="Q24" s="30"/>
      <c r="R24" s="49"/>
      <c r="Y24" s="3" t="s">
        <v>11</v>
      </c>
    </row>
    <row r="25" spans="1:25" s="27" customFormat="1">
      <c r="A25" s="47"/>
      <c r="D25" s="30" t="s">
        <v>12</v>
      </c>
      <c r="E25" s="30">
        <f>E14-E23</f>
        <v>10605.5</v>
      </c>
      <c r="F25" s="50"/>
      <c r="G25" s="60"/>
      <c r="H25" s="30"/>
      <c r="I25" s="28"/>
      <c r="J25" s="30" t="s">
        <v>12</v>
      </c>
      <c r="K25" s="30">
        <f>K14-K23</f>
        <v>11579.22</v>
      </c>
      <c r="L25" s="50"/>
      <c r="M25" s="60"/>
      <c r="N25" s="30"/>
      <c r="O25" s="28"/>
      <c r="P25" s="30" t="s">
        <v>12</v>
      </c>
      <c r="Q25" s="30">
        <f>Q14-Q23</f>
        <v>0</v>
      </c>
      <c r="R25" s="49"/>
    </row>
    <row r="26" spans="1:25" s="27" customFormat="1">
      <c r="A26" s="47"/>
      <c r="D26" s="30" t="s">
        <v>13</v>
      </c>
      <c r="E26" s="30"/>
      <c r="F26" s="50"/>
      <c r="G26" s="60"/>
      <c r="H26" s="30"/>
      <c r="I26" s="28"/>
      <c r="J26" s="30" t="s">
        <v>13</v>
      </c>
      <c r="K26" s="30"/>
      <c r="L26" s="50"/>
      <c r="M26" s="60"/>
      <c r="N26" s="30"/>
      <c r="O26" s="28"/>
      <c r="P26" s="30" t="s">
        <v>13</v>
      </c>
      <c r="Q26" s="30"/>
      <c r="R26" s="49"/>
    </row>
    <row r="27" spans="1:25" s="27" customFormat="1">
      <c r="A27" s="47"/>
      <c r="D27" s="30" t="s">
        <v>14</v>
      </c>
      <c r="E27" s="30">
        <f>SUMIF('MASTER DATA (2)'!$A:$A,GH!C11,'MASTER DATA (2)'!$AS:$AS)</f>
        <v>0</v>
      </c>
      <c r="F27" s="50"/>
      <c r="G27" s="60"/>
      <c r="H27" s="30"/>
      <c r="I27" s="28"/>
      <c r="J27" s="30" t="s">
        <v>14</v>
      </c>
      <c r="K27" s="30">
        <f>SUMIF('MASTER DATA (2)'!$A:$A,GH!I11,'MASTER DATA (2)'!$AS:$AS)</f>
        <v>0</v>
      </c>
      <c r="L27" s="50"/>
      <c r="M27" s="60"/>
      <c r="N27" s="30"/>
      <c r="O27" s="28"/>
      <c r="P27" s="30" t="s">
        <v>14</v>
      </c>
      <c r="Q27" s="30">
        <f>SUMIF('MASTER DATA (2)'!$A:$A,GH!O11,'MASTER DATA (2)'!$AS:$AS)</f>
        <v>0</v>
      </c>
      <c r="R27" s="49"/>
    </row>
    <row r="28" spans="1:25" s="27" customFormat="1">
      <c r="A28" s="47"/>
      <c r="D28" s="69" t="s">
        <v>160</v>
      </c>
      <c r="E28" s="30">
        <f>SUMIF('MASTER DATA (2)'!$A:$A,GH!C11,'MASTER DATA (2)'!$AT:$AT)</f>
        <v>0</v>
      </c>
      <c r="F28" s="50"/>
      <c r="G28" s="60"/>
      <c r="H28" s="30"/>
      <c r="I28" s="28"/>
      <c r="J28" s="69" t="s">
        <v>160</v>
      </c>
      <c r="K28" s="30">
        <f>SUMIF('MASTER DATA (2)'!$A:$A,GH!I11,'MASTER DATA (2)'!$AT:$AT)</f>
        <v>0</v>
      </c>
      <c r="L28" s="50"/>
      <c r="M28" s="60"/>
      <c r="N28" s="30"/>
      <c r="O28" s="28"/>
      <c r="P28" s="69" t="s">
        <v>160</v>
      </c>
      <c r="Q28" s="30">
        <f>SUMIF('MASTER DATA (2)'!$A:$A,GH!O11,'MASTER DATA (2)'!$AT:$AT)</f>
        <v>0</v>
      </c>
      <c r="R28" s="49"/>
    </row>
    <row r="29" spans="1:25" s="27" customFormat="1">
      <c r="A29" s="47"/>
      <c r="D29" s="30" t="s">
        <v>15</v>
      </c>
      <c r="E29" s="30">
        <f>SUMIF('MASTER DATA'!$A:$A,GH!C11,'MASTER DATA (2)'!$AU:$AU)</f>
        <v>0</v>
      </c>
      <c r="F29" s="50"/>
      <c r="G29" s="60"/>
      <c r="H29" s="30"/>
      <c r="I29" s="28"/>
      <c r="J29" s="30" t="s">
        <v>15</v>
      </c>
      <c r="K29" s="30">
        <f>SUMIF('MASTER DATA'!$A:$A,GH!I11,'MASTER DATA (2)'!$AU:$AU)</f>
        <v>0</v>
      </c>
      <c r="L29" s="50"/>
      <c r="M29" s="60"/>
      <c r="N29" s="30"/>
      <c r="O29" s="28"/>
      <c r="P29" s="30" t="s">
        <v>15</v>
      </c>
      <c r="Q29" s="30">
        <f>SUMIF('MASTER DATA'!$A:$A,GH!O11,'MASTER DATA (2)'!$AU:$AU)</f>
        <v>0</v>
      </c>
      <c r="R29" s="49"/>
      <c r="T29" s="29"/>
    </row>
    <row r="30" spans="1:25" s="27" customFormat="1">
      <c r="A30" s="47"/>
      <c r="D30" s="30" t="s">
        <v>19</v>
      </c>
      <c r="E30" s="30">
        <f>SUMIF('MASTER DATA'!$A:$A,GH!C11,'MASTER DATA (2)'!$AV:$AV)</f>
        <v>0</v>
      </c>
      <c r="F30" s="50"/>
      <c r="G30" s="60"/>
      <c r="H30" s="30"/>
      <c r="I30" s="28"/>
      <c r="J30" s="30" t="s">
        <v>19</v>
      </c>
      <c r="K30" s="30">
        <f>SUMIF('MASTER DATA'!$A:$A,GH!I11,'MASTER DATA (2)'!$AV:$AV)</f>
        <v>0</v>
      </c>
      <c r="L30" s="50"/>
      <c r="M30" s="60"/>
      <c r="N30" s="30"/>
      <c r="O30" s="28"/>
      <c r="P30" s="30" t="s">
        <v>19</v>
      </c>
      <c r="Q30" s="30">
        <f>SUMIF('MASTER DATA'!$A:$A,GH!O11,'MASTER DATA (2)'!$AV:$AV)</f>
        <v>0</v>
      </c>
      <c r="R30" s="49"/>
      <c r="T30" s="29"/>
    </row>
    <row r="31" spans="1:25" s="27" customFormat="1">
      <c r="A31" s="47"/>
      <c r="D31" s="30" t="s">
        <v>20</v>
      </c>
      <c r="E31" s="30">
        <f>SUMIF('MASTER DATA'!$A:$A,GH!C11,'MASTER DATA (2)'!$AX:$AX)</f>
        <v>0</v>
      </c>
      <c r="F31" s="50"/>
      <c r="G31" s="60"/>
      <c r="H31" s="30"/>
      <c r="I31" s="28"/>
      <c r="J31" s="30" t="s">
        <v>20</v>
      </c>
      <c r="K31" s="30">
        <f>SUMIF('MASTER DATA'!$A:$A,GH!I11,'MASTER DATA (2)'!$AX:$AX)</f>
        <v>0</v>
      </c>
      <c r="L31" s="50"/>
      <c r="M31" s="60"/>
      <c r="N31" s="30"/>
      <c r="O31" s="28"/>
      <c r="P31" s="30" t="s">
        <v>20</v>
      </c>
      <c r="Q31" s="30">
        <f>SUMIF('MASTER DATA'!$A:$A,GH!O11,'MASTER DATA (2)'!$AX:$AX)</f>
        <v>0</v>
      </c>
      <c r="R31" s="49"/>
      <c r="T31" s="29"/>
    </row>
    <row r="32" spans="1:25" s="27" customFormat="1">
      <c r="A32" s="47"/>
      <c r="D32" s="30" t="s">
        <v>23</v>
      </c>
      <c r="E32" s="30">
        <f>SUMIF('MASTER DATA'!$A:$A,GH!C12,'MASTER DATA (2)'!$AW:$AW)</f>
        <v>0</v>
      </c>
      <c r="F32" s="50"/>
      <c r="G32" s="60"/>
      <c r="H32" s="30"/>
      <c r="I32" s="28"/>
      <c r="J32" s="30" t="s">
        <v>23</v>
      </c>
      <c r="K32" s="30">
        <f>SUMIF('MASTER DATA'!$A:$A,GH!I12,'MASTER DATA (2)'!$AW:$AW)</f>
        <v>0</v>
      </c>
      <c r="L32" s="50"/>
      <c r="M32" s="60"/>
      <c r="N32" s="30"/>
      <c r="O32" s="28"/>
      <c r="P32" s="30" t="s">
        <v>23</v>
      </c>
      <c r="Q32" s="30">
        <f>SUMIF('MASTER DATA'!$A:$A,GH!O12,'MASTER DATA (2)'!$AW:$AW)</f>
        <v>0</v>
      </c>
      <c r="R32" s="49"/>
      <c r="T32" s="29"/>
    </row>
    <row r="33" spans="1:20" s="27" customFormat="1" ht="16.5" thickBot="1">
      <c r="A33" s="47"/>
      <c r="D33" s="28" t="s">
        <v>16</v>
      </c>
      <c r="E33" s="33">
        <f>E25-SUM(E26:E32)</f>
        <v>10605.5</v>
      </c>
      <c r="F33" s="53"/>
      <c r="G33" s="60"/>
      <c r="H33" s="30"/>
      <c r="I33" s="28"/>
      <c r="J33" s="28" t="s">
        <v>16</v>
      </c>
      <c r="K33" s="33">
        <f>K25-SUM(K26:K32)</f>
        <v>11579.22</v>
      </c>
      <c r="L33" s="53"/>
      <c r="M33" s="60"/>
      <c r="N33" s="30"/>
      <c r="O33" s="28"/>
      <c r="P33" s="28" t="s">
        <v>16</v>
      </c>
      <c r="Q33" s="33">
        <f>Q25-SUM(Q26:Q32)</f>
        <v>0</v>
      </c>
      <c r="R33" s="49"/>
      <c r="T33" s="29"/>
    </row>
    <row r="34" spans="1:20" s="27" customFormat="1" ht="16.5" thickTop="1">
      <c r="A34" s="47"/>
      <c r="D34" s="30"/>
      <c r="E34" s="30"/>
      <c r="F34" s="50"/>
      <c r="G34" s="60"/>
      <c r="H34" s="30"/>
      <c r="I34" s="28"/>
      <c r="J34" s="30"/>
      <c r="K34" s="30"/>
      <c r="L34" s="50"/>
      <c r="M34" s="60"/>
      <c r="N34" s="30"/>
      <c r="O34" s="28"/>
      <c r="P34" s="30"/>
      <c r="Q34" s="30"/>
      <c r="R34" s="49"/>
    </row>
    <row r="35" spans="1:20" s="27" customFormat="1">
      <c r="A35" s="47"/>
      <c r="D35" s="88"/>
      <c r="F35" s="49"/>
      <c r="G35" s="47"/>
      <c r="I35" s="3"/>
      <c r="J35" s="88"/>
      <c r="L35" s="49"/>
      <c r="M35" s="60"/>
      <c r="N35" s="30"/>
      <c r="O35" s="28"/>
      <c r="P35" s="69"/>
      <c r="R35" s="49"/>
      <c r="S35" s="29"/>
    </row>
    <row r="36" spans="1:20" s="27" customFormat="1" ht="16.5" thickBot="1">
      <c r="A36" s="54"/>
      <c r="B36" s="55"/>
      <c r="C36" s="55"/>
      <c r="D36" s="55"/>
      <c r="E36" s="55"/>
      <c r="F36" s="56"/>
      <c r="G36" s="54"/>
      <c r="H36" s="55"/>
      <c r="I36" s="61"/>
      <c r="J36" s="55"/>
      <c r="K36" s="55"/>
      <c r="L36" s="56"/>
      <c r="M36" s="62"/>
      <c r="N36" s="63"/>
      <c r="O36" s="64"/>
      <c r="P36" s="55"/>
      <c r="Q36" s="55"/>
      <c r="R36" s="56"/>
      <c r="S36" s="65"/>
    </row>
    <row r="37" spans="1:20" ht="18">
      <c r="A37" s="41"/>
      <c r="B37" s="42"/>
      <c r="C37" s="42"/>
      <c r="D37" s="42"/>
      <c r="E37" s="42"/>
      <c r="F37" s="79" t="s">
        <v>235</v>
      </c>
      <c r="G37" s="41"/>
      <c r="H37" s="42"/>
      <c r="I37" s="42"/>
      <c r="J37" s="42"/>
      <c r="K37" s="42"/>
      <c r="L37" s="79" t="s">
        <v>235</v>
      </c>
      <c r="M37" s="41"/>
      <c r="N37" s="42"/>
      <c r="O37" s="42"/>
      <c r="P37" s="42"/>
      <c r="Q37" s="42"/>
      <c r="R37" s="79" t="s">
        <v>235</v>
      </c>
    </row>
    <row r="38" spans="1:20" ht="18">
      <c r="A38" s="44"/>
      <c r="B38" s="34"/>
      <c r="C38" s="34"/>
      <c r="D38" s="34"/>
      <c r="E38" s="34"/>
      <c r="F38" s="45"/>
      <c r="G38" s="44"/>
      <c r="H38" s="34"/>
      <c r="I38" s="36"/>
      <c r="J38" s="34"/>
      <c r="K38" s="34"/>
      <c r="L38" s="45"/>
      <c r="M38" s="44"/>
      <c r="N38" s="34"/>
      <c r="O38" s="36"/>
      <c r="P38" s="34"/>
      <c r="Q38" s="34"/>
      <c r="R38" s="45"/>
    </row>
    <row r="39" spans="1:20" ht="18">
      <c r="A39" s="44"/>
      <c r="B39" s="34"/>
      <c r="C39" s="34"/>
      <c r="D39" s="35" t="s">
        <v>0</v>
      </c>
      <c r="E39" s="36"/>
      <c r="F39" s="46"/>
      <c r="G39" s="44"/>
      <c r="H39" s="34"/>
      <c r="I39" s="36"/>
      <c r="J39" s="35" t="s">
        <v>0</v>
      </c>
      <c r="K39" s="36"/>
      <c r="L39" s="46"/>
      <c r="M39" s="44"/>
      <c r="N39" s="34"/>
      <c r="O39" s="36"/>
      <c r="P39" s="35" t="s">
        <v>0</v>
      </c>
      <c r="Q39" s="36"/>
      <c r="R39" s="45"/>
    </row>
    <row r="40" spans="1:20" ht="18">
      <c r="A40" s="44"/>
      <c r="B40" s="34"/>
      <c r="C40" s="34"/>
      <c r="D40" s="35" t="s">
        <v>1</v>
      </c>
      <c r="E40" s="36"/>
      <c r="F40" s="46"/>
      <c r="G40" s="44"/>
      <c r="H40" s="34"/>
      <c r="I40" s="36"/>
      <c r="J40" s="35" t="s">
        <v>1</v>
      </c>
      <c r="K40" s="36"/>
      <c r="L40" s="46"/>
      <c r="M40" s="44"/>
      <c r="N40" s="34"/>
      <c r="O40" s="36"/>
      <c r="P40" s="35" t="s">
        <v>1</v>
      </c>
      <c r="Q40" s="36"/>
      <c r="R40" s="45"/>
    </row>
    <row r="41" spans="1:20" ht="18">
      <c r="A41" s="44"/>
      <c r="B41" s="34"/>
      <c r="C41" s="34"/>
      <c r="D41" s="35" t="s">
        <v>162</v>
      </c>
      <c r="E41" s="36"/>
      <c r="F41" s="46"/>
      <c r="G41" s="44"/>
      <c r="H41" s="34"/>
      <c r="I41" s="36"/>
      <c r="J41" s="35" t="s">
        <v>162</v>
      </c>
      <c r="K41" s="36"/>
      <c r="L41" s="46"/>
      <c r="M41" s="44"/>
      <c r="N41" s="34"/>
      <c r="O41" s="36"/>
      <c r="P41" s="35" t="s">
        <v>162</v>
      </c>
      <c r="Q41" s="36"/>
      <c r="R41" s="45"/>
    </row>
    <row r="42" spans="1:20" ht="18">
      <c r="A42" s="44"/>
      <c r="B42" s="34"/>
      <c r="C42" s="34"/>
      <c r="D42" s="34"/>
      <c r="E42" s="34"/>
      <c r="F42" s="45"/>
      <c r="G42" s="44"/>
      <c r="H42" s="34"/>
      <c r="I42" s="36"/>
      <c r="J42" s="34"/>
      <c r="K42" s="34"/>
      <c r="L42" s="45"/>
      <c r="M42" s="44"/>
      <c r="N42" s="34"/>
      <c r="O42" s="36"/>
      <c r="P42" s="34"/>
      <c r="Q42" s="34"/>
      <c r="R42" s="45"/>
    </row>
    <row r="43" spans="1:20" ht="18">
      <c r="A43" s="44"/>
      <c r="B43" s="34"/>
      <c r="C43" s="34"/>
      <c r="D43" s="34"/>
      <c r="E43" s="34"/>
      <c r="F43" s="45"/>
      <c r="G43" s="44"/>
      <c r="H43" s="34"/>
      <c r="I43" s="36"/>
      <c r="J43" s="34"/>
      <c r="K43" s="34"/>
      <c r="L43" s="45"/>
      <c r="M43" s="44"/>
      <c r="N43" s="34"/>
      <c r="O43" s="36"/>
      <c r="P43" s="34"/>
      <c r="Q43" s="34"/>
      <c r="R43" s="45"/>
    </row>
    <row r="44" spans="1:20">
      <c r="A44" s="47"/>
      <c r="B44" s="27"/>
      <c r="D44" s="3" t="s">
        <v>3</v>
      </c>
      <c r="E44" s="3"/>
      <c r="F44" s="48"/>
      <c r="G44" s="47"/>
      <c r="H44" s="27"/>
      <c r="J44" s="3" t="s">
        <v>3</v>
      </c>
      <c r="K44" s="3"/>
      <c r="L44" s="48"/>
      <c r="M44" s="47"/>
      <c r="N44" s="27"/>
      <c r="O44" s="3"/>
      <c r="P44" s="3" t="s">
        <v>3</v>
      </c>
      <c r="Q44" s="3"/>
      <c r="R44" s="49"/>
    </row>
    <row r="45" spans="1:20">
      <c r="A45" s="47"/>
      <c r="B45" s="27"/>
      <c r="D45" s="27" t="str">
        <f>D9</f>
        <v>FEB 16-28, 2026</v>
      </c>
      <c r="E45" s="27"/>
      <c r="F45" s="49"/>
      <c r="G45" s="58"/>
      <c r="H45" s="3"/>
      <c r="J45" s="27" t="str">
        <f>D45</f>
        <v>FEB 16-28, 2026</v>
      </c>
      <c r="K45" s="27"/>
      <c r="L45" s="49"/>
      <c r="M45" s="47"/>
      <c r="N45" s="27"/>
      <c r="O45" s="3"/>
      <c r="P45" s="27" t="str">
        <f>D45</f>
        <v>FEB 16-28, 2026</v>
      </c>
      <c r="Q45" s="27"/>
      <c r="R45" s="49"/>
    </row>
    <row r="46" spans="1:20">
      <c r="A46" s="47"/>
      <c r="B46" s="27"/>
      <c r="D46" s="3"/>
      <c r="E46" s="27"/>
      <c r="F46" s="49"/>
      <c r="G46" s="47"/>
      <c r="H46" s="27"/>
      <c r="J46" s="3"/>
      <c r="K46" s="27"/>
      <c r="L46" s="49"/>
      <c r="M46" s="47"/>
      <c r="N46" s="27"/>
      <c r="O46" s="3"/>
      <c r="P46" s="27"/>
      <c r="Q46" s="27"/>
      <c r="R46" s="49"/>
    </row>
    <row r="47" spans="1:20">
      <c r="A47" s="47"/>
      <c r="B47" s="27"/>
      <c r="C47" s="3">
        <v>4</v>
      </c>
      <c r="D47" s="3" t="str">
        <f>VLOOKUP(C47,'MASTER DATA (2)'!$A:$E,5,FALSE)</f>
        <v>CANNU JR, ALFREDO O.</v>
      </c>
      <c r="E47" s="27"/>
      <c r="F47" s="49"/>
      <c r="G47" s="47"/>
      <c r="H47" s="27"/>
      <c r="I47" s="3">
        <v>5</v>
      </c>
      <c r="J47" s="3" t="str">
        <f>VLOOKUP(I47,'MASTER DATA (2)'!$A:$E,5,FALSE)</f>
        <v>CELOCIA, MERLITA O.</v>
      </c>
      <c r="K47" s="27"/>
      <c r="L47" s="49"/>
      <c r="M47" s="47"/>
      <c r="N47" s="27"/>
      <c r="O47" s="3">
        <v>0</v>
      </c>
      <c r="P47" s="3" t="e">
        <f>VLOOKUP(O47,'MASTER DATA (2)'!$A:$E,5,FALSE)</f>
        <v>#N/A</v>
      </c>
      <c r="Q47" s="27"/>
      <c r="R47" s="49"/>
    </row>
    <row r="48" spans="1:20">
      <c r="A48" s="47"/>
      <c r="B48" s="27"/>
      <c r="C48" s="3"/>
      <c r="D48" s="3" t="str">
        <f>VLOOKUP(C47,'MASTER DATA (2)'!$A:$F,6,FALSE)</f>
        <v>GH</v>
      </c>
      <c r="E48" s="27"/>
      <c r="F48" s="49"/>
      <c r="G48" s="47"/>
      <c r="H48" s="27"/>
      <c r="J48" s="3" t="str">
        <f>VLOOKUP(I47,'MASTER DATA (2)'!$A:$F,6,FALSE)</f>
        <v>GH</v>
      </c>
      <c r="K48" s="27"/>
      <c r="L48" s="49"/>
      <c r="M48" s="47"/>
      <c r="N48" s="27"/>
      <c r="O48" s="3"/>
      <c r="P48" s="3" t="e">
        <f>VLOOKUP(O47,'MASTER DATA (2)'!$A:$F,6,FALSE)</f>
        <v>#N/A</v>
      </c>
      <c r="Q48" s="27"/>
      <c r="R48" s="49"/>
    </row>
    <row r="49" spans="1:18">
      <c r="A49" s="47"/>
      <c r="B49" s="27"/>
      <c r="D49" s="72" t="str">
        <f>VLOOKUP(C47,'MASTER DATA (2)'!$A:$G,7,FALSE)</f>
        <v>Administrative Asst. III (Housekeeping Attendant)</v>
      </c>
      <c r="E49" s="73"/>
      <c r="F49" s="74"/>
      <c r="G49" s="47"/>
      <c r="H49" s="27"/>
      <c r="J49" s="29" t="str">
        <f>VLOOKUP(I47,'MASTER DATA (2)'!$A:$G,7,FALSE)</f>
        <v>Administrative Asst. III</v>
      </c>
      <c r="K49" s="27"/>
      <c r="L49" s="49"/>
      <c r="M49" s="47"/>
      <c r="N49" s="27"/>
      <c r="O49" s="3"/>
      <c r="P49" s="29" t="e">
        <f>VLOOKUP(O47,'MASTER DATA (2)'!$A:$G,7,FALSE)</f>
        <v>#N/A</v>
      </c>
      <c r="Q49" s="27"/>
      <c r="R49" s="49"/>
    </row>
    <row r="50" spans="1:18">
      <c r="A50" s="47"/>
      <c r="B50" s="27"/>
      <c r="D50" s="27" t="s">
        <v>4</v>
      </c>
      <c r="E50" s="30">
        <f>SUMIF('MASTER DATA (2)'!$A:$A,GH!C47,'MASTER DATA (2)'!$N:$N)</f>
        <v>10605.5</v>
      </c>
      <c r="F50" s="50"/>
      <c r="G50" s="47"/>
      <c r="H50" s="27"/>
      <c r="J50" s="27" t="s">
        <v>4</v>
      </c>
      <c r="K50" s="30">
        <f>SUMIF('MASTER DATA (2)'!$A:$A,GH!I47,'MASTER DATA (2)'!$N:$N)</f>
        <v>10605.5</v>
      </c>
      <c r="L50" s="50"/>
      <c r="M50" s="47"/>
      <c r="N50" s="27"/>
      <c r="O50" s="3"/>
      <c r="P50" s="27" t="s">
        <v>4</v>
      </c>
      <c r="Q50" s="30">
        <f>SUMIF('MASTER DATA (2)'!$A:$A,GH!O47,'MASTER DATA (2)'!$N:$N)</f>
        <v>0</v>
      </c>
      <c r="R50" s="49"/>
    </row>
    <row r="51" spans="1:18" ht="17.25">
      <c r="A51" s="47"/>
      <c r="B51" s="27"/>
      <c r="D51" s="27"/>
      <c r="E51" s="37"/>
      <c r="F51" s="51"/>
      <c r="G51" s="59"/>
      <c r="H51" s="39"/>
      <c r="I51" s="38"/>
      <c r="J51" s="27"/>
      <c r="K51" s="37"/>
      <c r="L51" s="51"/>
      <c r="M51" s="47"/>
      <c r="N51" s="27"/>
      <c r="O51" s="3"/>
      <c r="P51" s="27"/>
      <c r="Q51" s="37"/>
      <c r="R51" s="49"/>
    </row>
    <row r="52" spans="1:18">
      <c r="A52" s="47"/>
      <c r="B52" s="27"/>
      <c r="D52" s="27"/>
      <c r="E52" s="30"/>
      <c r="F52" s="50"/>
      <c r="G52" s="59"/>
      <c r="H52" s="39"/>
      <c r="I52" s="38"/>
      <c r="J52" s="27"/>
      <c r="K52" s="30"/>
      <c r="L52" s="50"/>
      <c r="M52" s="47"/>
      <c r="N52" s="27"/>
      <c r="O52" s="3"/>
      <c r="P52" s="27"/>
      <c r="Q52" s="30"/>
      <c r="R52" s="49"/>
    </row>
    <row r="53" spans="1:18" ht="17.25">
      <c r="A53" s="47"/>
      <c r="B53" s="27"/>
      <c r="D53" s="27"/>
      <c r="E53" s="37"/>
      <c r="F53" s="51"/>
      <c r="G53" s="59"/>
      <c r="H53" s="39"/>
      <c r="I53" s="38"/>
      <c r="J53" s="27"/>
      <c r="K53" s="37"/>
      <c r="L53" s="51"/>
      <c r="M53" s="47"/>
      <c r="N53" s="27"/>
      <c r="O53" s="3"/>
      <c r="P53" s="27"/>
      <c r="Q53" s="37"/>
      <c r="R53" s="49"/>
    </row>
    <row r="54" spans="1:18">
      <c r="A54" s="47"/>
      <c r="B54" s="27"/>
      <c r="D54" s="39" t="s">
        <v>5</v>
      </c>
      <c r="E54" s="40" t="s">
        <v>6</v>
      </c>
      <c r="F54" s="52"/>
      <c r="G54" s="47"/>
      <c r="H54" s="27"/>
      <c r="J54" s="39" t="s">
        <v>5</v>
      </c>
      <c r="K54" s="40" t="s">
        <v>6</v>
      </c>
      <c r="L54" s="52"/>
      <c r="M54" s="47"/>
      <c r="N54" s="27"/>
      <c r="O54" s="3"/>
      <c r="P54" s="39" t="s">
        <v>5</v>
      </c>
      <c r="Q54" s="40" t="s">
        <v>6</v>
      </c>
      <c r="R54" s="49"/>
    </row>
    <row r="55" spans="1:18">
      <c r="A55" s="47"/>
      <c r="B55" s="27"/>
      <c r="D55" s="27"/>
      <c r="E55" s="27"/>
      <c r="F55" s="49"/>
      <c r="G55" s="60"/>
      <c r="H55" s="30"/>
      <c r="I55" s="28"/>
      <c r="J55" s="27"/>
      <c r="K55" s="27"/>
      <c r="L55" s="49"/>
      <c r="M55" s="60"/>
      <c r="N55" s="30"/>
      <c r="O55" s="28"/>
      <c r="P55" s="27"/>
      <c r="Q55" s="27"/>
      <c r="R55" s="49"/>
    </row>
    <row r="56" spans="1:18">
      <c r="A56" s="47"/>
      <c r="B56" s="27"/>
      <c r="D56" s="30" t="s">
        <v>7</v>
      </c>
      <c r="E56" s="30">
        <f>SUMIF('MASTER DATA (2)'!$A:$A,GH!C47,'MASTER DATA (2)'!$AL:$AL)</f>
        <v>0</v>
      </c>
      <c r="F56" s="50"/>
      <c r="G56" s="60"/>
      <c r="H56" s="30"/>
      <c r="I56" s="28"/>
      <c r="J56" s="30" t="s">
        <v>7</v>
      </c>
      <c r="K56" s="30">
        <f>SUMIF('MASTER DATA (2)'!$A:$A,GH!I47,'MASTER DATA (2)'!$AL:$AL)</f>
        <v>0</v>
      </c>
      <c r="L56" s="50"/>
      <c r="M56" s="60"/>
      <c r="N56" s="30"/>
      <c r="O56" s="28"/>
      <c r="P56" s="30" t="s">
        <v>7</v>
      </c>
      <c r="Q56" s="30">
        <f>SUMIF('MASTER DATA (2)'!$A:$A,GH!O47,'MASTER DATA (2)'!$AL:$AL)</f>
        <v>0</v>
      </c>
      <c r="R56" s="49"/>
    </row>
    <row r="57" spans="1:18">
      <c r="A57" s="47"/>
      <c r="B57" s="27"/>
      <c r="D57" s="31" t="s">
        <v>8</v>
      </c>
      <c r="E57" s="30">
        <f>SUMIF('MASTER DATA (2)'!$A:$A,GH!C47,'MASTER DATA (2)'!$AM:$AM)+(SUMIF('MASTER DATA (2)'!$A:$A,GH!C47,'MASTER DATA (2)'!$AN:$AN))</f>
        <v>28.12</v>
      </c>
      <c r="F57" s="50"/>
      <c r="G57" s="60"/>
      <c r="H57" s="30"/>
      <c r="I57" s="28"/>
      <c r="J57" s="31" t="s">
        <v>8</v>
      </c>
      <c r="K57" s="30">
        <f>SUMIF('MASTER DATA (2)'!$A:$A,GH!I47,'MASTER DATA (2)'!$AM:$AM)+(SUMIF('MASTER DATA (2)'!$A:$A,GH!I47,'MASTER DATA (2)'!$AN:$AN))</f>
        <v>0</v>
      </c>
      <c r="L57" s="50"/>
      <c r="M57" s="60"/>
      <c r="N57" s="30"/>
      <c r="O57" s="28"/>
      <c r="P57" s="31" t="s">
        <v>8</v>
      </c>
      <c r="Q57" s="30">
        <f>SUMIF('MASTER DATA (2)'!$A:$A,GH!O47,'MASTER DATA (2)'!$AM:$AM)+(SUMIF('MASTER DATA (2)'!$A:$A,GH!O47,'MASTER DATA (2)'!$AN:$AN))</f>
        <v>0</v>
      </c>
      <c r="R57" s="49"/>
    </row>
    <row r="58" spans="1:18" ht="17.25">
      <c r="A58" s="47"/>
      <c r="B58" s="27"/>
      <c r="D58" s="30" t="s">
        <v>9</v>
      </c>
      <c r="E58" s="37">
        <f>SUMIF('MASTER DATA (2)'!$A:$A,GH!C47,'MASTER DATA (2)'!$AP:$AP)</f>
        <v>0</v>
      </c>
      <c r="F58" s="50"/>
      <c r="G58" s="60"/>
      <c r="H58" s="30"/>
      <c r="I58" s="28"/>
      <c r="J58" s="30" t="s">
        <v>9</v>
      </c>
      <c r="K58" s="37">
        <f>SUMIF('MASTER DATA (2)'!$A:$A,GH!I47,'MASTER DATA (2)'!$AP:$AP)</f>
        <v>0</v>
      </c>
      <c r="L58" s="50"/>
      <c r="M58" s="60"/>
      <c r="N58" s="30"/>
      <c r="O58" s="28"/>
      <c r="P58" s="30" t="s">
        <v>9</v>
      </c>
      <c r="Q58" s="37">
        <f>SUMIF('MASTER DATA (2)'!$A:$A,GH!O47,'MASTER DATA (2)'!$AP:$AP)</f>
        <v>0</v>
      </c>
      <c r="R58" s="49"/>
    </row>
    <row r="59" spans="1:18">
      <c r="A59" s="47"/>
      <c r="B59" s="27"/>
      <c r="D59" s="30" t="s">
        <v>10</v>
      </c>
      <c r="E59" s="30">
        <f>SUM(E56:E58)</f>
        <v>28.12</v>
      </c>
      <c r="F59" s="50"/>
      <c r="G59" s="60"/>
      <c r="H59" s="30"/>
      <c r="I59" s="28"/>
      <c r="J59" s="30" t="s">
        <v>10</v>
      </c>
      <c r="K59" s="30">
        <f>SUM(K56:K58)</f>
        <v>0</v>
      </c>
      <c r="L59" s="50"/>
      <c r="M59" s="60"/>
      <c r="N59" s="30"/>
      <c r="O59" s="28"/>
      <c r="P59" s="30" t="s">
        <v>10</v>
      </c>
      <c r="Q59" s="30">
        <f>SUM(Q56:Q58)</f>
        <v>0</v>
      </c>
      <c r="R59" s="49"/>
    </row>
    <row r="60" spans="1:18">
      <c r="A60" s="47"/>
      <c r="B60" s="27"/>
      <c r="D60" s="30"/>
      <c r="E60" s="30"/>
      <c r="F60" s="50"/>
      <c r="G60" s="60"/>
      <c r="H60" s="30"/>
      <c r="I60" s="28"/>
      <c r="J60" s="30"/>
      <c r="K60" s="30"/>
      <c r="L60" s="50"/>
      <c r="M60" s="60"/>
      <c r="N60" s="30"/>
      <c r="O60" s="28"/>
      <c r="P60" s="30"/>
      <c r="Q60" s="30"/>
      <c r="R60" s="49"/>
    </row>
    <row r="61" spans="1:18">
      <c r="A61" s="47"/>
      <c r="B61" s="27"/>
      <c r="D61" s="30" t="s">
        <v>12</v>
      </c>
      <c r="E61" s="30">
        <f>E50-E59</f>
        <v>10577.38</v>
      </c>
      <c r="F61" s="50"/>
      <c r="G61" s="60"/>
      <c r="H61" s="30"/>
      <c r="I61" s="28"/>
      <c r="J61" s="30" t="s">
        <v>12</v>
      </c>
      <c r="K61" s="30">
        <f>K50-K59</f>
        <v>10605.5</v>
      </c>
      <c r="L61" s="50"/>
      <c r="M61" s="60"/>
      <c r="N61" s="30"/>
      <c r="O61" s="28"/>
      <c r="P61" s="30" t="s">
        <v>12</v>
      </c>
      <c r="Q61" s="30">
        <f>Q50-Q59</f>
        <v>0</v>
      </c>
      <c r="R61" s="49"/>
    </row>
    <row r="62" spans="1:18">
      <c r="A62" s="47"/>
      <c r="B62" s="27"/>
      <c r="D62" s="30" t="s">
        <v>13</v>
      </c>
      <c r="E62" s="30"/>
      <c r="F62" s="50"/>
      <c r="G62" s="60"/>
      <c r="H62" s="30"/>
      <c r="I62" s="28"/>
      <c r="J62" s="30" t="s">
        <v>13</v>
      </c>
      <c r="K62" s="30"/>
      <c r="L62" s="50"/>
      <c r="M62" s="60"/>
      <c r="N62" s="30"/>
      <c r="O62" s="28"/>
      <c r="P62" s="30" t="s">
        <v>13</v>
      </c>
      <c r="Q62" s="30"/>
      <c r="R62" s="49"/>
    </row>
    <row r="63" spans="1:18">
      <c r="A63" s="47"/>
      <c r="B63" s="27"/>
      <c r="D63" s="30" t="s">
        <v>14</v>
      </c>
      <c r="E63" s="30">
        <f>SUMIF('MASTER DATA (2)'!$A:$A,GH!C47,'MASTER DATA (2)'!$AS:$AS)</f>
        <v>0</v>
      </c>
      <c r="F63" s="50"/>
      <c r="G63" s="60"/>
      <c r="H63" s="30"/>
      <c r="I63" s="28"/>
      <c r="J63" s="30" t="s">
        <v>14</v>
      </c>
      <c r="K63" s="30">
        <f>SUMIF('MASTER DATA (2)'!$A:$A,GH!I47,'MASTER DATA (2)'!$AS:$AS)</f>
        <v>0</v>
      </c>
      <c r="L63" s="50"/>
      <c r="M63" s="60"/>
      <c r="N63" s="30"/>
      <c r="O63" s="28"/>
      <c r="P63" s="30" t="s">
        <v>14</v>
      </c>
      <c r="Q63" s="30">
        <f>SUMIF('MASTER DATA (2)'!$A:$A,GH!O47,'MASTER DATA (2)'!$AS:$AS)</f>
        <v>0</v>
      </c>
      <c r="R63" s="49"/>
    </row>
    <row r="64" spans="1:18">
      <c r="A64" s="47"/>
      <c r="B64" s="27"/>
      <c r="D64" s="69" t="s">
        <v>160</v>
      </c>
      <c r="E64" s="30">
        <f>SUMIF('MASTER DATA (2)'!$A:$A,GH!C47,'MASTER DATA (2)'!$AT:$AT)</f>
        <v>0</v>
      </c>
      <c r="F64" s="50"/>
      <c r="G64" s="60"/>
      <c r="H64" s="30"/>
      <c r="I64" s="28"/>
      <c r="J64" s="69" t="s">
        <v>160</v>
      </c>
      <c r="K64" s="30">
        <f>SUMIF('MASTER DATA (2)'!$A:$A,GH!I47,'MASTER DATA (2)'!$AT:$AT)</f>
        <v>0</v>
      </c>
      <c r="L64" s="50"/>
      <c r="M64" s="60"/>
      <c r="N64" s="30"/>
      <c r="O64" s="28"/>
      <c r="P64" s="69" t="s">
        <v>160</v>
      </c>
      <c r="Q64" s="30">
        <f>SUMIF('MASTER DATA (2)'!$A:$A,GH!O47,'MASTER DATA (2)'!$AT:$AT)</f>
        <v>0</v>
      </c>
      <c r="R64" s="49"/>
    </row>
    <row r="65" spans="1:18">
      <c r="A65" s="47"/>
      <c r="B65" s="27"/>
      <c r="D65" s="30" t="s">
        <v>15</v>
      </c>
      <c r="E65" s="30">
        <f>SUMIF('MASTER DATA'!$A:$A,GH!C47,'MASTER DATA (2)'!$AU:$AU)</f>
        <v>0</v>
      </c>
      <c r="F65" s="50"/>
      <c r="G65" s="60"/>
      <c r="H65" s="30"/>
      <c r="I65" s="28"/>
      <c r="J65" s="30" t="s">
        <v>15</v>
      </c>
      <c r="K65" s="30">
        <f>SUMIF('MASTER DATA'!$A:$A,GH!I47,'MASTER DATA (2)'!$AU:$AU)</f>
        <v>0</v>
      </c>
      <c r="L65" s="50"/>
      <c r="M65" s="60"/>
      <c r="N65" s="30"/>
      <c r="O65" s="28"/>
      <c r="P65" s="30" t="s">
        <v>15</v>
      </c>
      <c r="Q65" s="30">
        <f>SUMIF('MASTER DATA'!$A:$A,GH!O47,'MASTER DATA (2)'!$AU:$AU)</f>
        <v>0</v>
      </c>
      <c r="R65" s="49"/>
    </row>
    <row r="66" spans="1:18">
      <c r="A66" s="47"/>
      <c r="B66" s="27"/>
      <c r="D66" s="30" t="s">
        <v>19</v>
      </c>
      <c r="E66" s="30">
        <f>SUMIF('MASTER DATA'!$A:$A,GH!C47,'MASTER DATA (2)'!$AV:$AV)</f>
        <v>0</v>
      </c>
      <c r="F66" s="50"/>
      <c r="G66" s="60"/>
      <c r="H66" s="30"/>
      <c r="I66" s="28"/>
      <c r="J66" s="30" t="s">
        <v>19</v>
      </c>
      <c r="K66" s="30">
        <f>SUMIF('MASTER DATA'!$A:$A,GH!I47,'MASTER DATA (2)'!$AV:$AV)</f>
        <v>0</v>
      </c>
      <c r="L66" s="50"/>
      <c r="M66" s="60"/>
      <c r="N66" s="30"/>
      <c r="O66" s="28"/>
      <c r="P66" s="30" t="s">
        <v>19</v>
      </c>
      <c r="Q66" s="30">
        <f>SUMIF('MASTER DATA'!$A:$A,GH!O47,'MASTER DATA (2)'!$AV:$AV)</f>
        <v>0</v>
      </c>
      <c r="R66" s="49"/>
    </row>
    <row r="67" spans="1:18">
      <c r="A67" s="47"/>
      <c r="B67" s="27"/>
      <c r="D67" s="30" t="s">
        <v>20</v>
      </c>
      <c r="E67" s="30">
        <f>SUMIF('MASTER DATA'!$A:$A,GH!C47,'MASTER DATA (2)'!$AX:$AX)</f>
        <v>0</v>
      </c>
      <c r="F67" s="50"/>
      <c r="G67" s="60"/>
      <c r="H67" s="30"/>
      <c r="I67" s="28"/>
      <c r="J67" s="30" t="s">
        <v>20</v>
      </c>
      <c r="K67" s="30">
        <f>SUMIF('MASTER DATA'!$A:$A,GH!I47,'MASTER DATA (2)'!$AX:$AX)</f>
        <v>0</v>
      </c>
      <c r="L67" s="50"/>
      <c r="M67" s="60"/>
      <c r="N67" s="30"/>
      <c r="O67" s="28"/>
      <c r="P67" s="30" t="s">
        <v>20</v>
      </c>
      <c r="Q67" s="30">
        <f>SUMIF('MASTER DATA'!$A:$A,GH!O47,'MASTER DATA (2)'!$AX:$AX)</f>
        <v>0</v>
      </c>
      <c r="R67" s="49"/>
    </row>
    <row r="68" spans="1:18">
      <c r="A68" s="47"/>
      <c r="B68" s="27"/>
      <c r="D68" s="30" t="s">
        <v>23</v>
      </c>
      <c r="E68" s="30">
        <f>SUMIF('MASTER DATA'!$A:$A,GH!C48,'MASTER DATA (2)'!$AW:$AW)</f>
        <v>0</v>
      </c>
      <c r="F68" s="50"/>
      <c r="G68" s="60"/>
      <c r="H68" s="30"/>
      <c r="I68" s="28"/>
      <c r="J68" s="30" t="s">
        <v>23</v>
      </c>
      <c r="K68" s="30">
        <f>SUMIF('MASTER DATA'!$A:$A,GH!I48,'MASTER DATA (2)'!$AW:$AW)</f>
        <v>0</v>
      </c>
      <c r="L68" s="50"/>
      <c r="M68" s="60"/>
      <c r="N68" s="30"/>
      <c r="O68" s="28"/>
      <c r="P68" s="30" t="s">
        <v>23</v>
      </c>
      <c r="Q68" s="30">
        <f>SUMIF('MASTER DATA'!$A:$A,GH!O48,'MASTER DATA (2)'!$AW:$AW)</f>
        <v>0</v>
      </c>
      <c r="R68" s="49"/>
    </row>
    <row r="69" spans="1:18" ht="16.5" thickBot="1">
      <c r="A69" s="47"/>
      <c r="B69" s="27"/>
      <c r="D69" s="28" t="s">
        <v>16</v>
      </c>
      <c r="E69" s="33">
        <f>E61-SUM(E62:E68)</f>
        <v>10577.38</v>
      </c>
      <c r="F69" s="53"/>
      <c r="G69" s="60"/>
      <c r="H69" s="30"/>
      <c r="I69" s="28"/>
      <c r="J69" s="28" t="s">
        <v>16</v>
      </c>
      <c r="K69" s="33">
        <f>K61-SUM(K62:K68)</f>
        <v>10605.5</v>
      </c>
      <c r="L69" s="53"/>
      <c r="M69" s="60"/>
      <c r="N69" s="30"/>
      <c r="O69" s="28"/>
      <c r="P69" s="28" t="s">
        <v>16</v>
      </c>
      <c r="Q69" s="33">
        <f>Q61-SUM(Q62:Q68)</f>
        <v>0</v>
      </c>
      <c r="R69" s="49"/>
    </row>
    <row r="70" spans="1:18" ht="16.5" thickTop="1">
      <c r="A70" s="47"/>
      <c r="B70" s="27"/>
      <c r="D70" s="30"/>
      <c r="E70" s="30"/>
      <c r="F70" s="50"/>
      <c r="G70" s="60"/>
      <c r="H70" s="30"/>
      <c r="I70" s="28"/>
      <c r="J70" s="30"/>
      <c r="K70" s="30"/>
      <c r="L70" s="50"/>
      <c r="M70" s="60"/>
      <c r="N70" s="30"/>
      <c r="O70" s="28"/>
      <c r="P70" s="30"/>
      <c r="Q70" s="30"/>
      <c r="R70" s="49"/>
    </row>
    <row r="71" spans="1:18">
      <c r="A71" s="47"/>
      <c r="B71" s="27"/>
      <c r="D71" s="69"/>
      <c r="E71" s="27"/>
      <c r="F71" s="49"/>
      <c r="G71" s="47"/>
      <c r="H71" s="27"/>
      <c r="J71" s="88"/>
      <c r="K71" s="27"/>
      <c r="L71" s="49"/>
      <c r="M71" s="60"/>
      <c r="N71" s="30"/>
      <c r="O71" s="28"/>
      <c r="P71" s="66"/>
      <c r="Q71" s="27"/>
      <c r="R71" s="49"/>
    </row>
    <row r="72" spans="1:18" ht="16.5" thickBot="1">
      <c r="A72" s="54"/>
      <c r="B72" s="55"/>
      <c r="C72" s="55"/>
      <c r="D72" s="55"/>
      <c r="E72" s="55"/>
      <c r="F72" s="56"/>
      <c r="G72" s="54"/>
      <c r="H72" s="55"/>
      <c r="I72" s="61"/>
      <c r="J72" s="55"/>
      <c r="K72" s="55"/>
      <c r="L72" s="56"/>
      <c r="M72" s="62"/>
      <c r="N72" s="63"/>
      <c r="O72" s="64"/>
      <c r="P72" s="55"/>
      <c r="Q72" s="55"/>
      <c r="R72" s="56"/>
    </row>
    <row r="73" spans="1:18" ht="18">
      <c r="A73" s="41"/>
      <c r="B73" s="42"/>
      <c r="C73" s="42"/>
      <c r="D73" s="42"/>
      <c r="E73" s="42"/>
      <c r="F73" s="79" t="s">
        <v>235</v>
      </c>
      <c r="G73" s="41"/>
      <c r="H73" s="42"/>
      <c r="I73" s="42"/>
      <c r="J73" s="42"/>
      <c r="K73" s="42"/>
      <c r="L73" s="79" t="s">
        <v>235</v>
      </c>
      <c r="M73" s="41"/>
      <c r="N73" s="42"/>
      <c r="O73" s="42"/>
      <c r="P73" s="42"/>
      <c r="Q73" s="42"/>
      <c r="R73" s="79" t="s">
        <v>235</v>
      </c>
    </row>
    <row r="74" spans="1:18" ht="18">
      <c r="A74" s="44"/>
      <c r="B74" s="34"/>
      <c r="C74" s="34"/>
      <c r="D74" s="34"/>
      <c r="E74" s="34"/>
      <c r="F74" s="45"/>
      <c r="G74" s="44"/>
      <c r="H74" s="34"/>
      <c r="I74" s="34"/>
      <c r="J74" s="34"/>
      <c r="K74" s="34"/>
      <c r="L74" s="45"/>
      <c r="M74" s="44"/>
      <c r="N74" s="34"/>
      <c r="O74" s="36"/>
      <c r="P74" s="34"/>
      <c r="Q74" s="34"/>
      <c r="R74" s="45"/>
    </row>
    <row r="75" spans="1:18" ht="18">
      <c r="A75" s="44"/>
      <c r="B75" s="34"/>
      <c r="C75" s="34"/>
      <c r="D75" s="35" t="s">
        <v>0</v>
      </c>
      <c r="E75" s="36"/>
      <c r="F75" s="46"/>
      <c r="G75" s="44"/>
      <c r="H75" s="34"/>
      <c r="I75" s="34"/>
      <c r="J75" s="35" t="s">
        <v>0</v>
      </c>
      <c r="K75" s="36"/>
      <c r="L75" s="46"/>
      <c r="M75" s="44"/>
      <c r="N75" s="34"/>
      <c r="O75" s="36"/>
      <c r="P75" s="35" t="s">
        <v>0</v>
      </c>
      <c r="Q75" s="36"/>
      <c r="R75" s="46"/>
    </row>
    <row r="76" spans="1:18" ht="18">
      <c r="A76" s="44"/>
      <c r="B76" s="34"/>
      <c r="C76" s="34"/>
      <c r="D76" s="35" t="s">
        <v>1</v>
      </c>
      <c r="E76" s="36"/>
      <c r="F76" s="46"/>
      <c r="G76" s="44"/>
      <c r="H76" s="34"/>
      <c r="I76" s="34"/>
      <c r="J76" s="35" t="s">
        <v>1</v>
      </c>
      <c r="K76" s="36"/>
      <c r="L76" s="46"/>
      <c r="M76" s="44"/>
      <c r="N76" s="34"/>
      <c r="O76" s="36"/>
      <c r="P76" s="35" t="s">
        <v>1</v>
      </c>
      <c r="Q76" s="36"/>
      <c r="R76" s="46"/>
    </row>
    <row r="77" spans="1:18" ht="18">
      <c r="A77" s="44"/>
      <c r="B77" s="34"/>
      <c r="C77" s="34"/>
      <c r="D77" s="35" t="s">
        <v>162</v>
      </c>
      <c r="E77" s="36"/>
      <c r="F77" s="46"/>
      <c r="G77" s="44"/>
      <c r="H77" s="34"/>
      <c r="I77" s="34"/>
      <c r="J77" s="35" t="s">
        <v>162</v>
      </c>
      <c r="K77" s="36"/>
      <c r="L77" s="46"/>
      <c r="M77" s="44"/>
      <c r="N77" s="34"/>
      <c r="O77" s="36"/>
      <c r="P77" s="35" t="s">
        <v>162</v>
      </c>
      <c r="Q77" s="36"/>
      <c r="R77" s="46"/>
    </row>
    <row r="78" spans="1:18" ht="18">
      <c r="A78" s="44"/>
      <c r="B78" s="34"/>
      <c r="C78" s="34"/>
      <c r="D78" s="34"/>
      <c r="E78" s="34"/>
      <c r="F78" s="45"/>
      <c r="G78" s="44"/>
      <c r="H78" s="34"/>
      <c r="I78" s="34"/>
      <c r="J78" s="34"/>
      <c r="K78" s="34"/>
      <c r="L78" s="45"/>
      <c r="M78" s="44"/>
      <c r="N78" s="34"/>
      <c r="O78" s="36"/>
      <c r="P78" s="34"/>
      <c r="Q78" s="34"/>
      <c r="R78" s="45"/>
    </row>
    <row r="79" spans="1:18" ht="18">
      <c r="A79" s="44"/>
      <c r="B79" s="34"/>
      <c r="C79" s="34"/>
      <c r="D79" s="34"/>
      <c r="E79" s="34"/>
      <c r="F79" s="45"/>
      <c r="G79" s="44"/>
      <c r="H79" s="34"/>
      <c r="I79" s="34"/>
      <c r="J79" s="34"/>
      <c r="K79" s="34"/>
      <c r="L79" s="45"/>
      <c r="M79" s="44"/>
      <c r="N79" s="34"/>
      <c r="O79" s="36"/>
      <c r="P79" s="34"/>
      <c r="Q79" s="34"/>
      <c r="R79" s="45"/>
    </row>
    <row r="80" spans="1:18">
      <c r="A80" s="47"/>
      <c r="B80" s="27"/>
      <c r="D80" s="3" t="s">
        <v>3</v>
      </c>
      <c r="E80" s="3"/>
      <c r="F80" s="48"/>
      <c r="G80" s="47"/>
      <c r="H80" s="27"/>
      <c r="I80" s="27"/>
      <c r="J80" s="3" t="s">
        <v>3</v>
      </c>
      <c r="K80" s="3"/>
      <c r="L80" s="48"/>
      <c r="M80" s="47"/>
      <c r="N80" s="27"/>
      <c r="O80" s="3"/>
      <c r="P80" s="3" t="s">
        <v>3</v>
      </c>
      <c r="Q80" s="3"/>
      <c r="R80" s="48"/>
    </row>
    <row r="81" spans="1:18">
      <c r="A81" s="47"/>
      <c r="B81" s="27"/>
      <c r="D81" s="27" t="str">
        <f>D45</f>
        <v>FEB 16-28, 2026</v>
      </c>
      <c r="E81" s="27"/>
      <c r="F81" s="49"/>
      <c r="G81" s="47"/>
      <c r="H81" s="27"/>
      <c r="I81" s="27"/>
      <c r="J81" s="27" t="str">
        <f>D81</f>
        <v>FEB 16-28, 2026</v>
      </c>
      <c r="K81" s="27"/>
      <c r="L81" s="49"/>
      <c r="M81" s="58"/>
      <c r="N81" s="3"/>
      <c r="O81" s="3"/>
      <c r="P81" s="27" t="str">
        <f>J81</f>
        <v>FEB 16-28, 2026</v>
      </c>
      <c r="Q81" s="27"/>
      <c r="R81" s="49"/>
    </row>
    <row r="82" spans="1:18">
      <c r="A82" s="47"/>
      <c r="B82" s="27"/>
      <c r="D82" s="3"/>
      <c r="E82" s="27"/>
      <c r="F82" s="49"/>
      <c r="G82" s="47"/>
      <c r="H82" s="27"/>
      <c r="I82" s="27"/>
      <c r="J82" s="3"/>
      <c r="K82" s="27"/>
      <c r="L82" s="49"/>
      <c r="M82" s="47"/>
      <c r="N82" s="27"/>
      <c r="O82" s="3"/>
      <c r="P82" s="3"/>
      <c r="Q82" s="27"/>
      <c r="R82" s="49"/>
    </row>
    <row r="83" spans="1:18">
      <c r="A83" s="47"/>
      <c r="B83" s="27"/>
      <c r="C83" s="3">
        <v>7</v>
      </c>
      <c r="D83" s="3" t="str">
        <f>VLOOKUP(C83,'MASTER DATA (2)'!$A:$E,5,FALSE)</f>
        <v xml:space="preserve">GULTIANO, HELEN D. </v>
      </c>
      <c r="E83" s="27"/>
      <c r="F83" s="49"/>
      <c r="G83" s="47"/>
      <c r="H83" s="27"/>
      <c r="I83" s="3">
        <v>8</v>
      </c>
      <c r="J83" s="3" t="str">
        <f>VLOOKUP(I83,'MASTER DATA (2)'!$A:$E,5,FALSE)</f>
        <v>TORIO, CECIL P.</v>
      </c>
      <c r="K83" s="27"/>
      <c r="L83" s="49"/>
      <c r="M83" s="47"/>
      <c r="N83" s="27"/>
      <c r="O83" s="3">
        <v>9</v>
      </c>
      <c r="P83" s="3" t="str">
        <f>VLOOKUP(O83,'MASTER DATA (2)'!$A:$E,5,FALSE)</f>
        <v>GASATAN, ENRICO JAN S.</v>
      </c>
      <c r="Q83" s="27"/>
      <c r="R83" s="49"/>
    </row>
    <row r="84" spans="1:18">
      <c r="A84" s="47"/>
      <c r="B84" s="27"/>
      <c r="C84" s="3"/>
      <c r="D84" s="3" t="str">
        <f>VLOOKUP(C83,'MASTER DATA (2)'!$A:$F,6,FALSE)</f>
        <v>GH</v>
      </c>
      <c r="E84" s="27"/>
      <c r="F84" s="49"/>
      <c r="G84" s="47"/>
      <c r="H84" s="27"/>
      <c r="J84" s="3" t="str">
        <f>VLOOKUP(I83,'MASTER DATA (2)'!$A:$F,6,FALSE)</f>
        <v>GH</v>
      </c>
      <c r="K84" s="27"/>
      <c r="L84" s="49"/>
      <c r="M84" s="47"/>
      <c r="N84" s="27"/>
      <c r="O84" s="3"/>
      <c r="P84" s="3" t="str">
        <f>VLOOKUP(O83,'MASTER DATA (2)'!$A:$F,6,FALSE)</f>
        <v>GH</v>
      </c>
      <c r="Q84" s="27"/>
      <c r="R84" s="49"/>
    </row>
    <row r="85" spans="1:18">
      <c r="A85" s="47"/>
      <c r="B85" s="27"/>
      <c r="D85" s="29" t="str">
        <f>VLOOKUP(C83,'MASTER DATA (2)'!$A:$G,7,FALSE)</f>
        <v>Administrative Asst. III</v>
      </c>
      <c r="E85" s="27"/>
      <c r="F85" s="49"/>
      <c r="G85" s="47"/>
      <c r="H85" s="27"/>
      <c r="I85" s="27"/>
      <c r="J85" s="29" t="str">
        <f>VLOOKUP(I83,'MASTER DATA (2)'!$A:$G,7,FALSE)</f>
        <v>Administrative Asst. III</v>
      </c>
      <c r="K85" s="27"/>
      <c r="L85" s="49"/>
      <c r="M85" s="47"/>
      <c r="N85" s="27"/>
      <c r="O85" s="3"/>
      <c r="P85" s="29" t="str">
        <f>VLOOKUP(O83,'MASTER DATA (2)'!$A:$G,7,FALSE)</f>
        <v>Administrative Asst. III (Housekeeping Attendant)</v>
      </c>
      <c r="Q85" s="27"/>
      <c r="R85" s="49"/>
    </row>
    <row r="86" spans="1:18">
      <c r="A86" s="47"/>
      <c r="B86" s="27"/>
      <c r="D86" s="27" t="s">
        <v>4</v>
      </c>
      <c r="E86" s="30">
        <f>SUMIF('MASTER DATA (2)'!$A:$A,GH!C83,'MASTER DATA (2)'!$N:$N)</f>
        <v>10605.5</v>
      </c>
      <c r="F86" s="50"/>
      <c r="G86" s="47"/>
      <c r="H86" s="27"/>
      <c r="I86" s="27"/>
      <c r="J86" s="27" t="s">
        <v>4</v>
      </c>
      <c r="K86" s="30">
        <f>SUMIF('MASTER DATA (2)'!$A:$A,GH!I83,'MASTER DATA (2)'!$N:$N)</f>
        <v>10605.5</v>
      </c>
      <c r="L86" s="50"/>
      <c r="M86" s="47"/>
      <c r="N86" s="27"/>
      <c r="O86" s="3"/>
      <c r="P86" s="27" t="s">
        <v>4</v>
      </c>
      <c r="Q86" s="30">
        <f>SUMIF('MASTER DATA (2)'!$A:$A,GH!O83,'MASTER DATA (2)'!$N:$N)</f>
        <v>10605.5</v>
      </c>
      <c r="R86" s="50"/>
    </row>
    <row r="87" spans="1:18" ht="17.25">
      <c r="A87" s="47"/>
      <c r="B87" s="27"/>
      <c r="D87" s="27"/>
      <c r="E87" s="37"/>
      <c r="F87" s="51"/>
      <c r="G87" s="47"/>
      <c r="H87" s="27"/>
      <c r="I87" s="27"/>
      <c r="J87" s="27"/>
      <c r="K87" s="37"/>
      <c r="L87" s="51"/>
      <c r="M87" s="59"/>
      <c r="N87" s="39"/>
      <c r="O87" s="38"/>
      <c r="P87" s="27"/>
      <c r="Q87" s="37"/>
      <c r="R87" s="51"/>
    </row>
    <row r="88" spans="1:18">
      <c r="A88" s="47"/>
      <c r="B88" s="27"/>
      <c r="D88" s="27"/>
      <c r="E88" s="30"/>
      <c r="F88" s="50"/>
      <c r="G88" s="47"/>
      <c r="H88" s="27"/>
      <c r="I88" s="27"/>
      <c r="J88" s="27"/>
      <c r="K88" s="30"/>
      <c r="L88" s="50"/>
      <c r="M88" s="59"/>
      <c r="N88" s="39"/>
      <c r="O88" s="38"/>
      <c r="P88" s="27"/>
      <c r="Q88" s="30"/>
      <c r="R88" s="50"/>
    </row>
    <row r="89" spans="1:18" ht="17.25">
      <c r="A89" s="47"/>
      <c r="B89" s="27"/>
      <c r="D89" s="27"/>
      <c r="E89" s="37"/>
      <c r="F89" s="51"/>
      <c r="G89" s="47"/>
      <c r="H89" s="27"/>
      <c r="I89" s="27"/>
      <c r="J89" s="27"/>
      <c r="K89" s="37"/>
      <c r="L89" s="51"/>
      <c r="M89" s="59"/>
      <c r="N89" s="39"/>
      <c r="O89" s="38"/>
      <c r="P89" s="27"/>
      <c r="Q89" s="37"/>
      <c r="R89" s="51"/>
    </row>
    <row r="90" spans="1:18">
      <c r="A90" s="47"/>
      <c r="B90" s="27"/>
      <c r="D90" s="39" t="s">
        <v>5</v>
      </c>
      <c r="E90" s="40" t="s">
        <v>6</v>
      </c>
      <c r="F90" s="52"/>
      <c r="G90" s="47"/>
      <c r="H90" s="27"/>
      <c r="I90" s="27"/>
      <c r="J90" s="39" t="s">
        <v>5</v>
      </c>
      <c r="K90" s="40" t="s">
        <v>6</v>
      </c>
      <c r="L90" s="52"/>
      <c r="M90" s="47"/>
      <c r="N90" s="27"/>
      <c r="O90" s="3"/>
      <c r="P90" s="39" t="s">
        <v>5</v>
      </c>
      <c r="Q90" s="40" t="s">
        <v>6</v>
      </c>
      <c r="R90" s="52"/>
    </row>
    <row r="91" spans="1:18">
      <c r="A91" s="47"/>
      <c r="B91" s="27"/>
      <c r="D91" s="27"/>
      <c r="E91" s="27"/>
      <c r="F91" s="49"/>
      <c r="G91" s="47"/>
      <c r="H91" s="27"/>
      <c r="I91" s="27"/>
      <c r="J91" s="27"/>
      <c r="K91" s="27"/>
      <c r="L91" s="49"/>
      <c r="M91" s="60"/>
      <c r="N91" s="30"/>
      <c r="O91" s="28"/>
      <c r="P91" s="27"/>
      <c r="Q91" s="27"/>
      <c r="R91" s="49"/>
    </row>
    <row r="92" spans="1:18">
      <c r="A92" s="47"/>
      <c r="B92" s="27"/>
      <c r="D92" s="30" t="s">
        <v>7</v>
      </c>
      <c r="E92" s="30">
        <f>SUMIF('MASTER DATA (2)'!$A:$A,GH!C83,'MASTER DATA (2)'!$AL:$AL)</f>
        <v>0</v>
      </c>
      <c r="F92" s="50"/>
      <c r="G92" s="47"/>
      <c r="H92" s="27"/>
      <c r="I92" s="27"/>
      <c r="J92" s="30" t="s">
        <v>7</v>
      </c>
      <c r="K92" s="30">
        <f>SUMIF('MASTER DATA (2)'!$A:$A,GH!I83,'MASTER DATA (2)'!$AL:$AL)</f>
        <v>0</v>
      </c>
      <c r="L92" s="50"/>
      <c r="M92" s="60"/>
      <c r="N92" s="30"/>
      <c r="O92" s="28"/>
      <c r="P92" s="30" t="s">
        <v>7</v>
      </c>
      <c r="Q92" s="30">
        <f>SUMIF('MASTER DATA (2)'!$A:$A,GH!O83,'MASTER DATA (2)'!$AL:$AL)</f>
        <v>0</v>
      </c>
      <c r="R92" s="50"/>
    </row>
    <row r="93" spans="1:18">
      <c r="A93" s="47"/>
      <c r="B93" s="27"/>
      <c r="D93" s="31" t="s">
        <v>8</v>
      </c>
      <c r="E93" s="30">
        <f>SUMIF('MASTER DATA (2)'!$A:$A,GH!C83,'MASTER DATA (2)'!$AM:$AM)+(SUMIF('MASTER DATA (2)'!$A:$A,GH!C83,'MASTER DATA (2)'!$AN:$AN))</f>
        <v>0</v>
      </c>
      <c r="F93" s="50"/>
      <c r="G93" s="47"/>
      <c r="H93" s="27"/>
      <c r="I93" s="27"/>
      <c r="J93" s="31" t="s">
        <v>8</v>
      </c>
      <c r="K93" s="30">
        <f>SUMIF('MASTER DATA (2)'!$A:$A,GH!I83,'MASTER DATA (2)'!$AM:$AM)+(SUMIF('MASTER DATA (2)'!$A:$A,GH!I83,'MASTER DATA (2)'!$AN:$AN))</f>
        <v>90.39</v>
      </c>
      <c r="L93" s="50"/>
      <c r="M93" s="60"/>
      <c r="N93" s="30"/>
      <c r="O93" s="28"/>
      <c r="P93" s="31" t="s">
        <v>8</v>
      </c>
      <c r="Q93" s="30">
        <f>SUMIF('MASTER DATA (2)'!$A:$A,GH!O83,'MASTER DATA (2)'!$AM:$AM)+(SUMIF('MASTER DATA (2)'!$A:$A,GH!O83,'MASTER DATA (2)'!$AN:$AN))</f>
        <v>0</v>
      </c>
      <c r="R93" s="50"/>
    </row>
    <row r="94" spans="1:18" ht="17.25">
      <c r="A94" s="47"/>
      <c r="B94" s="27"/>
      <c r="D94" s="30" t="s">
        <v>9</v>
      </c>
      <c r="E94" s="37">
        <f>SUMIF('MASTER DATA (2)'!$A:$A,GH!C83,'MASTER DATA (2)'!$AP:$AP)</f>
        <v>0</v>
      </c>
      <c r="F94" s="50"/>
      <c r="G94" s="47"/>
      <c r="H94" s="27"/>
      <c r="I94" s="27"/>
      <c r="J94" s="30" t="s">
        <v>9</v>
      </c>
      <c r="K94" s="37">
        <f>SUMIF('MASTER DATA (2)'!$A:$A,GH!I83,'MASTER DATA (2)'!$AP:$AP)</f>
        <v>0</v>
      </c>
      <c r="L94" s="50"/>
      <c r="M94" s="60"/>
      <c r="N94" s="30"/>
      <c r="O94" s="28"/>
      <c r="P94" s="30" t="s">
        <v>9</v>
      </c>
      <c r="Q94" s="37">
        <f>SUMIF('MASTER DATA (2)'!$A:$A,GH!O83,'MASTER DATA (2)'!$AP:$AP)</f>
        <v>0</v>
      </c>
      <c r="R94" s="50"/>
    </row>
    <row r="95" spans="1:18">
      <c r="A95" s="47"/>
      <c r="B95" s="27"/>
      <c r="D95" s="30" t="s">
        <v>10</v>
      </c>
      <c r="E95" s="30">
        <f>SUM(E92:E94)</f>
        <v>0</v>
      </c>
      <c r="F95" s="50"/>
      <c r="G95" s="47"/>
      <c r="H95" s="27"/>
      <c r="I95" s="27"/>
      <c r="J95" s="30" t="s">
        <v>10</v>
      </c>
      <c r="K95" s="30">
        <f>SUM(K92:K94)</f>
        <v>90.39</v>
      </c>
      <c r="L95" s="50"/>
      <c r="M95" s="60"/>
      <c r="N95" s="30"/>
      <c r="O95" s="28"/>
      <c r="P95" s="30" t="s">
        <v>10</v>
      </c>
      <c r="Q95" s="30">
        <f>SUM(Q92:Q94)</f>
        <v>0</v>
      </c>
      <c r="R95" s="50"/>
    </row>
    <row r="96" spans="1:18">
      <c r="A96" s="47"/>
      <c r="B96" s="27"/>
      <c r="D96" s="30"/>
      <c r="E96" s="30"/>
      <c r="F96" s="50"/>
      <c r="G96" s="47"/>
      <c r="H96" s="27"/>
      <c r="I96" s="27"/>
      <c r="J96" s="30"/>
      <c r="K96" s="30"/>
      <c r="L96" s="50"/>
      <c r="M96" s="60"/>
      <c r="N96" s="30"/>
      <c r="O96" s="28"/>
      <c r="P96" s="30"/>
      <c r="Q96" s="30"/>
      <c r="R96" s="50"/>
    </row>
    <row r="97" spans="1:18">
      <c r="A97" s="47"/>
      <c r="B97" s="27"/>
      <c r="D97" s="30" t="s">
        <v>12</v>
      </c>
      <c r="E97" s="30">
        <f>E86-E95</f>
        <v>10605.5</v>
      </c>
      <c r="F97" s="50"/>
      <c r="G97" s="47"/>
      <c r="H97" s="27"/>
      <c r="I97" s="27"/>
      <c r="J97" s="30" t="s">
        <v>12</v>
      </c>
      <c r="K97" s="30">
        <f>K86-K95</f>
        <v>10515.11</v>
      </c>
      <c r="L97" s="50"/>
      <c r="M97" s="60"/>
      <c r="N97" s="30"/>
      <c r="O97" s="28"/>
      <c r="P97" s="30" t="s">
        <v>12</v>
      </c>
      <c r="Q97" s="30">
        <f>Q86-Q95</f>
        <v>10605.5</v>
      </c>
      <c r="R97" s="50"/>
    </row>
    <row r="98" spans="1:18">
      <c r="A98" s="47"/>
      <c r="B98" s="27"/>
      <c r="D98" s="30" t="s">
        <v>13</v>
      </c>
      <c r="E98" s="30"/>
      <c r="F98" s="50"/>
      <c r="G98" s="47"/>
      <c r="H98" s="27"/>
      <c r="I98" s="27"/>
      <c r="J98" s="30" t="s">
        <v>13</v>
      </c>
      <c r="K98" s="30"/>
      <c r="L98" s="50"/>
      <c r="M98" s="60"/>
      <c r="N98" s="30"/>
      <c r="O98" s="28"/>
      <c r="P98" s="30" t="s">
        <v>13</v>
      </c>
      <c r="Q98" s="30"/>
      <c r="R98" s="50"/>
    </row>
    <row r="99" spans="1:18">
      <c r="A99" s="47"/>
      <c r="B99" s="27"/>
      <c r="D99" s="30" t="s">
        <v>14</v>
      </c>
      <c r="E99" s="30">
        <f>SUMIF('MASTER DATA (2)'!$A:$A,GH!C83,'MASTER DATA (2)'!$AS:$AS)</f>
        <v>0</v>
      </c>
      <c r="F99" s="50"/>
      <c r="G99" s="47"/>
      <c r="H99" s="27"/>
      <c r="I99" s="27"/>
      <c r="J99" s="30" t="s">
        <v>14</v>
      </c>
      <c r="K99" s="30">
        <f>SUMIF('MASTER DATA (2)'!$A:$A,GH!I83,'MASTER DATA (2)'!$AS:$AS)</f>
        <v>0</v>
      </c>
      <c r="L99" s="50"/>
      <c r="M99" s="60"/>
      <c r="N99" s="30"/>
      <c r="O99" s="28"/>
      <c r="P99" s="30" t="s">
        <v>14</v>
      </c>
      <c r="Q99" s="30">
        <f>SUMIF('MASTER DATA (2)'!$A:$A,GH!O83,'MASTER DATA (2)'!$AS:$AS)</f>
        <v>0</v>
      </c>
      <c r="R99" s="50"/>
    </row>
    <row r="100" spans="1:18">
      <c r="A100" s="47"/>
      <c r="B100" s="27"/>
      <c r="D100" s="69" t="s">
        <v>160</v>
      </c>
      <c r="E100" s="30">
        <f>SUMIF('MASTER DATA (2)'!$A:$A,GH!C83,'MASTER DATA (2)'!$AT:$AT)</f>
        <v>0</v>
      </c>
      <c r="F100" s="50"/>
      <c r="G100" s="47"/>
      <c r="H100" s="27"/>
      <c r="I100" s="27"/>
      <c r="J100" s="69" t="s">
        <v>160</v>
      </c>
      <c r="K100" s="30">
        <f>SUMIF('MASTER DATA (2)'!$A:$A,GH!I83,'MASTER DATA (2)'!$AT:$AT)</f>
        <v>0</v>
      </c>
      <c r="L100" s="50"/>
      <c r="M100" s="60"/>
      <c r="N100" s="30"/>
      <c r="O100" s="28"/>
      <c r="P100" s="69" t="s">
        <v>160</v>
      </c>
      <c r="Q100" s="30">
        <f>SUMIF('MASTER DATA (2)'!$A:$A,GH!O83,'MASTER DATA (2)'!$AT:$AT)</f>
        <v>0</v>
      </c>
      <c r="R100" s="50"/>
    </row>
    <row r="101" spans="1:18">
      <c r="A101" s="47"/>
      <c r="B101" s="27"/>
      <c r="D101" s="30" t="s">
        <v>15</v>
      </c>
      <c r="E101" s="30">
        <f>SUMIF('MASTER DATA'!$A:$A,GH!C83,'MASTER DATA (2)'!$AU:$AU)</f>
        <v>0</v>
      </c>
      <c r="F101" s="50"/>
      <c r="G101" s="47"/>
      <c r="H101" s="27"/>
      <c r="I101" s="27"/>
      <c r="J101" s="30" t="s">
        <v>15</v>
      </c>
      <c r="K101" s="30">
        <f>SUMIF('MASTER DATA'!$A:$A,GH!I83,'MASTER DATA (2)'!$AU:$AU)</f>
        <v>0</v>
      </c>
      <c r="L101" s="50"/>
      <c r="M101" s="60"/>
      <c r="N101" s="30"/>
      <c r="O101" s="28"/>
      <c r="P101" s="30" t="s">
        <v>15</v>
      </c>
      <c r="Q101" s="30">
        <f>SUMIF('MASTER DATA'!$A:$A,GH!O83,'MASTER DATA (2)'!$AU:$AU)</f>
        <v>0</v>
      </c>
      <c r="R101" s="50"/>
    </row>
    <row r="102" spans="1:18">
      <c r="A102" s="47"/>
      <c r="B102" s="27"/>
      <c r="D102" s="30" t="s">
        <v>19</v>
      </c>
      <c r="E102" s="30">
        <f>SUMIF('MASTER DATA'!$A:$A,GH!C83,'MASTER DATA (2)'!$AV:$AV)</f>
        <v>0</v>
      </c>
      <c r="F102" s="50"/>
      <c r="G102" s="47"/>
      <c r="H102" s="27"/>
      <c r="I102" s="27"/>
      <c r="J102" s="30" t="s">
        <v>19</v>
      </c>
      <c r="K102" s="30">
        <f>SUMIF('MASTER DATA'!$A:$A,GH!I83,'MASTER DATA (2)'!$AV:$AV)</f>
        <v>0</v>
      </c>
      <c r="L102" s="50"/>
      <c r="M102" s="60"/>
      <c r="N102" s="30"/>
      <c r="O102" s="28"/>
      <c r="P102" s="30" t="s">
        <v>19</v>
      </c>
      <c r="Q102" s="30">
        <f>SUMIF('MASTER DATA'!$A:$A,GH!O83,'MASTER DATA (2)'!$AV:$AV)</f>
        <v>0</v>
      </c>
      <c r="R102" s="50"/>
    </row>
    <row r="103" spans="1:18">
      <c r="A103" s="47"/>
      <c r="B103" s="27"/>
      <c r="D103" s="30" t="s">
        <v>20</v>
      </c>
      <c r="E103" s="30">
        <f>SUMIF('MASTER DATA'!$A:$A,GH!C83,'MASTER DATA (2)'!$AX:$AX)</f>
        <v>0</v>
      </c>
      <c r="F103" s="50"/>
      <c r="G103" s="47"/>
      <c r="H103" s="27"/>
      <c r="I103" s="27"/>
      <c r="J103" s="30" t="s">
        <v>20</v>
      </c>
      <c r="K103" s="30">
        <f>SUMIF('MASTER DATA'!$A:$A,GH!I83,'MASTER DATA (2)'!$AX:$AX)</f>
        <v>0</v>
      </c>
      <c r="L103" s="50"/>
      <c r="M103" s="60"/>
      <c r="N103" s="30"/>
      <c r="O103" s="28"/>
      <c r="P103" s="30" t="s">
        <v>20</v>
      </c>
      <c r="Q103" s="30">
        <f>SUMIF('MASTER DATA'!$A:$A,GH!O83,'MASTER DATA (2)'!$AX:$AX)</f>
        <v>0</v>
      </c>
      <c r="R103" s="50"/>
    </row>
    <row r="104" spans="1:18">
      <c r="A104" s="47"/>
      <c r="B104" s="27"/>
      <c r="D104" s="30" t="s">
        <v>23</v>
      </c>
      <c r="E104" s="30">
        <f>SUMIF('MASTER DATA'!$A:$A,GH!C84,'MASTER DATA (2)'!$AW:$AW)</f>
        <v>0</v>
      </c>
      <c r="F104" s="50"/>
      <c r="G104" s="47"/>
      <c r="H104" s="27"/>
      <c r="I104" s="27"/>
      <c r="J104" s="30" t="s">
        <v>23</v>
      </c>
      <c r="K104" s="30">
        <f>SUMIF('MASTER DATA'!$A:$A,GH!I84,'MASTER DATA (2)'!$AW:$AW)</f>
        <v>0</v>
      </c>
      <c r="L104" s="50"/>
      <c r="M104" s="60"/>
      <c r="N104" s="30"/>
      <c r="O104" s="28"/>
      <c r="P104" s="30" t="s">
        <v>23</v>
      </c>
      <c r="Q104" s="30">
        <f>SUMIF('MASTER DATA'!$A:$A,GH!O84,'MASTER DATA (2)'!$AW:$AW)</f>
        <v>0</v>
      </c>
      <c r="R104" s="50"/>
    </row>
    <row r="105" spans="1:18" ht="16.5" thickBot="1">
      <c r="A105" s="47"/>
      <c r="B105" s="27"/>
      <c r="D105" s="28" t="s">
        <v>16</v>
      </c>
      <c r="E105" s="33">
        <f>E97-SUM(E98:E104)</f>
        <v>10605.5</v>
      </c>
      <c r="F105" s="53"/>
      <c r="G105" s="47"/>
      <c r="H105" s="27"/>
      <c r="I105" s="27"/>
      <c r="J105" s="28" t="s">
        <v>16</v>
      </c>
      <c r="K105" s="33">
        <f>K97-SUM(K98:K104)</f>
        <v>10515.11</v>
      </c>
      <c r="L105" s="53"/>
      <c r="M105" s="60"/>
      <c r="N105" s="30"/>
      <c r="O105" s="28"/>
      <c r="P105" s="28" t="s">
        <v>16</v>
      </c>
      <c r="Q105" s="33">
        <f>Q97-SUM(Q98:Q104)</f>
        <v>10605.5</v>
      </c>
      <c r="R105" s="53"/>
    </row>
    <row r="106" spans="1:18" ht="16.5" thickTop="1">
      <c r="A106" s="47"/>
      <c r="B106" s="27"/>
      <c r="D106" s="30"/>
      <c r="E106" s="30"/>
      <c r="F106" s="50"/>
      <c r="G106" s="47"/>
      <c r="H106" s="27"/>
      <c r="I106" s="27"/>
      <c r="J106" s="30"/>
      <c r="K106" s="30"/>
      <c r="L106" s="50"/>
      <c r="M106" s="60"/>
      <c r="N106" s="30"/>
      <c r="O106" s="28"/>
      <c r="P106" s="30"/>
      <c r="Q106" s="30"/>
      <c r="R106" s="50"/>
    </row>
    <row r="107" spans="1:18">
      <c r="A107" s="47"/>
      <c r="B107" s="27"/>
      <c r="D107" s="88"/>
      <c r="E107" s="27"/>
      <c r="F107" s="49"/>
      <c r="G107" s="47"/>
      <c r="H107" s="27"/>
      <c r="I107" s="27"/>
      <c r="J107" s="88"/>
      <c r="K107" s="27"/>
      <c r="L107" s="49"/>
      <c r="M107" s="47"/>
      <c r="N107" s="27"/>
      <c r="O107" s="3"/>
      <c r="P107" s="88"/>
      <c r="Q107" s="27"/>
      <c r="R107" s="49"/>
    </row>
    <row r="108" spans="1:18" ht="16.5" thickBot="1">
      <c r="A108" s="54"/>
      <c r="B108" s="55"/>
      <c r="C108" s="55"/>
      <c r="D108" s="55"/>
      <c r="E108" s="55"/>
      <c r="F108" s="56"/>
      <c r="G108" s="54"/>
      <c r="H108" s="55"/>
      <c r="I108" s="55"/>
      <c r="J108" s="55"/>
      <c r="K108" s="55"/>
      <c r="L108" s="56"/>
      <c r="M108" s="54"/>
      <c r="N108" s="55"/>
      <c r="O108" s="61"/>
      <c r="P108" s="55"/>
      <c r="Q108" s="55"/>
      <c r="R108" s="56"/>
    </row>
    <row r="109" spans="1:18" ht="18">
      <c r="A109" s="41"/>
      <c r="B109" s="42"/>
      <c r="C109" s="42"/>
      <c r="D109" s="42"/>
      <c r="E109" s="42"/>
      <c r="F109" s="79" t="s">
        <v>235</v>
      </c>
      <c r="G109" s="41"/>
      <c r="H109" s="42"/>
      <c r="I109" s="42"/>
      <c r="J109" s="42"/>
      <c r="K109" s="42"/>
      <c r="L109" s="79" t="s">
        <v>235</v>
      </c>
      <c r="M109" s="41"/>
      <c r="N109" s="42"/>
      <c r="O109" s="42"/>
      <c r="P109" s="42"/>
      <c r="Q109" s="42"/>
      <c r="R109" s="79" t="s">
        <v>235</v>
      </c>
    </row>
    <row r="110" spans="1:18" ht="18">
      <c r="A110" s="44"/>
      <c r="B110" s="34"/>
      <c r="C110" s="36"/>
      <c r="D110" s="34"/>
      <c r="E110" s="34"/>
      <c r="F110" s="45"/>
      <c r="G110" s="44"/>
      <c r="H110" s="34"/>
      <c r="I110" s="36"/>
      <c r="J110" s="34"/>
      <c r="K110" s="34"/>
      <c r="L110" s="45"/>
      <c r="M110" s="44"/>
      <c r="N110" s="34"/>
      <c r="O110" s="36"/>
      <c r="P110" s="34"/>
      <c r="Q110" s="34"/>
      <c r="R110" s="45"/>
    </row>
    <row r="111" spans="1:18" ht="18">
      <c r="A111" s="44"/>
      <c r="B111" s="34"/>
      <c r="C111" s="36"/>
      <c r="D111" s="35" t="s">
        <v>0</v>
      </c>
      <c r="E111" s="36"/>
      <c r="F111" s="46"/>
      <c r="G111" s="44"/>
      <c r="H111" s="34"/>
      <c r="I111" s="36"/>
      <c r="J111" s="35" t="s">
        <v>0</v>
      </c>
      <c r="K111" s="36"/>
      <c r="L111" s="46"/>
      <c r="M111" s="44"/>
      <c r="N111" s="34"/>
      <c r="O111" s="36"/>
      <c r="P111" s="35" t="s">
        <v>0</v>
      </c>
      <c r="Q111" s="36"/>
      <c r="R111" s="46"/>
    </row>
    <row r="112" spans="1:18" ht="18">
      <c r="A112" s="44"/>
      <c r="B112" s="34"/>
      <c r="C112" s="36"/>
      <c r="D112" s="35" t="s">
        <v>1</v>
      </c>
      <c r="E112" s="36"/>
      <c r="F112" s="46"/>
      <c r="G112" s="44"/>
      <c r="H112" s="34"/>
      <c r="I112" s="36"/>
      <c r="J112" s="35" t="s">
        <v>1</v>
      </c>
      <c r="K112" s="36"/>
      <c r="L112" s="46"/>
      <c r="M112" s="44"/>
      <c r="N112" s="34"/>
      <c r="O112" s="36"/>
      <c r="P112" s="35" t="s">
        <v>1</v>
      </c>
      <c r="Q112" s="36"/>
      <c r="R112" s="46"/>
    </row>
    <row r="113" spans="1:18" ht="18">
      <c r="A113" s="44"/>
      <c r="B113" s="34"/>
      <c r="C113" s="36"/>
      <c r="D113" s="35" t="s">
        <v>162</v>
      </c>
      <c r="E113" s="36"/>
      <c r="F113" s="46"/>
      <c r="G113" s="44"/>
      <c r="H113" s="34"/>
      <c r="I113" s="36"/>
      <c r="J113" s="35" t="s">
        <v>162</v>
      </c>
      <c r="K113" s="36"/>
      <c r="L113" s="46"/>
      <c r="M113" s="44"/>
      <c r="N113" s="34"/>
      <c r="O113" s="36"/>
      <c r="P113" s="35" t="s">
        <v>162</v>
      </c>
      <c r="Q113" s="36"/>
      <c r="R113" s="46"/>
    </row>
    <row r="114" spans="1:18" ht="18">
      <c r="A114" s="44"/>
      <c r="B114" s="34"/>
      <c r="C114" s="36"/>
      <c r="D114" s="34"/>
      <c r="E114" s="34"/>
      <c r="F114" s="45"/>
      <c r="G114" s="44"/>
      <c r="H114" s="34"/>
      <c r="I114" s="36"/>
      <c r="J114" s="34"/>
      <c r="K114" s="34"/>
      <c r="L114" s="45"/>
      <c r="M114" s="44"/>
      <c r="N114" s="34"/>
      <c r="O114" s="36"/>
      <c r="P114" s="34"/>
      <c r="Q114" s="34"/>
      <c r="R114" s="45"/>
    </row>
    <row r="115" spans="1:18" ht="18">
      <c r="A115" s="44"/>
      <c r="B115" s="34"/>
      <c r="C115" s="36"/>
      <c r="D115" s="34"/>
      <c r="E115" s="34"/>
      <c r="F115" s="45"/>
      <c r="G115" s="44"/>
      <c r="H115" s="34"/>
      <c r="I115" s="36"/>
      <c r="J115" s="34"/>
      <c r="K115" s="34"/>
      <c r="L115" s="45"/>
      <c r="M115" s="44"/>
      <c r="N115" s="34"/>
      <c r="O115" s="36"/>
      <c r="P115" s="34"/>
      <c r="Q115" s="34"/>
      <c r="R115" s="45"/>
    </row>
    <row r="116" spans="1:18">
      <c r="A116" s="47"/>
      <c r="B116" s="27"/>
      <c r="C116" s="3"/>
      <c r="D116" s="3" t="s">
        <v>3</v>
      </c>
      <c r="E116" s="3"/>
      <c r="F116" s="48"/>
      <c r="G116" s="47"/>
      <c r="H116" s="27"/>
      <c r="J116" s="3" t="s">
        <v>3</v>
      </c>
      <c r="K116" s="3"/>
      <c r="L116" s="48"/>
      <c r="M116" s="47"/>
      <c r="N116" s="27"/>
      <c r="O116" s="3"/>
      <c r="P116" s="3" t="s">
        <v>3</v>
      </c>
      <c r="Q116" s="3"/>
      <c r="R116" s="48"/>
    </row>
    <row r="117" spans="1:18">
      <c r="A117" s="58"/>
      <c r="B117" s="3"/>
      <c r="C117" s="3"/>
      <c r="D117" s="27" t="str">
        <f>D81</f>
        <v>FEB 16-28, 2026</v>
      </c>
      <c r="E117" s="27"/>
      <c r="F117" s="49"/>
      <c r="G117" s="58"/>
      <c r="H117" s="3"/>
      <c r="J117" s="27" t="str">
        <f>J81</f>
        <v>FEB 16-28, 2026</v>
      </c>
      <c r="K117" s="27"/>
      <c r="L117" s="49"/>
      <c r="M117" s="58"/>
      <c r="N117" s="3"/>
      <c r="O117" s="3"/>
      <c r="P117" s="27" t="str">
        <f>P81</f>
        <v>FEB 16-28, 2026</v>
      </c>
      <c r="Q117" s="27"/>
      <c r="R117" s="49"/>
    </row>
    <row r="118" spans="1:18">
      <c r="A118" s="47"/>
      <c r="B118" s="27"/>
      <c r="C118" s="3"/>
      <c r="D118" s="3"/>
      <c r="E118" s="27"/>
      <c r="F118" s="49"/>
      <c r="G118" s="47"/>
      <c r="H118" s="27"/>
      <c r="J118" s="3"/>
      <c r="K118" s="27"/>
      <c r="L118" s="49"/>
      <c r="M118" s="47"/>
      <c r="N118" s="27"/>
      <c r="O118" s="3"/>
      <c r="P118" s="3"/>
      <c r="Q118" s="27"/>
      <c r="R118" s="49"/>
    </row>
    <row r="119" spans="1:18">
      <c r="A119" s="47"/>
      <c r="B119" s="27"/>
      <c r="C119" s="3">
        <v>10</v>
      </c>
      <c r="D119" s="3" t="str">
        <f>VLOOKUP(C119,'MASTER DATA (2)'!$A:$E,5,FALSE)</f>
        <v>JARABESE, LUIS E.</v>
      </c>
      <c r="E119" s="27"/>
      <c r="F119" s="49"/>
      <c r="G119" s="47"/>
      <c r="H119" s="27"/>
      <c r="I119" s="3">
        <v>11</v>
      </c>
      <c r="J119" s="3" t="str">
        <f>VLOOKUP(I119,'MASTER DATA (2)'!$A:$E,5,FALSE)</f>
        <v>ACENO, ALYANNA MARIE</v>
      </c>
      <c r="K119" s="27"/>
      <c r="L119" s="49"/>
      <c r="M119" s="47"/>
      <c r="N119" s="27"/>
      <c r="O119" s="3">
        <v>12</v>
      </c>
      <c r="P119" s="3" t="str">
        <f>VLOOKUP(O119,'MASTER DATA (2)'!$A:$E,5,FALSE)</f>
        <v>BERNABE CHERRY MAY E.</v>
      </c>
      <c r="Q119" s="27"/>
      <c r="R119" s="49"/>
    </row>
    <row r="120" spans="1:18">
      <c r="A120" s="47"/>
      <c r="B120" s="27"/>
      <c r="C120" s="3"/>
      <c r="D120" s="3" t="str">
        <f>VLOOKUP(C119,'MASTER DATA (2)'!$A:$F,6,FALSE)</f>
        <v>GH</v>
      </c>
      <c r="E120" s="27"/>
      <c r="F120" s="49"/>
      <c r="G120" s="47"/>
      <c r="H120" s="27"/>
      <c r="J120" s="3" t="str">
        <f>VLOOKUP(I119,'MASTER DATA (2)'!$A:$F,6,FALSE)</f>
        <v>GH</v>
      </c>
      <c r="K120" s="27"/>
      <c r="L120" s="49"/>
      <c r="M120" s="47"/>
      <c r="N120" s="27"/>
      <c r="O120" s="3"/>
      <c r="P120" s="3" t="str">
        <f>VLOOKUP(O119,'MASTER DATA (2)'!$A:$F,6,FALSE)</f>
        <v>GH</v>
      </c>
      <c r="Q120" s="27"/>
      <c r="R120" s="49"/>
    </row>
    <row r="121" spans="1:18">
      <c r="A121" s="47"/>
      <c r="B121" s="27"/>
      <c r="C121" s="3"/>
      <c r="D121" s="29" t="str">
        <f>VLOOKUP(C119,'MASTER DATA (2)'!$A:$G,7,FALSE)</f>
        <v>Administrative Asst. III</v>
      </c>
      <c r="E121" s="27"/>
      <c r="F121" s="49"/>
      <c r="G121" s="47"/>
      <c r="H121" s="27"/>
      <c r="J121" s="29" t="str">
        <f>VLOOKUP(I119,'MASTER DATA (2)'!$A:$G,7,FALSE)</f>
        <v>Dormitory Manager I</v>
      </c>
      <c r="K121" s="27"/>
      <c r="L121" s="49"/>
      <c r="M121" s="47"/>
      <c r="N121" s="27"/>
      <c r="O121" s="3"/>
      <c r="P121" s="29" t="str">
        <f>VLOOKUP(O119,'MASTER DATA (2)'!$A:$G,7,FALSE)</f>
        <v>Administrative Asst. II (Reliever)</v>
      </c>
      <c r="Q121" s="27"/>
      <c r="R121" s="49"/>
    </row>
    <row r="122" spans="1:18">
      <c r="A122" s="47"/>
      <c r="B122" s="27"/>
      <c r="C122" s="3"/>
      <c r="D122" s="27" t="s">
        <v>4</v>
      </c>
      <c r="E122" s="30">
        <f>SUMIF('MASTER DATA (2)'!$A:$A,GH!C119,'MASTER DATA (2)'!$N:$N)</f>
        <v>10605.5</v>
      </c>
      <c r="F122" s="50"/>
      <c r="G122" s="47"/>
      <c r="H122" s="27"/>
      <c r="J122" s="27" t="s">
        <v>4</v>
      </c>
      <c r="K122" s="30">
        <f>SUMIF('MASTER DATA (2)'!$A:$A,GH!I119,'MASTER DATA (2)'!$N:$N)</f>
        <v>10605.5</v>
      </c>
      <c r="L122" s="50"/>
      <c r="M122" s="47"/>
      <c r="N122" s="27"/>
      <c r="O122" s="3"/>
      <c r="P122" s="27" t="s">
        <v>4</v>
      </c>
      <c r="Q122" s="30">
        <f>SUMIF('MASTER DATA (2)'!$A:$A,GH!O119,'MASTER DATA (2)'!$N:$N)</f>
        <v>9872</v>
      </c>
      <c r="R122" s="50"/>
    </row>
    <row r="123" spans="1:18" ht="17.25">
      <c r="A123" s="59"/>
      <c r="B123" s="39"/>
      <c r="C123" s="38"/>
      <c r="D123" s="27"/>
      <c r="E123" s="37"/>
      <c r="F123" s="51"/>
      <c r="G123" s="59"/>
      <c r="H123" s="39"/>
      <c r="I123" s="38"/>
      <c r="J123" s="27"/>
      <c r="K123" s="37"/>
      <c r="L123" s="51"/>
      <c r="M123" s="59"/>
      <c r="N123" s="39"/>
      <c r="O123" s="38"/>
      <c r="P123" s="27"/>
      <c r="Q123" s="37"/>
      <c r="R123" s="51"/>
    </row>
    <row r="124" spans="1:18">
      <c r="A124" s="59"/>
      <c r="B124" s="39"/>
      <c r="C124" s="38"/>
      <c r="D124" s="27"/>
      <c r="E124" s="30"/>
      <c r="F124" s="50"/>
      <c r="G124" s="59"/>
      <c r="H124" s="39"/>
      <c r="I124" s="38"/>
      <c r="J124" s="27"/>
      <c r="K124" s="30"/>
      <c r="L124" s="50"/>
      <c r="M124" s="59"/>
      <c r="N124" s="39"/>
      <c r="O124" s="38"/>
      <c r="P124" s="27"/>
      <c r="Q124" s="30"/>
      <c r="R124" s="50"/>
    </row>
    <row r="125" spans="1:18" ht="17.25">
      <c r="A125" s="59"/>
      <c r="B125" s="39"/>
      <c r="C125" s="38"/>
      <c r="D125" s="27"/>
      <c r="E125" s="37"/>
      <c r="F125" s="51"/>
      <c r="G125" s="59"/>
      <c r="H125" s="39"/>
      <c r="I125" s="38"/>
      <c r="J125" s="27"/>
      <c r="K125" s="37"/>
      <c r="L125" s="51"/>
      <c r="M125" s="59"/>
      <c r="N125" s="39"/>
      <c r="O125" s="38"/>
      <c r="P125" s="27"/>
      <c r="Q125" s="37"/>
      <c r="R125" s="51"/>
    </row>
    <row r="126" spans="1:18">
      <c r="A126" s="47"/>
      <c r="B126" s="27"/>
      <c r="C126" s="3"/>
      <c r="D126" s="39" t="s">
        <v>5</v>
      </c>
      <c r="E126" s="40" t="s">
        <v>6</v>
      </c>
      <c r="F126" s="52"/>
      <c r="G126" s="47"/>
      <c r="H126" s="27"/>
      <c r="J126" s="39" t="s">
        <v>5</v>
      </c>
      <c r="K126" s="40" t="s">
        <v>6</v>
      </c>
      <c r="L126" s="52"/>
      <c r="M126" s="47"/>
      <c r="N126" s="27"/>
      <c r="O126" s="3"/>
      <c r="P126" s="39" t="s">
        <v>5</v>
      </c>
      <c r="Q126" s="40" t="s">
        <v>6</v>
      </c>
      <c r="R126" s="52"/>
    </row>
    <row r="127" spans="1:18">
      <c r="A127" s="60"/>
      <c r="B127" s="30"/>
      <c r="C127" s="28"/>
      <c r="D127" s="27"/>
      <c r="E127" s="27"/>
      <c r="F127" s="49"/>
      <c r="G127" s="60"/>
      <c r="H127" s="30"/>
      <c r="I127" s="28"/>
      <c r="J127" s="27"/>
      <c r="K127" s="27"/>
      <c r="L127" s="49"/>
      <c r="M127" s="60"/>
      <c r="N127" s="30"/>
      <c r="O127" s="28"/>
      <c r="P127" s="27"/>
      <c r="Q127" s="27"/>
      <c r="R127" s="49"/>
    </row>
    <row r="128" spans="1:18">
      <c r="A128" s="60"/>
      <c r="B128" s="30"/>
      <c r="C128" s="28"/>
      <c r="D128" s="30" t="s">
        <v>7</v>
      </c>
      <c r="E128" s="30">
        <f>SUMIF('MASTER DATA (2)'!$A:$A,GH!C119,'MASTER DATA (2)'!$AL:$AL)</f>
        <v>0</v>
      </c>
      <c r="F128" s="50"/>
      <c r="G128" s="60"/>
      <c r="H128" s="30"/>
      <c r="I128" s="28"/>
      <c r="J128" s="30" t="s">
        <v>7</v>
      </c>
      <c r="K128" s="30">
        <f>SUMIF('MASTER DATA (2)'!$A:$A,GH!I119,'MASTER DATA (2)'!$AL:$AL)</f>
        <v>0</v>
      </c>
      <c r="L128" s="50"/>
      <c r="M128" s="60"/>
      <c r="N128" s="30"/>
      <c r="O128" s="28"/>
      <c r="P128" s="30" t="s">
        <v>7</v>
      </c>
      <c r="Q128" s="30">
        <f>SUMIF('MASTER DATA (2)'!$A:$A,GH!O119,'MASTER DATA (2)'!$AL:$AL)</f>
        <v>0</v>
      </c>
      <c r="R128" s="50"/>
    </row>
    <row r="129" spans="1:18">
      <c r="A129" s="60"/>
      <c r="B129" s="30"/>
      <c r="C129" s="28"/>
      <c r="D129" s="31" t="s">
        <v>8</v>
      </c>
      <c r="E129" s="30">
        <f>SUMIF('MASTER DATA (2)'!$A:$A,GH!C119,'MASTER DATA (2)'!$AM:$AM)+(SUMIF('MASTER DATA (2)'!$A:$A,GH!C119,'MASTER DATA (2)'!$AN:$AN))</f>
        <v>0</v>
      </c>
      <c r="F129" s="50"/>
      <c r="G129" s="60"/>
      <c r="H129" s="30"/>
      <c r="I129" s="28"/>
      <c r="J129" s="31" t="s">
        <v>8</v>
      </c>
      <c r="K129" s="30">
        <f>SUMIF('MASTER DATA (2)'!$A:$A,GH!I119,'MASTER DATA (2)'!$AM:$AM)+(SUMIF('MASTER DATA (2)'!$A:$A,GH!I119,'MASTER DATA (2)'!$AN:$AN))</f>
        <v>0</v>
      </c>
      <c r="L129" s="50"/>
      <c r="M129" s="60"/>
      <c r="N129" s="30"/>
      <c r="O129" s="28"/>
      <c r="P129" s="31" t="s">
        <v>8</v>
      </c>
      <c r="Q129" s="30">
        <f>SUMIF('MASTER DATA (2)'!$A:$A,GH!O119,'MASTER DATA (2)'!$AM:$AM)+(SUMIF('MASTER DATA (2)'!$A:$A,GH!O119,'MASTER DATA (2)'!$AN:$AN))</f>
        <v>0</v>
      </c>
      <c r="R129" s="50"/>
    </row>
    <row r="130" spans="1:18" ht="17.25">
      <c r="A130" s="60"/>
      <c r="B130" s="30"/>
      <c r="C130" s="28"/>
      <c r="D130" s="30" t="s">
        <v>9</v>
      </c>
      <c r="E130" s="37">
        <f>SUMIF('MASTER DATA (2)'!$A:$A,GH!C119,'MASTER DATA (2)'!$AP:$AP)</f>
        <v>0</v>
      </c>
      <c r="F130" s="50"/>
      <c r="G130" s="60"/>
      <c r="H130" s="30"/>
      <c r="I130" s="28"/>
      <c r="J130" s="30" t="s">
        <v>9</v>
      </c>
      <c r="K130" s="37">
        <f>SUMIF('MASTER DATA (2)'!$A:$A,GH!I119,'MASTER DATA (2)'!$AP:$AP)</f>
        <v>0</v>
      </c>
      <c r="L130" s="50"/>
      <c r="M130" s="60"/>
      <c r="N130" s="30"/>
      <c r="O130" s="28"/>
      <c r="P130" s="30" t="s">
        <v>9</v>
      </c>
      <c r="Q130" s="37">
        <f>SUMIF('MASTER DATA (2)'!$A:$A,GH!O119,'MASTER DATA (2)'!$AP:$AP)</f>
        <v>0</v>
      </c>
      <c r="R130" s="50"/>
    </row>
    <row r="131" spans="1:18">
      <c r="A131" s="60"/>
      <c r="B131" s="30"/>
      <c r="C131" s="28"/>
      <c r="D131" s="30" t="s">
        <v>10</v>
      </c>
      <c r="E131" s="30">
        <f>SUM(E128:E130)</f>
        <v>0</v>
      </c>
      <c r="F131" s="50"/>
      <c r="G131" s="60"/>
      <c r="H131" s="30"/>
      <c r="I131" s="28"/>
      <c r="J131" s="30" t="s">
        <v>10</v>
      </c>
      <c r="K131" s="30">
        <f>SUM(K128:K130)</f>
        <v>0</v>
      </c>
      <c r="L131" s="50"/>
      <c r="M131" s="60"/>
      <c r="N131" s="30"/>
      <c r="O131" s="28"/>
      <c r="P131" s="30" t="s">
        <v>10</v>
      </c>
      <c r="Q131" s="30">
        <f>SUM(Q128:Q130)</f>
        <v>0</v>
      </c>
      <c r="R131" s="50"/>
    </row>
    <row r="132" spans="1:18">
      <c r="A132" s="60"/>
      <c r="B132" s="30"/>
      <c r="C132" s="28"/>
      <c r="D132" s="30"/>
      <c r="E132" s="30"/>
      <c r="F132" s="50"/>
      <c r="G132" s="60"/>
      <c r="H132" s="30"/>
      <c r="I132" s="28"/>
      <c r="J132" s="30"/>
      <c r="K132" s="30"/>
      <c r="L132" s="50"/>
      <c r="M132" s="60"/>
      <c r="N132" s="30"/>
      <c r="O132" s="28"/>
      <c r="P132" s="30"/>
      <c r="Q132" s="30"/>
      <c r="R132" s="50"/>
    </row>
    <row r="133" spans="1:18">
      <c r="A133" s="60"/>
      <c r="B133" s="30"/>
      <c r="C133" s="28"/>
      <c r="D133" s="30" t="s">
        <v>12</v>
      </c>
      <c r="E133" s="30">
        <f>E122-E131</f>
        <v>10605.5</v>
      </c>
      <c r="F133" s="50"/>
      <c r="G133" s="60"/>
      <c r="H133" s="30"/>
      <c r="I133" s="28"/>
      <c r="J133" s="30" t="s">
        <v>12</v>
      </c>
      <c r="K133" s="30">
        <f>K122-K131</f>
        <v>10605.5</v>
      </c>
      <c r="L133" s="50"/>
      <c r="M133" s="60"/>
      <c r="N133" s="30"/>
      <c r="O133" s="28"/>
      <c r="P133" s="30" t="s">
        <v>12</v>
      </c>
      <c r="Q133" s="30">
        <f>Q122-Q131</f>
        <v>9872</v>
      </c>
      <c r="R133" s="50"/>
    </row>
    <row r="134" spans="1:18">
      <c r="A134" s="60"/>
      <c r="B134" s="30"/>
      <c r="C134" s="28"/>
      <c r="D134" s="30" t="s">
        <v>13</v>
      </c>
      <c r="E134" s="30"/>
      <c r="F134" s="50"/>
      <c r="G134" s="60"/>
      <c r="H134" s="30"/>
      <c r="I134" s="28"/>
      <c r="J134" s="30" t="s">
        <v>13</v>
      </c>
      <c r="K134" s="30"/>
      <c r="L134" s="50"/>
      <c r="M134" s="60"/>
      <c r="N134" s="30"/>
      <c r="O134" s="28"/>
      <c r="P134" s="30" t="s">
        <v>13</v>
      </c>
      <c r="Q134" s="30"/>
      <c r="R134" s="50"/>
    </row>
    <row r="135" spans="1:18">
      <c r="A135" s="60"/>
      <c r="B135" s="30"/>
      <c r="C135" s="28"/>
      <c r="D135" s="30" t="s">
        <v>14</v>
      </c>
      <c r="E135" s="30">
        <f>SUMIF('MASTER DATA (2)'!$A:$A,GH!C119,'MASTER DATA (2)'!$AS:$AS)</f>
        <v>0</v>
      </c>
      <c r="F135" s="50"/>
      <c r="G135" s="60"/>
      <c r="H135" s="30"/>
      <c r="I135" s="28"/>
      <c r="J135" s="30" t="s">
        <v>14</v>
      </c>
      <c r="K135" s="30">
        <f>SUMIF('MASTER DATA (2)'!$A:$A,GH!I119,'MASTER DATA (2)'!$AS:$AS)</f>
        <v>0</v>
      </c>
      <c r="L135" s="50"/>
      <c r="M135" s="60"/>
      <c r="N135" s="30"/>
      <c r="O135" s="28"/>
      <c r="P135" s="30" t="s">
        <v>14</v>
      </c>
      <c r="Q135" s="30">
        <f>SUMIF('MASTER DATA (2)'!$A:$A,GH!O119,'MASTER DATA (2)'!$AS:$AS)</f>
        <v>0</v>
      </c>
      <c r="R135" s="50"/>
    </row>
    <row r="136" spans="1:18">
      <c r="A136" s="60"/>
      <c r="B136" s="30"/>
      <c r="C136" s="28"/>
      <c r="D136" s="69" t="s">
        <v>160</v>
      </c>
      <c r="E136" s="30">
        <f>SUMIF('MASTER DATA (2)'!$A:$A,GH!C119,'MASTER DATA (2)'!$AT:$AT)</f>
        <v>0</v>
      </c>
      <c r="F136" s="50"/>
      <c r="G136" s="60"/>
      <c r="H136" s="30"/>
      <c r="I136" s="28"/>
      <c r="J136" s="69" t="s">
        <v>160</v>
      </c>
      <c r="K136" s="30">
        <f>SUMIF('MASTER DATA (2)'!$A:$A,GH!I119,'MASTER DATA (2)'!$AT:$AT)</f>
        <v>0</v>
      </c>
      <c r="L136" s="50"/>
      <c r="M136" s="60"/>
      <c r="N136" s="30"/>
      <c r="O136" s="28"/>
      <c r="P136" s="69" t="s">
        <v>160</v>
      </c>
      <c r="Q136" s="30">
        <f>SUMIF('MASTER DATA (2)'!$A:$A,GH!O119,'MASTER DATA (2)'!$AT:$AT)</f>
        <v>0</v>
      </c>
      <c r="R136" s="50"/>
    </row>
    <row r="137" spans="1:18">
      <c r="A137" s="60"/>
      <c r="B137" s="30"/>
      <c r="C137" s="28"/>
      <c r="D137" s="30" t="s">
        <v>15</v>
      </c>
      <c r="E137" s="30">
        <f>SUMIF('MASTER DATA'!$A:$A,GH!C119,'MASTER DATA (2)'!$AU:$AU)</f>
        <v>0</v>
      </c>
      <c r="F137" s="50"/>
      <c r="G137" s="60"/>
      <c r="H137" s="30"/>
      <c r="I137" s="28"/>
      <c r="J137" s="30" t="s">
        <v>15</v>
      </c>
      <c r="K137" s="30">
        <f>SUMIF('MASTER DATA'!$A:$A,GH!I119,'MASTER DATA (2)'!$AU:$AU)</f>
        <v>0</v>
      </c>
      <c r="L137" s="50"/>
      <c r="M137" s="60"/>
      <c r="N137" s="30"/>
      <c r="O137" s="28"/>
      <c r="P137" s="30" t="s">
        <v>15</v>
      </c>
      <c r="Q137" s="30">
        <f>SUMIF('MASTER DATA'!$A:$A,GH!O119,'MASTER DATA (2)'!$AU:$AU)</f>
        <v>0</v>
      </c>
      <c r="R137" s="50"/>
    </row>
    <row r="138" spans="1:18">
      <c r="A138" s="60"/>
      <c r="B138" s="30"/>
      <c r="C138" s="28"/>
      <c r="D138" s="30" t="s">
        <v>19</v>
      </c>
      <c r="E138" s="30">
        <f>SUMIF('MASTER DATA'!$A:$A,GH!C119,'MASTER DATA (2)'!$AV:$AV)</f>
        <v>0</v>
      </c>
      <c r="F138" s="50"/>
      <c r="G138" s="60"/>
      <c r="H138" s="30"/>
      <c r="I138" s="28"/>
      <c r="J138" s="30" t="s">
        <v>19</v>
      </c>
      <c r="K138" s="30">
        <f>SUMIF('MASTER DATA'!$A:$A,GH!I119,'MASTER DATA (2)'!$AV:$AV)</f>
        <v>0</v>
      </c>
      <c r="L138" s="50"/>
      <c r="M138" s="60"/>
      <c r="N138" s="30"/>
      <c r="O138" s="28"/>
      <c r="P138" s="30" t="s">
        <v>19</v>
      </c>
      <c r="Q138" s="30">
        <f>SUMIF('MASTER DATA'!$A:$A,GH!O119,'MASTER DATA (2)'!$AV:$AV)</f>
        <v>0</v>
      </c>
      <c r="R138" s="50"/>
    </row>
    <row r="139" spans="1:18">
      <c r="A139" s="60"/>
      <c r="B139" s="30"/>
      <c r="C139" s="28"/>
      <c r="D139" s="30" t="s">
        <v>20</v>
      </c>
      <c r="E139" s="30">
        <f>SUMIF('MASTER DATA'!$A:$A,GH!C119,'MASTER DATA (2)'!$AX:$AX)</f>
        <v>0</v>
      </c>
      <c r="F139" s="50"/>
      <c r="G139" s="60"/>
      <c r="H139" s="30"/>
      <c r="I139" s="28"/>
      <c r="J139" s="30" t="s">
        <v>20</v>
      </c>
      <c r="K139" s="30">
        <f>SUMIF('MASTER DATA'!$A:$A,GH!I119,'MASTER DATA (2)'!$AX:$AX)</f>
        <v>0</v>
      </c>
      <c r="L139" s="50"/>
      <c r="M139" s="60"/>
      <c r="N139" s="30"/>
      <c r="O139" s="28"/>
      <c r="P139" s="30" t="s">
        <v>20</v>
      </c>
      <c r="Q139" s="30">
        <f>SUMIF('MASTER DATA'!$A:$A,GH!O119,'MASTER DATA (2)'!$AX:$AX)</f>
        <v>0</v>
      </c>
      <c r="R139" s="50"/>
    </row>
    <row r="140" spans="1:18">
      <c r="A140" s="60"/>
      <c r="B140" s="30"/>
      <c r="C140" s="28"/>
      <c r="D140" s="30" t="s">
        <v>23</v>
      </c>
      <c r="E140" s="30">
        <f>SUMIF('MASTER DATA'!$A:$A,GH!C120,'MASTER DATA (2)'!$AW:$AW)</f>
        <v>0</v>
      </c>
      <c r="F140" s="50"/>
      <c r="G140" s="60"/>
      <c r="H140" s="30"/>
      <c r="I140" s="28"/>
      <c r="J140" s="30" t="s">
        <v>23</v>
      </c>
      <c r="K140" s="30">
        <f>SUMIF('MASTER DATA'!$A:$A,GH!I120,'MASTER DATA (2)'!$AW:$AW)</f>
        <v>0</v>
      </c>
      <c r="L140" s="50"/>
      <c r="M140" s="60"/>
      <c r="N140" s="30"/>
      <c r="O140" s="28"/>
      <c r="P140" s="30" t="s">
        <v>23</v>
      </c>
      <c r="Q140" s="30">
        <f>SUMIF('MASTER DATA'!$A:$A,GH!O120,'MASTER DATA (2)'!$AW:$AW)</f>
        <v>0</v>
      </c>
      <c r="R140" s="50"/>
    </row>
    <row r="141" spans="1:18" ht="16.5" thickBot="1">
      <c r="A141" s="60"/>
      <c r="B141" s="30"/>
      <c r="C141" s="28"/>
      <c r="D141" s="28" t="s">
        <v>16</v>
      </c>
      <c r="E141" s="33">
        <f>E133-SUM(E134:E140)</f>
        <v>10605.5</v>
      </c>
      <c r="F141" s="53"/>
      <c r="G141" s="60"/>
      <c r="H141" s="30"/>
      <c r="I141" s="28"/>
      <c r="J141" s="28" t="s">
        <v>16</v>
      </c>
      <c r="K141" s="33">
        <f>K133-SUM(K134:K140)</f>
        <v>10605.5</v>
      </c>
      <c r="L141" s="53"/>
      <c r="M141" s="60"/>
      <c r="N141" s="30"/>
      <c r="O141" s="28"/>
      <c r="P141" s="28" t="s">
        <v>16</v>
      </c>
      <c r="Q141" s="33">
        <f>Q133-SUM(Q134:Q140)</f>
        <v>9872</v>
      </c>
      <c r="R141" s="53"/>
    </row>
    <row r="142" spans="1:18" ht="16.5" thickTop="1">
      <c r="A142" s="60"/>
      <c r="B142" s="30"/>
      <c r="C142" s="28"/>
      <c r="D142" s="30"/>
      <c r="E142" s="30"/>
      <c r="F142" s="50"/>
      <c r="G142" s="60"/>
      <c r="H142" s="30"/>
      <c r="I142" s="28"/>
      <c r="J142" s="30"/>
      <c r="K142" s="30"/>
      <c r="L142" s="50"/>
      <c r="M142" s="60"/>
      <c r="N142" s="30"/>
      <c r="O142" s="28"/>
      <c r="P142" s="30"/>
      <c r="Q142" s="30"/>
      <c r="R142" s="50"/>
    </row>
    <row r="143" spans="1:18">
      <c r="A143" s="47"/>
      <c r="B143" s="27"/>
      <c r="C143" s="3"/>
      <c r="D143" s="66"/>
      <c r="E143" s="27"/>
      <c r="F143" s="49"/>
      <c r="G143" s="47"/>
      <c r="H143" s="27"/>
      <c r="J143" s="66"/>
      <c r="K143" s="27"/>
      <c r="L143" s="49"/>
      <c r="M143" s="47"/>
      <c r="N143" s="27"/>
      <c r="O143" s="3"/>
      <c r="P143" s="88"/>
      <c r="Q143" s="27"/>
      <c r="R143" s="49"/>
    </row>
    <row r="144" spans="1:18" ht="16.5" thickBot="1">
      <c r="A144" s="54"/>
      <c r="B144" s="55"/>
      <c r="C144" s="61"/>
      <c r="D144" s="55"/>
      <c r="E144" s="55"/>
      <c r="F144" s="56"/>
      <c r="G144" s="54"/>
      <c r="H144" s="55"/>
      <c r="I144" s="61"/>
      <c r="J144" s="55"/>
      <c r="K144" s="55"/>
      <c r="L144" s="56"/>
      <c r="M144" s="54"/>
      <c r="N144" s="55"/>
      <c r="O144" s="61"/>
      <c r="P144" s="55"/>
      <c r="Q144" s="55"/>
      <c r="R144" s="56"/>
    </row>
  </sheetData>
  <pageMargins left="0.70866141732283472" right="0.70866141732283472" top="0.74803149606299213" bottom="0.74803149606299213" header="0.31496062992125984" footer="0.31496062992125984"/>
  <pageSetup scale="75" orientation="portrait" r:id="rId1"/>
  <rowBreaks count="3" manualBreakCount="3">
    <brk id="36" max="17" man="1"/>
    <brk id="72" max="17" man="1"/>
    <brk id="108" max="17" man="1"/>
  </rowBreaks>
  <colBreaks count="2" manualBreakCount="2">
    <brk id="6" max="143" man="1"/>
    <brk id="12" max="14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18</vt:i4>
      </vt:variant>
    </vt:vector>
  </HeadingPairs>
  <TitlesOfParts>
    <vt:vector size="38" baseType="lpstr">
      <vt:lpstr>MASTER DATA</vt:lpstr>
      <vt:lpstr>MASTER DATA (2)</vt:lpstr>
      <vt:lpstr>CDMD</vt:lpstr>
      <vt:lpstr>PPD</vt:lpstr>
      <vt:lpstr>ISD</vt:lpstr>
      <vt:lpstr>ADO</vt:lpstr>
      <vt:lpstr>BGT</vt:lpstr>
      <vt:lpstr>ACCTG</vt:lpstr>
      <vt:lpstr>Cashier</vt:lpstr>
      <vt:lpstr>HR</vt:lpstr>
      <vt:lpstr>IAU</vt:lpstr>
      <vt:lpstr>RCRD</vt:lpstr>
      <vt:lpstr>GSS</vt:lpstr>
      <vt:lpstr>INFRA</vt:lpstr>
      <vt:lpstr>COA</vt:lpstr>
      <vt:lpstr>SMS</vt:lpstr>
      <vt:lpstr>BAC</vt:lpstr>
      <vt:lpstr>DO</vt:lpstr>
      <vt:lpstr>PAD</vt:lpstr>
      <vt:lpstr>GH</vt:lpstr>
      <vt:lpstr>ACCTG!Print_Area</vt:lpstr>
      <vt:lpstr>ADO!Print_Area</vt:lpstr>
      <vt:lpstr>BAC!Print_Area</vt:lpstr>
      <vt:lpstr>BGT!Print_Area</vt:lpstr>
      <vt:lpstr>Cashier!Print_Area</vt:lpstr>
      <vt:lpstr>CDMD!Print_Area</vt:lpstr>
      <vt:lpstr>COA!Print_Area</vt:lpstr>
      <vt:lpstr>DO!Print_Area</vt:lpstr>
      <vt:lpstr>GH!Print_Area</vt:lpstr>
      <vt:lpstr>GSS!Print_Area</vt:lpstr>
      <vt:lpstr>HR!Print_Area</vt:lpstr>
      <vt:lpstr>IAU!Print_Area</vt:lpstr>
      <vt:lpstr>INFRA!Print_Area</vt:lpstr>
      <vt:lpstr>ISD!Print_Area</vt:lpstr>
      <vt:lpstr>PAD!Print_Area</vt:lpstr>
      <vt:lpstr>PPD!Print_Area</vt:lpstr>
      <vt:lpstr>RCRD!Print_Area</vt:lpstr>
      <vt:lpstr>SMS!Print_Area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HR-User</dc:creator>
  <cp:lastModifiedBy>Jonalyn Tolero</cp:lastModifiedBy>
  <cp:lastPrinted>2026-03-05T08:10:59Z</cp:lastPrinted>
  <dcterms:created xsi:type="dcterms:W3CDTF">2022-10-05T09:01:44Z</dcterms:created>
  <dcterms:modified xsi:type="dcterms:W3CDTF">2026-03-05T08:22:40Z</dcterms:modified>
</cp:coreProperties>
</file>