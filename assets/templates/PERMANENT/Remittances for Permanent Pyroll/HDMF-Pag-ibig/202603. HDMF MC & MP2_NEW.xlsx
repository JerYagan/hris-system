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PACER BACKUP\ATI 11-16-2022\REMITTANCE\HDMF\PS-MP2-MPL 2026\"/>
    </mc:Choice>
  </mc:AlternateContent>
  <xr:revisionPtr revIDLastSave="0" documentId="13_ncr:1_{11EB6DB6-165F-4D44-9B5C-85FFFD893BD9}" xr6:coauthVersionLast="47" xr6:coauthVersionMax="47" xr10:uidLastSave="{00000000-0000-0000-0000-000000000000}"/>
  <bookViews>
    <workbookView xWindow="11700" yWindow="240" windowWidth="15375" windowHeight="15360" activeTab="1" xr2:uid="{00000000-000D-0000-FFFF-FFFF00000000}"/>
  </bookViews>
  <sheets>
    <sheet name="MP1" sheetId="5" r:id="rId1"/>
    <sheet name="MP2" sheetId="6" r:id="rId2"/>
    <sheet name="CODES" sheetId="7" r:id="rId3"/>
    <sheet name="PAYOUT" sheetId="9" r:id="rId4"/>
  </sheets>
  <externalReferences>
    <externalReference r:id="rId5"/>
  </externalReferences>
  <definedNames>
    <definedName name="_xlnm._FilterDatabase" localSheetId="3" hidden="1">PAYOUT!$A$7:$BC$98</definedName>
    <definedName name="_xlnm.Print_Area" localSheetId="0">'MP1'!$B$1:$M$99</definedName>
    <definedName name="_xlnm.Print_Area" localSheetId="1">'MP2'!$B$1:$M$100</definedName>
    <definedName name="_xlnm.Print_Area" localSheetId="3">PAYOUT!$A$1:$BC$98</definedName>
    <definedName name="_xlnm.Print_Titles" localSheetId="0">'MP1'!$1:$8</definedName>
    <definedName name="_xlnm.Print_Titles" localSheetId="1">'MP2'!$1:$8</definedName>
    <definedName name="_xlnm.Print_Titles" localSheetId="3">PAYOUT!$1:$7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Y98" i="9" l="1"/>
  <c r="AX98" i="9"/>
  <c r="AW98" i="9"/>
  <c r="AV98" i="9"/>
  <c r="AU98" i="9"/>
  <c r="AT98" i="9"/>
  <c r="AS98" i="9"/>
  <c r="AR98" i="9"/>
  <c r="AQ98" i="9"/>
  <c r="AP98" i="9"/>
  <c r="AO98" i="9"/>
  <c r="AN98" i="9"/>
  <c r="AM98" i="9"/>
  <c r="AL98" i="9"/>
  <c r="AK98" i="9"/>
  <c r="AJ98" i="9"/>
  <c r="AI98" i="9"/>
  <c r="AH98" i="9"/>
  <c r="AG98" i="9"/>
  <c r="AF98" i="9"/>
  <c r="AE98" i="9"/>
  <c r="AD98" i="9"/>
  <c r="AC98" i="9"/>
  <c r="AA98" i="9"/>
  <c r="Z98" i="9"/>
  <c r="Y98" i="9"/>
  <c r="X98" i="9"/>
  <c r="W98" i="9"/>
  <c r="V98" i="9"/>
  <c r="U98" i="9"/>
  <c r="T98" i="9"/>
  <c r="S98" i="9"/>
  <c r="R98" i="9"/>
  <c r="Q98" i="9"/>
  <c r="P98" i="9"/>
  <c r="M98" i="9"/>
  <c r="L97" i="9"/>
  <c r="L96" i="9"/>
  <c r="O96" i="9" s="1"/>
  <c r="AZ96" i="9" s="1"/>
  <c r="L95" i="9"/>
  <c r="L94" i="9"/>
  <c r="O94" i="9" s="1"/>
  <c r="AZ94" i="9" s="1"/>
  <c r="L93" i="9"/>
  <c r="AB93" i="9" s="1"/>
  <c r="L92" i="9"/>
  <c r="AB92" i="9" s="1"/>
  <c r="AB91" i="9"/>
  <c r="AZ91" i="9" s="1"/>
  <c r="O91" i="9"/>
  <c r="L91" i="9"/>
  <c r="N91" i="9" s="1"/>
  <c r="AB90" i="9"/>
  <c r="O90" i="9"/>
  <c r="AZ90" i="9" s="1"/>
  <c r="N90" i="9"/>
  <c r="BA90" i="9" s="1"/>
  <c r="L90" i="9"/>
  <c r="L89" i="9"/>
  <c r="AB88" i="9"/>
  <c r="AZ88" i="9" s="1"/>
  <c r="L88" i="9"/>
  <c r="O88" i="9" s="1"/>
  <c r="L87" i="9"/>
  <c r="N87" i="9" s="1"/>
  <c r="L86" i="9"/>
  <c r="N86" i="9" s="1"/>
  <c r="L85" i="9"/>
  <c r="AB84" i="9"/>
  <c r="O84" i="9"/>
  <c r="AZ84" i="9" s="1"/>
  <c r="N84" i="9"/>
  <c r="L84" i="9"/>
  <c r="O83" i="9"/>
  <c r="AZ83" i="9" s="1"/>
  <c r="L83" i="9"/>
  <c r="N83" i="9" s="1"/>
  <c r="BA83" i="9" s="1"/>
  <c r="AB82" i="9"/>
  <c r="O82" i="9"/>
  <c r="AZ82" i="9" s="1"/>
  <c r="L82" i="9"/>
  <c r="N82" i="9" s="1"/>
  <c r="AB81" i="9"/>
  <c r="O81" i="9"/>
  <c r="AZ81" i="9" s="1"/>
  <c r="N81" i="9"/>
  <c r="BA81" i="9" s="1"/>
  <c r="BB81" i="9" s="1"/>
  <c r="BC81" i="9" s="1"/>
  <c r="L81" i="9"/>
  <c r="N80" i="9"/>
  <c r="L80" i="9"/>
  <c r="AZ79" i="9"/>
  <c r="AB79" i="9"/>
  <c r="L79" i="9"/>
  <c r="O79" i="9" s="1"/>
  <c r="AB78" i="9"/>
  <c r="L78" i="9"/>
  <c r="O78" i="9" s="1"/>
  <c r="AZ78" i="9" s="1"/>
  <c r="L77" i="9"/>
  <c r="L76" i="9"/>
  <c r="AB76" i="9" s="1"/>
  <c r="AB75" i="9"/>
  <c r="O75" i="9"/>
  <c r="AZ75" i="9" s="1"/>
  <c r="N75" i="9"/>
  <c r="BA75" i="9" s="1"/>
  <c r="L75" i="9"/>
  <c r="L74" i="9"/>
  <c r="AB74" i="9" s="1"/>
  <c r="L73" i="9"/>
  <c r="AB72" i="9"/>
  <c r="O72" i="9"/>
  <c r="AZ72" i="9" s="1"/>
  <c r="BA72" i="9" s="1"/>
  <c r="N72" i="9"/>
  <c r="L72" i="9"/>
  <c r="O71" i="9"/>
  <c r="AZ71" i="9" s="1"/>
  <c r="N71" i="9"/>
  <c r="BA71" i="9" s="1"/>
  <c r="L71" i="9"/>
  <c r="AB71" i="9" s="1"/>
  <c r="L70" i="9"/>
  <c r="L69" i="9"/>
  <c r="AB69" i="9" s="1"/>
  <c r="L68" i="9"/>
  <c r="AB67" i="9"/>
  <c r="O67" i="9"/>
  <c r="AZ67" i="9" s="1"/>
  <c r="N67" i="9"/>
  <c r="BA67" i="9" s="1"/>
  <c r="L67" i="9"/>
  <c r="AB66" i="9"/>
  <c r="O66" i="9"/>
  <c r="AZ66" i="9" s="1"/>
  <c r="L66" i="9"/>
  <c r="N66" i="9" s="1"/>
  <c r="AB65" i="9"/>
  <c r="O65" i="9"/>
  <c r="AZ65" i="9" s="1"/>
  <c r="N65" i="9"/>
  <c r="BA65" i="9" s="1"/>
  <c r="L65" i="9"/>
  <c r="L64" i="9"/>
  <c r="AB63" i="9"/>
  <c r="L63" i="9"/>
  <c r="O63" i="9" s="1"/>
  <c r="AZ63" i="9" s="1"/>
  <c r="AB62" i="9"/>
  <c r="O62" i="9"/>
  <c r="AZ62" i="9" s="1"/>
  <c r="L62" i="9"/>
  <c r="N62" i="9" s="1"/>
  <c r="BA62" i="9" s="1"/>
  <c r="BB62" i="9" s="1"/>
  <c r="L61" i="9"/>
  <c r="N60" i="9"/>
  <c r="L60" i="9"/>
  <c r="AB60" i="9" s="1"/>
  <c r="AB59" i="9"/>
  <c r="O59" i="9"/>
  <c r="AZ59" i="9" s="1"/>
  <c r="N59" i="9"/>
  <c r="BA59" i="9" s="1"/>
  <c r="BB59" i="9" s="1"/>
  <c r="L59" i="9"/>
  <c r="L58" i="9"/>
  <c r="AB58" i="9" s="1"/>
  <c r="AB57" i="9"/>
  <c r="L57" i="9"/>
  <c r="AZ56" i="9"/>
  <c r="BA56" i="9" s="1"/>
  <c r="AB56" i="9"/>
  <c r="O56" i="9"/>
  <c r="N56" i="9"/>
  <c r="L56" i="9"/>
  <c r="L55" i="9"/>
  <c r="AB55" i="9" s="1"/>
  <c r="L54" i="9"/>
  <c r="L53" i="9"/>
  <c r="AB53" i="9" s="1"/>
  <c r="L52" i="9"/>
  <c r="AB52" i="9" s="1"/>
  <c r="L51" i="9"/>
  <c r="AB50" i="9"/>
  <c r="O50" i="9"/>
  <c r="AZ50" i="9" s="1"/>
  <c r="L50" i="9"/>
  <c r="N50" i="9" s="1"/>
  <c r="AB49" i="9"/>
  <c r="O49" i="9"/>
  <c r="AZ49" i="9" s="1"/>
  <c r="N49" i="9"/>
  <c r="BA49" i="9" s="1"/>
  <c r="L49" i="9"/>
  <c r="N48" i="9"/>
  <c r="L48" i="9"/>
  <c r="AB47" i="9"/>
  <c r="L47" i="9"/>
  <c r="O47" i="9" s="1"/>
  <c r="AZ47" i="9" s="1"/>
  <c r="L46" i="9"/>
  <c r="N45" i="9"/>
  <c r="L45" i="9"/>
  <c r="AB44" i="9"/>
  <c r="O44" i="9"/>
  <c r="AZ44" i="9" s="1"/>
  <c r="L44" i="9"/>
  <c r="N44" i="9" s="1"/>
  <c r="AB43" i="9"/>
  <c r="O43" i="9"/>
  <c r="AZ43" i="9" s="1"/>
  <c r="N43" i="9"/>
  <c r="BA43" i="9" s="1"/>
  <c r="BB43" i="9" s="1"/>
  <c r="L43" i="9"/>
  <c r="L42" i="9"/>
  <c r="O42" i="9" s="1"/>
  <c r="L41" i="9"/>
  <c r="AB40" i="9"/>
  <c r="AZ40" i="9" s="1"/>
  <c r="BA40" i="9" s="1"/>
  <c r="O40" i="9"/>
  <c r="N40" i="9"/>
  <c r="L40" i="9"/>
  <c r="L39" i="9"/>
  <c r="AB39" i="9" s="1"/>
  <c r="L38" i="9"/>
  <c r="L37" i="9"/>
  <c r="O37" i="9" s="1"/>
  <c r="L36" i="9"/>
  <c r="AB36" i="9" s="1"/>
  <c r="AB35" i="9"/>
  <c r="L35" i="9"/>
  <c r="O35" i="9" s="1"/>
  <c r="AZ35" i="9" s="1"/>
  <c r="AB34" i="9"/>
  <c r="AZ34" i="9" s="1"/>
  <c r="O34" i="9"/>
  <c r="L34" i="9"/>
  <c r="N34" i="9" s="1"/>
  <c r="AB33" i="9"/>
  <c r="O33" i="9"/>
  <c r="AZ33" i="9" s="1"/>
  <c r="BA33" i="9" s="1"/>
  <c r="N33" i="9"/>
  <c r="L33" i="9"/>
  <c r="L32" i="9"/>
  <c r="AB31" i="9"/>
  <c r="L31" i="9"/>
  <c r="O31" i="9" s="1"/>
  <c r="AZ31" i="9" s="1"/>
  <c r="L30" i="9"/>
  <c r="AB30" i="9" s="1"/>
  <c r="L29" i="9"/>
  <c r="AB28" i="9"/>
  <c r="O28" i="9"/>
  <c r="AZ28" i="9" s="1"/>
  <c r="N28" i="9"/>
  <c r="BA28" i="9" s="1"/>
  <c r="L28" i="9"/>
  <c r="AB27" i="9"/>
  <c r="O27" i="9"/>
  <c r="AZ27" i="9" s="1"/>
  <c r="N27" i="9"/>
  <c r="BA27" i="9" s="1"/>
  <c r="BB27" i="9" s="1"/>
  <c r="L27" i="9"/>
  <c r="L26" i="9"/>
  <c r="N26" i="9" s="1"/>
  <c r="L25" i="9"/>
  <c r="AB24" i="9"/>
  <c r="O24" i="9"/>
  <c r="AZ24" i="9" s="1"/>
  <c r="BA24" i="9" s="1"/>
  <c r="N24" i="9"/>
  <c r="L24" i="9"/>
  <c r="O23" i="9"/>
  <c r="AZ23" i="9" s="1"/>
  <c r="L23" i="9"/>
  <c r="AB23" i="9" s="1"/>
  <c r="L22" i="9"/>
  <c r="AB21" i="9"/>
  <c r="L21" i="9"/>
  <c r="O21" i="9" s="1"/>
  <c r="AZ21" i="9" s="1"/>
  <c r="L20" i="9"/>
  <c r="AB20" i="9" s="1"/>
  <c r="L19" i="9"/>
  <c r="AB19" i="9" s="1"/>
  <c r="O18" i="9"/>
  <c r="AZ18" i="9" s="1"/>
  <c r="N18" i="9"/>
  <c r="L18" i="9"/>
  <c r="AB17" i="9"/>
  <c r="L17" i="9"/>
  <c r="O17" i="9" s="1"/>
  <c r="L16" i="9"/>
  <c r="AB15" i="9"/>
  <c r="O15" i="9"/>
  <c r="AZ15" i="9" s="1"/>
  <c r="L15" i="9"/>
  <c r="N15" i="9" s="1"/>
  <c r="L14" i="9"/>
  <c r="AB14" i="9" s="1"/>
  <c r="A14" i="9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L13" i="9"/>
  <c r="L12" i="9"/>
  <c r="A12" i="9"/>
  <c r="A13" i="9" s="1"/>
  <c r="L11" i="9"/>
  <c r="AB11" i="9" s="1"/>
  <c r="AB10" i="9"/>
  <c r="O10" i="9"/>
  <c r="AZ10" i="9" s="1"/>
  <c r="L10" i="9"/>
  <c r="N10" i="9" s="1"/>
  <c r="BA10" i="9" s="1"/>
  <c r="AB9" i="9"/>
  <c r="L9" i="9"/>
  <c r="A9" i="9"/>
  <c r="A10" i="9" s="1"/>
  <c r="A11" i="9" s="1"/>
  <c r="AB8" i="9"/>
  <c r="O8" i="9"/>
  <c r="AZ8" i="9" s="1"/>
  <c r="N8" i="9"/>
  <c r="BA8" i="9" s="1"/>
  <c r="L8" i="9"/>
  <c r="A4" i="9"/>
  <c r="BB67" i="9" l="1"/>
  <c r="BC67" i="9" s="1"/>
  <c r="BB40" i="9"/>
  <c r="BC40" i="9" s="1"/>
  <c r="BB33" i="9"/>
  <c r="BC33" i="9" s="1"/>
  <c r="BC65" i="9"/>
  <c r="BB65" i="9"/>
  <c r="BB72" i="9"/>
  <c r="BC72" i="9" s="1"/>
  <c r="BC28" i="9"/>
  <c r="BB28" i="9"/>
  <c r="BB75" i="9"/>
  <c r="BC75" i="9"/>
  <c r="AB51" i="9"/>
  <c r="O51" i="9"/>
  <c r="AZ51" i="9" s="1"/>
  <c r="N51" i="9"/>
  <c r="BA51" i="9" s="1"/>
  <c r="AB97" i="9"/>
  <c r="O97" i="9"/>
  <c r="N97" i="9"/>
  <c r="AZ17" i="9"/>
  <c r="BC90" i="9"/>
  <c r="BB90" i="9"/>
  <c r="O29" i="9"/>
  <c r="AB29" i="9"/>
  <c r="N29" i="9"/>
  <c r="BC10" i="9"/>
  <c r="BB10" i="9"/>
  <c r="O26" i="9"/>
  <c r="BA50" i="9"/>
  <c r="AB26" i="9"/>
  <c r="O55" i="9"/>
  <c r="AZ55" i="9" s="1"/>
  <c r="O14" i="9"/>
  <c r="AZ14" i="9" s="1"/>
  <c r="BC62" i="9"/>
  <c r="O87" i="9"/>
  <c r="N11" i="9"/>
  <c r="O11" i="9"/>
  <c r="AZ11" i="9" s="1"/>
  <c r="N19" i="9"/>
  <c r="BA19" i="9" s="1"/>
  <c r="O19" i="9"/>
  <c r="AZ19" i="9" s="1"/>
  <c r="BA44" i="9"/>
  <c r="AB48" i="9"/>
  <c r="O48" i="9"/>
  <c r="AZ48" i="9" s="1"/>
  <c r="BA48" i="9" s="1"/>
  <c r="AB80" i="9"/>
  <c r="O80" i="9"/>
  <c r="AZ80" i="9" s="1"/>
  <c r="BA84" i="9"/>
  <c r="N92" i="9"/>
  <c r="AB38" i="9"/>
  <c r="N38" i="9"/>
  <c r="O38" i="9"/>
  <c r="BA82" i="9"/>
  <c r="N58" i="9"/>
  <c r="BA58" i="9" s="1"/>
  <c r="N55" i="9"/>
  <c r="BA55" i="9" s="1"/>
  <c r="O41" i="9"/>
  <c r="AZ41" i="9" s="1"/>
  <c r="N41" i="9"/>
  <c r="AB41" i="9"/>
  <c r="AZ42" i="9"/>
  <c r="AB46" i="9"/>
  <c r="O46" i="9"/>
  <c r="AZ46" i="9" s="1"/>
  <c r="O58" i="9"/>
  <c r="AZ58" i="9" s="1"/>
  <c r="N14" i="9"/>
  <c r="O95" i="9"/>
  <c r="AB95" i="9"/>
  <c r="N95" i="9"/>
  <c r="AB87" i="9"/>
  <c r="BC43" i="9"/>
  <c r="BA80" i="9"/>
  <c r="AB89" i="9"/>
  <c r="O89" i="9"/>
  <c r="AZ89" i="9" s="1"/>
  <c r="O92" i="9"/>
  <c r="AZ92" i="9" s="1"/>
  <c r="BB8" i="9"/>
  <c r="BB56" i="9"/>
  <c r="BC56" i="9"/>
  <c r="AB98" i="9"/>
  <c r="BA18" i="9"/>
  <c r="N46" i="9"/>
  <c r="BB71" i="9"/>
  <c r="BC71" i="9" s="1"/>
  <c r="BA15" i="9"/>
  <c r="BC83" i="9"/>
  <c r="BB83" i="9"/>
  <c r="AB68" i="9"/>
  <c r="O68" i="9"/>
  <c r="AZ68" i="9" s="1"/>
  <c r="N68" i="9"/>
  <c r="BA68" i="9" s="1"/>
  <c r="AB77" i="9"/>
  <c r="O77" i="9"/>
  <c r="AZ77" i="9" s="1"/>
  <c r="AB12" i="9"/>
  <c r="O12" i="9"/>
  <c r="AZ12" i="9" s="1"/>
  <c r="N12" i="9"/>
  <c r="BA12" i="9" s="1"/>
  <c r="O60" i="9"/>
  <c r="AZ60" i="9" s="1"/>
  <c r="BA60" i="9" s="1"/>
  <c r="N77" i="9"/>
  <c r="N89" i="9"/>
  <c r="O16" i="9"/>
  <c r="N16" i="9"/>
  <c r="BC24" i="9"/>
  <c r="BB24" i="9"/>
  <c r="N36" i="9"/>
  <c r="AB16" i="9"/>
  <c r="O36" i="9"/>
  <c r="AZ36" i="9" s="1"/>
  <c r="N53" i="9"/>
  <c r="BA53" i="9" s="1"/>
  <c r="N9" i="9"/>
  <c r="L98" i="9"/>
  <c r="N21" i="9"/>
  <c r="BA21" i="9" s="1"/>
  <c r="AZ37" i="9"/>
  <c r="BC49" i="9"/>
  <c r="BB49" i="9"/>
  <c r="O53" i="9"/>
  <c r="AZ53" i="9" s="1"/>
  <c r="AB85" i="9"/>
  <c r="O85" i="9"/>
  <c r="AZ85" i="9" s="1"/>
  <c r="N94" i="9"/>
  <c r="BA94" i="9" s="1"/>
  <c r="O9" i="9"/>
  <c r="AB70" i="9"/>
  <c r="N70" i="9"/>
  <c r="O70" i="9"/>
  <c r="AZ70" i="9" s="1"/>
  <c r="N85" i="9"/>
  <c r="BA85" i="9" s="1"/>
  <c r="N17" i="9"/>
  <c r="AB22" i="9"/>
  <c r="O22" i="9"/>
  <c r="AZ22" i="9" s="1"/>
  <c r="N22" i="9"/>
  <c r="BA22" i="9" s="1"/>
  <c r="BA34" i="9"/>
  <c r="N39" i="9"/>
  <c r="O61" i="9"/>
  <c r="AB61" i="9"/>
  <c r="O73" i="9"/>
  <c r="N73" i="9"/>
  <c r="N78" i="9"/>
  <c r="BA78" i="9" s="1"/>
  <c r="O39" i="9"/>
  <c r="AZ39" i="9" s="1"/>
  <c r="N61" i="9"/>
  <c r="AB73" i="9"/>
  <c r="AB32" i="9"/>
  <c r="O32" i="9"/>
  <c r="N32" i="9"/>
  <c r="N37" i="9"/>
  <c r="N42" i="9"/>
  <c r="BA42" i="9" s="1"/>
  <c r="N76" i="9"/>
  <c r="BA76" i="9" s="1"/>
  <c r="N20" i="9"/>
  <c r="AB64" i="9"/>
  <c r="O64" i="9"/>
  <c r="AZ64" i="9" s="1"/>
  <c r="O76" i="9"/>
  <c r="AZ76" i="9" s="1"/>
  <c r="O20" i="9"/>
  <c r="AZ20" i="9" s="1"/>
  <c r="BC27" i="9"/>
  <c r="N30" i="9"/>
  <c r="BA30" i="9" s="1"/>
  <c r="AB37" i="9"/>
  <c r="AB42" i="9"/>
  <c r="N64" i="9"/>
  <c r="BA64" i="9" s="1"/>
  <c r="N69" i="9"/>
  <c r="N74" i="9"/>
  <c r="N96" i="9"/>
  <c r="BA96" i="9" s="1"/>
  <c r="AB54" i="9"/>
  <c r="N54" i="9"/>
  <c r="O54" i="9"/>
  <c r="AZ54" i="9" s="1"/>
  <c r="BA66" i="9"/>
  <c r="N93" i="9"/>
  <c r="O86" i="9"/>
  <c r="AB86" i="9"/>
  <c r="O93" i="9"/>
  <c r="AZ93" i="9" s="1"/>
  <c r="O25" i="9"/>
  <c r="N25" i="9"/>
  <c r="AB13" i="9"/>
  <c r="N13" i="9"/>
  <c r="O13" i="9"/>
  <c r="AZ13" i="9" s="1"/>
  <c r="AB25" i="9"/>
  <c r="O30" i="9"/>
  <c r="AZ30" i="9" s="1"/>
  <c r="N35" i="9"/>
  <c r="BA35" i="9" s="1"/>
  <c r="N52" i="9"/>
  <c r="BA52" i="9" s="1"/>
  <c r="O69" i="9"/>
  <c r="AZ69" i="9" s="1"/>
  <c r="O74" i="9"/>
  <c r="AZ74" i="9" s="1"/>
  <c r="BA91" i="9"/>
  <c r="N23" i="9"/>
  <c r="BA23" i="9" s="1"/>
  <c r="AB45" i="9"/>
  <c r="O45" i="9"/>
  <c r="AZ45" i="9" s="1"/>
  <c r="BA45" i="9" s="1"/>
  <c r="O52" i="9"/>
  <c r="AZ52" i="9" s="1"/>
  <c r="O57" i="9"/>
  <c r="AZ57" i="9" s="1"/>
  <c r="N57" i="9"/>
  <c r="BC59" i="9"/>
  <c r="N31" i="9"/>
  <c r="BA31" i="9" s="1"/>
  <c r="N47" i="9"/>
  <c r="BA47" i="9" s="1"/>
  <c r="N63" i="9"/>
  <c r="BA63" i="9" s="1"/>
  <c r="N79" i="9"/>
  <c r="BA79" i="9" s="1"/>
  <c r="N88" i="9"/>
  <c r="BA88" i="9" s="1"/>
  <c r="J95" i="6"/>
  <c r="L13" i="6"/>
  <c r="L29" i="6"/>
  <c r="L45" i="6"/>
  <c r="L65" i="6"/>
  <c r="L81" i="6"/>
  <c r="L97" i="6"/>
  <c r="J22" i="6"/>
  <c r="J38" i="6"/>
  <c r="J54" i="6"/>
  <c r="J70" i="6"/>
  <c r="J86" i="6"/>
  <c r="L14" i="6"/>
  <c r="L30" i="6"/>
  <c r="L46" i="6"/>
  <c r="L66" i="6"/>
  <c r="L82" i="6"/>
  <c r="L98" i="6"/>
  <c r="J23" i="6"/>
  <c r="J39" i="6"/>
  <c r="J55" i="6"/>
  <c r="J71" i="6"/>
  <c r="J87" i="6"/>
  <c r="L15" i="6"/>
  <c r="L31" i="6"/>
  <c r="L47" i="6"/>
  <c r="L67" i="6"/>
  <c r="L83" i="6"/>
  <c r="L99" i="6"/>
  <c r="J24" i="6"/>
  <c r="J40" i="6"/>
  <c r="J56" i="6"/>
  <c r="J72" i="6"/>
  <c r="J88" i="6"/>
  <c r="L16" i="6"/>
  <c r="L32" i="6"/>
  <c r="L48" i="6"/>
  <c r="L68" i="6"/>
  <c r="L84" i="6"/>
  <c r="J9" i="6"/>
  <c r="J25" i="6"/>
  <c r="J41" i="6"/>
  <c r="J57" i="6"/>
  <c r="J73" i="6"/>
  <c r="J89" i="6"/>
  <c r="L17" i="6"/>
  <c r="L33" i="6"/>
  <c r="L49" i="6"/>
  <c r="L69" i="6"/>
  <c r="L85" i="6"/>
  <c r="J10" i="6"/>
  <c r="J26" i="6"/>
  <c r="J42" i="6"/>
  <c r="J58" i="6"/>
  <c r="J74" i="6"/>
  <c r="J90" i="6"/>
  <c r="L18" i="6"/>
  <c r="L34" i="6"/>
  <c r="L50" i="6"/>
  <c r="L70" i="6"/>
  <c r="L86" i="6"/>
  <c r="J11" i="6"/>
  <c r="J27" i="6"/>
  <c r="J43" i="6"/>
  <c r="J59" i="6"/>
  <c r="J75" i="6"/>
  <c r="J91" i="6"/>
  <c r="L19" i="6"/>
  <c r="L35" i="6"/>
  <c r="L51" i="6"/>
  <c r="L71" i="6"/>
  <c r="L87" i="6"/>
  <c r="J12" i="6"/>
  <c r="J28" i="6"/>
  <c r="J44" i="6"/>
  <c r="J60" i="6"/>
  <c r="J76" i="6"/>
  <c r="J92" i="6"/>
  <c r="L20" i="6"/>
  <c r="L36" i="6"/>
  <c r="L52" i="6"/>
  <c r="L72" i="6"/>
  <c r="L88" i="6"/>
  <c r="J13" i="6"/>
  <c r="J29" i="6"/>
  <c r="J45" i="6"/>
  <c r="J61" i="6"/>
  <c r="J77" i="6"/>
  <c r="J93" i="6"/>
  <c r="L21" i="6"/>
  <c r="L37" i="6"/>
  <c r="L53" i="6"/>
  <c r="L73" i="6"/>
  <c r="L89" i="6"/>
  <c r="J14" i="6"/>
  <c r="J30" i="6"/>
  <c r="J46" i="6"/>
  <c r="J62" i="6"/>
  <c r="J78" i="6"/>
  <c r="J94" i="6"/>
  <c r="L22" i="6"/>
  <c r="L38" i="6"/>
  <c r="L54" i="6"/>
  <c r="L74" i="6"/>
  <c r="L90" i="6"/>
  <c r="J15" i="6"/>
  <c r="J31" i="6"/>
  <c r="J47" i="6"/>
  <c r="J79" i="6"/>
  <c r="L98" i="5"/>
  <c r="L82" i="5"/>
  <c r="L66" i="5"/>
  <c r="L50" i="5"/>
  <c r="L34" i="5"/>
  <c r="L18" i="5"/>
  <c r="J92" i="5"/>
  <c r="J76" i="5"/>
  <c r="J60" i="5"/>
  <c r="J44" i="5"/>
  <c r="J28" i="5"/>
  <c r="J12" i="5"/>
  <c r="J11" i="5"/>
  <c r="L63" i="5"/>
  <c r="J89" i="5"/>
  <c r="J73" i="5"/>
  <c r="J25" i="5"/>
  <c r="L62" i="5"/>
  <c r="L14" i="5"/>
  <c r="J56" i="5"/>
  <c r="L77" i="5"/>
  <c r="L29" i="5"/>
  <c r="J71" i="5"/>
  <c r="J98" i="5"/>
  <c r="L87" i="5"/>
  <c r="J81" i="5"/>
  <c r="L54" i="5"/>
  <c r="J48" i="5"/>
  <c r="L37" i="5"/>
  <c r="J31" i="5"/>
  <c r="L36" i="5"/>
  <c r="J46" i="5"/>
  <c r="J77" i="5"/>
  <c r="J13" i="5"/>
  <c r="L97" i="5"/>
  <c r="L81" i="5"/>
  <c r="L65" i="5"/>
  <c r="L49" i="5"/>
  <c r="L33" i="5"/>
  <c r="L17" i="5"/>
  <c r="J91" i="5"/>
  <c r="J75" i="5"/>
  <c r="J59" i="5"/>
  <c r="J43" i="5"/>
  <c r="J27" i="5"/>
  <c r="L79" i="5"/>
  <c r="L31" i="5"/>
  <c r="J41" i="5"/>
  <c r="L78" i="5"/>
  <c r="L30" i="5"/>
  <c r="J72" i="5"/>
  <c r="J40" i="5"/>
  <c r="L61" i="5"/>
  <c r="J87" i="5"/>
  <c r="J23" i="5"/>
  <c r="J34" i="5"/>
  <c r="J97" i="5"/>
  <c r="J17" i="5"/>
  <c r="J80" i="5"/>
  <c r="L85" i="5"/>
  <c r="J15" i="5"/>
  <c r="J94" i="5"/>
  <c r="J14" i="5"/>
  <c r="L35" i="5"/>
  <c r="L96" i="5"/>
  <c r="L80" i="5"/>
  <c r="L64" i="5"/>
  <c r="L48" i="5"/>
  <c r="L32" i="5"/>
  <c r="L16" i="5"/>
  <c r="J90" i="5"/>
  <c r="J74" i="5"/>
  <c r="J58" i="5"/>
  <c r="J42" i="5"/>
  <c r="J26" i="5"/>
  <c r="J10" i="5"/>
  <c r="L47" i="5"/>
  <c r="L15" i="5"/>
  <c r="J57" i="5"/>
  <c r="J9" i="5"/>
  <c r="L46" i="5"/>
  <c r="J88" i="5"/>
  <c r="J24" i="5"/>
  <c r="L45" i="5"/>
  <c r="L13" i="5"/>
  <c r="J55" i="5"/>
  <c r="J39" i="5"/>
  <c r="J20" i="5"/>
  <c r="J82" i="5"/>
  <c r="L71" i="5"/>
  <c r="J65" i="5"/>
  <c r="L70" i="5"/>
  <c r="J96" i="5"/>
  <c r="J16" i="5"/>
  <c r="L53" i="5"/>
  <c r="J79" i="5"/>
  <c r="L84" i="5"/>
  <c r="J78" i="5"/>
  <c r="L51" i="5"/>
  <c r="J93" i="5"/>
  <c r="J45" i="5"/>
  <c r="L95" i="5"/>
  <c r="L94" i="5"/>
  <c r="L93" i="5"/>
  <c r="L92" i="5"/>
  <c r="L76" i="5"/>
  <c r="L60" i="5"/>
  <c r="L44" i="5"/>
  <c r="L28" i="5"/>
  <c r="L12" i="5"/>
  <c r="J86" i="5"/>
  <c r="J70" i="5"/>
  <c r="J54" i="5"/>
  <c r="J38" i="5"/>
  <c r="J22" i="5"/>
  <c r="L75" i="5"/>
  <c r="L59" i="5"/>
  <c r="L43" i="5"/>
  <c r="L27" i="5"/>
  <c r="L11" i="5"/>
  <c r="J85" i="5"/>
  <c r="J69" i="5"/>
  <c r="J53" i="5"/>
  <c r="J37" i="5"/>
  <c r="J21" i="5"/>
  <c r="L90" i="5"/>
  <c r="L74" i="5"/>
  <c r="L58" i="5"/>
  <c r="L42" i="5"/>
  <c r="L26" i="5"/>
  <c r="L10" i="5"/>
  <c r="J84" i="5"/>
  <c r="J68" i="5"/>
  <c r="J52" i="5"/>
  <c r="J36" i="5"/>
  <c r="J66" i="5"/>
  <c r="J18" i="5"/>
  <c r="L55" i="5"/>
  <c r="L23" i="5"/>
  <c r="J49" i="5"/>
  <c r="L86" i="5"/>
  <c r="L22" i="5"/>
  <c r="J64" i="5"/>
  <c r="L69" i="5"/>
  <c r="J95" i="5"/>
  <c r="J63" i="5"/>
  <c r="L68" i="5"/>
  <c r="L20" i="5"/>
  <c r="J62" i="5"/>
  <c r="L67" i="5"/>
  <c r="J61" i="5"/>
  <c r="J29" i="5"/>
  <c r="L91" i="5"/>
  <c r="L89" i="5"/>
  <c r="L73" i="5"/>
  <c r="L57" i="5"/>
  <c r="L41" i="5"/>
  <c r="L25" i="5"/>
  <c r="L9" i="5"/>
  <c r="J83" i="5"/>
  <c r="J67" i="5"/>
  <c r="J51" i="5"/>
  <c r="J35" i="5"/>
  <c r="J19" i="5"/>
  <c r="L88" i="5"/>
  <c r="L72" i="5"/>
  <c r="L56" i="5"/>
  <c r="L40" i="5"/>
  <c r="J50" i="5"/>
  <c r="L39" i="5"/>
  <c r="J33" i="5"/>
  <c r="L38" i="5"/>
  <c r="J32" i="5"/>
  <c r="L21" i="5"/>
  <c r="J47" i="5"/>
  <c r="L52" i="5"/>
  <c r="J30" i="5"/>
  <c r="L19" i="5"/>
  <c r="L24" i="5"/>
  <c r="L83" i="5"/>
  <c r="L23" i="6"/>
  <c r="L39" i="6"/>
  <c r="L55" i="6"/>
  <c r="L75" i="6"/>
  <c r="L91" i="6"/>
  <c r="J16" i="6"/>
  <c r="J32" i="6"/>
  <c r="J48" i="6"/>
  <c r="J64" i="6"/>
  <c r="J80" i="6"/>
  <c r="J96" i="6"/>
  <c r="L24" i="6"/>
  <c r="L40" i="6"/>
  <c r="L56" i="6"/>
  <c r="L76" i="6"/>
  <c r="L92" i="6"/>
  <c r="J17" i="6"/>
  <c r="J33" i="6"/>
  <c r="J49" i="6"/>
  <c r="J65" i="6"/>
  <c r="J81" i="6"/>
  <c r="J97" i="6"/>
  <c r="L9" i="6"/>
  <c r="L25" i="6"/>
  <c r="L41" i="6"/>
  <c r="L57" i="6"/>
  <c r="L77" i="6"/>
  <c r="L93" i="6"/>
  <c r="J18" i="6"/>
  <c r="J34" i="6"/>
  <c r="J50" i="6"/>
  <c r="J66" i="6"/>
  <c r="J82" i="6"/>
  <c r="J98" i="6"/>
  <c r="L10" i="6"/>
  <c r="L26" i="6"/>
  <c r="L42" i="6"/>
  <c r="L58" i="6"/>
  <c r="L78" i="6"/>
  <c r="L94" i="6"/>
  <c r="J19" i="6"/>
  <c r="J35" i="6"/>
  <c r="J51" i="6"/>
  <c r="J67" i="6"/>
  <c r="J83" i="6"/>
  <c r="J99" i="6"/>
  <c r="L11" i="6"/>
  <c r="L27" i="6"/>
  <c r="L43" i="6"/>
  <c r="L59" i="6"/>
  <c r="L79" i="6"/>
  <c r="L95" i="6"/>
  <c r="J20" i="6"/>
  <c r="J36" i="6"/>
  <c r="J52" i="6"/>
  <c r="J68" i="6"/>
  <c r="J84" i="6"/>
  <c r="L60" i="6"/>
  <c r="L12" i="6"/>
  <c r="L28" i="6"/>
  <c r="L44" i="6"/>
  <c r="L64" i="6"/>
  <c r="L80" i="6"/>
  <c r="L96" i="6"/>
  <c r="J21" i="6"/>
  <c r="J37" i="6"/>
  <c r="J53" i="6"/>
  <c r="J69" i="6"/>
  <c r="J85" i="6"/>
  <c r="L61" i="6"/>
  <c r="BB45" i="9" l="1"/>
  <c r="BC45" i="9"/>
  <c r="BB48" i="9"/>
  <c r="BC48" i="9" s="1"/>
  <c r="BB60" i="9"/>
  <c r="BC60" i="9" s="1"/>
  <c r="BB12" i="9"/>
  <c r="BC12" i="9"/>
  <c r="BB21" i="9"/>
  <c r="BC21" i="9"/>
  <c r="BB44" i="9"/>
  <c r="BC44" i="9" s="1"/>
  <c r="BB88" i="9"/>
  <c r="BC88" i="9" s="1"/>
  <c r="BB35" i="9"/>
  <c r="BC35" i="9" s="1"/>
  <c r="BB96" i="9"/>
  <c r="BC96" i="9"/>
  <c r="AZ29" i="9"/>
  <c r="BA37" i="9"/>
  <c r="BB79" i="9"/>
  <c r="BC79" i="9"/>
  <c r="BA74" i="9"/>
  <c r="AZ32" i="9"/>
  <c r="BA32" i="9" s="1"/>
  <c r="BA17" i="9"/>
  <c r="BB53" i="9"/>
  <c r="BC53" i="9"/>
  <c r="BA41" i="9"/>
  <c r="BC76" i="9"/>
  <c r="BB76" i="9"/>
  <c r="BB68" i="9"/>
  <c r="BC68" i="9" s="1"/>
  <c r="BB31" i="9"/>
  <c r="BC31" i="9" s="1"/>
  <c r="BA13" i="9"/>
  <c r="BA70" i="9"/>
  <c r="BA36" i="9"/>
  <c r="BB80" i="9"/>
  <c r="BC80" i="9" s="1"/>
  <c r="BB58" i="9"/>
  <c r="BC58" i="9" s="1"/>
  <c r="BA11" i="9"/>
  <c r="BA97" i="9"/>
  <c r="BA61" i="9"/>
  <c r="BC82" i="9"/>
  <c r="BB82" i="9"/>
  <c r="AZ87" i="9"/>
  <c r="BA87" i="9" s="1"/>
  <c r="AZ97" i="9"/>
  <c r="BB34" i="9"/>
  <c r="BC34" i="9" s="1"/>
  <c r="BB55" i="9"/>
  <c r="BC55" i="9"/>
  <c r="BA57" i="9"/>
  <c r="BB30" i="9"/>
  <c r="BC30" i="9" s="1"/>
  <c r="O98" i="9"/>
  <c r="AZ9" i="9"/>
  <c r="AZ38" i="9"/>
  <c r="BA38" i="9" s="1"/>
  <c r="BA69" i="9"/>
  <c r="BC85" i="9"/>
  <c r="BB85" i="9"/>
  <c r="BB94" i="9"/>
  <c r="BC94" i="9" s="1"/>
  <c r="AZ16" i="9"/>
  <c r="BA16" i="9" s="1"/>
  <c r="BA95" i="9"/>
  <c r="AZ73" i="9"/>
  <c r="BA73" i="9" s="1"/>
  <c r="BC8" i="9"/>
  <c r="BA92" i="9"/>
  <c r="BA29" i="9"/>
  <c r="BB52" i="9"/>
  <c r="BC52" i="9" s="1"/>
  <c r="BB47" i="9"/>
  <c r="BC47" i="9" s="1"/>
  <c r="N98" i="9"/>
  <c r="AZ25" i="9"/>
  <c r="BA25" i="9" s="1"/>
  <c r="AZ86" i="9"/>
  <c r="BA86" i="9" s="1"/>
  <c r="BA89" i="9"/>
  <c r="BA46" i="9"/>
  <c r="AZ95" i="9"/>
  <c r="BB84" i="9"/>
  <c r="BC84" i="9"/>
  <c r="BB50" i="9"/>
  <c r="BC50" i="9" s="1"/>
  <c r="BA54" i="9"/>
  <c r="BB22" i="9"/>
  <c r="BC22" i="9" s="1"/>
  <c r="BB63" i="9"/>
  <c r="BC63" i="9" s="1"/>
  <c r="BB19" i="9"/>
  <c r="BC19" i="9" s="1"/>
  <c r="BB51" i="9"/>
  <c r="BC51" i="9" s="1"/>
  <c r="BB23" i="9"/>
  <c r="BC23" i="9"/>
  <c r="BA93" i="9"/>
  <c r="AZ61" i="9"/>
  <c r="BA77" i="9"/>
  <c r="BB18" i="9"/>
  <c r="BC18" i="9" s="1"/>
  <c r="BA14" i="9"/>
  <c r="AZ26" i="9"/>
  <c r="BA26" i="9" s="1"/>
  <c r="BB42" i="9"/>
  <c r="BC42" i="9"/>
  <c r="BB64" i="9"/>
  <c r="BC64" i="9" s="1"/>
  <c r="BB78" i="9"/>
  <c r="BC78" i="9"/>
  <c r="BB15" i="9"/>
  <c r="BC15" i="9" s="1"/>
  <c r="BB91" i="9"/>
  <c r="BC91" i="9" s="1"/>
  <c r="BB66" i="9"/>
  <c r="BC66" i="9" s="1"/>
  <c r="BA20" i="9"/>
  <c r="BA39" i="9"/>
  <c r="K99" i="5"/>
  <c r="BB73" i="9" l="1"/>
  <c r="BC73" i="9"/>
  <c r="BB32" i="9"/>
  <c r="BC32" i="9" s="1"/>
  <c r="BB38" i="9"/>
  <c r="BC38" i="9" s="1"/>
  <c r="BB25" i="9"/>
  <c r="BC25" i="9"/>
  <c r="BB16" i="9"/>
  <c r="BC16" i="9"/>
  <c r="BB20" i="9"/>
  <c r="BC20" i="9" s="1"/>
  <c r="BB61" i="9"/>
  <c r="BC61" i="9"/>
  <c r="BB97" i="9"/>
  <c r="BC97" i="9" s="1"/>
  <c r="AZ98" i="9"/>
  <c r="BB39" i="9"/>
  <c r="BC39" i="9"/>
  <c r="BB54" i="9"/>
  <c r="BC54" i="9" s="1"/>
  <c r="BB77" i="9"/>
  <c r="BC77" i="9" s="1"/>
  <c r="BB69" i="9"/>
  <c r="BC69" i="9"/>
  <c r="BB41" i="9"/>
  <c r="BC41" i="9" s="1"/>
  <c r="BB11" i="9"/>
  <c r="BC11" i="9" s="1"/>
  <c r="BB26" i="9"/>
  <c r="BC26" i="9" s="1"/>
  <c r="BC17" i="9"/>
  <c r="BB17" i="9"/>
  <c r="BB14" i="9"/>
  <c r="BC14" i="9"/>
  <c r="BB29" i="9"/>
  <c r="BC29" i="9" s="1"/>
  <c r="BB74" i="9"/>
  <c r="BC74" i="9" s="1"/>
  <c r="BB92" i="9"/>
  <c r="BC92" i="9" s="1"/>
  <c r="BB57" i="9"/>
  <c r="BC57" i="9"/>
  <c r="BB36" i="9"/>
  <c r="BC36" i="9" s="1"/>
  <c r="BB70" i="9"/>
  <c r="BC70" i="9" s="1"/>
  <c r="BB37" i="9"/>
  <c r="BC37" i="9" s="1"/>
  <c r="BB93" i="9"/>
  <c r="BC93" i="9" s="1"/>
  <c r="BB95" i="9"/>
  <c r="BC95" i="9" s="1"/>
  <c r="BB13" i="9"/>
  <c r="BC13" i="9"/>
  <c r="BB46" i="9"/>
  <c r="BC46" i="9" s="1"/>
  <c r="BA9" i="9"/>
  <c r="BB89" i="9"/>
  <c r="BC89" i="9" s="1"/>
  <c r="BB86" i="9"/>
  <c r="BC86" i="9"/>
  <c r="BC87" i="9"/>
  <c r="BB87" i="9"/>
  <c r="L100" i="6"/>
  <c r="BB9" i="9" l="1"/>
  <c r="BB98" i="9" s="1"/>
  <c r="BA98" i="9"/>
  <c r="L99" i="5"/>
  <c r="C6" i="5" s="1"/>
  <c r="C6" i="6"/>
  <c r="BC9" i="9" l="1"/>
  <c r="BC98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Ingres</author>
  </authors>
  <commentList>
    <comment ref="C1" authorId="0" shapeId="0" xr:uid="{0DB45F18-D195-47DD-A62B-7888C6C73237}">
      <text>
        <r>
          <rPr>
            <b/>
            <sz val="9"/>
            <color indexed="81"/>
            <rFont val="Tahoma"/>
            <family val="2"/>
          </rPr>
          <t>Employer ID</t>
        </r>
      </text>
    </comment>
    <comment ref="C2" authorId="0" shapeId="0" xr:uid="{E4CAB9BE-393E-4AFC-BA21-33E020477482}">
      <text>
        <r>
          <rPr>
            <b/>
            <sz val="9"/>
            <color indexed="81"/>
            <rFont val="Tahoma"/>
            <family val="2"/>
          </rPr>
          <t>Employer Name</t>
        </r>
      </text>
    </comment>
    <comment ref="C3" authorId="0" shapeId="0" xr:uid="{55254773-CE6A-42D1-B61A-E0AF44D78157}">
      <text>
        <r>
          <rPr>
            <b/>
            <sz val="9"/>
            <color indexed="81"/>
            <rFont val="Tahoma"/>
            <family val="2"/>
          </rPr>
          <t>Employer Address</t>
        </r>
      </text>
    </comment>
    <comment ref="B7" authorId="0" shapeId="0" xr:uid="{DFBDE472-845E-4BD3-8E76-D505C076BA61}">
      <text>
        <r>
          <rPr>
            <b/>
            <sz val="9"/>
            <color indexed="81"/>
            <rFont val="Tahoma"/>
            <family val="2"/>
          </rPr>
          <t>Pag-IBIG MID No.</t>
        </r>
      </text>
    </comment>
    <comment ref="E7" authorId="0" shapeId="0" xr:uid="{E49A7AEC-EC84-4FEA-8A97-DEF3A9B56301}">
      <text>
        <r>
          <rPr>
            <b/>
            <sz val="9"/>
            <color indexed="81"/>
            <rFont val="Tahoma"/>
            <family val="2"/>
          </rPr>
          <t>Employee's Lastname</t>
        </r>
      </text>
    </comment>
    <comment ref="F7" authorId="0" shapeId="0" xr:uid="{14C366F1-218E-43B2-9715-72717993114B}">
      <text>
        <r>
          <rPr>
            <b/>
            <sz val="9"/>
            <color indexed="81"/>
            <rFont val="Tahoma"/>
            <family val="2"/>
          </rPr>
          <t>Employees firstname</t>
        </r>
      </text>
    </comment>
    <comment ref="G7" authorId="0" shapeId="0" xr:uid="{A03BE867-9C8E-40D7-8CF7-8246E61CFB04}">
      <text>
        <r>
          <rPr>
            <b/>
            <sz val="9"/>
            <color indexed="81"/>
            <rFont val="Tahoma"/>
            <family val="2"/>
          </rPr>
          <t>Name Estension
example :
    JR
    SR
    II
    III</t>
        </r>
      </text>
    </comment>
    <comment ref="H7" authorId="0" shapeId="0" xr:uid="{E05FA310-9586-4F64-84DC-693B460A7BF1}">
      <text>
        <r>
          <rPr>
            <b/>
            <sz val="9"/>
            <color indexed="81"/>
            <rFont val="Tahoma"/>
            <family val="2"/>
          </rPr>
          <t>Employees Middle Name</t>
        </r>
      </text>
    </comment>
    <comment ref="I7" authorId="0" shapeId="0" xr:uid="{26BF4AF0-FD53-44E2-A2C0-3AEF57F81A4C}">
      <text>
        <r>
          <rPr>
            <b/>
            <sz val="9"/>
            <color indexed="81"/>
            <rFont val="Tahoma"/>
            <family val="2"/>
          </rPr>
          <t>Period Covered</t>
        </r>
      </text>
    </comment>
    <comment ref="M7" authorId="0" shapeId="0" xr:uid="{05A3EC93-F7D9-4BA2-A394-859C4F08FB60}">
      <text>
        <r>
          <rPr>
            <b/>
            <sz val="9"/>
            <color indexed="81"/>
            <rFont val="Tahoma"/>
            <family val="2"/>
          </rPr>
          <t>D - Deceased
L - Leave without Pay/AWOL
N - Newly Hired
RS - Resigned/Separated
RT-Retired</t>
        </r>
      </text>
    </comment>
    <comment ref="B8" authorId="0" shapeId="0" xr:uid="{9577ACE3-101A-4B01-A9F4-C27F48592153}">
      <text>
        <r>
          <rPr>
            <b/>
            <sz val="9"/>
            <color indexed="81"/>
            <rFont val="Tahoma"/>
            <family val="2"/>
          </rPr>
          <t>Pag-IBIG MID No.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Ingres</author>
  </authors>
  <commentList>
    <comment ref="C1" authorId="0" shapeId="0" xr:uid="{5BBD14AB-298E-48DD-86E9-71A86FCE9C93}">
      <text>
        <r>
          <rPr>
            <b/>
            <sz val="9"/>
            <color indexed="81"/>
            <rFont val="Tahoma"/>
            <family val="2"/>
          </rPr>
          <t>Employer ID</t>
        </r>
      </text>
    </comment>
    <comment ref="C2" authorId="0" shapeId="0" xr:uid="{D1BC3583-A482-4BBF-80CE-DDA3B29D8895}">
      <text>
        <r>
          <rPr>
            <b/>
            <sz val="9"/>
            <color indexed="81"/>
            <rFont val="Tahoma"/>
            <family val="2"/>
          </rPr>
          <t>Employer Name</t>
        </r>
      </text>
    </comment>
    <comment ref="C3" authorId="0" shapeId="0" xr:uid="{A14FC180-3BBE-471D-BF75-7139EF6927B6}">
      <text>
        <r>
          <rPr>
            <b/>
            <sz val="9"/>
            <color indexed="81"/>
            <rFont val="Tahoma"/>
            <family val="2"/>
          </rPr>
          <t>Employer Address</t>
        </r>
      </text>
    </comment>
    <comment ref="B7" authorId="0" shapeId="0" xr:uid="{F5BD4B02-2DDF-417F-8203-FF6A435EA6DD}">
      <text>
        <r>
          <rPr>
            <b/>
            <sz val="9"/>
            <color indexed="81"/>
            <rFont val="Tahoma"/>
            <family val="2"/>
          </rPr>
          <t>Pag-IBIG MID No.</t>
        </r>
      </text>
    </comment>
    <comment ref="E7" authorId="0" shapeId="0" xr:uid="{91CB0C78-5883-498F-BAB1-22D4FD1E3722}">
      <text>
        <r>
          <rPr>
            <b/>
            <sz val="9"/>
            <color indexed="81"/>
            <rFont val="Tahoma"/>
            <family val="2"/>
          </rPr>
          <t>Employee's Lastname</t>
        </r>
      </text>
    </comment>
    <comment ref="F7" authorId="0" shapeId="0" xr:uid="{3F3E0E89-55A0-40E6-959E-CF5787EC612A}">
      <text>
        <r>
          <rPr>
            <b/>
            <sz val="9"/>
            <color indexed="81"/>
            <rFont val="Tahoma"/>
            <family val="2"/>
          </rPr>
          <t>Employees firstname</t>
        </r>
      </text>
    </comment>
    <comment ref="G7" authorId="0" shapeId="0" xr:uid="{C0F05EB6-BBD3-4BCF-B743-C3EAFE03A569}">
      <text>
        <r>
          <rPr>
            <b/>
            <sz val="9"/>
            <color indexed="81"/>
            <rFont val="Tahoma"/>
            <family val="2"/>
          </rPr>
          <t>Name Estension
example :
    JR
    SR
    II
    III</t>
        </r>
      </text>
    </comment>
    <comment ref="H7" authorId="0" shapeId="0" xr:uid="{ED800E7B-9DFD-45F2-BFEB-72D5711F89A0}">
      <text>
        <r>
          <rPr>
            <b/>
            <sz val="9"/>
            <color indexed="81"/>
            <rFont val="Tahoma"/>
            <family val="2"/>
          </rPr>
          <t>Employees Middle Name</t>
        </r>
      </text>
    </comment>
    <comment ref="I7" authorId="0" shapeId="0" xr:uid="{30570010-AA05-4142-97AF-DFAEE1227D63}">
      <text>
        <r>
          <rPr>
            <b/>
            <sz val="9"/>
            <color indexed="81"/>
            <rFont val="Tahoma"/>
            <family val="2"/>
          </rPr>
          <t>Period Covered</t>
        </r>
      </text>
    </comment>
    <comment ref="M7" authorId="0" shapeId="0" xr:uid="{D7CC4957-3953-4A48-9AB2-193F3DA990B2}">
      <text>
        <r>
          <rPr>
            <b/>
            <sz val="9"/>
            <color indexed="81"/>
            <rFont val="Tahoma"/>
            <family val="2"/>
          </rPr>
          <t>D - Deceased
L - Leave without Pay/AWOL
N - Newly Hired
RS - Resigned/Separated
RT-Retired</t>
        </r>
      </text>
    </comment>
    <comment ref="B8" authorId="0" shapeId="0" xr:uid="{41F90446-2717-49CA-8541-11E33172C4BC}">
      <text>
        <r>
          <rPr>
            <b/>
            <sz val="9"/>
            <color indexed="81"/>
            <rFont val="Tahoma"/>
            <family val="2"/>
          </rPr>
          <t>Pag-IBIG MID No.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User-PC</author>
    <author>HR-User</author>
    <author>Jonalyn Tolero</author>
  </authors>
  <commentList>
    <comment ref="AC10" authorId="0" shapeId="0" xr:uid="{78FE1011-53ED-4CF5-A9CC-7010236D5B44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Sept 15, 2026</t>
        </r>
      </text>
    </comment>
    <comment ref="AJ14" authorId="0" shapeId="0" xr:uid="{9CB6C86A-3DA2-4628-9999-56A841D84654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 2026</t>
        </r>
      </text>
    </comment>
    <comment ref="AF18" authorId="0" shapeId="0" xr:uid="{1E8240AE-587D-4EEB-9B37-54F94AE01FFD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Oct 2026</t>
        </r>
      </text>
    </comment>
    <comment ref="AC19" authorId="1" shapeId="0" xr:uid="{5D1E5A0D-6B97-468D-98D9-A5E152DD5D60}">
      <text>
        <r>
          <rPr>
            <b/>
            <sz val="9"/>
            <color indexed="81"/>
            <rFont val="Tahoma"/>
            <family val="2"/>
          </rPr>
          <t>HR-User:</t>
        </r>
        <r>
          <rPr>
            <sz val="9"/>
            <color indexed="81"/>
            <rFont val="Tahoma"/>
            <family val="2"/>
          </rPr>
          <t xml:space="preserve">
Until 01/15/2027</t>
        </r>
      </text>
    </comment>
    <comment ref="AF21" authorId="0" shapeId="0" xr:uid="{84779A8A-1A99-4A6E-9460-65ECA7775315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Oct 2026
</t>
        </r>
      </text>
    </comment>
    <comment ref="AC23" authorId="2" shapeId="0" xr:uid="{D5962AD9-185B-4848-8A62-9B8C6EB7BB9C}">
      <text>
        <r>
          <rPr>
            <sz val="9"/>
            <color indexed="81"/>
            <rFont val="Tahoma"/>
            <family val="2"/>
          </rPr>
          <t>Nov 15, 2027</t>
        </r>
      </text>
    </comment>
    <comment ref="AC24" authorId="0" shapeId="0" xr:uid="{09B54DA7-D299-44BD-BCB6-B73DB89E3414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May 15, 2028</t>
        </r>
      </text>
    </comment>
    <comment ref="AF29" authorId="0" shapeId="0" xr:uid="{60734E61-53C1-47CE-970D-AF1357F245D3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</t>
        </r>
      </text>
    </comment>
    <comment ref="AC30" authorId="1" shapeId="0" xr:uid="{80C076C5-0CEE-47A6-ADE7-D813207E4128}">
      <text>
        <r>
          <rPr>
            <b/>
            <sz val="9"/>
            <color indexed="81"/>
            <rFont val="Tahoma"/>
            <family val="2"/>
          </rPr>
          <t>HR-User:</t>
        </r>
        <r>
          <rPr>
            <sz val="9"/>
            <color indexed="81"/>
            <rFont val="Tahoma"/>
            <family val="2"/>
          </rPr>
          <t xml:space="preserve">
Until 06/15/2028</t>
        </r>
      </text>
    </comment>
    <comment ref="AC31" authorId="0" shapeId="0" xr:uid="{2A3BE86F-4F0B-4E48-8020-A20E1ADB01F1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Until 03/15/2026</t>
        </r>
      </text>
    </comment>
    <comment ref="AC36" authorId="0" shapeId="0" xr:uid="{327D08EB-6212-4A2C-B266-8395B4BC7F5A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12/15/2027
</t>
        </r>
      </text>
    </comment>
    <comment ref="AC38" authorId="1" shapeId="0" xr:uid="{1DC99E45-8CF7-4E87-8F19-48C3CB106B6B}">
      <text>
        <r>
          <rPr>
            <b/>
            <sz val="9"/>
            <color indexed="81"/>
            <rFont val="Tahoma"/>
            <family val="2"/>
          </rPr>
          <t>HR-User:</t>
        </r>
        <r>
          <rPr>
            <sz val="9"/>
            <color indexed="81"/>
            <rFont val="Tahoma"/>
            <family val="2"/>
          </rPr>
          <t xml:space="preserve">
06/15/2027</t>
        </r>
      </text>
    </comment>
    <comment ref="L41" authorId="0" shapeId="0" xr:uid="{E968E7CF-965A-4AB2-92B7-C0D04C132F3A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4" authorId="0" shapeId="0" xr:uid="{FC70F32B-DD27-43D6-840B-56397830D7AD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05/15/2028</t>
        </r>
      </text>
    </comment>
    <comment ref="AC47" authorId="2" shapeId="0" xr:uid="{46FCE98E-BC24-4074-A64D-CADAA313B9EF}">
      <text>
        <r>
          <rPr>
            <b/>
            <sz val="9"/>
            <color indexed="81"/>
            <rFont val="Tahoma"/>
            <family val="2"/>
          </rPr>
          <t>Nov 15, 2027</t>
        </r>
      </text>
    </comment>
    <comment ref="AS47" authorId="0" shapeId="0" xr:uid="{6FCB5E70-F2D6-4FE2-8A26-BA686F73ADD2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Removed 1/22/25 as instructed by the employee</t>
        </r>
      </text>
    </comment>
    <comment ref="AJ48" authorId="0" shapeId="0" xr:uid="{7068938D-EFFB-4280-A251-CCBEEDAED205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Jul 2026</t>
        </r>
      </text>
    </comment>
    <comment ref="AF49" authorId="0" shapeId="0" xr:uid="{9428EA58-F3B2-4DD2-9A84-C6884FD0CCE1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2026 - 600</t>
        </r>
      </text>
    </comment>
    <comment ref="AT49" authorId="0" shapeId="0" xr:uid="{1B081E97-A3AC-46DE-B85D-1408F59017DA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No deduction until Jun 2026
1/8/2026</t>
        </r>
      </text>
    </comment>
    <comment ref="AJ50" authorId="0" shapeId="0" xr:uid="{BCFDF65D-25BF-44E4-A8D7-078FFB981756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 2026</t>
        </r>
      </text>
    </comment>
    <comment ref="L58" authorId="0" shapeId="0" xr:uid="{1E153BCD-1797-4CDC-A196-D96CF420A524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60" authorId="0" shapeId="0" xr:uid="{729C34A9-5E47-4962-945C-8F121BFD6B21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</t>
        </r>
      </text>
    </comment>
    <comment ref="AF64" authorId="0" shapeId="0" xr:uid="{E3D286C3-3C17-44BB-93AC-AB8DB2C702FD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Oct 2026
</t>
        </r>
      </text>
    </comment>
    <comment ref="AW68" authorId="0" shapeId="0" xr:uid="{F528EE61-26A4-4088-AEDF-166DB045095B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Fr. Ms. Wilma
</t>
        </r>
      </text>
    </comment>
    <comment ref="AC69" authorId="0" shapeId="0" xr:uid="{B00EC0AD-C92F-422A-BD39-4E6BB3249BD9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1/15/2029</t>
        </r>
      </text>
    </comment>
    <comment ref="AF69" authorId="0" shapeId="0" xr:uid="{9A812908-B025-4F03-9253-BF09CC85B8AA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</t>
        </r>
      </text>
    </comment>
    <comment ref="AC72" authorId="0" shapeId="0" xr:uid="{4D592BC0-9964-408D-B92F-56486C8D3DF8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Until 03/15/2026</t>
        </r>
      </text>
    </comment>
    <comment ref="AF72" authorId="0" shapeId="0" xr:uid="{A54AB1EF-9D02-4BC7-9980-2D63B372B8E7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</t>
        </r>
      </text>
    </comment>
    <comment ref="AJ74" authorId="0" shapeId="0" xr:uid="{8A6AC39B-87F6-410F-A498-2CBF13A5A2C3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 2026</t>
        </r>
      </text>
    </comment>
    <comment ref="AF75" authorId="0" shapeId="0" xr:uid="{F5F84742-32E0-4A2B-B01A-5D47267DB201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Oct 2026</t>
        </r>
      </text>
    </comment>
    <comment ref="AC76" authorId="0" shapeId="0" xr:uid="{98C10B09-FE21-4E9D-9603-F4029AD13400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03/15/2028</t>
        </r>
      </text>
    </comment>
    <comment ref="AJ79" authorId="0" shapeId="0" xr:uid="{2110F98A-053A-4BBE-BFF2-6406B9C10D87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Aug 2026</t>
        </r>
      </text>
    </comment>
    <comment ref="AC80" authorId="1" shapeId="0" xr:uid="{7710DBEA-D952-4895-8978-8611C5BF1CD4}">
      <text>
        <r>
          <rPr>
            <b/>
            <sz val="9"/>
            <color indexed="81"/>
            <rFont val="Tahoma"/>
            <family val="2"/>
          </rPr>
          <t>HR-User:</t>
        </r>
        <r>
          <rPr>
            <sz val="9"/>
            <color indexed="81"/>
            <rFont val="Tahoma"/>
            <family val="2"/>
          </rPr>
          <t xml:space="preserve">
Until 4/15/2026</t>
        </r>
      </text>
    </comment>
    <comment ref="AF80" authorId="0" shapeId="0" xr:uid="{193B100A-8876-4BDF-94E9-9599C8DFF319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</t>
        </r>
      </text>
    </comment>
    <comment ref="AF83" authorId="0" shapeId="0" xr:uid="{54E34A6B-18B3-4FE5-983A-772E657302FA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</t>
        </r>
      </text>
    </comment>
    <comment ref="AC86" authorId="0" shapeId="0" xr:uid="{6BEDBF4B-C5B2-41B3-9C4F-FC8711DF71D8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9/15/2028</t>
        </r>
      </text>
    </comment>
    <comment ref="AJ88" authorId="0" shapeId="0" xr:uid="{3CE8A21C-5BB2-4881-ADD1-3C9F4279A1A4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 2026</t>
        </r>
      </text>
    </comment>
    <comment ref="AC91" authorId="0" shapeId="0" xr:uid="{B2B8330A-B941-44C5-B852-EDE818B620BA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Until 8/15/2028
</t>
        </r>
      </text>
    </comment>
    <comment ref="AC94" authorId="1" shapeId="0" xr:uid="{1271648D-B4F5-4257-9BD1-B3C161DA4CBF}">
      <text>
        <r>
          <rPr>
            <b/>
            <sz val="9"/>
            <color indexed="81"/>
            <rFont val="Tahoma"/>
            <family val="2"/>
          </rPr>
          <t>HR-User:</t>
        </r>
        <r>
          <rPr>
            <sz val="9"/>
            <color indexed="81"/>
            <rFont val="Tahoma"/>
            <family val="2"/>
          </rPr>
          <t xml:space="preserve">
Until 12/15/2027</t>
        </r>
      </text>
    </comment>
    <comment ref="AF94" authorId="0" shapeId="0" xr:uid="{AE000A26-0674-40F4-AA06-CD24FB75681A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February 2026</t>
        </r>
      </text>
    </comment>
    <comment ref="AC96" authorId="1" shapeId="0" xr:uid="{D2675D59-A85E-4C58-BB80-5DD65A3A3751}">
      <text>
        <r>
          <rPr>
            <b/>
            <sz val="9"/>
            <color indexed="81"/>
            <rFont val="Tahoma"/>
            <family val="2"/>
          </rPr>
          <t>HR-User:</t>
        </r>
        <r>
          <rPr>
            <sz val="9"/>
            <color indexed="81"/>
            <rFont val="Tahoma"/>
            <family val="2"/>
          </rPr>
          <t xml:space="preserve">
05/15/2027</t>
        </r>
      </text>
    </comment>
    <comment ref="AF96" authorId="0" shapeId="0" xr:uid="{12C3EA80-3B96-40F9-B1DE-9FB92799518F}">
      <text>
        <r>
          <rPr>
            <b/>
            <sz val="9"/>
            <color indexed="81"/>
            <rFont val="Tahoma"/>
            <family val="2"/>
          </rPr>
          <t>User-PC:</t>
        </r>
        <r>
          <rPr>
            <sz val="9"/>
            <color indexed="81"/>
            <rFont val="Tahoma"/>
            <family val="2"/>
          </rPr>
          <t xml:space="preserve">
Oct 2026</t>
        </r>
      </text>
    </comment>
  </commentList>
</comments>
</file>

<file path=xl/sharedStrings.xml><?xml version="1.0" encoding="utf-8"?>
<sst xmlns="http://schemas.openxmlformats.org/spreadsheetml/2006/main" count="3777" uniqueCount="833">
  <si>
    <t>LAST NAME</t>
  </si>
  <si>
    <t>FIRST NAME</t>
  </si>
  <si>
    <t>NAME EXTENSION</t>
  </si>
  <si>
    <t>MIDDLE NAME</t>
  </si>
  <si>
    <t>EE SHARE</t>
  </si>
  <si>
    <t>ER SHARE</t>
  </si>
  <si>
    <t>PERCOV</t>
  </si>
  <si>
    <t>REMARKS</t>
  </si>
  <si>
    <t>MEMBERSHIP PROGRAM</t>
  </si>
  <si>
    <t>MP2 ACCOUNT NO.</t>
  </si>
  <si>
    <t/>
  </si>
  <si>
    <t>MONTHLY COMPENSATION</t>
  </si>
  <si>
    <t>Employer ID No.</t>
  </si>
  <si>
    <t>Employer/Business Name</t>
  </si>
  <si>
    <t>Employer/Business Address</t>
  </si>
  <si>
    <t>Email Address</t>
  </si>
  <si>
    <t>Contact Number</t>
  </si>
  <si>
    <t>Total Remittance</t>
  </si>
  <si>
    <t>Pag-IBIG IDENTIFICATION NO.</t>
  </si>
  <si>
    <t>For PAG-IBIG I only</t>
  </si>
  <si>
    <t>MID NO.</t>
  </si>
  <si>
    <t>For Pag-IBIG I Savings</t>
  </si>
  <si>
    <t>For MP2 Savings</t>
  </si>
  <si>
    <t>Deceased</t>
  </si>
  <si>
    <t>D</t>
  </si>
  <si>
    <t>Leave Without Pay/AWOL</t>
  </si>
  <si>
    <t>L</t>
  </si>
  <si>
    <t>Newly Hired</t>
  </si>
  <si>
    <t>N</t>
  </si>
  <si>
    <t>Resigned/Separated from the Company</t>
  </si>
  <si>
    <t>RS</t>
  </si>
  <si>
    <t>Retired</t>
  </si>
  <si>
    <t>RT</t>
  </si>
  <si>
    <t>F1-Pag-IBIG 1</t>
  </si>
  <si>
    <t>M2-Modified Pag-IBIG 2</t>
  </si>
  <si>
    <t>121162265294</t>
  </si>
  <si>
    <t>121220013630</t>
  </si>
  <si>
    <t>INTERNO</t>
  </si>
  <si>
    <t>JUSTIN PAOLO</t>
  </si>
  <si>
    <t>DAYAPAN</t>
  </si>
  <si>
    <t>PARDO</t>
  </si>
  <si>
    <t xml:space="preserve">KHEVIN </t>
  </si>
  <si>
    <t>AZULA</t>
  </si>
  <si>
    <t>hrmo.co@ati.da.gov.ph</t>
  </si>
  <si>
    <t>929-85(234)/09989741223</t>
  </si>
  <si>
    <t>ATI Bldg. Elliptical Rd. Diliman, Quezon City</t>
  </si>
  <si>
    <t>AGRICULTURAL TRAINING INSTITUTE</t>
  </si>
  <si>
    <t>2027-4107-0002</t>
  </si>
  <si>
    <t>121009482096</t>
  </si>
  <si>
    <t>GALORIO</t>
  </si>
  <si>
    <t>GALVEZ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</si>
  <si>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</si>
  <si>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</si>
  <si>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NAME</t>
  </si>
  <si>
    <t>GSIS</t>
  </si>
  <si>
    <t>HDMF (Pag-ibig)</t>
  </si>
  <si>
    <t>HDMF</t>
  </si>
  <si>
    <t>ATIEA</t>
  </si>
  <si>
    <t>AMPCI</t>
  </si>
  <si>
    <t>TENANTS</t>
  </si>
  <si>
    <t>Provident</t>
  </si>
  <si>
    <t>Disallowance</t>
  </si>
  <si>
    <t>SURNAME</t>
  </si>
  <si>
    <t>MI</t>
  </si>
  <si>
    <t>ITEM</t>
  </si>
  <si>
    <t>DIVISION</t>
  </si>
  <si>
    <t>BASIC SALARY</t>
  </si>
  <si>
    <t>PERA</t>
  </si>
  <si>
    <t>TOTAL</t>
  </si>
  <si>
    <t>Life and Retirement (SIC)</t>
  </si>
  <si>
    <t>Policy Loan (Regular)</t>
  </si>
  <si>
    <t>Emerg. Loan</t>
  </si>
  <si>
    <t>R E L (Housing)</t>
  </si>
  <si>
    <t>Conso. Loan</t>
  </si>
  <si>
    <t>Optional Premium (OULI)</t>
  </si>
  <si>
    <t>Policy Loan (Optional)</t>
  </si>
  <si>
    <t>MPL</t>
  </si>
  <si>
    <t>MPL LITE</t>
  </si>
  <si>
    <t>CPL</t>
  </si>
  <si>
    <t>GFAL</t>
  </si>
  <si>
    <t xml:space="preserve">Unutilized Daily Subsistence Allowance </t>
  </si>
  <si>
    <t>Withholding Tax</t>
  </si>
  <si>
    <t xml:space="preserve">Philhealth </t>
  </si>
  <si>
    <t>MPL/STLRF</t>
  </si>
  <si>
    <t>Pag-ibig II/MP2</t>
  </si>
  <si>
    <t>Personal Cont.</t>
  </si>
  <si>
    <t>Mobile Phone Amort.</t>
  </si>
  <si>
    <t>Monthly Dues</t>
  </si>
  <si>
    <t>Loans</t>
  </si>
  <si>
    <t>Undeducted Previous Transaction  Fee</t>
  </si>
  <si>
    <t>Share</t>
  </si>
  <si>
    <t>Healthcard</t>
  </si>
  <si>
    <t>Coop 
Share</t>
  </si>
  <si>
    <t>Coop 
Loans</t>
  </si>
  <si>
    <t xml:space="preserve">
Accommodation</t>
  </si>
  <si>
    <t>Water Bill</t>
  </si>
  <si>
    <t>Electric Bill</t>
  </si>
  <si>
    <t>Repairs</t>
  </si>
  <si>
    <t>Security</t>
  </si>
  <si>
    <t>Landbank 
Loan</t>
  </si>
  <si>
    <t>DAMC 
Loan</t>
  </si>
  <si>
    <t>Prov. Fund Share</t>
  </si>
  <si>
    <t>Prov. (Healthcard)</t>
  </si>
  <si>
    <t>Prov. Fund Loan</t>
  </si>
  <si>
    <t>Total Deductions</t>
  </si>
  <si>
    <t>Net Take Home Pay</t>
  </si>
  <si>
    <t>15th</t>
  </si>
  <si>
    <t>30th</t>
  </si>
  <si>
    <t>Abcede</t>
  </si>
  <si>
    <t>Dianne</t>
  </si>
  <si>
    <t>P.</t>
  </si>
  <si>
    <t>Agric. I</t>
  </si>
  <si>
    <t>PAD</t>
  </si>
  <si>
    <t>Aguilar</t>
  </si>
  <si>
    <t>Roxette Gelyn</t>
  </si>
  <si>
    <t>R.</t>
  </si>
  <si>
    <t>PLO I</t>
  </si>
  <si>
    <t>PPD</t>
  </si>
  <si>
    <t>Alberto</t>
  </si>
  <si>
    <t>Camilo</t>
  </si>
  <si>
    <t>M.</t>
  </si>
  <si>
    <t>DMO I</t>
  </si>
  <si>
    <t>CDMD</t>
  </si>
  <si>
    <t>Alcantara</t>
  </si>
  <si>
    <t>Justine Ann</t>
  </si>
  <si>
    <t>C.</t>
  </si>
  <si>
    <t>Alfonso</t>
  </si>
  <si>
    <t>Cindy</t>
  </si>
  <si>
    <t>PEO III</t>
  </si>
  <si>
    <t>Alforque I</t>
  </si>
  <si>
    <t>G. Mark Anthony</t>
  </si>
  <si>
    <t>C</t>
  </si>
  <si>
    <t>PEO II</t>
  </si>
  <si>
    <t>Alvarez</t>
  </si>
  <si>
    <t>Clarissa</t>
  </si>
  <si>
    <t>Adm. Asst. III</t>
  </si>
  <si>
    <t>AFU-OD</t>
  </si>
  <si>
    <t>Mark Nello</t>
  </si>
  <si>
    <t>B.</t>
  </si>
  <si>
    <t>Agric. II</t>
  </si>
  <si>
    <t>Aninacion</t>
  </si>
  <si>
    <t>Joshua</t>
  </si>
  <si>
    <t>G.</t>
  </si>
  <si>
    <t>PLO II</t>
  </si>
  <si>
    <t>Antipas</t>
  </si>
  <si>
    <t>Andrea Jane</t>
  </si>
  <si>
    <t>Adm. Asst. I</t>
  </si>
  <si>
    <t>ISD</t>
  </si>
  <si>
    <t>Arceo</t>
  </si>
  <si>
    <t>Antonieta</t>
  </si>
  <si>
    <t>J.</t>
  </si>
  <si>
    <t>Director III</t>
  </si>
  <si>
    <t>OD</t>
  </si>
  <si>
    <t>Balangatan</t>
  </si>
  <si>
    <t>Jun</t>
  </si>
  <si>
    <t>OCO II</t>
  </si>
  <si>
    <t>Baluyut</t>
  </si>
  <si>
    <t>Julia Marie</t>
  </si>
  <si>
    <t>Bautista</t>
  </si>
  <si>
    <t>Marilyn</t>
  </si>
  <si>
    <t>SG I</t>
  </si>
  <si>
    <t>D.</t>
  </si>
  <si>
    <t>PDO II</t>
  </si>
  <si>
    <t>Bayot</t>
  </si>
  <si>
    <t>Czarina</t>
  </si>
  <si>
    <t>DMO III</t>
  </si>
  <si>
    <t>Bibit</t>
  </si>
  <si>
    <t>Darwin</t>
  </si>
  <si>
    <t>Adm. Asst. II</t>
  </si>
  <si>
    <t>Bolon</t>
  </si>
  <si>
    <t>Richard</t>
  </si>
  <si>
    <t>E.</t>
  </si>
  <si>
    <t>Adm. Aide V</t>
  </si>
  <si>
    <t>Bombon</t>
  </si>
  <si>
    <t>Mary Angelyn</t>
  </si>
  <si>
    <t>DMO II</t>
  </si>
  <si>
    <t>Borlagdan</t>
  </si>
  <si>
    <t>Franco Gabriel</t>
  </si>
  <si>
    <t>ISR III</t>
  </si>
  <si>
    <t>Borromeo</t>
  </si>
  <si>
    <t>Kemuel</t>
  </si>
  <si>
    <t>Bunda</t>
  </si>
  <si>
    <t>Arnel</t>
  </si>
  <si>
    <t>Calasagsag</t>
  </si>
  <si>
    <t>Joeven</t>
  </si>
  <si>
    <t>Supervising Agric.</t>
  </si>
  <si>
    <t>Canilang</t>
  </si>
  <si>
    <t>Ashlee</t>
  </si>
  <si>
    <t>MPS II</t>
  </si>
  <si>
    <t>Cosico</t>
  </si>
  <si>
    <t>Theresa Aurora</t>
  </si>
  <si>
    <t>Dacillo</t>
  </si>
  <si>
    <t>Edmer</t>
  </si>
  <si>
    <t>CMT II</t>
  </si>
  <si>
    <t>Datuin</t>
  </si>
  <si>
    <t>Jejorian</t>
  </si>
  <si>
    <t>Q.</t>
  </si>
  <si>
    <t>de la Cruz</t>
  </si>
  <si>
    <t>Roy Son</t>
  </si>
  <si>
    <t>de Mesa</t>
  </si>
  <si>
    <t>Maria Carmina</t>
  </si>
  <si>
    <t>dela Cuadra</t>
  </si>
  <si>
    <t>Jovanee</t>
  </si>
  <si>
    <t>S.</t>
  </si>
  <si>
    <t>dela Torre</t>
  </si>
  <si>
    <t>Julrose</t>
  </si>
  <si>
    <t>H.</t>
  </si>
  <si>
    <t>IO II</t>
  </si>
  <si>
    <t>Dellava</t>
  </si>
  <si>
    <t>Robert</t>
  </si>
  <si>
    <t>delos Santos</t>
  </si>
  <si>
    <t>Josefina</t>
  </si>
  <si>
    <t>AO I</t>
  </si>
  <si>
    <t>Deñado</t>
  </si>
  <si>
    <t>Emerson</t>
  </si>
  <si>
    <t>Dreje</t>
  </si>
  <si>
    <t>Sherrie</t>
  </si>
  <si>
    <t>Sr. Agric.</t>
  </si>
  <si>
    <t>Drueco</t>
  </si>
  <si>
    <t>Janina</t>
  </si>
  <si>
    <t>Espeña</t>
  </si>
  <si>
    <t>God Rick</t>
  </si>
  <si>
    <t>PDO I</t>
  </si>
  <si>
    <t>Estoesta</t>
  </si>
  <si>
    <t>Dominador</t>
  </si>
  <si>
    <t>N.</t>
  </si>
  <si>
    <t>Adm. Aide IV</t>
  </si>
  <si>
    <t>Francisco</t>
  </si>
  <si>
    <t>Rolaine Ruzielle</t>
  </si>
  <si>
    <t>O.</t>
  </si>
  <si>
    <t>AO III</t>
  </si>
  <si>
    <t>Gabao</t>
  </si>
  <si>
    <t>Jenny Rose</t>
  </si>
  <si>
    <t>IO I</t>
  </si>
  <si>
    <t>Gabion</t>
  </si>
  <si>
    <t>Clemente</t>
  </si>
  <si>
    <t>A.</t>
  </si>
  <si>
    <t>Film Editor II</t>
  </si>
  <si>
    <t>Galgo</t>
  </si>
  <si>
    <t>Marisa</t>
  </si>
  <si>
    <t>AO V</t>
  </si>
  <si>
    <t>Galorio</t>
  </si>
  <si>
    <t>Jarien</t>
  </si>
  <si>
    <t>Librarian II</t>
  </si>
  <si>
    <t>Gregorio</t>
  </si>
  <si>
    <t>Rechilda</t>
  </si>
  <si>
    <t>Hallares</t>
  </si>
  <si>
    <t>Rommel</t>
  </si>
  <si>
    <t>T.</t>
  </si>
  <si>
    <t>Interno</t>
  </si>
  <si>
    <t>Justin Paolo</t>
  </si>
  <si>
    <t>Jose</t>
  </si>
  <si>
    <t>Ladylyn</t>
  </si>
  <si>
    <t>ISR II</t>
  </si>
  <si>
    <t>Katipunan</t>
  </si>
  <si>
    <t>Jerusha Kyle Angela</t>
  </si>
  <si>
    <t>Labilles</t>
  </si>
  <si>
    <t>Ericka Shane</t>
  </si>
  <si>
    <t>Lanzon</t>
  </si>
  <si>
    <t>Mc Alter</t>
  </si>
  <si>
    <t>Agri II</t>
  </si>
  <si>
    <t>Lao</t>
  </si>
  <si>
    <t>Rein</t>
  </si>
  <si>
    <t>PEO I</t>
  </si>
  <si>
    <t>Legarde</t>
  </si>
  <si>
    <t>Donald</t>
  </si>
  <si>
    <t>Leonor</t>
  </si>
  <si>
    <t>Rose Ann</t>
  </si>
  <si>
    <t>PLO IV</t>
  </si>
  <si>
    <t>Linaac</t>
  </si>
  <si>
    <t>Mary Joy</t>
  </si>
  <si>
    <t>Lopez</t>
  </si>
  <si>
    <t>Wilma</t>
  </si>
  <si>
    <t>Magpantay</t>
  </si>
  <si>
    <t>Maria Fae Leslie</t>
  </si>
  <si>
    <t>Mappala</t>
  </si>
  <si>
    <t>Pamela Mariquita</t>
  </si>
  <si>
    <t>Info. Officer IV</t>
  </si>
  <si>
    <t>Marcos</t>
  </si>
  <si>
    <t>Joshua Ace</t>
  </si>
  <si>
    <t>Mendoza</t>
  </si>
  <si>
    <t>Bryll Christian</t>
  </si>
  <si>
    <t>Emmanuel</t>
  </si>
  <si>
    <t>I.</t>
  </si>
  <si>
    <t>Adm. Aide VI</t>
  </si>
  <si>
    <t>Mercader</t>
  </si>
  <si>
    <t>Lyka</t>
  </si>
  <si>
    <t>Nilo</t>
  </si>
  <si>
    <t>Arlene Geminiana</t>
  </si>
  <si>
    <t>Daniel</t>
  </si>
  <si>
    <t>U.</t>
  </si>
  <si>
    <t>Nuñez</t>
  </si>
  <si>
    <t>Basil</t>
  </si>
  <si>
    <t>F.</t>
  </si>
  <si>
    <t>Urbano</t>
  </si>
  <si>
    <t>Pangilinan</t>
  </si>
  <si>
    <t>Nemielynn</t>
  </si>
  <si>
    <t>Panol</t>
  </si>
  <si>
    <t>Chandra Rachel</t>
  </si>
  <si>
    <t>Pardo</t>
  </si>
  <si>
    <t>Khevin</t>
  </si>
  <si>
    <t>AO II</t>
  </si>
  <si>
    <t>Pauig</t>
  </si>
  <si>
    <t>Yovina Claire</t>
  </si>
  <si>
    <t>Info. Officer III</t>
  </si>
  <si>
    <t>Perez</t>
  </si>
  <si>
    <t>Althea</t>
  </si>
  <si>
    <t>Perolino</t>
  </si>
  <si>
    <t>Mark Christopher</t>
  </si>
  <si>
    <t>Z.</t>
  </si>
  <si>
    <r>
      <t>Pe</t>
    </r>
    <r>
      <rPr>
        <sz val="11"/>
        <color theme="1"/>
        <rFont val="Arial"/>
        <family val="2"/>
      </rPr>
      <t>ñ</t>
    </r>
    <r>
      <rPr>
        <sz val="11"/>
        <color theme="1"/>
        <rFont val="Cambria"/>
        <family val="1"/>
      </rPr>
      <t>amora</t>
    </r>
  </si>
  <si>
    <t>Romermart Aubigne</t>
  </si>
  <si>
    <t>AM.</t>
  </si>
  <si>
    <t>Pintac</t>
  </si>
  <si>
    <t>Marlene</t>
  </si>
  <si>
    <t>AO IV</t>
  </si>
  <si>
    <t>Rabino</t>
  </si>
  <si>
    <t>Ma. Ruben Ana</t>
  </si>
  <si>
    <t>Ragua</t>
  </si>
  <si>
    <t>Mary Anne</t>
  </si>
  <si>
    <t>Recoter</t>
  </si>
  <si>
    <t>Remelyn</t>
  </si>
  <si>
    <t>Director IV</t>
  </si>
  <si>
    <t>Rodriguez</t>
  </si>
  <si>
    <t>Moo</t>
  </si>
  <si>
    <t>Salibio</t>
  </si>
  <si>
    <t>Karl Louise</t>
  </si>
  <si>
    <t>MPS III</t>
  </si>
  <si>
    <t>Saluib</t>
  </si>
  <si>
    <t>Gillian Rose</t>
  </si>
  <si>
    <t>L.</t>
  </si>
  <si>
    <t>Accountant III</t>
  </si>
  <si>
    <t>Salvania</t>
  </si>
  <si>
    <t>Dianne Marie</t>
  </si>
  <si>
    <t>Sangalang</t>
  </si>
  <si>
    <t>Janice</t>
  </si>
  <si>
    <t>MPS I</t>
  </si>
  <si>
    <t>Tabor</t>
  </si>
  <si>
    <t>Jomar</t>
  </si>
  <si>
    <t>Agri. II</t>
  </si>
  <si>
    <t>Tandang</t>
  </si>
  <si>
    <t>Bernard James</t>
  </si>
  <si>
    <t>PDO III</t>
  </si>
  <si>
    <t>Taruc</t>
  </si>
  <si>
    <t>Jennifer</t>
  </si>
  <si>
    <t>Tolero</t>
  </si>
  <si>
    <t>Jonalyn</t>
  </si>
  <si>
    <t>Turda</t>
  </si>
  <si>
    <t>Hershey</t>
  </si>
  <si>
    <t>Milagros</t>
  </si>
  <si>
    <t>PLO V</t>
  </si>
  <si>
    <t>Valencia</t>
  </si>
  <si>
    <t>Lian Janelle</t>
  </si>
  <si>
    <t>DR.</t>
  </si>
  <si>
    <t>Vinuya</t>
  </si>
  <si>
    <t>Editha</t>
  </si>
  <si>
    <t>DMO V</t>
  </si>
  <si>
    <t>Yago</t>
  </si>
  <si>
    <t>DMO IV</t>
  </si>
  <si>
    <t xml:space="preserve">TOTAL </t>
  </si>
  <si>
    <t>ABCEDE</t>
  </si>
  <si>
    <t xml:space="preserve">DIANNE </t>
  </si>
  <si>
    <t>PALAYA</t>
  </si>
  <si>
    <t>AGUILAR</t>
  </si>
  <si>
    <t>ROXETTE GELYN</t>
  </si>
  <si>
    <t>ROÑO</t>
  </si>
  <si>
    <t>ALBERTO</t>
  </si>
  <si>
    <t>CAMILO</t>
  </si>
  <si>
    <t>MALIT</t>
  </si>
  <si>
    <t>ALCANTARA</t>
  </si>
  <si>
    <t>JUSTINE ANN</t>
  </si>
  <si>
    <t>CASTRO</t>
  </si>
  <si>
    <t>ALFONSO</t>
  </si>
  <si>
    <t>CINDY</t>
  </si>
  <si>
    <t>CORCELLES</t>
  </si>
  <si>
    <t>ALFORQUE</t>
  </si>
  <si>
    <t>G. MARK ANTHONY</t>
  </si>
  <si>
    <t>CORDERO</t>
  </si>
  <si>
    <t>ALVAREZ</t>
  </si>
  <si>
    <t>MARIA CLARISSA</t>
  </si>
  <si>
    <t>MENDEZ</t>
  </si>
  <si>
    <t>MARK NELLO</t>
  </si>
  <si>
    <t>BOLA</t>
  </si>
  <si>
    <t>ANINACION</t>
  </si>
  <si>
    <t>JOSHUA</t>
  </si>
  <si>
    <t>GERPACIO</t>
  </si>
  <si>
    <t>ANTIPAS</t>
  </si>
  <si>
    <t>ANDREA JANE</t>
  </si>
  <si>
    <t>MURING</t>
  </si>
  <si>
    <t>ARCEO</t>
  </si>
  <si>
    <t>ANTONIETA</t>
  </si>
  <si>
    <t>JAMON</t>
  </si>
  <si>
    <t>BALANGATAN</t>
  </si>
  <si>
    <t>JUN</t>
  </si>
  <si>
    <t>GARCIA</t>
  </si>
  <si>
    <t>BALUYUT</t>
  </si>
  <si>
    <t>JULIA MARIE</t>
  </si>
  <si>
    <t>MEDES</t>
  </si>
  <si>
    <t>BAUTISTA</t>
  </si>
  <si>
    <t>MARILYN</t>
  </si>
  <si>
    <t>JOSEF</t>
  </si>
  <si>
    <t>BIBIT</t>
  </si>
  <si>
    <t>DARWIN</t>
  </si>
  <si>
    <t>DELA CRUZ</t>
  </si>
  <si>
    <t>BOLON</t>
  </si>
  <si>
    <t>RICHARD</t>
  </si>
  <si>
    <t>ENOT</t>
  </si>
  <si>
    <t>BOMBON</t>
  </si>
  <si>
    <t>MARY ANGELYN</t>
  </si>
  <si>
    <t>PANIS</t>
  </si>
  <si>
    <t>BORLAGDAN</t>
  </si>
  <si>
    <t>FRANCO GABRIEL</t>
  </si>
  <si>
    <t>PACAO</t>
  </si>
  <si>
    <t>BORROMEO</t>
  </si>
  <si>
    <t>KEMUEL</t>
  </si>
  <si>
    <t>MORAO</t>
  </si>
  <si>
    <t>BUNDA</t>
  </si>
  <si>
    <t>ARNEL</t>
  </si>
  <si>
    <t>RAFAEL</t>
  </si>
  <si>
    <t>CALASAGSAG</t>
  </si>
  <si>
    <t>JOEVEN</t>
  </si>
  <si>
    <t>CABINAN</t>
  </si>
  <si>
    <t>CANILANG</t>
  </si>
  <si>
    <t>ASHLEE</t>
  </si>
  <si>
    <t>PERALTA</t>
  </si>
  <si>
    <t>COSICO</t>
  </si>
  <si>
    <t>THERESA AURORA</t>
  </si>
  <si>
    <t>BAGAOISAN</t>
  </si>
  <si>
    <t>DACILLO</t>
  </si>
  <si>
    <t>EDMER</t>
  </si>
  <si>
    <t>DE LA CRUZ</t>
  </si>
  <si>
    <t>ROY SON</t>
  </si>
  <si>
    <t>REDOMA</t>
  </si>
  <si>
    <t>DELA CUADRA</t>
  </si>
  <si>
    <t>JOVANEE</t>
  </si>
  <si>
    <t>SANSALONA</t>
  </si>
  <si>
    <t>DELA TORRE</t>
  </si>
  <si>
    <t>JULROSE</t>
  </si>
  <si>
    <t>HERNANDEZ</t>
  </si>
  <si>
    <t>DELLAVA</t>
  </si>
  <si>
    <t>ROBERT</t>
  </si>
  <si>
    <t>DORADO</t>
  </si>
  <si>
    <t>DELOS SANTOS</t>
  </si>
  <si>
    <t>JOSEFINA</t>
  </si>
  <si>
    <t>MENDOZA</t>
  </si>
  <si>
    <t>DE MESA</t>
  </si>
  <si>
    <t>MARIA CARMINA</t>
  </si>
  <si>
    <t>MACABENTA</t>
  </si>
  <si>
    <t>DEÑADO</t>
  </si>
  <si>
    <t>EMERSON</t>
  </si>
  <si>
    <t>RONSAIRO</t>
  </si>
  <si>
    <t>DREJE</t>
  </si>
  <si>
    <t>SHERRIE</t>
  </si>
  <si>
    <t>CORTEZ</t>
  </si>
  <si>
    <t>DRUECO</t>
  </si>
  <si>
    <t>JANINA</t>
  </si>
  <si>
    <t>GUIBANI</t>
  </si>
  <si>
    <t>ESPEÑA</t>
  </si>
  <si>
    <t>GOD RICK</t>
  </si>
  <si>
    <t>MANGA</t>
  </si>
  <si>
    <t>ESTOESTA</t>
  </si>
  <si>
    <t>DOMINADOR</t>
  </si>
  <si>
    <t>NIDUAZA</t>
  </si>
  <si>
    <t>GABAO</t>
  </si>
  <si>
    <t>JENNY ROSE</t>
  </si>
  <si>
    <t>BALOCA</t>
  </si>
  <si>
    <t>GABION</t>
  </si>
  <si>
    <t>CLEMENTE</t>
  </si>
  <si>
    <t>ABELLANIDA</t>
  </si>
  <si>
    <t>GALGO</t>
  </si>
  <si>
    <t>MARISA</t>
  </si>
  <si>
    <t>ORO</t>
  </si>
  <si>
    <t>JARIEN</t>
  </si>
  <si>
    <t>GREGORIO</t>
  </si>
  <si>
    <t>RECHILDA</t>
  </si>
  <si>
    <t>ROCAMORA</t>
  </si>
  <si>
    <t>HALLARES</t>
  </si>
  <si>
    <t>ROMMEL</t>
  </si>
  <si>
    <t>TODIÑO</t>
  </si>
  <si>
    <t>JOSE</t>
  </si>
  <si>
    <t>LADYLYN</t>
  </si>
  <si>
    <t>RAMOS</t>
  </si>
  <si>
    <t>KATIPUNAN</t>
  </si>
  <si>
    <t>JERUSHA KYLE ANGELA</t>
  </si>
  <si>
    <t>MOHAMMAD-SALI</t>
  </si>
  <si>
    <t>LABILLES</t>
  </si>
  <si>
    <t>ERICKA SHANE</t>
  </si>
  <si>
    <t>REGASPI</t>
  </si>
  <si>
    <t>LANZON</t>
  </si>
  <si>
    <t>MC ALTER</t>
  </si>
  <si>
    <t>ALEGADO</t>
  </si>
  <si>
    <t>LAO</t>
  </si>
  <si>
    <t xml:space="preserve">REIN </t>
  </si>
  <si>
    <t>CAPISNON</t>
  </si>
  <si>
    <t>LARGO</t>
  </si>
  <si>
    <t>GILLIAN ROSE</t>
  </si>
  <si>
    <t>CATUCOD</t>
  </si>
  <si>
    <t>LEGARDE</t>
  </si>
  <si>
    <t>DONALD</t>
  </si>
  <si>
    <t>BARQUIO</t>
  </si>
  <si>
    <t>LEONOR</t>
  </si>
  <si>
    <t>ROSE ANN</t>
  </si>
  <si>
    <t>PERNITES</t>
  </si>
  <si>
    <t>LINAAC</t>
  </si>
  <si>
    <t>MARY JOY</t>
  </si>
  <si>
    <t>HILOT</t>
  </si>
  <si>
    <t>LOPEZ</t>
  </si>
  <si>
    <t>WILMA</t>
  </si>
  <si>
    <t>MAGPANTAY</t>
  </si>
  <si>
    <t>MARIA FAE LESLIE</t>
  </si>
  <si>
    <t>DICEN</t>
  </si>
  <si>
    <t>MAMINO</t>
  </si>
  <si>
    <t>CZARINA</t>
  </si>
  <si>
    <t>SANTOS</t>
  </si>
  <si>
    <t>MAPPALA</t>
  </si>
  <si>
    <t>PAMELA MARIQUITA</t>
  </si>
  <si>
    <t>GUTIERREZ</t>
  </si>
  <si>
    <t>MARCOS</t>
  </si>
  <si>
    <t>JOSHUA ACE</t>
  </si>
  <si>
    <t>JAMIN</t>
  </si>
  <si>
    <t>BRYLL CHRISTIAN</t>
  </si>
  <si>
    <t>SANCHEZ</t>
  </si>
  <si>
    <t>EMMANUEL</t>
  </si>
  <si>
    <t>IBAÑEZ</t>
  </si>
  <si>
    <t>MERCADER</t>
  </si>
  <si>
    <t>LYKA</t>
  </si>
  <si>
    <t>BETINOL</t>
  </si>
  <si>
    <t>NILO</t>
  </si>
  <si>
    <t>ARLENE GEMINIANA</t>
  </si>
  <si>
    <t>SIAPNO</t>
  </si>
  <si>
    <t>DANIEL</t>
  </si>
  <si>
    <t>UNTALAN</t>
  </si>
  <si>
    <t>NUÑEZ</t>
  </si>
  <si>
    <t>BASIL</t>
  </si>
  <si>
    <t>FERNANDEZ</t>
  </si>
  <si>
    <t>ODULIO</t>
  </si>
  <si>
    <t xml:space="preserve">ROLAINE RUZIELLE </t>
  </si>
  <si>
    <t>DAGUMAN</t>
  </si>
  <si>
    <t>URBANO</t>
  </si>
  <si>
    <t>PANGILINAN</t>
  </si>
  <si>
    <t>NEMIELYNN</t>
  </si>
  <si>
    <t>PEÑALBA</t>
  </si>
  <si>
    <t>PANOL</t>
  </si>
  <si>
    <t>CHANDRA  RACHEL</t>
  </si>
  <si>
    <t>CATIPON</t>
  </si>
  <si>
    <t>PAUIG</t>
  </si>
  <si>
    <t>YOVINA-CLAIRE</t>
  </si>
  <si>
    <t>AGSAWA</t>
  </si>
  <si>
    <t>PEREZ</t>
  </si>
  <si>
    <t>ALTHEA</t>
  </si>
  <si>
    <t>DEFIESTA</t>
  </si>
  <si>
    <t>PEROLINO</t>
  </si>
  <si>
    <t>MARK CHRISTOPHER</t>
  </si>
  <si>
    <t>ZARATE</t>
  </si>
  <si>
    <t>PEÑAMORA</t>
  </si>
  <si>
    <t>ROMERMART AUBIGNE</t>
  </si>
  <si>
    <t>MALDIA</t>
  </si>
  <si>
    <t>PINTAC</t>
  </si>
  <si>
    <t>MARLENE</t>
  </si>
  <si>
    <t>QUINTANA</t>
  </si>
  <si>
    <t>QUISEL</t>
  </si>
  <si>
    <t>JEJORIAN</t>
  </si>
  <si>
    <t>CAÑETE</t>
  </si>
  <si>
    <t>RABINO</t>
  </si>
  <si>
    <t>MA. RUBEN ANA</t>
  </si>
  <si>
    <t>DELOS REYES</t>
  </si>
  <si>
    <t>RAGUA</t>
  </si>
  <si>
    <t>MARY ANNE</t>
  </si>
  <si>
    <t>GABRIEL</t>
  </si>
  <si>
    <t>RECOTER</t>
  </si>
  <si>
    <t>REMELYN</t>
  </si>
  <si>
    <t>RETORICO</t>
  </si>
  <si>
    <t>RODRIGUEZ</t>
  </si>
  <si>
    <t>MOO</t>
  </si>
  <si>
    <t>CALDERON</t>
  </si>
  <si>
    <t>SALIBIO</t>
  </si>
  <si>
    <t>KARL LOUISE</t>
  </si>
  <si>
    <t>MALIGAYA</t>
  </si>
  <si>
    <t>SALVANIA</t>
  </si>
  <si>
    <t>DIANNE MARIE</t>
  </si>
  <si>
    <t>UMALI</t>
  </si>
  <si>
    <t>SANGALANG</t>
  </si>
  <si>
    <t>JANICE</t>
  </si>
  <si>
    <t>CATINDIG</t>
  </si>
  <si>
    <t>TABOR</t>
  </si>
  <si>
    <t>JOMAR</t>
  </si>
  <si>
    <t>ORBIGO</t>
  </si>
  <si>
    <t>TANDANG</t>
  </si>
  <si>
    <t>BERNARD JAMES</t>
  </si>
  <si>
    <t>RAMIREZ</t>
  </si>
  <si>
    <t>TARUC</t>
  </si>
  <si>
    <t>JENNIFER</t>
  </si>
  <si>
    <t>DACULA</t>
  </si>
  <si>
    <t>TOLERO</t>
  </si>
  <si>
    <t>JONALYN</t>
  </si>
  <si>
    <t>TRINIDAD</t>
  </si>
  <si>
    <t>TURDA</t>
  </si>
  <si>
    <t>HERSHEY</t>
  </si>
  <si>
    <t>MALTO</t>
  </si>
  <si>
    <t>MILAGROS</t>
  </si>
  <si>
    <t>CARDENAS</t>
  </si>
  <si>
    <t>VALENCIA</t>
  </si>
  <si>
    <t>LIAN JANELLE</t>
  </si>
  <si>
    <t>VINUYA</t>
  </si>
  <si>
    <t>EDITHA</t>
  </si>
  <si>
    <t>YAGO</t>
  </si>
  <si>
    <t xml:space="preserve">EMERSON </t>
  </si>
  <si>
    <t>SOLANO</t>
  </si>
  <si>
    <t>121222125544</t>
  </si>
  <si>
    <t>121294057717</t>
  </si>
  <si>
    <t>107002369490</t>
  </si>
  <si>
    <t>121052246752</t>
  </si>
  <si>
    <t>121019967335</t>
  </si>
  <si>
    <t>121156058706</t>
  </si>
  <si>
    <t>121146103671</t>
  </si>
  <si>
    <t>121257804768</t>
  </si>
  <si>
    <t>107002368645</t>
  </si>
  <si>
    <t>107002369567</t>
  </si>
  <si>
    <t>121310118441</t>
  </si>
  <si>
    <t>107002369611</t>
  </si>
  <si>
    <t>107002369655</t>
  </si>
  <si>
    <t>107002405368</t>
  </si>
  <si>
    <t>121280890824</t>
  </si>
  <si>
    <t>121090329684</t>
  </si>
  <si>
    <t>121084370919</t>
  </si>
  <si>
    <t>121155793878</t>
  </si>
  <si>
    <t>121009101617</t>
  </si>
  <si>
    <t>107001521691</t>
  </si>
  <si>
    <t>107002404170</t>
  </si>
  <si>
    <t>108000387241</t>
  </si>
  <si>
    <t>121161065445</t>
  </si>
  <si>
    <t>121156428649</t>
  </si>
  <si>
    <t>121143321613</t>
  </si>
  <si>
    <t>107002405379</t>
  </si>
  <si>
    <t>107002369811</t>
  </si>
  <si>
    <t>121065979598</t>
  </si>
  <si>
    <t>121068518978</t>
  </si>
  <si>
    <t>121134512335</t>
  </si>
  <si>
    <t>101001368215</t>
  </si>
  <si>
    <t>121229976267</t>
  </si>
  <si>
    <t>107002369844</t>
  </si>
  <si>
    <t>121319049592</t>
  </si>
  <si>
    <t>107002369889</t>
  </si>
  <si>
    <t>107002369909</t>
  </si>
  <si>
    <t>107002409729</t>
  </si>
  <si>
    <t>121116943003</t>
  </si>
  <si>
    <t>121161252616</t>
  </si>
  <si>
    <t>121213883749</t>
  </si>
  <si>
    <t>121180923881</t>
  </si>
  <si>
    <t>121215188101</t>
  </si>
  <si>
    <t>121259085888</t>
  </si>
  <si>
    <t>121159986930</t>
  </si>
  <si>
    <t>121089753116</t>
  </si>
  <si>
    <t>121089754915</t>
  </si>
  <si>
    <t>121082598985</t>
  </si>
  <si>
    <t>107002409730</t>
  </si>
  <si>
    <t>121035740078</t>
  </si>
  <si>
    <t>121166885139</t>
  </si>
  <si>
    <t>107002368480</t>
  </si>
  <si>
    <t>121281881433</t>
  </si>
  <si>
    <t>121281104678</t>
  </si>
  <si>
    <t>107002370012</t>
  </si>
  <si>
    <t>121189871263</t>
  </si>
  <si>
    <t>107002407843</t>
  </si>
  <si>
    <t>107002401527</t>
  </si>
  <si>
    <t>121154223086</t>
  </si>
  <si>
    <t>121120484995</t>
  </si>
  <si>
    <t>107002409752</t>
  </si>
  <si>
    <t>121283359388</t>
  </si>
  <si>
    <t>121156363398</t>
  </si>
  <si>
    <t>101004540844</t>
  </si>
  <si>
    <t>121320086270</t>
  </si>
  <si>
    <t>121156179902</t>
  </si>
  <si>
    <t>107002413540</t>
  </si>
  <si>
    <t>121107432165</t>
  </si>
  <si>
    <t>121232304652</t>
  </si>
  <si>
    <t>107002619882</t>
  </si>
  <si>
    <t>158000411210</t>
  </si>
  <si>
    <t>121099451324</t>
  </si>
  <si>
    <t>121165154657</t>
  </si>
  <si>
    <t>121174633771</t>
  </si>
  <si>
    <t>121229119872</t>
  </si>
  <si>
    <t>121156302395</t>
  </si>
  <si>
    <t>107002322276</t>
  </si>
  <si>
    <t>121244839237</t>
  </si>
  <si>
    <t>121281538164</t>
  </si>
  <si>
    <t>107002370335</t>
  </si>
  <si>
    <t>121210992953</t>
  </si>
  <si>
    <t>107002370381</t>
  </si>
  <si>
    <t>121080071170</t>
  </si>
  <si>
    <t>121359062699</t>
  </si>
  <si>
    <t>121313175684</t>
  </si>
  <si>
    <t>121143838658</t>
  </si>
  <si>
    <t>521037005993</t>
  </si>
  <si>
    <t>521186014249</t>
  </si>
  <si>
    <t>524026014423</t>
  </si>
  <si>
    <t>523031016397</t>
  </si>
  <si>
    <t>525058628227</t>
  </si>
  <si>
    <t>522003016377</t>
  </si>
  <si>
    <t>521183012186</t>
  </si>
  <si>
    <t>524005030600</t>
  </si>
  <si>
    <t>524087001973</t>
  </si>
  <si>
    <t>524005031021</t>
  </si>
  <si>
    <t>524087000928</t>
  </si>
  <si>
    <t>525062660400</t>
  </si>
  <si>
    <t>523058011211</t>
  </si>
  <si>
    <t>521012002187</t>
  </si>
  <si>
    <t>524200206037</t>
  </si>
  <si>
    <t>519143003117</t>
  </si>
  <si>
    <t>524114015959</t>
  </si>
  <si>
    <t>523172005672</t>
  </si>
  <si>
    <t>524093000984</t>
  </si>
  <si>
    <t>524046004251</t>
  </si>
  <si>
    <t>524124011586</t>
  </si>
  <si>
    <t>522028000590</t>
  </si>
  <si>
    <t>523172004695</t>
  </si>
  <si>
    <t>521172004092</t>
  </si>
  <si>
    <t>521106006041</t>
  </si>
  <si>
    <t>Gabuyo</t>
  </si>
  <si>
    <t>Dyna Rose</t>
  </si>
  <si>
    <t>GABUYO</t>
  </si>
  <si>
    <t>DYNA ROSE</t>
  </si>
  <si>
    <t>MORA</t>
  </si>
  <si>
    <t>121345497441</t>
  </si>
  <si>
    <t>Pilariza</t>
  </si>
  <si>
    <t>Erika Nitz</t>
  </si>
  <si>
    <t>V.</t>
  </si>
  <si>
    <t>121346709320</t>
  </si>
  <si>
    <t>PILARIZA</t>
  </si>
  <si>
    <t>ERIKA NITZ</t>
  </si>
  <si>
    <t>VALDEZ</t>
  </si>
  <si>
    <t>For PAG-IBIG II only</t>
  </si>
  <si>
    <t>521036002474</t>
  </si>
  <si>
    <t>520111002508</t>
  </si>
  <si>
    <t>UCPB 
Loan</t>
  </si>
  <si>
    <t>ITEM NUMBER</t>
  </si>
  <si>
    <t>DATE OF 
ORIGINAL APPOINTMENT</t>
  </si>
  <si>
    <t>DATE OF 
LAST PROMOTION</t>
  </si>
  <si>
    <t>SALARY GRADE</t>
  </si>
  <si>
    <t>STEP</t>
  </si>
  <si>
    <t>OSEC-DAB-AG1-116-2014</t>
  </si>
  <si>
    <t>OSEC-DAB-PLO1-12-1998</t>
  </si>
  <si>
    <t>OSEC-DAB-DMO1-125-2014</t>
  </si>
  <si>
    <t>OSEC-DAB-DMO1-129-2014</t>
  </si>
  <si>
    <t>OSEC-DAB-PEO3-55-2014</t>
  </si>
  <si>
    <t>OSEC-DAB-PEO2-13-1998</t>
  </si>
  <si>
    <t>OSEC-DAB-ADAS3-98-2004</t>
  </si>
  <si>
    <t>OSEC-DAB-AG2-1317-1998</t>
  </si>
  <si>
    <t>OSEC-DAB-PLO2-54-2014</t>
  </si>
  <si>
    <t>OSEC-DAB-ADAS1-52-2004</t>
  </si>
  <si>
    <t>OSEC-DAB-DIR3-55-1998</t>
  </si>
  <si>
    <t>OSEC-DAB-OCO2-3-1998</t>
  </si>
  <si>
    <t>OSEC-DAB-DMO1-130-2014</t>
  </si>
  <si>
    <t>OSEC-DAB-SECG1-262-1998</t>
  </si>
  <si>
    <t>OSEC-DAB-DMO3-63-2014</t>
  </si>
  <si>
    <t>OSEC-DAB-ADAS2-98-2004</t>
  </si>
  <si>
    <t>OSEC-DAB-ADA5-17-2004</t>
  </si>
  <si>
    <t>OSEC-DAB-DMO2-62-2014</t>
  </si>
  <si>
    <t>OSEC-DAB-INFOSR3-18-2014</t>
  </si>
  <si>
    <t>OSEC-DAB-DMO3-61-2014</t>
  </si>
  <si>
    <t>OSEC-DAB-PLO1-1-1998</t>
  </si>
  <si>
    <t>OSEC-DAB-SVAG-105-1998</t>
  </si>
  <si>
    <t>OSEC-DAB-MPXS2-19-2014</t>
  </si>
  <si>
    <t>OSEC-DAB-DMO3-62-2014</t>
  </si>
  <si>
    <t>OSEC-DAB-CTMT2-50-2014</t>
  </si>
  <si>
    <t>OSEC-DAB-DMO2-67-2014</t>
  </si>
  <si>
    <t>OSEC-DAB-AG1-162-1998</t>
  </si>
  <si>
    <t>OSEC-DAB-AG2-1328-1998</t>
  </si>
  <si>
    <t>OSEC-DAB-INFO2-25-1998</t>
  </si>
  <si>
    <t>OSEC-DAB-SECG1-258-1998</t>
  </si>
  <si>
    <t>OSEC-DAB-ADOF1-75-2004</t>
  </si>
  <si>
    <t>OSEC-DAB-AG2-968-1998</t>
  </si>
  <si>
    <t>OSEC-DAB-SRAG-162-1998</t>
  </si>
  <si>
    <t>OSEC-DAB-DMO2-60-2014</t>
  </si>
  <si>
    <t>OSEC-DAB-PDO1-60-2014</t>
  </si>
  <si>
    <t>OSEC-DAB-ADA4-412-2004</t>
  </si>
  <si>
    <t>OSEC-DAB-ADOF3-93-2004</t>
  </si>
  <si>
    <t>OSEC-DAB-INFO1-55-2014</t>
  </si>
  <si>
    <t>OSEC-DAB-FED2-1-1998</t>
  </si>
  <si>
    <t>OSEC-DAB-PLO1-16-2014</t>
  </si>
  <si>
    <t>OSEC-DAB-ADOF5-84-2004</t>
  </si>
  <si>
    <t>OSEC-DAB-LIB2-53-2014</t>
  </si>
  <si>
    <t>OSEC-DAB-ADAS2-111-2004</t>
  </si>
  <si>
    <t>OSEC-DAB-AG1-115-2014</t>
  </si>
  <si>
    <t>OSEC-DAB-AG2-1077-1998</t>
  </si>
  <si>
    <t>OSEC-DAB-INFOSR2-52-2014</t>
  </si>
  <si>
    <t>OSEC-DAB-DMO1-126-2014</t>
  </si>
  <si>
    <t>OSEC-DAB-PEO2-67-2014</t>
  </si>
  <si>
    <t>OSEC-DAB-AG2-1306-1998</t>
  </si>
  <si>
    <t>OSEC-DAB-PEO1-58-2014</t>
  </si>
  <si>
    <t>OSEC-DAB-ADOF3-95-2004</t>
  </si>
  <si>
    <t>OSEC-DAB-PLO4-3-1998</t>
  </si>
  <si>
    <t>OSEC-DAB-AG1-120-2014</t>
  </si>
  <si>
    <t>OSEC-DAB-ADA4-407-2004</t>
  </si>
  <si>
    <t>OSEC-DAB-DMO2-65-2014</t>
  </si>
  <si>
    <t>OSEC-DAB-INFO4-2-1998</t>
  </si>
  <si>
    <t>OSEC-DAB-DMO2-58-2014</t>
  </si>
  <si>
    <t>OSEC-DAB-DMO1-124-2014</t>
  </si>
  <si>
    <t>OSEC-DAB-ADA6-184-2004</t>
  </si>
  <si>
    <t>OSEC-DAB-PEO1-57-2014</t>
  </si>
  <si>
    <t>OSEC-DAB-ADOF5-85-2004</t>
  </si>
  <si>
    <t>OSEC-DAB-ADAS1-54-2004</t>
  </si>
  <si>
    <t>OSEC-DAB-ADA4-411-2004</t>
  </si>
  <si>
    <t>OSEC-DAB-SRAG-14-1998</t>
  </si>
  <si>
    <t>OSEC-DAB-PLO2-53-2014</t>
  </si>
  <si>
    <t>OSEC-DAB-ADOF2-54-2014</t>
  </si>
  <si>
    <t>OSEC-DAB-INFO3-10-1998</t>
  </si>
  <si>
    <t>OSEC-DAB-DMO2-57-2014</t>
  </si>
  <si>
    <t>OSEC-DAB-INFO1-56-2014</t>
  </si>
  <si>
    <t>OSEC-DAB-DMO3-60-2014</t>
  </si>
  <si>
    <t>OSEC-DAB-ADOF2-53-2004</t>
  </si>
  <si>
    <t>OSEC-DAB-ADOF4-99-2004</t>
  </si>
  <si>
    <t>OSEC-DAB-ADOF1-74-2004</t>
  </si>
  <si>
    <t>OSEC-DAB-ADAS3-97-2004</t>
  </si>
  <si>
    <t>OSEC-DAB-DIR4-1-1998</t>
  </si>
  <si>
    <t>OSEC-DAB-PDO2-55-2014</t>
  </si>
  <si>
    <t>OSEC-DAB-MPXS3-5-1998</t>
  </si>
  <si>
    <t>OSEC-DAB-A3-19-1998</t>
  </si>
  <si>
    <t>OSEC-DAB-DMO1-132-2014</t>
  </si>
  <si>
    <t>OSEC-DAB-MPXS1-54-2014</t>
  </si>
  <si>
    <t>OSEC-DAB-AG2-1110-1998</t>
  </si>
  <si>
    <t>OSEC-DAB-PDO3-62-2014</t>
  </si>
  <si>
    <t>OSEC-DAB-ADOF4-98-2004</t>
  </si>
  <si>
    <t>OSEC-DAB-ADAS3-47-2014</t>
  </si>
  <si>
    <t>OSEC-DAB-DMO1-127-2014</t>
  </si>
  <si>
    <t>OSEC-DAB-PLO5-3-1998</t>
  </si>
  <si>
    <t>OSEC-DAB-DMO1-123-2014</t>
  </si>
  <si>
    <t>OSEC-DAB-DMO5-26-2014</t>
  </si>
  <si>
    <t>OSEC-DAB-DMO4-27-2014</t>
  </si>
  <si>
    <t>522006028098</t>
  </si>
  <si>
    <t>MAR 2026</t>
  </si>
  <si>
    <t>PLO III</t>
  </si>
  <si>
    <t>OSEC-DAB-PLO3-3-1998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</si>
</sst>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.000_-;\-* #,##0.000_-;_-* &quot;-&quot;??_-;_-@_-"/>
    <numFmt numFmtId="166" formatCode="mm/dd/yyyy;@"/>
  </numFmts>
  <fonts count="17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name val="Cambria"/>
      <family val="1"/>
    </font>
    <font>
      <sz val="16"/>
      <color theme="1"/>
      <name val="Cambria"/>
      <family val="1"/>
    </font>
    <font>
      <sz val="11"/>
      <name val="Calibri"/>
      <family val="2"/>
    </font>
    <font>
      <b/>
      <sz val="11"/>
      <name val="Cambria"/>
      <family val="1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5" fillId="0" borderId="0"/>
    <xf numFmtId="43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73">
    <xf numFmtId="0" fontId="0" fillId="0" borderId="0" xfId="0"/>
    <xf numFmtId="0" fontId="1" fillId="0" borderId="0" xfId="0" applyFont="1"/>
    <xf numFmtId="49" fontId="0" fillId="0" borderId="0" xfId="0" applyNumberFormat="1"/>
    <xf numFmtId="49" fontId="3" fillId="0" borderId="0" xfId="0" applyNumberFormat="1" applyFont="1"/>
    <xf numFmtId="4" fontId="0" fillId="0" borderId="0" xfId="0" applyNumberFormat="1"/>
    <xf numFmtId="0" fontId="0" fillId="0" borderId="0" xfId="0" quotePrefix="1"/>
    <xf numFmtId="49" fontId="3" fillId="2" borderId="2" xfId="0" applyNumberFormat="1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3" xfId="0" applyBorder="1"/>
    <xf numFmtId="4" fontId="0" fillId="0" borderId="3" xfId="0" applyNumberFormat="1" applyBorder="1"/>
    <xf numFmtId="0" fontId="0" fillId="0" borderId="3" xfId="0" applyBorder="1" applyProtection="1">
      <protection locked="0"/>
    </xf>
    <xf numFmtId="12" fontId="0" fillId="0" borderId="3" xfId="0" applyNumberFormat="1" applyBorder="1"/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4" fontId="0" fillId="0" borderId="3" xfId="0" applyNumberFormat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2" fontId="3" fillId="2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49" fontId="8" fillId="0" borderId="0" xfId="3" applyNumberFormat="1"/>
    <xf numFmtId="0" fontId="10" fillId="0" borderId="0" xfId="0" applyFont="1"/>
    <xf numFmtId="43" fontId="10" fillId="0" borderId="0" xfId="2" applyFont="1" applyFill="1"/>
    <xf numFmtId="43" fontId="10" fillId="0" borderId="0" xfId="2" applyFont="1"/>
    <xf numFmtId="43" fontId="11" fillId="0" borderId="0" xfId="2" applyFont="1" applyFill="1"/>
    <xf numFmtId="43" fontId="12" fillId="0" borderId="0" xfId="2" applyFont="1" applyFill="1"/>
    <xf numFmtId="43" fontId="10" fillId="0" borderId="0" xfId="0" applyNumberFormat="1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1" fillId="0" borderId="0" xfId="0" applyFont="1"/>
    <xf numFmtId="43" fontId="12" fillId="0" borderId="3" xfId="2" applyFont="1" applyFill="1" applyBorder="1"/>
    <xf numFmtId="0" fontId="10" fillId="3" borderId="0" xfId="0" applyFont="1" applyFill="1"/>
    <xf numFmtId="49" fontId="0" fillId="0" borderId="11" xfId="0" applyNumberFormat="1" applyBorder="1"/>
    <xf numFmtId="0" fontId="0" fillId="0" borderId="11" xfId="0" applyBorder="1"/>
    <xf numFmtId="49" fontId="0" fillId="0" borderId="11" xfId="0" applyNumberFormat="1" applyBorder="1" applyAlignment="1">
      <alignment wrapText="1"/>
    </xf>
    <xf numFmtId="49" fontId="0" fillId="0" borderId="3" xfId="0" applyNumberFormat="1" applyBorder="1"/>
    <xf numFmtId="49" fontId="0" fillId="0" borderId="14" xfId="0" applyNumberFormat="1" applyBorder="1"/>
    <xf numFmtId="49" fontId="0" fillId="0" borderId="3" xfId="0" applyNumberFormat="1" applyBorder="1" applyAlignment="1">
      <alignment wrapText="1"/>
    </xf>
    <xf numFmtId="49" fontId="0" fillId="0" borderId="16" xfId="0" applyNumberFormat="1" applyBorder="1"/>
    <xf numFmtId="49" fontId="0" fillId="0" borderId="12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11" xfId="0" quotePrefix="1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3" xfId="0" quotePrefix="1" applyNumberFormat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3" xfId="0" quotePrefix="1" applyBorder="1" applyAlignment="1">
      <alignment horizontal="left"/>
    </xf>
    <xf numFmtId="1" fontId="0" fillId="0" borderId="0" xfId="0" quotePrefix="1" applyNumberFormat="1" applyAlignment="1">
      <alignment horizontal="left"/>
    </xf>
    <xf numFmtId="43" fontId="3" fillId="0" borderId="0" xfId="2" applyFont="1"/>
    <xf numFmtId="4" fontId="3" fillId="0" borderId="3" xfId="0" applyNumberFormat="1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quotePrefix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31" xfId="0" applyBorder="1"/>
    <xf numFmtId="49" fontId="0" fillId="0" borderId="31" xfId="0" applyNumberFormat="1" applyBorder="1" applyAlignment="1">
      <alignment wrapText="1"/>
    </xf>
    <xf numFmtId="0" fontId="0" fillId="0" borderId="31" xfId="0" applyBorder="1" applyAlignment="1">
      <alignment horizontal="left"/>
    </xf>
    <xf numFmtId="43" fontId="0" fillId="0" borderId="6" xfId="2" applyFon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0" fontId="0" fillId="0" borderId="6" xfId="0" applyBorder="1" applyAlignment="1" applyProtection="1">
      <alignment horizontal="center"/>
      <protection locked="0"/>
    </xf>
    <xf numFmtId="49" fontId="3" fillId="2" borderId="30" xfId="0" applyNumberFormat="1" applyFont="1" applyFill="1" applyBorder="1" applyAlignment="1">
      <alignment horizontal="center" vertical="center"/>
    </xf>
    <xf numFmtId="49" fontId="3" fillId="2" borderId="32" xfId="0" applyNumberFormat="1" applyFont="1" applyFill="1" applyBorder="1" applyAlignment="1">
      <alignment horizontal="center" vertical="center"/>
    </xf>
    <xf numFmtId="49" fontId="3" fillId="2" borderId="32" xfId="0" applyNumberFormat="1" applyFont="1" applyFill="1" applyBorder="1" applyAlignment="1">
      <alignment horizontal="center" wrapText="1"/>
    </xf>
    <xf numFmtId="2" fontId="3" fillId="2" borderId="32" xfId="0" applyNumberFormat="1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left"/>
    </xf>
    <xf numFmtId="0" fontId="13" fillId="0" borderId="0" xfId="0" applyFont="1" applyProtection="1">
      <protection locked="0"/>
    </xf>
    <xf numFmtId="0" fontId="10" fillId="0" borderId="0" xfId="0" applyFont="1" applyProtection="1">
      <protection locked="0"/>
    </xf>
    <xf numFmtId="166" fontId="10" fillId="0" borderId="0" xfId="0" applyNumberFormat="1" applyFont="1" applyProtection="1">
      <protection locked="0"/>
    </xf>
    <xf numFmtId="43" fontId="10" fillId="0" borderId="0" xfId="2" applyFont="1" applyFill="1" applyProtection="1">
      <protection hidden="1"/>
    </xf>
    <xf numFmtId="43" fontId="10" fillId="0" borderId="0" xfId="2" applyFont="1" applyFill="1" applyProtection="1">
      <protection locked="0"/>
    </xf>
    <xf numFmtId="43" fontId="11" fillId="0" borderId="0" xfId="2" applyFont="1" applyFill="1" applyProtection="1">
      <protection locked="0"/>
    </xf>
    <xf numFmtId="0" fontId="12" fillId="0" borderId="0" xfId="0" applyFont="1" applyProtection="1">
      <protection locked="0"/>
    </xf>
    <xf numFmtId="0" fontId="14" fillId="0" borderId="0" xfId="0" applyFont="1" applyProtection="1">
      <protection locked="0"/>
    </xf>
    <xf numFmtId="166" fontId="12" fillId="0" borderId="0" xfId="0" applyNumberFormat="1" applyFont="1" applyProtection="1">
      <protection locked="0"/>
    </xf>
    <xf numFmtId="43" fontId="12" fillId="0" borderId="0" xfId="2" applyFont="1" applyFill="1" applyProtection="1">
      <protection hidden="1"/>
    </xf>
    <xf numFmtId="43" fontId="12" fillId="0" borderId="0" xfId="2" applyFont="1" applyFill="1" applyProtection="1">
      <protection locked="0"/>
    </xf>
    <xf numFmtId="43" fontId="15" fillId="0" borderId="0" xfId="2" applyFont="1" applyFill="1" applyProtection="1">
      <protection locked="0"/>
    </xf>
    <xf numFmtId="0" fontId="12" fillId="5" borderId="0" xfId="0" applyFont="1" applyFill="1" applyProtection="1">
      <protection locked="0"/>
    </xf>
    <xf numFmtId="0" fontId="11" fillId="0" borderId="18" xfId="0" applyFont="1" applyBorder="1" applyAlignment="1" applyProtection="1">
      <alignment horizontal="centerContinuous" vertical="center" wrapText="1"/>
      <protection locked="0"/>
    </xf>
    <xf numFmtId="0" fontId="11" fillId="0" borderId="19" xfId="0" applyFont="1" applyBorder="1" applyAlignment="1" applyProtection="1">
      <alignment horizontal="centerContinuous" vertical="center" wrapText="1"/>
      <protection locked="0"/>
    </xf>
    <xf numFmtId="0" fontId="11" fillId="0" borderId="20" xfId="0" applyFont="1" applyBorder="1" applyAlignment="1" applyProtection="1">
      <alignment horizontal="centerContinuous"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166" fontId="11" fillId="0" borderId="2" xfId="0" applyNumberFormat="1" applyFont="1" applyBorder="1" applyAlignment="1" applyProtection="1">
      <alignment vertical="center" wrapText="1"/>
      <protection locked="0"/>
    </xf>
    <xf numFmtId="43" fontId="11" fillId="0" borderId="2" xfId="4" applyFont="1" applyFill="1" applyBorder="1" applyAlignment="1" applyProtection="1">
      <alignment vertical="center" wrapText="1"/>
      <protection hidden="1"/>
    </xf>
    <xf numFmtId="43" fontId="11" fillId="0" borderId="2" xfId="4" applyFont="1" applyBorder="1" applyAlignment="1" applyProtection="1">
      <alignment vertical="center" wrapText="1"/>
      <protection locked="0"/>
    </xf>
    <xf numFmtId="43" fontId="11" fillId="0" borderId="2" xfId="4" applyFont="1" applyFill="1" applyBorder="1" applyAlignment="1" applyProtection="1">
      <alignment vertical="center" wrapText="1"/>
      <protection locked="0"/>
    </xf>
    <xf numFmtId="43" fontId="11" fillId="0" borderId="8" xfId="4" applyFont="1" applyFill="1" applyBorder="1" applyAlignment="1" applyProtection="1">
      <alignment horizontal="centerContinuous" vertical="center" wrapText="1"/>
      <protection locked="0"/>
    </xf>
    <xf numFmtId="43" fontId="11" fillId="0" borderId="21" xfId="4" applyFont="1" applyFill="1" applyBorder="1" applyAlignment="1" applyProtection="1">
      <alignment horizontal="centerContinuous" vertical="center" wrapText="1"/>
      <protection locked="0"/>
    </xf>
    <xf numFmtId="43" fontId="15" fillId="0" borderId="21" xfId="4" applyFont="1" applyFill="1" applyBorder="1" applyAlignment="1" applyProtection="1">
      <alignment horizontal="centerContinuous" vertical="center" wrapText="1"/>
      <protection locked="0"/>
    </xf>
    <xf numFmtId="43" fontId="11" fillId="0" borderId="22" xfId="4" applyFont="1" applyFill="1" applyBorder="1" applyAlignment="1" applyProtection="1">
      <alignment horizontal="centerContinuous" vertical="center" wrapText="1"/>
      <protection locked="0"/>
    </xf>
    <xf numFmtId="0" fontId="15" fillId="0" borderId="2" xfId="0" applyFont="1" applyBorder="1" applyAlignment="1" applyProtection="1">
      <alignment vertical="center" wrapText="1"/>
      <protection locked="0"/>
    </xf>
    <xf numFmtId="0" fontId="11" fillId="0" borderId="20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Continuous" vertical="center" wrapText="1"/>
      <protection locked="0"/>
    </xf>
    <xf numFmtId="0" fontId="11" fillId="0" borderId="21" xfId="0" applyFont="1" applyBorder="1" applyAlignment="1" applyProtection="1">
      <alignment horizontal="centerContinuous" vertical="center" wrapText="1"/>
      <protection locked="0"/>
    </xf>
    <xf numFmtId="0" fontId="11" fillId="0" borderId="22" xfId="0" applyFont="1" applyBorder="1" applyAlignment="1" applyProtection="1">
      <alignment horizontal="centerContinuous" vertical="center" wrapText="1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11" fillId="0" borderId="23" xfId="0" applyFont="1" applyBorder="1" applyAlignment="1" applyProtection="1">
      <alignment vertical="center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166" fontId="11" fillId="0" borderId="6" xfId="0" applyNumberFormat="1" applyFont="1" applyBorder="1" applyAlignment="1" applyProtection="1">
      <alignment horizontal="center" vertical="center" wrapText="1"/>
      <protection locked="0"/>
    </xf>
    <xf numFmtId="43" fontId="11" fillId="0" borderId="6" xfId="4" applyFont="1" applyFill="1" applyBorder="1" applyAlignment="1" applyProtection="1">
      <alignment horizontal="center" vertical="center" wrapText="1"/>
      <protection hidden="1"/>
    </xf>
    <xf numFmtId="43" fontId="11" fillId="0" borderId="6" xfId="4" applyFont="1" applyBorder="1" applyAlignment="1" applyProtection="1">
      <alignment horizontal="center" vertical="center" wrapText="1"/>
      <protection locked="0"/>
    </xf>
    <xf numFmtId="43" fontId="11" fillId="0" borderId="6" xfId="4" applyFont="1" applyFill="1" applyBorder="1" applyAlignment="1" applyProtection="1">
      <alignment horizontal="center" vertical="center" wrapText="1"/>
      <protection locked="0"/>
    </xf>
    <xf numFmtId="43" fontId="11" fillId="3" borderId="6" xfId="4" applyFont="1" applyFill="1" applyBorder="1" applyAlignment="1" applyProtection="1">
      <alignment horizontal="center" vertical="center" wrapText="1"/>
      <protection locked="0"/>
    </xf>
    <xf numFmtId="43" fontId="15" fillId="0" borderId="6" xfId="4" applyFont="1" applyFill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3" borderId="6" xfId="0" applyFont="1" applyFill="1" applyBorder="1" applyAlignment="1" applyProtection="1">
      <alignment horizontal="center" vertical="center" wrapText="1"/>
      <protection locked="0"/>
    </xf>
    <xf numFmtId="0" fontId="11" fillId="0" borderId="25" xfId="0" applyFont="1" applyBorder="1" applyAlignment="1" applyProtection="1">
      <alignment horizontal="center" vertical="center"/>
      <protection locked="0"/>
    </xf>
    <xf numFmtId="0" fontId="10" fillId="0" borderId="26" xfId="0" quotePrefix="1" applyFont="1" applyBorder="1" applyAlignment="1" applyProtection="1">
      <alignment horizontal="right"/>
      <protection locked="0"/>
    </xf>
    <xf numFmtId="0" fontId="10" fillId="0" borderId="3" xfId="0" applyFont="1" applyBorder="1" applyAlignment="1" applyProtection="1">
      <alignment wrapText="1"/>
      <protection locked="0"/>
    </xf>
    <xf numFmtId="0" fontId="10" fillId="0" borderId="3" xfId="0" applyFont="1" applyBorder="1" applyProtection="1">
      <protection locked="0"/>
    </xf>
    <xf numFmtId="0" fontId="10" fillId="0" borderId="27" xfId="0" applyFont="1" applyBorder="1" applyAlignment="1" applyProtection="1">
      <alignment wrapText="1"/>
      <protection locked="0"/>
    </xf>
    <xf numFmtId="166" fontId="10" fillId="0" borderId="27" xfId="0" applyNumberFormat="1" applyFont="1" applyBorder="1" applyAlignment="1" applyProtection="1">
      <alignment wrapText="1"/>
      <protection locked="0"/>
    </xf>
    <xf numFmtId="43" fontId="10" fillId="0" borderId="27" xfId="2" applyFont="1" applyFill="1" applyBorder="1" applyProtection="1">
      <protection hidden="1"/>
    </xf>
    <xf numFmtId="43" fontId="10" fillId="0" borderId="6" xfId="2" applyFont="1" applyFill="1" applyBorder="1" applyProtection="1">
      <protection locked="0"/>
    </xf>
    <xf numFmtId="43" fontId="11" fillId="0" borderId="6" xfId="2" applyFont="1" applyFill="1" applyBorder="1" applyProtection="1">
      <protection locked="0"/>
    </xf>
    <xf numFmtId="43" fontId="12" fillId="0" borderId="6" xfId="2" applyFont="1" applyFill="1" applyBorder="1" applyProtection="1">
      <protection locked="0"/>
    </xf>
    <xf numFmtId="164" fontId="10" fillId="0" borderId="6" xfId="0" applyNumberFormat="1" applyFont="1" applyBorder="1" applyProtection="1">
      <protection locked="0"/>
    </xf>
    <xf numFmtId="43" fontId="10" fillId="0" borderId="6" xfId="0" applyNumberFormat="1" applyFont="1" applyBorder="1" applyProtection="1">
      <protection locked="0"/>
    </xf>
    <xf numFmtId="0" fontId="10" fillId="0" borderId="6" xfId="0" applyFont="1" applyBorder="1" applyProtection="1">
      <protection locked="0"/>
    </xf>
    <xf numFmtId="166" fontId="10" fillId="0" borderId="6" xfId="0" applyNumberFormat="1" applyFont="1" applyBorder="1" applyProtection="1">
      <protection locked="0"/>
    </xf>
    <xf numFmtId="166" fontId="10" fillId="0" borderId="3" xfId="0" applyNumberFormat="1" applyFont="1" applyBorder="1" applyProtection="1">
      <protection locked="0"/>
    </xf>
    <xf numFmtId="43" fontId="10" fillId="0" borderId="3" xfId="2" applyFont="1" applyFill="1" applyBorder="1" applyProtection="1">
      <protection locked="0"/>
    </xf>
    <xf numFmtId="43" fontId="12" fillId="0" borderId="3" xfId="2" applyFont="1" applyFill="1" applyBorder="1" applyProtection="1">
      <protection locked="0"/>
    </xf>
    <xf numFmtId="43" fontId="12" fillId="0" borderId="3" xfId="2" applyFont="1" applyFill="1" applyBorder="1" applyAlignment="1" applyProtection="1">
      <alignment horizontal="center"/>
      <protection locked="0"/>
    </xf>
    <xf numFmtId="43" fontId="12" fillId="3" borderId="3" xfId="2" applyFont="1" applyFill="1" applyBorder="1" applyProtection="1">
      <protection locked="0"/>
    </xf>
    <xf numFmtId="43" fontId="12" fillId="3" borderId="6" xfId="2" applyFont="1" applyFill="1" applyBorder="1" applyProtection="1">
      <protection locked="0"/>
    </xf>
    <xf numFmtId="43" fontId="12" fillId="0" borderId="6" xfId="0" applyNumberFormat="1" applyFont="1" applyBorder="1" applyProtection="1">
      <protection locked="0"/>
    </xf>
    <xf numFmtId="43" fontId="12" fillId="4" borderId="3" xfId="2" applyFont="1" applyFill="1" applyBorder="1" applyProtection="1">
      <protection locked="0"/>
    </xf>
    <xf numFmtId="43" fontId="12" fillId="0" borderId="0" xfId="2" applyFont="1" applyFill="1" applyBorder="1" applyProtection="1">
      <protection locked="0"/>
    </xf>
    <xf numFmtId="165" fontId="12" fillId="0" borderId="6" xfId="2" applyNumberFormat="1" applyFont="1" applyFill="1" applyBorder="1" applyProtection="1">
      <protection locked="0"/>
    </xf>
    <xf numFmtId="0" fontId="12" fillId="0" borderId="3" xfId="0" applyFont="1" applyBorder="1" applyAlignment="1" applyProtection="1">
      <alignment wrapText="1"/>
      <protection locked="0"/>
    </xf>
    <xf numFmtId="0" fontId="12" fillId="0" borderId="3" xfId="0" applyFont="1" applyBorder="1" applyProtection="1">
      <protection locked="0"/>
    </xf>
    <xf numFmtId="166" fontId="12" fillId="0" borderId="3" xfId="0" applyNumberFormat="1" applyFont="1" applyBorder="1" applyProtection="1">
      <protection locked="0"/>
    </xf>
    <xf numFmtId="43" fontId="12" fillId="3" borderId="3" xfId="2" applyFont="1" applyFill="1" applyBorder="1" applyAlignment="1" applyProtection="1">
      <alignment horizontal="center"/>
      <protection locked="0"/>
    </xf>
    <xf numFmtId="0" fontId="10" fillId="0" borderId="15" xfId="0" applyFont="1" applyBorder="1" applyProtection="1">
      <protection locked="0"/>
    </xf>
    <xf numFmtId="0" fontId="10" fillId="0" borderId="28" xfId="0" applyFont="1" applyBorder="1" applyProtection="1">
      <protection locked="0"/>
    </xf>
    <xf numFmtId="166" fontId="10" fillId="0" borderId="28" xfId="0" applyNumberFormat="1" applyFont="1" applyBorder="1" applyProtection="1">
      <protection locked="0"/>
    </xf>
    <xf numFmtId="43" fontId="11" fillId="0" borderId="29" xfId="2" applyFont="1" applyFill="1" applyBorder="1" applyProtection="1">
      <protection hidden="1"/>
    </xf>
    <xf numFmtId="43" fontId="11" fillId="0" borderId="29" xfId="2" applyFont="1" applyFill="1" applyBorder="1" applyProtection="1">
      <protection locked="0"/>
    </xf>
    <xf numFmtId="43" fontId="11" fillId="0" borderId="3" xfId="2" applyFont="1" applyFill="1" applyBorder="1" applyProtection="1">
      <protection locked="0"/>
    </xf>
    <xf numFmtId="49" fontId="0" fillId="0" borderId="3" xfId="0" quotePrefix="1" applyNumberFormat="1" applyBorder="1"/>
    <xf numFmtId="2" fontId="3" fillId="2" borderId="2" xfId="0" applyNumberFormat="1" applyFont="1" applyFill="1" applyBorder="1" applyAlignment="1">
      <alignment horizontal="center" vertical="center"/>
    </xf>
    <xf numFmtId="2" fontId="3" fillId="2" borderId="33" xfId="0" applyNumberFormat="1" applyFont="1" applyFill="1" applyBorder="1" applyAlignment="1">
      <alignment horizontal="center" vertical="center"/>
    </xf>
    <xf numFmtId="2" fontId="3" fillId="2" borderId="23" xfId="0" applyNumberFormat="1" applyFont="1" applyFill="1" applyBorder="1" applyAlignment="1">
      <alignment horizontal="center" vertical="center"/>
    </xf>
    <xf numFmtId="2" fontId="3" fillId="2" borderId="34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0" xfId="0"/>
    <xf numFmtId="49" fontId="3" fillId="2" borderId="4" xfId="0" applyNumberFormat="1" applyFont="1" applyFill="1" applyBorder="1" applyAlignment="1">
      <alignment horizontal="center"/>
    </xf>
    <xf numFmtId="49" fontId="3" fillId="2" borderId="5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3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3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/>
    </xf>
    <xf numFmtId="2" fontId="3" fillId="2" borderId="9" xfId="0" applyNumberFormat="1" applyFont="1" applyFill="1" applyBorder="1" applyAlignment="1">
      <alignment horizontal="center" vertical="center"/>
    </xf>
    <xf numFmtId="2" fontId="3" fillId="2" borderId="6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left" vertical="center"/>
    </xf>
    <xf numFmtId="49" fontId="3" fillId="2" borderId="6" xfId="0" applyNumberFormat="1" applyFont="1" applyFill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1" fillId="0" borderId="17" xfId="0" applyFont="1" applyBorder="1" applyAlignment="1" applyProtection="1">
      <alignment horizontal="center" vertical="center" wrapText="1"/>
      <protection locked="0"/>
    </xf>
    <xf numFmtId="0" fontId="11" fillId="0" borderId="24" xfId="0" applyFont="1" applyBorder="1" applyAlignment="1" applyProtection="1">
      <alignment horizontal="center" vertical="center" wrapText="1"/>
      <protection locked="0"/>
    </xf>
    <xf numFmtId="0" fontId="11" fillId="0" borderId="28" xfId="0" applyFont="1" applyBorder="1" applyAlignment="1" applyProtection="1">
      <alignment horizontal="center"/>
      <protection locked="0"/>
    </xf>
    <xf numFmtId="166" fontId="10" fillId="0" borderId="3" xfId="0" applyNumberFormat="1" applyFont="1" applyBorder="1" applyAlignment="1" applyProtection="1">
      <alignment horizontal="right"/>
      <protection locked="0"/>
    </xf>
    <xf numFmtId="0" fontId="12" fillId="3" borderId="3" xfId="0" applyFont="1" applyFill="1" applyBorder="1" applyProtection="1">
      <protection locked="0"/>
    </xf>
    <xf numFmtId="4" fontId="16" fillId="0" borderId="6" xfId="0" applyNumberFormat="1" applyFont="1" applyBorder="1" applyAlignment="1">
      <alignment horizontal="center"/>
    </xf>
  </cellXfs>
  <cellStyles count="6">
    <cellStyle name="Comma" xfId="2" builtinId="3"/>
    <cellStyle name="Comma 2 2 2" xfId="5" xr:uid="{D6B9607A-A621-488D-8662-3B56913BE7D2}"/>
    <cellStyle name="Comma 3" xfId="4" xr:uid="{7511821E-6C3C-4113-B059-BC544DBEC037}"/>
    <cellStyle name="Hyperlink" xfId="3" builtinId="8"/>
    <cellStyle name="Normal" xfId="0" builtinId="0"/>
    <cellStyle name="Normal 5" xfId="1" xr:uid="{2DF3C1F1-897C-4F92-9570-D4F9B997AFE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123825</xdr:colOff>
      <xdr:row>0</xdr:row>
      <xdr:rowOff>9525</xdr:rowOff>
    </xdr:from>
    <xdr:to>
      <xdr:col>13</xdr:col>
      <xdr:colOff>0</xdr:colOff>
      <xdr:row>1</xdr:row>
      <xdr:rowOff>180975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9A339F0-0AEA-4185-AC1A-1CBCC8F05053}"/>
            </a:ext>
          </a:extLst>
        </xdr:cNvPr>
        <xdr:cNvSpPr txBox="1">
          <a:spLocks noChangeArrowheads="1"/>
        </xdr:cNvSpPr>
      </xdr:nvSpPr>
      <xdr:spPr bwMode="auto">
        <a:xfrm>
          <a:off x="10991850" y="9525"/>
          <a:ext cx="981075" cy="3619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HQP-TMF-381</a:t>
          </a:r>
        </a:p>
        <a:p>
          <a:pPr algn="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(V07, 08/2024)</a:t>
          </a:r>
        </a:p>
        <a:p>
          <a:pPr algn="r" rtl="0">
            <a:defRPr sz="1000"/>
          </a:pPr>
          <a:endParaRPr lang="en-PH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PH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12</xdr:col>
      <xdr:colOff>1066800</xdr:colOff>
      <xdr:row>1</xdr:row>
      <xdr:rowOff>161925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CFF13CD5-B823-4A67-9C70-AFCB9A8A42BE}"/>
            </a:ext>
          </a:extLst>
        </xdr:cNvPr>
        <xdr:cNvSpPr txBox="1">
          <a:spLocks noChangeArrowheads="1"/>
        </xdr:cNvSpPr>
      </xdr:nvSpPr>
      <xdr:spPr bwMode="auto">
        <a:xfrm>
          <a:off x="10772775" y="0"/>
          <a:ext cx="1066800" cy="3524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HQP-TMF-381</a:t>
          </a:r>
        </a:p>
        <a:p>
          <a:pPr algn="r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(V07, 08/2024)</a:t>
          </a:r>
        </a:p>
        <a:p>
          <a:pPr algn="r" rtl="0">
            <a:defRPr sz="1000"/>
          </a:pPr>
          <a:endParaRPr lang="en-PH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r" rtl="0">
            <a:defRPr sz="1000"/>
          </a:pPr>
          <a:endParaRPr lang="en-PH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AYROLL%20MICH/PERMANENT/PERMANENT%20PAYROLL/PERMANENT%20PAYROLL%202026/202603.%20ATI%20PAYROLL%20MAR%202026.xlsx" TargetMode="External"/><Relationship Id="rId2" Type="http://schemas.openxmlformats.org/officeDocument/2006/relationships/externalLinkPath" Target="file:///G:\APACER%20BACKUP\ATI%2011-16-2022\PAYROLL%20MICH\PERMANENT\PERMANENT%20PAYROLL\PERMANENT%20PAYROLL%202026\202603.%20ATI%20PAYROLL%20MAR%202026.xlsx" TargetMode="External"/><Relationship Id="rId1" Type="http://schemas.openxmlformats.org/officeDocument/2006/relationships/externalLinkPath" Target="/APACER%20BACKUP/ATI%2011-16-2022/PAYROLL%20MICH/PERMANENT/PERMANENT%20PAYROLL/PERMANENT%20PAYROLL%202026/202603.%20ATI%20PAYROLL%20MA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sallowance"/>
      <sheetName val="PER DIVISION"/>
      <sheetName val="DATA"/>
      <sheetName val="PAYOUT"/>
    </sheetNames>
    <sheetDataSet>
      <sheetData sheetId="0"/>
      <sheetData sheetId="1">
        <row r="4">
          <cell r="A4" t="str">
            <v>GENERAL PAYROLL FOR THE MONTH OF MARCH 2026</v>
          </cell>
        </row>
      </sheetData>
      <sheetData sheetId="2">
        <row r="3">
          <cell r="B3">
            <v>1</v>
          </cell>
          <cell r="C3">
            <v>2</v>
          </cell>
          <cell r="D3">
            <v>3</v>
          </cell>
          <cell r="E3">
            <v>4</v>
          </cell>
          <cell r="F3">
            <v>5</v>
          </cell>
          <cell r="G3">
            <v>6</v>
          </cell>
          <cell r="H3">
            <v>7</v>
          </cell>
          <cell r="I3">
            <v>8</v>
          </cell>
        </row>
        <row r="4">
          <cell r="A4">
            <v>1</v>
          </cell>
          <cell r="B4">
            <v>14634</v>
          </cell>
          <cell r="C4">
            <v>14730</v>
          </cell>
          <cell r="D4">
            <v>14849</v>
          </cell>
          <cell r="E4">
            <v>14968</v>
          </cell>
          <cell r="F4">
            <v>15089</v>
          </cell>
          <cell r="G4">
            <v>15211</v>
          </cell>
          <cell r="H4">
            <v>15333</v>
          </cell>
          <cell r="I4">
            <v>15456</v>
          </cell>
        </row>
        <row r="5">
          <cell r="A5">
            <v>2</v>
          </cell>
          <cell r="B5">
            <v>15522</v>
          </cell>
          <cell r="C5">
            <v>15636</v>
          </cell>
          <cell r="D5">
            <v>15752</v>
          </cell>
          <cell r="E5">
            <v>15869</v>
          </cell>
          <cell r="F5">
            <v>15986</v>
          </cell>
          <cell r="G5">
            <v>16103</v>
          </cell>
          <cell r="H5">
            <v>16223</v>
          </cell>
          <cell r="I5">
            <v>16342</v>
          </cell>
        </row>
        <row r="6">
          <cell r="A6">
            <v>3</v>
          </cell>
          <cell r="B6">
            <v>16486</v>
          </cell>
          <cell r="C6">
            <v>16610</v>
          </cell>
          <cell r="D6">
            <v>16732</v>
          </cell>
          <cell r="E6">
            <v>16856</v>
          </cell>
          <cell r="F6">
            <v>16982</v>
          </cell>
          <cell r="G6">
            <v>17106</v>
          </cell>
          <cell r="H6">
            <v>17234</v>
          </cell>
          <cell r="I6">
            <v>17360</v>
          </cell>
        </row>
        <row r="7">
          <cell r="A7">
            <v>4</v>
          </cell>
          <cell r="B7">
            <v>17506</v>
          </cell>
          <cell r="C7">
            <v>17636</v>
          </cell>
          <cell r="D7">
            <v>17767</v>
          </cell>
          <cell r="E7">
            <v>17898</v>
          </cell>
          <cell r="F7">
            <v>18031</v>
          </cell>
          <cell r="G7">
            <v>18163</v>
          </cell>
          <cell r="H7">
            <v>18298</v>
          </cell>
          <cell r="I7">
            <v>18433</v>
          </cell>
        </row>
        <row r="8">
          <cell r="A8">
            <v>5</v>
          </cell>
          <cell r="B8">
            <v>18581</v>
          </cell>
          <cell r="C8">
            <v>18720</v>
          </cell>
          <cell r="D8">
            <v>18858</v>
          </cell>
          <cell r="E8">
            <v>18998</v>
          </cell>
          <cell r="F8">
            <v>19137</v>
          </cell>
          <cell r="G8">
            <v>19280</v>
          </cell>
          <cell r="H8">
            <v>19423</v>
          </cell>
          <cell r="I8">
            <v>19565</v>
          </cell>
        </row>
        <row r="9">
          <cell r="A9">
            <v>6</v>
          </cell>
          <cell r="B9">
            <v>19710</v>
          </cell>
          <cell r="C9">
            <v>19862</v>
          </cell>
          <cell r="D9">
            <v>20009</v>
          </cell>
          <cell r="E9">
            <v>20158</v>
          </cell>
          <cell r="F9">
            <v>20307</v>
          </cell>
          <cell r="G9">
            <v>20456</v>
          </cell>
          <cell r="H9">
            <v>20609</v>
          </cell>
          <cell r="I9">
            <v>20761</v>
          </cell>
        </row>
        <row r="10">
          <cell r="A10">
            <v>7</v>
          </cell>
          <cell r="B10">
            <v>20914</v>
          </cell>
          <cell r="C10">
            <v>21069</v>
          </cell>
          <cell r="D10">
            <v>21224</v>
          </cell>
          <cell r="E10">
            <v>21382</v>
          </cell>
          <cell r="F10">
            <v>21539</v>
          </cell>
          <cell r="G10">
            <v>21699</v>
          </cell>
          <cell r="H10">
            <v>21859</v>
          </cell>
          <cell r="I10">
            <v>22022</v>
          </cell>
        </row>
        <row r="11">
          <cell r="A11">
            <v>8</v>
          </cell>
          <cell r="B11">
            <v>22423</v>
          </cell>
          <cell r="C11">
            <v>22627</v>
          </cell>
          <cell r="D11">
            <v>22832</v>
          </cell>
          <cell r="E11">
            <v>23038</v>
          </cell>
          <cell r="F11">
            <v>23246</v>
          </cell>
          <cell r="G11">
            <v>23456</v>
          </cell>
          <cell r="H11">
            <v>23668</v>
          </cell>
          <cell r="I11">
            <v>23883</v>
          </cell>
        </row>
        <row r="12">
          <cell r="A12">
            <v>9</v>
          </cell>
          <cell r="B12">
            <v>24329</v>
          </cell>
          <cell r="C12">
            <v>24523</v>
          </cell>
          <cell r="D12">
            <v>24720</v>
          </cell>
          <cell r="E12">
            <v>24917</v>
          </cell>
          <cell r="F12">
            <v>25117</v>
          </cell>
          <cell r="G12">
            <v>25318</v>
          </cell>
          <cell r="H12">
            <v>25521</v>
          </cell>
          <cell r="I12">
            <v>25725</v>
          </cell>
        </row>
        <row r="13">
          <cell r="A13">
            <v>10</v>
          </cell>
          <cell r="B13">
            <v>26917</v>
          </cell>
          <cell r="C13">
            <v>27131</v>
          </cell>
          <cell r="D13">
            <v>27347</v>
          </cell>
          <cell r="E13">
            <v>27565</v>
          </cell>
          <cell r="F13">
            <v>27786</v>
          </cell>
          <cell r="G13">
            <v>28007</v>
          </cell>
          <cell r="H13">
            <v>28230</v>
          </cell>
          <cell r="I13">
            <v>28456</v>
          </cell>
        </row>
        <row r="14">
          <cell r="A14">
            <v>11</v>
          </cell>
          <cell r="B14">
            <v>31705</v>
          </cell>
          <cell r="C14">
            <v>31820</v>
          </cell>
          <cell r="D14">
            <v>32109</v>
          </cell>
          <cell r="E14">
            <v>32401</v>
          </cell>
          <cell r="F14">
            <v>32697</v>
          </cell>
          <cell r="G14">
            <v>32998</v>
          </cell>
          <cell r="H14">
            <v>33302</v>
          </cell>
          <cell r="I14">
            <v>33611</v>
          </cell>
        </row>
        <row r="15">
          <cell r="A15">
            <v>12</v>
          </cell>
          <cell r="B15">
            <v>33947</v>
          </cell>
          <cell r="C15">
            <v>34069</v>
          </cell>
          <cell r="D15">
            <v>34357</v>
          </cell>
          <cell r="E15">
            <v>34648</v>
          </cell>
          <cell r="F15">
            <v>34943</v>
          </cell>
          <cell r="G15">
            <v>35242</v>
          </cell>
          <cell r="H15">
            <v>35544</v>
          </cell>
          <cell r="I15">
            <v>35850</v>
          </cell>
        </row>
        <row r="16">
          <cell r="A16">
            <v>13</v>
          </cell>
          <cell r="B16">
            <v>36125</v>
          </cell>
          <cell r="C16">
            <v>36283</v>
          </cell>
          <cell r="D16">
            <v>36599</v>
          </cell>
          <cell r="E16">
            <v>36919</v>
          </cell>
          <cell r="F16">
            <v>37244</v>
          </cell>
          <cell r="G16">
            <v>37572</v>
          </cell>
          <cell r="H16">
            <v>37904</v>
          </cell>
          <cell r="I16">
            <v>38241</v>
          </cell>
        </row>
        <row r="17">
          <cell r="A17">
            <v>14</v>
          </cell>
          <cell r="B17">
            <v>38764</v>
          </cell>
          <cell r="C17">
            <v>39141</v>
          </cell>
          <cell r="D17">
            <v>39523</v>
          </cell>
          <cell r="E17">
            <v>39910</v>
          </cell>
          <cell r="F17">
            <v>40300</v>
          </cell>
          <cell r="G17">
            <v>40696</v>
          </cell>
          <cell r="H17">
            <v>41097</v>
          </cell>
          <cell r="I17">
            <v>41503</v>
          </cell>
        </row>
        <row r="18">
          <cell r="A18">
            <v>15</v>
          </cell>
          <cell r="B18">
            <v>42178</v>
          </cell>
          <cell r="C18">
            <v>42594</v>
          </cell>
          <cell r="D18">
            <v>43015</v>
          </cell>
          <cell r="E18">
            <v>43442</v>
          </cell>
          <cell r="F18">
            <v>43874</v>
          </cell>
          <cell r="G18">
            <v>44310</v>
          </cell>
          <cell r="H18">
            <v>44753</v>
          </cell>
          <cell r="I18">
            <v>45202</v>
          </cell>
        </row>
        <row r="19">
          <cell r="A19">
            <v>16</v>
          </cell>
          <cell r="B19">
            <v>45694</v>
          </cell>
          <cell r="C19">
            <v>46152</v>
          </cell>
          <cell r="D19">
            <v>46615</v>
          </cell>
          <cell r="E19">
            <v>47084</v>
          </cell>
          <cell r="F19">
            <v>47559</v>
          </cell>
          <cell r="G19">
            <v>48040</v>
          </cell>
          <cell r="H19">
            <v>48528</v>
          </cell>
          <cell r="I19">
            <v>49020</v>
          </cell>
        </row>
        <row r="20">
          <cell r="A20">
            <v>17</v>
          </cell>
          <cell r="B20">
            <v>49562</v>
          </cell>
          <cell r="C20">
            <v>50066</v>
          </cell>
          <cell r="D20">
            <v>50576</v>
          </cell>
          <cell r="E20">
            <v>51092</v>
          </cell>
          <cell r="F20">
            <v>51614</v>
          </cell>
          <cell r="G20">
            <v>52144</v>
          </cell>
          <cell r="H20">
            <v>52678</v>
          </cell>
          <cell r="I20">
            <v>53221</v>
          </cell>
        </row>
        <row r="21">
          <cell r="A21">
            <v>18</v>
          </cell>
          <cell r="B21">
            <v>53818</v>
          </cell>
          <cell r="C21">
            <v>54371</v>
          </cell>
          <cell r="D21">
            <v>54933</v>
          </cell>
          <cell r="E21">
            <v>55499</v>
          </cell>
          <cell r="F21">
            <v>56075</v>
          </cell>
          <cell r="G21">
            <v>56657</v>
          </cell>
          <cell r="H21">
            <v>57246</v>
          </cell>
          <cell r="I21">
            <v>57842</v>
          </cell>
        </row>
        <row r="22">
          <cell r="A22">
            <v>19</v>
          </cell>
          <cell r="B22">
            <v>59153</v>
          </cell>
          <cell r="C22">
            <v>59966</v>
          </cell>
          <cell r="D22">
            <v>60793</v>
          </cell>
          <cell r="E22">
            <v>61632</v>
          </cell>
          <cell r="F22">
            <v>62486</v>
          </cell>
          <cell r="G22">
            <v>63353</v>
          </cell>
          <cell r="H22">
            <v>64236</v>
          </cell>
          <cell r="I22">
            <v>65132</v>
          </cell>
        </row>
        <row r="23">
          <cell r="A23">
            <v>20</v>
          </cell>
          <cell r="B23">
            <v>66052</v>
          </cell>
          <cell r="C23">
            <v>66970</v>
          </cell>
          <cell r="D23">
            <v>67904</v>
          </cell>
          <cell r="E23">
            <v>68853</v>
          </cell>
          <cell r="F23">
            <v>69818</v>
          </cell>
          <cell r="G23">
            <v>70772</v>
          </cell>
          <cell r="H23">
            <v>71727</v>
          </cell>
          <cell r="I23">
            <v>72671</v>
          </cell>
        </row>
        <row r="24">
          <cell r="A24">
            <v>21</v>
          </cell>
          <cell r="B24">
            <v>73303</v>
          </cell>
          <cell r="C24">
            <v>74337</v>
          </cell>
          <cell r="D24">
            <v>75388</v>
          </cell>
          <cell r="E24">
            <v>76456</v>
          </cell>
          <cell r="F24">
            <v>77542</v>
          </cell>
          <cell r="G24">
            <v>78645</v>
          </cell>
          <cell r="H24">
            <v>79692</v>
          </cell>
          <cell r="I24">
            <v>80831</v>
          </cell>
        </row>
        <row r="25">
          <cell r="A25">
            <v>22</v>
          </cell>
          <cell r="B25">
            <v>81796</v>
          </cell>
          <cell r="C25">
            <v>82963</v>
          </cell>
          <cell r="D25">
            <v>84151</v>
          </cell>
          <cell r="E25">
            <v>85356</v>
          </cell>
          <cell r="F25">
            <v>86582</v>
          </cell>
          <cell r="G25">
            <v>87746</v>
          </cell>
          <cell r="H25">
            <v>89011</v>
          </cell>
          <cell r="I25">
            <v>90295</v>
          </cell>
        </row>
        <row r="26">
          <cell r="A26">
            <v>23</v>
          </cell>
          <cell r="B26">
            <v>91306</v>
          </cell>
          <cell r="C26">
            <v>92622</v>
          </cell>
          <cell r="D26">
            <v>93962</v>
          </cell>
          <cell r="E26">
            <v>95330</v>
          </cell>
          <cell r="F26">
            <v>96823</v>
          </cell>
          <cell r="G26">
            <v>98341</v>
          </cell>
          <cell r="H26">
            <v>99883</v>
          </cell>
          <cell r="I26">
            <v>101318</v>
          </cell>
        </row>
        <row r="27">
          <cell r="A27">
            <v>24</v>
          </cell>
          <cell r="B27">
            <v>102603</v>
          </cell>
          <cell r="C27">
            <v>104209</v>
          </cell>
          <cell r="D27">
            <v>105841</v>
          </cell>
          <cell r="E27">
            <v>107500</v>
          </cell>
          <cell r="F27">
            <v>109185</v>
          </cell>
          <cell r="G27">
            <v>110898</v>
          </cell>
          <cell r="H27">
            <v>112533</v>
          </cell>
          <cell r="I27">
            <v>114301</v>
          </cell>
        </row>
        <row r="28">
          <cell r="A28">
            <v>25</v>
          </cell>
          <cell r="B28">
            <v>116643</v>
          </cell>
          <cell r="C28">
            <v>118469</v>
          </cell>
          <cell r="D28">
            <v>120326</v>
          </cell>
          <cell r="E28">
            <v>122212</v>
          </cell>
          <cell r="F28">
            <v>124131</v>
          </cell>
          <cell r="G28">
            <v>126079</v>
          </cell>
          <cell r="H28">
            <v>128061</v>
          </cell>
          <cell r="I28">
            <v>130073</v>
          </cell>
        </row>
        <row r="29">
          <cell r="A29">
            <v>26</v>
          </cell>
          <cell r="B29">
            <v>131807</v>
          </cell>
          <cell r="C29">
            <v>133870</v>
          </cell>
          <cell r="D29">
            <v>135968</v>
          </cell>
          <cell r="E29">
            <v>138100</v>
          </cell>
          <cell r="F29">
            <v>140268</v>
          </cell>
          <cell r="G29">
            <v>142469</v>
          </cell>
          <cell r="H29">
            <v>144707</v>
          </cell>
          <cell r="I29">
            <v>146983</v>
          </cell>
        </row>
        <row r="30">
          <cell r="A30">
            <v>27</v>
          </cell>
          <cell r="B30">
            <v>148940</v>
          </cell>
          <cell r="C30">
            <v>151273</v>
          </cell>
          <cell r="D30">
            <v>153644</v>
          </cell>
          <cell r="E30">
            <v>155906</v>
          </cell>
          <cell r="F30">
            <v>158353</v>
          </cell>
          <cell r="G30">
            <v>160235</v>
          </cell>
          <cell r="H30">
            <v>162752</v>
          </cell>
          <cell r="I30">
            <v>165310</v>
          </cell>
        </row>
        <row r="31">
          <cell r="A31">
            <v>28</v>
          </cell>
          <cell r="B31">
            <v>167129</v>
          </cell>
          <cell r="C31">
            <v>169752</v>
          </cell>
          <cell r="D31">
            <v>172418</v>
          </cell>
          <cell r="E31">
            <v>174797</v>
          </cell>
          <cell r="F31">
            <v>177545</v>
          </cell>
          <cell r="G31">
            <v>180339</v>
          </cell>
          <cell r="H31">
            <v>182660</v>
          </cell>
          <cell r="I31">
            <v>185537</v>
          </cell>
        </row>
        <row r="32">
          <cell r="A32">
            <v>29</v>
          </cell>
          <cell r="B32">
            <v>187531</v>
          </cell>
          <cell r="C32">
            <v>190482</v>
          </cell>
          <cell r="D32">
            <v>193480</v>
          </cell>
          <cell r="E32">
            <v>196528</v>
          </cell>
          <cell r="F32">
            <v>199624</v>
          </cell>
          <cell r="G32">
            <v>202005</v>
          </cell>
          <cell r="H32">
            <v>205191</v>
          </cell>
          <cell r="I32">
            <v>208430</v>
          </cell>
        </row>
        <row r="33">
          <cell r="A33">
            <v>30</v>
          </cell>
          <cell r="B33">
            <v>210718</v>
          </cell>
          <cell r="C33">
            <v>214038</v>
          </cell>
          <cell r="D33">
            <v>217207</v>
          </cell>
          <cell r="E33">
            <v>220425</v>
          </cell>
          <cell r="F33">
            <v>223691</v>
          </cell>
          <cell r="G33">
            <v>227224</v>
          </cell>
          <cell r="H33">
            <v>230595</v>
          </cell>
          <cell r="I33">
            <v>234240</v>
          </cell>
        </row>
        <row r="34">
          <cell r="A34">
            <v>31</v>
          </cell>
          <cell r="B34">
            <v>300961</v>
          </cell>
          <cell r="C34">
            <v>306691</v>
          </cell>
          <cell r="D34">
            <v>312532</v>
          </cell>
          <cell r="E34">
            <v>318182</v>
          </cell>
          <cell r="F34">
            <v>323938</v>
          </cell>
          <cell r="G34">
            <v>329989</v>
          </cell>
          <cell r="H34">
            <v>336092</v>
          </cell>
          <cell r="I34">
            <v>342310</v>
          </cell>
        </row>
        <row r="35">
          <cell r="A35">
            <v>32</v>
          </cell>
          <cell r="B35">
            <v>356237</v>
          </cell>
          <cell r="C35">
            <v>363257</v>
          </cell>
          <cell r="D35">
            <v>370418</v>
          </cell>
          <cell r="E35">
            <v>377359</v>
          </cell>
          <cell r="F35">
            <v>384805</v>
          </cell>
          <cell r="G35">
            <v>392400</v>
          </cell>
          <cell r="H35">
            <v>400150</v>
          </cell>
          <cell r="I35">
            <v>408055</v>
          </cell>
        </row>
        <row r="36">
          <cell r="A36">
            <v>33</v>
          </cell>
          <cell r="B36">
            <v>449157</v>
          </cell>
          <cell r="C36">
            <v>462329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rmo.co@ati.da.gov.ph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rmo.co@ati.da.gov.ph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7089-A5B6-4FD8-8552-0D402556FE93}">
  <sheetPr>
    <pageSetUpPr fitToPage="1"/>
  </sheetPr>
  <dimension ref="A1:M1003"/>
  <sheetViews>
    <sheetView view="pageBreakPreview" topLeftCell="D64" zoomScale="85" zoomScaleNormal="100" zoomScaleSheetLayoutView="85" workbookViewId="0">
      <selection activeCell="J122" sqref="J122"/>
    </sheetView>
  </sheetViews>
  <sheetFormatPr defaultRowHeight="15" x14ac:dyDescent="0.25"/>
  <cols>
    <col min="1" max="1" width="4.28515625" customWidth="1"/>
    <col min="2" max="2" width="16.7109375" bestFit="1" customWidth="1"/>
    <col min="3" max="3" width="18.42578125" bestFit="1" customWidth="1"/>
    <col min="4" max="4" width="16.5703125" customWidth="1"/>
    <col min="5" max="5" width="15.42578125" bestFit="1" customWidth="1"/>
    <col min="6" max="6" width="21.42578125" customWidth="1"/>
    <col min="7" max="7" width="17.28515625" bestFit="1" customWidth="1"/>
    <col min="8" max="8" width="19.140625" style="42" customWidth="1"/>
    <col min="10" max="10" width="15.5703125" customWidth="1"/>
    <col min="11" max="11" width="11.42578125" customWidth="1"/>
    <col min="12" max="12" width="11.5703125" customWidth="1"/>
    <col min="13" max="13" width="16.5703125" customWidth="1"/>
  </cols>
  <sheetData>
    <row r="1" spans="1:13" x14ac:dyDescent="0.25">
      <c r="B1" s="3" t="s">
        <v>12</v>
      </c>
      <c r="C1" s="3" t="s">
        <v>47</v>
      </c>
      <c r="D1" s="3"/>
      <c r="E1" s="2"/>
      <c r="F1" s="2"/>
      <c r="G1" s="2"/>
      <c r="H1" s="41"/>
      <c r="I1" s="4"/>
      <c r="J1" s="4"/>
      <c r="K1" s="4"/>
      <c r="L1" s="5"/>
      <c r="M1" s="7"/>
    </row>
    <row r="2" spans="1:13" x14ac:dyDescent="0.25">
      <c r="B2" s="3" t="s">
        <v>13</v>
      </c>
      <c r="C2" s="150" t="s">
        <v>46</v>
      </c>
      <c r="D2" s="150"/>
      <c r="E2" s="151"/>
      <c r="F2" s="151"/>
      <c r="G2" s="2"/>
      <c r="H2" s="41"/>
      <c r="I2" s="4"/>
      <c r="J2" s="4"/>
      <c r="K2" s="4"/>
      <c r="L2" s="5"/>
    </row>
    <row r="3" spans="1:13" x14ac:dyDescent="0.25">
      <c r="B3" s="3" t="s">
        <v>14</v>
      </c>
      <c r="C3" s="150" t="s">
        <v>45</v>
      </c>
      <c r="D3" s="150"/>
      <c r="E3" s="151"/>
      <c r="F3" s="151"/>
      <c r="G3" s="151"/>
      <c r="H3" s="151"/>
      <c r="I3" s="151"/>
      <c r="J3" s="151"/>
      <c r="K3" s="151"/>
      <c r="L3" s="5"/>
    </row>
    <row r="4" spans="1:13" x14ac:dyDescent="0.25">
      <c r="B4" s="3" t="s">
        <v>16</v>
      </c>
      <c r="C4" s="2" t="s">
        <v>44</v>
      </c>
      <c r="D4" s="2"/>
      <c r="L4" s="5"/>
    </row>
    <row r="5" spans="1:13" x14ac:dyDescent="0.25">
      <c r="B5" s="3" t="s">
        <v>15</v>
      </c>
      <c r="C5" s="20" t="s">
        <v>43</v>
      </c>
      <c r="D5" s="2"/>
      <c r="L5" s="5"/>
    </row>
    <row r="6" spans="1:13" ht="15.75" thickBot="1" x14ac:dyDescent="0.3">
      <c r="B6" s="3" t="s">
        <v>17</v>
      </c>
      <c r="C6" s="53">
        <f>K99+L99</f>
        <v>45000</v>
      </c>
      <c r="D6" s="2"/>
      <c r="L6" s="5"/>
    </row>
    <row r="7" spans="1:13" ht="18" customHeight="1" thickBot="1" x14ac:dyDescent="0.3">
      <c r="B7" s="152" t="s">
        <v>18</v>
      </c>
      <c r="C7" s="153"/>
      <c r="D7" s="154" t="s">
        <v>8</v>
      </c>
      <c r="E7" s="156" t="s">
        <v>0</v>
      </c>
      <c r="F7" s="156" t="s">
        <v>1</v>
      </c>
      <c r="G7" s="156" t="s">
        <v>2</v>
      </c>
      <c r="H7" s="163" t="s">
        <v>3</v>
      </c>
      <c r="I7" s="156" t="s">
        <v>6</v>
      </c>
      <c r="J7" s="158" t="s">
        <v>19</v>
      </c>
      <c r="K7" s="165"/>
      <c r="L7" s="159" t="s">
        <v>4</v>
      </c>
      <c r="M7" s="159" t="s">
        <v>7</v>
      </c>
    </row>
    <row r="8" spans="1:13" ht="30" customHeight="1" x14ac:dyDescent="0.25">
      <c r="B8" s="12" t="s">
        <v>20</v>
      </c>
      <c r="C8" s="13" t="s">
        <v>9</v>
      </c>
      <c r="D8" s="161"/>
      <c r="E8" s="162"/>
      <c r="F8" s="162"/>
      <c r="G8" s="162"/>
      <c r="H8" s="164"/>
      <c r="I8" s="162"/>
      <c r="J8" s="6" t="s">
        <v>11</v>
      </c>
      <c r="K8" s="17" t="s">
        <v>5</v>
      </c>
      <c r="L8" s="160"/>
      <c r="M8" s="160"/>
    </row>
    <row r="9" spans="1:13" x14ac:dyDescent="0.25">
      <c r="A9">
        <v>1</v>
      </c>
      <c r="B9" s="47" t="s">
        <v>608</v>
      </c>
      <c r="C9" s="39"/>
      <c r="D9" s="32" t="s">
        <v>33</v>
      </c>
      <c r="E9" s="33" t="s">
        <v>360</v>
      </c>
      <c r="F9" s="33" t="s">
        <v>361</v>
      </c>
      <c r="G9" s="34"/>
      <c r="H9" s="43" t="s">
        <v>362</v>
      </c>
      <c r="I9" s="145" t="s">
        <v>830</v>
      </c>
      <c r="J9" s="15">
        <f>SUMIF(PAYOUT!$A:$A,'MP1'!$A9,PAYOUT!$L:$L)</f>
        <v>31705</v>
      </c>
      <c r="K9" s="15">
        <v>200</v>
      </c>
      <c r="L9" s="15">
        <f>SUMIF(PAYOUT!$A:$A,'MP1'!$A9,PAYOUT!$AE:$AE)</f>
        <v>200</v>
      </c>
      <c r="M9" s="16"/>
    </row>
    <row r="10" spans="1:13" x14ac:dyDescent="0.25">
      <c r="A10">
        <v>2</v>
      </c>
      <c r="B10" s="47" t="s">
        <v>609</v>
      </c>
      <c r="C10" s="39"/>
      <c r="D10" s="32" t="s">
        <v>33</v>
      </c>
      <c r="E10" s="33" t="s">
        <v>363</v>
      </c>
      <c r="F10" s="33" t="s">
        <v>364</v>
      </c>
      <c r="G10" s="34"/>
      <c r="H10" s="44" t="s">
        <v>365</v>
      </c>
      <c r="I10" s="145" t="s">
        <v>830</v>
      </c>
      <c r="J10" s="15">
        <f>SUMIF(PAYOUT!$A:$A,'MP1'!$A10,PAYOUT!$L:$L)</f>
        <v>31705</v>
      </c>
      <c r="K10" s="15">
        <v>200</v>
      </c>
      <c r="L10" s="15">
        <f>SUMIF(PAYOUT!$A:$A,'MP1'!$A10,PAYOUT!$AE:$AE)</f>
        <v>200</v>
      </c>
      <c r="M10" s="16"/>
    </row>
    <row r="11" spans="1:13" x14ac:dyDescent="0.25">
      <c r="A11">
        <v>3</v>
      </c>
      <c r="B11" s="48" t="s">
        <v>610</v>
      </c>
      <c r="C11" s="39"/>
      <c r="D11" s="32" t="s">
        <v>33</v>
      </c>
      <c r="E11" s="33" t="s">
        <v>366</v>
      </c>
      <c r="F11" s="33" t="s">
        <v>367</v>
      </c>
      <c r="G11" s="34"/>
      <c r="H11" s="44" t="s">
        <v>368</v>
      </c>
      <c r="I11" s="145" t="s">
        <v>830</v>
      </c>
      <c r="J11" s="15">
        <f>SUMIF(PAYOUT!$A:$A,'MP1'!$A11,PAYOUT!$L:$L)</f>
        <v>32401</v>
      </c>
      <c r="K11" s="15">
        <v>200</v>
      </c>
      <c r="L11" s="15">
        <f>SUMIF(PAYOUT!$A:$A,'MP1'!$A11,PAYOUT!$AE:$AE)</f>
        <v>200</v>
      </c>
      <c r="M11" s="16" t="s">
        <v>10</v>
      </c>
    </row>
    <row r="12" spans="1:13" x14ac:dyDescent="0.25">
      <c r="A12">
        <v>4</v>
      </c>
      <c r="B12" s="47" t="s">
        <v>691</v>
      </c>
      <c r="C12" s="39"/>
      <c r="D12" s="32" t="s">
        <v>33</v>
      </c>
      <c r="E12" s="33" t="s">
        <v>369</v>
      </c>
      <c r="F12" s="33" t="s">
        <v>370</v>
      </c>
      <c r="G12" s="34"/>
      <c r="H12" s="44" t="s">
        <v>371</v>
      </c>
      <c r="I12" s="145" t="s">
        <v>830</v>
      </c>
      <c r="J12" s="15">
        <f>SUMIF(PAYOUT!$A:$A,'MP1'!$A12,PAYOUT!$L:$L)</f>
        <v>31705</v>
      </c>
      <c r="K12" s="15">
        <v>200</v>
      </c>
      <c r="L12" s="15">
        <f>SUMIF(PAYOUT!$A:$A,'MP1'!$A12,PAYOUT!$AE:$AE)</f>
        <v>200</v>
      </c>
      <c r="M12" s="16" t="s">
        <v>10</v>
      </c>
    </row>
    <row r="13" spans="1:13" x14ac:dyDescent="0.25">
      <c r="A13">
        <v>5</v>
      </c>
      <c r="B13" s="48" t="s">
        <v>611</v>
      </c>
      <c r="C13" s="39"/>
      <c r="D13" s="32" t="s">
        <v>33</v>
      </c>
      <c r="E13" s="33" t="s">
        <v>372</v>
      </c>
      <c r="F13" s="33" t="s">
        <v>373</v>
      </c>
      <c r="G13" s="34"/>
      <c r="H13" s="44" t="s">
        <v>374</v>
      </c>
      <c r="I13" s="145" t="s">
        <v>830</v>
      </c>
      <c r="J13" s="15">
        <f>SUMIF(PAYOUT!$A:$A,'MP1'!$A13,PAYOUT!$L:$L)</f>
        <v>53818</v>
      </c>
      <c r="K13" s="15">
        <v>200</v>
      </c>
      <c r="L13" s="15">
        <f>SUMIF(PAYOUT!$A:$A,'MP1'!$A13,PAYOUT!$AE:$AE)</f>
        <v>200</v>
      </c>
      <c r="M13" s="16" t="s">
        <v>10</v>
      </c>
    </row>
    <row r="14" spans="1:13" x14ac:dyDescent="0.25">
      <c r="A14">
        <v>6</v>
      </c>
      <c r="B14" s="48" t="s">
        <v>612</v>
      </c>
      <c r="C14" s="39"/>
      <c r="D14" s="32" t="s">
        <v>33</v>
      </c>
      <c r="E14" s="33" t="s">
        <v>375</v>
      </c>
      <c r="F14" s="33" t="s">
        <v>376</v>
      </c>
      <c r="G14" s="34"/>
      <c r="H14" s="44" t="s">
        <v>377</v>
      </c>
      <c r="I14" s="145" t="s">
        <v>830</v>
      </c>
      <c r="J14" s="15">
        <f>SUMIF(PAYOUT!$A:$A,'MP1'!$A14,PAYOUT!$L:$L)</f>
        <v>42594</v>
      </c>
      <c r="K14" s="15">
        <v>200</v>
      </c>
      <c r="L14" s="15">
        <f>SUMIF(PAYOUT!$A:$A,'MP1'!$A14,PAYOUT!$AE:$AE)</f>
        <v>1000</v>
      </c>
      <c r="M14" s="16" t="s">
        <v>10</v>
      </c>
    </row>
    <row r="15" spans="1:13" x14ac:dyDescent="0.25">
      <c r="A15">
        <v>7</v>
      </c>
      <c r="B15" s="47" t="s">
        <v>692</v>
      </c>
      <c r="C15" s="39"/>
      <c r="D15" s="32" t="s">
        <v>33</v>
      </c>
      <c r="E15" s="33" t="s">
        <v>378</v>
      </c>
      <c r="F15" s="33" t="s">
        <v>379</v>
      </c>
      <c r="G15" s="34"/>
      <c r="H15" s="43" t="s">
        <v>380</v>
      </c>
      <c r="I15" s="145" t="s">
        <v>830</v>
      </c>
      <c r="J15" s="15">
        <f>SUMIF(PAYOUT!$A:$A,'MP1'!$A15,PAYOUT!$L:$L)</f>
        <v>24329</v>
      </c>
      <c r="K15" s="15">
        <v>200</v>
      </c>
      <c r="L15" s="15">
        <f>SUMIF(PAYOUT!$A:$A,'MP1'!$A15,PAYOUT!$AE:$AE)</f>
        <v>200</v>
      </c>
      <c r="M15" s="16" t="s">
        <v>10</v>
      </c>
    </row>
    <row r="16" spans="1:13" x14ac:dyDescent="0.25">
      <c r="A16">
        <v>8</v>
      </c>
      <c r="B16" s="48" t="s">
        <v>613</v>
      </c>
      <c r="C16" s="39"/>
      <c r="D16" s="32" t="s">
        <v>33</v>
      </c>
      <c r="E16" s="33" t="s">
        <v>378</v>
      </c>
      <c r="F16" s="33" t="s">
        <v>381</v>
      </c>
      <c r="G16" s="34"/>
      <c r="H16" s="44" t="s">
        <v>382</v>
      </c>
      <c r="I16" s="145" t="s">
        <v>830</v>
      </c>
      <c r="J16" s="15">
        <f>SUMIF(PAYOUT!$A:$A,'MP1'!$A16,PAYOUT!$L:$L)</f>
        <v>42178</v>
      </c>
      <c r="K16" s="15">
        <v>200</v>
      </c>
      <c r="L16" s="15">
        <f>SUMIF(PAYOUT!$A:$A,'MP1'!$A16,PAYOUT!$AE:$AE)</f>
        <v>500</v>
      </c>
      <c r="M16" s="16" t="s">
        <v>10</v>
      </c>
    </row>
    <row r="17" spans="1:13" x14ac:dyDescent="0.25">
      <c r="A17">
        <v>9</v>
      </c>
      <c r="B17" s="48" t="s">
        <v>614</v>
      </c>
      <c r="C17" s="39"/>
      <c r="D17" s="32" t="s">
        <v>33</v>
      </c>
      <c r="E17" s="33" t="s">
        <v>383</v>
      </c>
      <c r="F17" s="33" t="s">
        <v>384</v>
      </c>
      <c r="G17" s="34"/>
      <c r="H17" s="44" t="s">
        <v>385</v>
      </c>
      <c r="I17" s="145" t="s">
        <v>830</v>
      </c>
      <c r="J17" s="15">
        <f>SUMIF(PAYOUT!$A:$A,'MP1'!$A17,PAYOUT!$L:$L)</f>
        <v>42594</v>
      </c>
      <c r="K17" s="15">
        <v>200</v>
      </c>
      <c r="L17" s="15">
        <f>SUMIF(PAYOUT!$A:$A,'MP1'!$A17,PAYOUT!$AE:$AE)</f>
        <v>200</v>
      </c>
      <c r="M17" s="16" t="s">
        <v>10</v>
      </c>
    </row>
    <row r="18" spans="1:13" x14ac:dyDescent="0.25">
      <c r="A18">
        <v>10</v>
      </c>
      <c r="B18" s="48" t="s">
        <v>615</v>
      </c>
      <c r="C18" s="39"/>
      <c r="D18" s="32" t="s">
        <v>33</v>
      </c>
      <c r="E18" s="33" t="s">
        <v>386</v>
      </c>
      <c r="F18" s="33" t="s">
        <v>387</v>
      </c>
      <c r="G18" s="34"/>
      <c r="H18" s="44" t="s">
        <v>388</v>
      </c>
      <c r="I18" s="145" t="s">
        <v>830</v>
      </c>
      <c r="J18" s="15">
        <f>SUMIF(PAYOUT!$A:$A,'MP1'!$A18,PAYOUT!$L:$L)</f>
        <v>20914</v>
      </c>
      <c r="K18" s="15">
        <v>200</v>
      </c>
      <c r="L18" s="15">
        <f>SUMIF(PAYOUT!$A:$A,'MP1'!$A18,PAYOUT!$AE:$AE)</f>
        <v>200</v>
      </c>
      <c r="M18" s="16" t="s">
        <v>10</v>
      </c>
    </row>
    <row r="19" spans="1:13" x14ac:dyDescent="0.25">
      <c r="A19">
        <v>11</v>
      </c>
      <c r="B19" s="48" t="s">
        <v>616</v>
      </c>
      <c r="C19" s="39"/>
      <c r="D19" s="32" t="s">
        <v>33</v>
      </c>
      <c r="E19" s="33" t="s">
        <v>389</v>
      </c>
      <c r="F19" s="33" t="s">
        <v>390</v>
      </c>
      <c r="G19" s="34"/>
      <c r="H19" s="44" t="s">
        <v>391</v>
      </c>
      <c r="I19" s="145" t="s">
        <v>830</v>
      </c>
      <c r="J19" s="15">
        <f>SUMIF(PAYOUT!$A:$A,'MP1'!$A19,PAYOUT!$L:$L)</f>
        <v>148940</v>
      </c>
      <c r="K19" s="15">
        <v>200</v>
      </c>
      <c r="L19" s="15">
        <f>SUMIF(PAYOUT!$A:$A,'MP1'!$A19,PAYOUT!$AE:$AE)</f>
        <v>200</v>
      </c>
      <c r="M19" s="16" t="s">
        <v>10</v>
      </c>
    </row>
    <row r="20" spans="1:13" x14ac:dyDescent="0.25">
      <c r="A20">
        <v>12</v>
      </c>
      <c r="B20" s="48" t="s">
        <v>617</v>
      </c>
      <c r="C20" s="39"/>
      <c r="D20" s="32" t="s">
        <v>33</v>
      </c>
      <c r="E20" s="33" t="s">
        <v>392</v>
      </c>
      <c r="F20" s="33" t="s">
        <v>393</v>
      </c>
      <c r="G20" s="34"/>
      <c r="H20" s="44" t="s">
        <v>394</v>
      </c>
      <c r="I20" s="145" t="s">
        <v>830</v>
      </c>
      <c r="J20" s="15">
        <f>SUMIF(PAYOUT!$A:$A,'MP1'!$A20,PAYOUT!$L:$L)</f>
        <v>23668</v>
      </c>
      <c r="K20" s="15">
        <v>200</v>
      </c>
      <c r="L20" s="15">
        <f>SUMIF(PAYOUT!$A:$A,'MP1'!$A20,PAYOUT!$AE:$AE)</f>
        <v>200</v>
      </c>
      <c r="M20" s="16" t="s">
        <v>10</v>
      </c>
    </row>
    <row r="21" spans="1:13" x14ac:dyDescent="0.25">
      <c r="A21">
        <v>13</v>
      </c>
      <c r="B21" s="48" t="s">
        <v>618</v>
      </c>
      <c r="C21" s="39"/>
      <c r="D21" s="32" t="s">
        <v>33</v>
      </c>
      <c r="E21" s="33" t="s">
        <v>395</v>
      </c>
      <c r="F21" s="33" t="s">
        <v>396</v>
      </c>
      <c r="G21" s="34"/>
      <c r="H21" s="44" t="s">
        <v>397</v>
      </c>
      <c r="I21" s="145" t="s">
        <v>830</v>
      </c>
      <c r="J21" s="15">
        <f>SUMIF(PAYOUT!$A:$A,'MP1'!$A21,PAYOUT!$L:$L)</f>
        <v>31705</v>
      </c>
      <c r="K21" s="15">
        <v>200</v>
      </c>
      <c r="L21" s="15">
        <f>SUMIF(PAYOUT!$A:$A,'MP1'!$A21,PAYOUT!$AE:$AE)</f>
        <v>200</v>
      </c>
      <c r="M21" s="16" t="s">
        <v>10</v>
      </c>
    </row>
    <row r="22" spans="1:13" x14ac:dyDescent="0.25">
      <c r="A22">
        <v>14</v>
      </c>
      <c r="B22" s="48" t="s">
        <v>619</v>
      </c>
      <c r="C22" s="39"/>
      <c r="D22" s="32" t="s">
        <v>33</v>
      </c>
      <c r="E22" s="33" t="s">
        <v>398</v>
      </c>
      <c r="F22" s="33" t="s">
        <v>399</v>
      </c>
      <c r="G22" s="34"/>
      <c r="H22" s="44" t="s">
        <v>400</v>
      </c>
      <c r="I22" s="145" t="s">
        <v>830</v>
      </c>
      <c r="J22" s="15">
        <f>SUMIF(PAYOUT!$A:$A,'MP1'!$A22,PAYOUT!$L:$L)</f>
        <v>17360</v>
      </c>
      <c r="K22" s="15">
        <v>200</v>
      </c>
      <c r="L22" s="15">
        <f>SUMIF(PAYOUT!$A:$A,'MP1'!$A22,PAYOUT!$AE:$AE)</f>
        <v>500</v>
      </c>
      <c r="M22" s="16" t="s">
        <v>10</v>
      </c>
    </row>
    <row r="23" spans="1:13" x14ac:dyDescent="0.25">
      <c r="A23">
        <v>16</v>
      </c>
      <c r="B23" s="48" t="s">
        <v>620</v>
      </c>
      <c r="C23" s="39"/>
      <c r="D23" s="32" t="s">
        <v>33</v>
      </c>
      <c r="E23" s="33" t="s">
        <v>401</v>
      </c>
      <c r="F23" s="33" t="s">
        <v>402</v>
      </c>
      <c r="G23" s="34"/>
      <c r="H23" s="44" t="s">
        <v>403</v>
      </c>
      <c r="I23" s="145" t="s">
        <v>830</v>
      </c>
      <c r="J23" s="15">
        <f>SUMIF(PAYOUT!$A:$A,'MP1'!$A23,PAYOUT!$L:$L)</f>
        <v>23883</v>
      </c>
      <c r="K23" s="15">
        <v>200</v>
      </c>
      <c r="L23" s="15">
        <f>SUMIF(PAYOUT!$A:$A,'MP1'!$A23,PAYOUT!$AE:$AE)</f>
        <v>200</v>
      </c>
      <c r="M23" s="16" t="s">
        <v>10</v>
      </c>
    </row>
    <row r="24" spans="1:13" x14ac:dyDescent="0.25">
      <c r="A24">
        <v>17</v>
      </c>
      <c r="B24" s="48" t="s">
        <v>621</v>
      </c>
      <c r="C24" s="39"/>
      <c r="D24" s="32" t="s">
        <v>33</v>
      </c>
      <c r="E24" s="33" t="s">
        <v>404</v>
      </c>
      <c r="F24" s="33" t="s">
        <v>405</v>
      </c>
      <c r="G24" s="34"/>
      <c r="H24" s="44" t="s">
        <v>406</v>
      </c>
      <c r="I24" s="145" t="s">
        <v>830</v>
      </c>
      <c r="J24" s="15">
        <f>SUMIF(PAYOUT!$A:$A,'MP1'!$A24,PAYOUT!$L:$L)</f>
        <v>19565</v>
      </c>
      <c r="K24" s="15">
        <v>200</v>
      </c>
      <c r="L24" s="15">
        <f>SUMIF(PAYOUT!$A:$A,'MP1'!$A24,PAYOUT!$AE:$AE)</f>
        <v>200</v>
      </c>
      <c r="M24" s="16" t="s">
        <v>10</v>
      </c>
    </row>
    <row r="25" spans="1:13" x14ac:dyDescent="0.25">
      <c r="A25">
        <v>18</v>
      </c>
      <c r="B25" s="48" t="s">
        <v>622</v>
      </c>
      <c r="C25" s="39"/>
      <c r="D25" s="32" t="s">
        <v>33</v>
      </c>
      <c r="E25" s="33" t="s">
        <v>407</v>
      </c>
      <c r="F25" s="33" t="s">
        <v>408</v>
      </c>
      <c r="G25" s="34"/>
      <c r="H25" s="44" t="s">
        <v>409</v>
      </c>
      <c r="I25" s="145" t="s">
        <v>830</v>
      </c>
      <c r="J25" s="15">
        <f>SUMIF(PAYOUT!$A:$A,'MP1'!$A25,PAYOUT!$L:$L)</f>
        <v>42178</v>
      </c>
      <c r="K25" s="15">
        <v>200</v>
      </c>
      <c r="L25" s="15">
        <f>SUMIF(PAYOUT!$A:$A,'MP1'!$A25,PAYOUT!$AE:$AE)</f>
        <v>200</v>
      </c>
      <c r="M25" s="16" t="s">
        <v>10</v>
      </c>
    </row>
    <row r="26" spans="1:13" x14ac:dyDescent="0.25">
      <c r="A26">
        <v>19</v>
      </c>
      <c r="B26" s="48" t="s">
        <v>623</v>
      </c>
      <c r="C26" s="39"/>
      <c r="D26" s="32" t="s">
        <v>33</v>
      </c>
      <c r="E26" s="33" t="s">
        <v>410</v>
      </c>
      <c r="F26" s="33" t="s">
        <v>411</v>
      </c>
      <c r="G26" s="34"/>
      <c r="H26" s="44" t="s">
        <v>412</v>
      </c>
      <c r="I26" s="145" t="s">
        <v>830</v>
      </c>
      <c r="J26" s="15">
        <f>SUMIF(PAYOUT!$A:$A,'MP1'!$A26,PAYOUT!$L:$L)</f>
        <v>50066</v>
      </c>
      <c r="K26" s="15">
        <v>200</v>
      </c>
      <c r="L26" s="15">
        <f>SUMIF(PAYOUT!$A:$A,'MP1'!$A26,PAYOUT!$AE:$AE)</f>
        <v>200</v>
      </c>
      <c r="M26" s="16" t="s">
        <v>10</v>
      </c>
    </row>
    <row r="27" spans="1:13" x14ac:dyDescent="0.25">
      <c r="A27">
        <v>20</v>
      </c>
      <c r="B27" s="48" t="s">
        <v>624</v>
      </c>
      <c r="C27" s="39"/>
      <c r="D27" s="32" t="s">
        <v>33</v>
      </c>
      <c r="E27" s="33" t="s">
        <v>413</v>
      </c>
      <c r="F27" s="33" t="s">
        <v>414</v>
      </c>
      <c r="G27" s="34"/>
      <c r="H27" s="44" t="s">
        <v>415</v>
      </c>
      <c r="I27" s="145" t="s">
        <v>830</v>
      </c>
      <c r="J27" s="15">
        <f>SUMIF(PAYOUT!$A:$A,'MP1'!$A27,PAYOUT!$L:$L)</f>
        <v>53818</v>
      </c>
      <c r="K27" s="15">
        <v>200</v>
      </c>
      <c r="L27" s="15">
        <f>SUMIF(PAYOUT!$A:$A,'MP1'!$A27,PAYOUT!$AE:$AE)</f>
        <v>1500</v>
      </c>
      <c r="M27" s="16" t="s">
        <v>10</v>
      </c>
    </row>
    <row r="28" spans="1:13" x14ac:dyDescent="0.25">
      <c r="A28">
        <v>21</v>
      </c>
      <c r="B28" s="40" t="s">
        <v>625</v>
      </c>
      <c r="C28" s="40"/>
      <c r="D28" s="36" t="s">
        <v>33</v>
      </c>
      <c r="E28" s="33" t="s">
        <v>416</v>
      </c>
      <c r="F28" s="33" t="s">
        <v>417</v>
      </c>
      <c r="G28" s="37"/>
      <c r="H28" s="45" t="s">
        <v>418</v>
      </c>
      <c r="I28" s="145" t="s">
        <v>830</v>
      </c>
      <c r="J28" s="15">
        <f>SUMIF(PAYOUT!$A:$A,'MP1'!$A28,PAYOUT!$L:$L)</f>
        <v>32401</v>
      </c>
      <c r="K28" s="15">
        <v>200</v>
      </c>
      <c r="L28" s="15">
        <f>SUMIF(PAYOUT!$A:$A,'MP1'!$A28,PAYOUT!$AE:$AE)</f>
        <v>200</v>
      </c>
      <c r="M28" s="16" t="s">
        <v>10</v>
      </c>
    </row>
    <row r="29" spans="1:13" x14ac:dyDescent="0.25">
      <c r="A29">
        <v>22</v>
      </c>
      <c r="B29" s="40" t="s">
        <v>626</v>
      </c>
      <c r="C29" s="40"/>
      <c r="D29" s="36" t="s">
        <v>33</v>
      </c>
      <c r="E29" s="33" t="s">
        <v>419</v>
      </c>
      <c r="F29" s="33" t="s">
        <v>420</v>
      </c>
      <c r="G29" s="37"/>
      <c r="H29" s="45" t="s">
        <v>421</v>
      </c>
      <c r="I29" s="145" t="s">
        <v>830</v>
      </c>
      <c r="J29" s="15">
        <f>SUMIF(PAYOUT!$A:$A,'MP1'!$A29,PAYOUT!$L:$L)</f>
        <v>81796</v>
      </c>
      <c r="K29" s="15">
        <v>200</v>
      </c>
      <c r="L29" s="15">
        <f>SUMIF(PAYOUT!$A:$A,'MP1'!$A29,PAYOUT!$AE:$AE)</f>
        <v>500</v>
      </c>
      <c r="M29" s="16" t="s">
        <v>10</v>
      </c>
    </row>
    <row r="30" spans="1:13" x14ac:dyDescent="0.25">
      <c r="A30">
        <v>23</v>
      </c>
      <c r="B30" s="40" t="s">
        <v>627</v>
      </c>
      <c r="C30" s="40"/>
      <c r="D30" s="36" t="s">
        <v>33</v>
      </c>
      <c r="E30" s="33" t="s">
        <v>422</v>
      </c>
      <c r="F30" s="33" t="s">
        <v>423</v>
      </c>
      <c r="G30" s="37"/>
      <c r="H30" s="45" t="s">
        <v>424</v>
      </c>
      <c r="I30" s="145" t="s">
        <v>830</v>
      </c>
      <c r="J30" s="15">
        <f>SUMIF(PAYOUT!$A:$A,'MP1'!$A30,PAYOUT!$L:$L)</f>
        <v>42178</v>
      </c>
      <c r="K30" s="15">
        <v>200</v>
      </c>
      <c r="L30" s="15">
        <f>SUMIF(PAYOUT!$A:$A,'MP1'!$A30,PAYOUT!$AE:$AE)</f>
        <v>200</v>
      </c>
      <c r="M30" s="16" t="s">
        <v>10</v>
      </c>
    </row>
    <row r="31" spans="1:13" x14ac:dyDescent="0.25">
      <c r="A31">
        <v>24</v>
      </c>
      <c r="B31" s="40" t="s">
        <v>628</v>
      </c>
      <c r="C31" s="40"/>
      <c r="D31" s="36" t="s">
        <v>33</v>
      </c>
      <c r="E31" s="33" t="s">
        <v>425</v>
      </c>
      <c r="F31" s="33" t="s">
        <v>426</v>
      </c>
      <c r="G31" s="37"/>
      <c r="H31" s="46" t="s">
        <v>427</v>
      </c>
      <c r="I31" s="145" t="s">
        <v>830</v>
      </c>
      <c r="J31" s="15">
        <f>SUMIF(PAYOUT!$A:$A,'MP1'!$A31,PAYOUT!$L:$L)</f>
        <v>55499</v>
      </c>
      <c r="K31" s="15">
        <v>200</v>
      </c>
      <c r="L31" s="15">
        <f>SUMIF(PAYOUT!$A:$A,'MP1'!$A31,PAYOUT!$AE:$AE)</f>
        <v>200</v>
      </c>
      <c r="M31" s="16" t="s">
        <v>10</v>
      </c>
    </row>
    <row r="32" spans="1:13" x14ac:dyDescent="0.25">
      <c r="A32">
        <v>25</v>
      </c>
      <c r="B32" s="40" t="s">
        <v>629</v>
      </c>
      <c r="C32" s="40"/>
      <c r="D32" s="36" t="s">
        <v>33</v>
      </c>
      <c r="E32" s="33" t="s">
        <v>428</v>
      </c>
      <c r="F32" s="33" t="s">
        <v>429</v>
      </c>
      <c r="G32" s="37"/>
      <c r="H32" s="46" t="s">
        <v>398</v>
      </c>
      <c r="I32" s="145" t="s">
        <v>830</v>
      </c>
      <c r="J32" s="15">
        <f>SUMIF(PAYOUT!$A:$A,'MP1'!$A32,PAYOUT!$L:$L)</f>
        <v>42178</v>
      </c>
      <c r="K32" s="15">
        <v>200</v>
      </c>
      <c r="L32" s="15">
        <f>SUMIF(PAYOUT!$A:$A,'MP1'!$A32,PAYOUT!$AE:$AE)</f>
        <v>200</v>
      </c>
      <c r="M32" s="16" t="s">
        <v>10</v>
      </c>
    </row>
    <row r="33" spans="1:13" x14ac:dyDescent="0.25">
      <c r="A33">
        <v>27</v>
      </c>
      <c r="B33" s="40" t="s">
        <v>630</v>
      </c>
      <c r="C33" s="40"/>
      <c r="D33" s="36" t="s">
        <v>33</v>
      </c>
      <c r="E33" s="33" t="s">
        <v>430</v>
      </c>
      <c r="F33" s="33" t="s">
        <v>431</v>
      </c>
      <c r="G33" s="37"/>
      <c r="H33" s="46" t="s">
        <v>432</v>
      </c>
      <c r="I33" s="145" t="s">
        <v>830</v>
      </c>
      <c r="J33" s="15">
        <f>SUMIF(PAYOUT!$A:$A,'MP1'!$A33,PAYOUT!$L:$L)</f>
        <v>53818</v>
      </c>
      <c r="K33" s="15">
        <v>200</v>
      </c>
      <c r="L33" s="15">
        <f>SUMIF(PAYOUT!$A:$A,'MP1'!$A33,PAYOUT!$AE:$AE)</f>
        <v>500</v>
      </c>
      <c r="M33" s="16" t="s">
        <v>10</v>
      </c>
    </row>
    <row r="34" spans="1:13" x14ac:dyDescent="0.25">
      <c r="A34">
        <v>29</v>
      </c>
      <c r="B34" s="40" t="s">
        <v>631</v>
      </c>
      <c r="C34" s="40"/>
      <c r="D34" s="36" t="s">
        <v>33</v>
      </c>
      <c r="E34" s="33" t="s">
        <v>433</v>
      </c>
      <c r="F34" s="33" t="s">
        <v>434</v>
      </c>
      <c r="G34" s="37"/>
      <c r="H34" s="46" t="s">
        <v>435</v>
      </c>
      <c r="I34" s="145" t="s">
        <v>830</v>
      </c>
      <c r="J34" s="15">
        <f>SUMIF(PAYOUT!$A:$A,'MP1'!$A34,PAYOUT!$L:$L)</f>
        <v>43442</v>
      </c>
      <c r="K34" s="15">
        <v>200</v>
      </c>
      <c r="L34" s="15">
        <f>SUMIF(PAYOUT!$A:$A,'MP1'!$A34,PAYOUT!$AE:$AE)</f>
        <v>200</v>
      </c>
      <c r="M34" s="16" t="s">
        <v>10</v>
      </c>
    </row>
    <row r="35" spans="1:13" x14ac:dyDescent="0.25">
      <c r="A35">
        <v>30</v>
      </c>
      <c r="B35" s="40" t="s">
        <v>632</v>
      </c>
      <c r="C35" s="40"/>
      <c r="D35" s="36" t="s">
        <v>33</v>
      </c>
      <c r="E35" s="33" t="s">
        <v>436</v>
      </c>
      <c r="F35" s="33" t="s">
        <v>437</v>
      </c>
      <c r="G35" s="37"/>
      <c r="H35" s="46" t="s">
        <v>438</v>
      </c>
      <c r="I35" s="145" t="s">
        <v>830</v>
      </c>
      <c r="J35" s="15">
        <f>SUMIF(PAYOUT!$A:$A,'MP1'!$A35,PAYOUT!$L:$L)</f>
        <v>42178</v>
      </c>
      <c r="K35" s="15">
        <v>200</v>
      </c>
      <c r="L35" s="15">
        <f>SUMIF(PAYOUT!$A:$A,'MP1'!$A35,PAYOUT!$AE:$AE)</f>
        <v>200</v>
      </c>
      <c r="M35" s="16" t="s">
        <v>10</v>
      </c>
    </row>
    <row r="36" spans="1:13" x14ac:dyDescent="0.25">
      <c r="A36">
        <v>31</v>
      </c>
      <c r="B36" s="40" t="s">
        <v>633</v>
      </c>
      <c r="C36" s="40"/>
      <c r="D36" s="36" t="s">
        <v>33</v>
      </c>
      <c r="E36" s="33" t="s">
        <v>439</v>
      </c>
      <c r="F36" s="33" t="s">
        <v>440</v>
      </c>
      <c r="G36" s="37"/>
      <c r="H36" s="46" t="s">
        <v>441</v>
      </c>
      <c r="I36" s="145" t="s">
        <v>830</v>
      </c>
      <c r="J36" s="15">
        <f>SUMIF(PAYOUT!$A:$A,'MP1'!$A36,PAYOUT!$L:$L)</f>
        <v>17360</v>
      </c>
      <c r="K36" s="15">
        <v>200</v>
      </c>
      <c r="L36" s="15">
        <f>SUMIF(PAYOUT!$A:$A,'MP1'!$A36,PAYOUT!$AE:$AE)</f>
        <v>200</v>
      </c>
      <c r="M36" s="16" t="s">
        <v>10</v>
      </c>
    </row>
    <row r="37" spans="1:13" x14ac:dyDescent="0.25">
      <c r="A37">
        <v>32</v>
      </c>
      <c r="B37" s="40" t="s">
        <v>634</v>
      </c>
      <c r="C37" s="40"/>
      <c r="D37" s="36" t="s">
        <v>33</v>
      </c>
      <c r="E37" s="33" t="s">
        <v>442</v>
      </c>
      <c r="F37" s="33" t="s">
        <v>443</v>
      </c>
      <c r="G37" s="37"/>
      <c r="H37" s="46" t="s">
        <v>444</v>
      </c>
      <c r="I37" s="145" t="s">
        <v>830</v>
      </c>
      <c r="J37" s="15">
        <f>SUMIF(PAYOUT!$A:$A,'MP1'!$A37,PAYOUT!$L:$L)</f>
        <v>26917</v>
      </c>
      <c r="K37" s="15">
        <v>200</v>
      </c>
      <c r="L37" s="15">
        <f>SUMIF(PAYOUT!$A:$A,'MP1'!$A37,PAYOUT!$AE:$AE)</f>
        <v>300</v>
      </c>
      <c r="M37" s="16" t="s">
        <v>10</v>
      </c>
    </row>
    <row r="38" spans="1:13" x14ac:dyDescent="0.25">
      <c r="A38">
        <v>28</v>
      </c>
      <c r="B38" s="40" t="s">
        <v>635</v>
      </c>
      <c r="C38" s="40"/>
      <c r="D38" s="36" t="s">
        <v>33</v>
      </c>
      <c r="E38" s="33" t="s">
        <v>445</v>
      </c>
      <c r="F38" s="33" t="s">
        <v>446</v>
      </c>
      <c r="G38" s="37"/>
      <c r="H38" s="46" t="s">
        <v>447</v>
      </c>
      <c r="I38" s="145" t="s">
        <v>830</v>
      </c>
      <c r="J38" s="15">
        <f>SUMIF(PAYOUT!$A:$A,'MP1'!$A38,PAYOUT!$L:$L)</f>
        <v>32109</v>
      </c>
      <c r="K38" s="15">
        <v>200</v>
      </c>
      <c r="L38" s="15">
        <f>SUMIF(PAYOUT!$A:$A,'MP1'!$A38,PAYOUT!$AE:$AE)</f>
        <v>200</v>
      </c>
      <c r="M38" s="16" t="s">
        <v>10</v>
      </c>
    </row>
    <row r="39" spans="1:13" x14ac:dyDescent="0.25">
      <c r="A39">
        <v>33</v>
      </c>
      <c r="B39" s="40" t="s">
        <v>636</v>
      </c>
      <c r="C39" s="40"/>
      <c r="D39" s="36" t="s">
        <v>33</v>
      </c>
      <c r="E39" s="33" t="s">
        <v>448</v>
      </c>
      <c r="F39" s="33" t="s">
        <v>449</v>
      </c>
      <c r="G39" s="37"/>
      <c r="H39" s="46" t="s">
        <v>450</v>
      </c>
      <c r="I39" s="145" t="s">
        <v>830</v>
      </c>
      <c r="J39" s="15">
        <f>SUMIF(PAYOUT!$A:$A,'MP1'!$A39,PAYOUT!$L:$L)</f>
        <v>43015</v>
      </c>
      <c r="K39" s="15">
        <v>200</v>
      </c>
      <c r="L39" s="15">
        <f>SUMIF(PAYOUT!$A:$A,'MP1'!$A39,PAYOUT!$AE:$AE)</f>
        <v>200</v>
      </c>
      <c r="M39" s="16" t="s">
        <v>10</v>
      </c>
    </row>
    <row r="40" spans="1:13" x14ac:dyDescent="0.25">
      <c r="A40">
        <v>34</v>
      </c>
      <c r="B40" s="40" t="s">
        <v>637</v>
      </c>
      <c r="C40" s="40"/>
      <c r="D40" s="38" t="s">
        <v>33</v>
      </c>
      <c r="E40" s="33" t="s">
        <v>451</v>
      </c>
      <c r="F40" s="33" t="s">
        <v>452</v>
      </c>
      <c r="G40" s="37"/>
      <c r="H40" s="46" t="s">
        <v>453</v>
      </c>
      <c r="I40" s="145" t="s">
        <v>830</v>
      </c>
      <c r="J40" s="15">
        <f>SUMIF(PAYOUT!$A:$A,'MP1'!$A40,PAYOUT!$L:$L)</f>
        <v>54371</v>
      </c>
      <c r="K40" s="15">
        <v>200</v>
      </c>
      <c r="L40" s="15">
        <f>SUMIF(PAYOUT!$A:$A,'MP1'!$A40,PAYOUT!$AE:$AE)</f>
        <v>500</v>
      </c>
      <c r="M40" s="16" t="s">
        <v>10</v>
      </c>
    </row>
    <row r="41" spans="1:13" x14ac:dyDescent="0.25">
      <c r="A41">
        <v>35</v>
      </c>
      <c r="B41" s="40" t="s">
        <v>638</v>
      </c>
      <c r="C41" s="40"/>
      <c r="D41" s="35" t="s">
        <v>33</v>
      </c>
      <c r="E41" s="33" t="s">
        <v>454</v>
      </c>
      <c r="F41" s="33" t="s">
        <v>455</v>
      </c>
      <c r="G41" s="37"/>
      <c r="H41" s="46" t="s">
        <v>456</v>
      </c>
      <c r="I41" s="145" t="s">
        <v>830</v>
      </c>
      <c r="J41" s="15">
        <f>SUMIF(PAYOUT!$A:$A,'MP1'!$A41,PAYOUT!$L:$L)</f>
        <v>43442</v>
      </c>
      <c r="K41" s="15">
        <v>200</v>
      </c>
      <c r="L41" s="15">
        <f>SUMIF(PAYOUT!$A:$A,'MP1'!$A41,PAYOUT!$AE:$AE)</f>
        <v>200</v>
      </c>
      <c r="M41" s="16" t="s">
        <v>10</v>
      </c>
    </row>
    <row r="42" spans="1:13" x14ac:dyDescent="0.25">
      <c r="A42">
        <v>36</v>
      </c>
      <c r="B42" s="40" t="s">
        <v>639</v>
      </c>
      <c r="C42" s="40"/>
      <c r="D42" s="35" t="s">
        <v>33</v>
      </c>
      <c r="E42" s="33" t="s">
        <v>457</v>
      </c>
      <c r="F42" s="33" t="s">
        <v>458</v>
      </c>
      <c r="G42" s="37"/>
      <c r="H42" s="46" t="s">
        <v>459</v>
      </c>
      <c r="I42" s="145" t="s">
        <v>830</v>
      </c>
      <c r="J42" s="15">
        <f>SUMIF(PAYOUT!$A:$A,'MP1'!$A42,PAYOUT!$L:$L)</f>
        <v>31820</v>
      </c>
      <c r="K42" s="15">
        <v>200</v>
      </c>
      <c r="L42" s="15">
        <f>SUMIF(PAYOUT!$A:$A,'MP1'!$A42,PAYOUT!$AE:$AE)</f>
        <v>200</v>
      </c>
      <c r="M42" s="16" t="s">
        <v>10</v>
      </c>
    </row>
    <row r="43" spans="1:13" x14ac:dyDescent="0.25">
      <c r="A43">
        <v>37</v>
      </c>
      <c r="B43" s="40" t="s">
        <v>640</v>
      </c>
      <c r="C43" s="40"/>
      <c r="D43" s="35" t="s">
        <v>33</v>
      </c>
      <c r="E43" s="33" t="s">
        <v>460</v>
      </c>
      <c r="F43" s="33" t="s">
        <v>461</v>
      </c>
      <c r="G43" s="37"/>
      <c r="H43" s="46" t="s">
        <v>462</v>
      </c>
      <c r="I43" s="145" t="s">
        <v>830</v>
      </c>
      <c r="J43" s="15">
        <f>SUMIF(PAYOUT!$A:$A,'MP1'!$A43,PAYOUT!$L:$L)</f>
        <v>18433</v>
      </c>
      <c r="K43" s="15">
        <v>200</v>
      </c>
      <c r="L43" s="15">
        <f>SUMIF(PAYOUT!$A:$A,'MP1'!$A43,PAYOUT!$AE:$AE)</f>
        <v>200</v>
      </c>
      <c r="M43" s="16" t="s">
        <v>10</v>
      </c>
    </row>
    <row r="44" spans="1:13" x14ac:dyDescent="0.25">
      <c r="A44">
        <v>39</v>
      </c>
      <c r="B44" s="40" t="s">
        <v>641</v>
      </c>
      <c r="C44" s="40"/>
      <c r="D44" s="35" t="s">
        <v>33</v>
      </c>
      <c r="E44" s="33" t="s">
        <v>463</v>
      </c>
      <c r="F44" s="33" t="s">
        <v>464</v>
      </c>
      <c r="G44" s="37"/>
      <c r="H44" s="46" t="s">
        <v>465</v>
      </c>
      <c r="I44" s="145" t="s">
        <v>830</v>
      </c>
      <c r="J44" s="15">
        <f>SUMIF(PAYOUT!$A:$A,'MP1'!$A44,PAYOUT!$L:$L)</f>
        <v>31705</v>
      </c>
      <c r="K44" s="15">
        <v>200</v>
      </c>
      <c r="L44" s="15">
        <f>SUMIF(PAYOUT!$A:$A,'MP1'!$A44,PAYOUT!$AE:$AE)</f>
        <v>200</v>
      </c>
      <c r="M44" s="16" t="s">
        <v>10</v>
      </c>
    </row>
    <row r="45" spans="1:13" x14ac:dyDescent="0.25">
      <c r="A45">
        <v>40</v>
      </c>
      <c r="B45" s="40" t="s">
        <v>642</v>
      </c>
      <c r="C45" s="40"/>
      <c r="D45" s="35" t="s">
        <v>33</v>
      </c>
      <c r="E45" s="33" t="s">
        <v>466</v>
      </c>
      <c r="F45" s="33" t="s">
        <v>467</v>
      </c>
      <c r="G45" s="37"/>
      <c r="H45" s="46" t="s">
        <v>468</v>
      </c>
      <c r="I45" s="145" t="s">
        <v>830</v>
      </c>
      <c r="J45" s="15">
        <f>SUMIF(PAYOUT!$A:$A,'MP1'!$A45,PAYOUT!$L:$L)</f>
        <v>25725</v>
      </c>
      <c r="K45" s="15">
        <v>200</v>
      </c>
      <c r="L45" s="15">
        <f>SUMIF(PAYOUT!$A:$A,'MP1'!$A45,PAYOUT!$AE:$AE)</f>
        <v>200</v>
      </c>
      <c r="M45" s="16" t="s">
        <v>10</v>
      </c>
    </row>
    <row r="46" spans="1:13" x14ac:dyDescent="0.25">
      <c r="A46">
        <v>41</v>
      </c>
      <c r="B46" s="40" t="s">
        <v>723</v>
      </c>
      <c r="C46" s="40"/>
      <c r="D46" s="35" t="s">
        <v>33</v>
      </c>
      <c r="E46" s="33" t="s">
        <v>720</v>
      </c>
      <c r="F46" s="33" t="s">
        <v>721</v>
      </c>
      <c r="G46" s="37"/>
      <c r="H46" s="46" t="s">
        <v>722</v>
      </c>
      <c r="I46" s="145" t="s">
        <v>830</v>
      </c>
      <c r="J46" s="15">
        <f>SUMIF(PAYOUT!$A:$A,'MP1'!$A46,PAYOUT!$L:$L)</f>
        <v>31705</v>
      </c>
      <c r="K46" s="15">
        <v>200</v>
      </c>
      <c r="L46" s="15">
        <f>SUMIF(PAYOUT!$A:$A,'MP1'!$A46,PAYOUT!$AE:$AE)</f>
        <v>200</v>
      </c>
      <c r="M46" s="16" t="s">
        <v>10</v>
      </c>
    </row>
    <row r="47" spans="1:13" x14ac:dyDescent="0.25">
      <c r="A47">
        <v>42</v>
      </c>
      <c r="B47" s="40" t="s">
        <v>643</v>
      </c>
      <c r="C47" s="40"/>
      <c r="D47" s="35" t="s">
        <v>33</v>
      </c>
      <c r="E47" s="33" t="s">
        <v>469</v>
      </c>
      <c r="F47" s="33" t="s">
        <v>470</v>
      </c>
      <c r="G47" s="37"/>
      <c r="H47" s="46" t="s">
        <v>471</v>
      </c>
      <c r="I47" s="145" t="s">
        <v>830</v>
      </c>
      <c r="J47" s="15">
        <f>SUMIF(PAYOUT!$A:$A,'MP1'!$A47,PAYOUT!$L:$L)</f>
        <v>55499</v>
      </c>
      <c r="K47" s="15">
        <v>200</v>
      </c>
      <c r="L47" s="15">
        <f>SUMIF(PAYOUT!$A:$A,'MP1'!$A47,PAYOUT!$AE:$AE)</f>
        <v>200</v>
      </c>
      <c r="M47" s="16" t="s">
        <v>10</v>
      </c>
    </row>
    <row r="48" spans="1:13" x14ac:dyDescent="0.25">
      <c r="A48">
        <v>43</v>
      </c>
      <c r="B48" s="49" t="s">
        <v>48</v>
      </c>
      <c r="C48" s="40"/>
      <c r="D48" s="35" t="s">
        <v>33</v>
      </c>
      <c r="E48" s="33" t="s">
        <v>49</v>
      </c>
      <c r="F48" s="33" t="s">
        <v>472</v>
      </c>
      <c r="G48" s="37"/>
      <c r="H48" s="46" t="s">
        <v>50</v>
      </c>
      <c r="I48" s="145" t="s">
        <v>830</v>
      </c>
      <c r="J48" s="15">
        <f>SUMIF(PAYOUT!$A:$A,'MP1'!$A48,PAYOUT!$L:$L)</f>
        <v>42178</v>
      </c>
      <c r="K48" s="15">
        <v>200</v>
      </c>
      <c r="L48" s="15">
        <f>SUMIF(PAYOUT!$A:$A,'MP1'!$A48,PAYOUT!$AE:$AE)</f>
        <v>200</v>
      </c>
      <c r="M48" s="16" t="s">
        <v>10</v>
      </c>
    </row>
    <row r="49" spans="1:13" x14ac:dyDescent="0.25">
      <c r="A49">
        <v>44</v>
      </c>
      <c r="B49" s="40" t="s">
        <v>644</v>
      </c>
      <c r="C49" s="40"/>
      <c r="D49" s="35" t="s">
        <v>33</v>
      </c>
      <c r="E49" s="33" t="s">
        <v>473</v>
      </c>
      <c r="F49" s="33" t="s">
        <v>474</v>
      </c>
      <c r="G49" s="37"/>
      <c r="H49" s="46" t="s">
        <v>475</v>
      </c>
      <c r="I49" s="145" t="s">
        <v>830</v>
      </c>
      <c r="J49" s="15">
        <f>SUMIF(PAYOUT!$A:$A,'MP1'!$A49,PAYOUT!$L:$L)</f>
        <v>23883</v>
      </c>
      <c r="K49" s="15">
        <v>200</v>
      </c>
      <c r="L49" s="15">
        <f>SUMIF(PAYOUT!$A:$A,'MP1'!$A49,PAYOUT!$AE:$AE)</f>
        <v>200</v>
      </c>
      <c r="M49" s="16" t="s">
        <v>10</v>
      </c>
    </row>
    <row r="50" spans="1:13" x14ac:dyDescent="0.25">
      <c r="A50">
        <v>45</v>
      </c>
      <c r="B50" s="40" t="s">
        <v>645</v>
      </c>
      <c r="C50" s="40"/>
      <c r="D50" s="35" t="s">
        <v>33</v>
      </c>
      <c r="E50" s="33" t="s">
        <v>476</v>
      </c>
      <c r="F50" s="33" t="s">
        <v>477</v>
      </c>
      <c r="G50" s="37"/>
      <c r="H50" s="46" t="s">
        <v>478</v>
      </c>
      <c r="I50" s="145" t="s">
        <v>830</v>
      </c>
      <c r="J50" s="15">
        <f>SUMIF(PAYOUT!$A:$A,'MP1'!$A50,PAYOUT!$L:$L)</f>
        <v>32109</v>
      </c>
      <c r="K50" s="15">
        <v>200</v>
      </c>
      <c r="L50" s="15">
        <f>SUMIF(PAYOUT!$A:$A,'MP1'!$A50,PAYOUT!$AE:$AE)</f>
        <v>200</v>
      </c>
      <c r="M50" s="16" t="s">
        <v>10</v>
      </c>
    </row>
    <row r="51" spans="1:13" x14ac:dyDescent="0.25">
      <c r="A51">
        <v>46</v>
      </c>
      <c r="B51" s="49" t="s">
        <v>35</v>
      </c>
      <c r="C51" s="40"/>
      <c r="D51" s="35" t="s">
        <v>33</v>
      </c>
      <c r="E51" s="33" t="s">
        <v>37</v>
      </c>
      <c r="F51" s="33" t="s">
        <v>38</v>
      </c>
      <c r="G51" s="37"/>
      <c r="H51" s="46" t="s">
        <v>39</v>
      </c>
      <c r="I51" s="145" t="s">
        <v>830</v>
      </c>
      <c r="J51" s="15">
        <f>SUMIF(PAYOUT!$A:$A,'MP1'!$A51,PAYOUT!$L:$L)</f>
        <v>42178</v>
      </c>
      <c r="K51" s="15">
        <v>200</v>
      </c>
      <c r="L51" s="15">
        <f>SUMIF(PAYOUT!$A:$A,'MP1'!$A51,PAYOUT!$AE:$AE)</f>
        <v>200</v>
      </c>
      <c r="M51" s="16" t="s">
        <v>10</v>
      </c>
    </row>
    <row r="52" spans="1:13" x14ac:dyDescent="0.25">
      <c r="A52">
        <v>47</v>
      </c>
      <c r="B52" s="40" t="s">
        <v>646</v>
      </c>
      <c r="C52" s="40"/>
      <c r="D52" s="35" t="s">
        <v>33</v>
      </c>
      <c r="E52" s="33" t="s">
        <v>479</v>
      </c>
      <c r="F52" s="33" t="s">
        <v>480</v>
      </c>
      <c r="G52" s="37"/>
      <c r="H52" s="46" t="s">
        <v>481</v>
      </c>
      <c r="I52" s="145" t="s">
        <v>830</v>
      </c>
      <c r="J52" s="15">
        <f>SUMIF(PAYOUT!$A:$A,'MP1'!$A52,PAYOUT!$L:$L)</f>
        <v>38764</v>
      </c>
      <c r="K52" s="15">
        <v>200</v>
      </c>
      <c r="L52" s="15">
        <f>SUMIF(PAYOUT!$A:$A,'MP1'!$A52,PAYOUT!$AE:$AE)</f>
        <v>200</v>
      </c>
      <c r="M52" s="16" t="s">
        <v>10</v>
      </c>
    </row>
    <row r="53" spans="1:13" x14ac:dyDescent="0.25">
      <c r="A53">
        <v>48</v>
      </c>
      <c r="B53" s="14" t="s">
        <v>647</v>
      </c>
      <c r="C53" s="14"/>
      <c r="D53" s="35" t="s">
        <v>33</v>
      </c>
      <c r="E53" s="33" t="s">
        <v>482</v>
      </c>
      <c r="F53" s="33" t="s">
        <v>483</v>
      </c>
      <c r="G53" s="14"/>
      <c r="H53" s="46" t="s">
        <v>484</v>
      </c>
      <c r="I53" s="145" t="s">
        <v>830</v>
      </c>
      <c r="J53" s="15">
        <f>SUMIF(PAYOUT!$A:$A,'MP1'!$A53,PAYOUT!$L:$L)</f>
        <v>31705</v>
      </c>
      <c r="K53" s="15">
        <v>200</v>
      </c>
      <c r="L53" s="15">
        <f>SUMIF(PAYOUT!$A:$A,'MP1'!$A53,PAYOUT!$AE:$AE)</f>
        <v>200</v>
      </c>
      <c r="M53" s="16" t="s">
        <v>10</v>
      </c>
    </row>
    <row r="54" spans="1:13" x14ac:dyDescent="0.25">
      <c r="A54">
        <v>49</v>
      </c>
      <c r="B54" s="14" t="s">
        <v>648</v>
      </c>
      <c r="C54" s="14"/>
      <c r="D54" s="35" t="s">
        <v>33</v>
      </c>
      <c r="E54" s="33" t="s">
        <v>485</v>
      </c>
      <c r="F54" s="33" t="s">
        <v>486</v>
      </c>
      <c r="G54" s="14"/>
      <c r="H54" s="46" t="s">
        <v>487</v>
      </c>
      <c r="I54" s="145" t="s">
        <v>830</v>
      </c>
      <c r="J54" s="15">
        <f>SUMIF(PAYOUT!$A:$A,'MP1'!$A54,PAYOUT!$L:$L)</f>
        <v>42178</v>
      </c>
      <c r="K54" s="15">
        <v>200</v>
      </c>
      <c r="L54" s="15">
        <f>SUMIF(PAYOUT!$A:$A,'MP1'!$A54,PAYOUT!$AE:$AE)</f>
        <v>200</v>
      </c>
      <c r="M54" s="16" t="s">
        <v>10</v>
      </c>
    </row>
    <row r="55" spans="1:13" x14ac:dyDescent="0.25">
      <c r="A55">
        <v>50</v>
      </c>
      <c r="B55" s="14" t="s">
        <v>649</v>
      </c>
      <c r="C55" s="14"/>
      <c r="D55" s="35" t="s">
        <v>33</v>
      </c>
      <c r="E55" s="33" t="s">
        <v>488</v>
      </c>
      <c r="F55" s="33" t="s">
        <v>489</v>
      </c>
      <c r="G55" s="14"/>
      <c r="H55" s="46" t="s">
        <v>490</v>
      </c>
      <c r="I55" s="145" t="s">
        <v>830</v>
      </c>
      <c r="J55" s="15">
        <f>SUMIF(PAYOUT!$A:$A,'MP1'!$A55,PAYOUT!$L:$L)</f>
        <v>42178</v>
      </c>
      <c r="K55" s="15">
        <v>200</v>
      </c>
      <c r="L55" s="15">
        <f>SUMIF(PAYOUT!$A:$A,'MP1'!$A55,PAYOUT!$AE:$AE)</f>
        <v>200</v>
      </c>
      <c r="M55" s="16" t="s">
        <v>10</v>
      </c>
    </row>
    <row r="56" spans="1:13" x14ac:dyDescent="0.25">
      <c r="A56">
        <v>51</v>
      </c>
      <c r="B56" s="14" t="s">
        <v>650</v>
      </c>
      <c r="C56" s="14"/>
      <c r="D56" s="35" t="s">
        <v>33</v>
      </c>
      <c r="E56" s="33" t="s">
        <v>491</v>
      </c>
      <c r="F56" s="33" t="s">
        <v>492</v>
      </c>
      <c r="G56" s="14"/>
      <c r="H56" s="46" t="s">
        <v>493</v>
      </c>
      <c r="I56" s="145" t="s">
        <v>830</v>
      </c>
      <c r="J56" s="15">
        <f>SUMIF(PAYOUT!$A:$A,'MP1'!$A56,PAYOUT!$L:$L)</f>
        <v>31820</v>
      </c>
      <c r="K56" s="15">
        <v>200</v>
      </c>
      <c r="L56" s="15">
        <f>SUMIF(PAYOUT!$A:$A,'MP1'!$A56,PAYOUT!$AE:$AE)</f>
        <v>200</v>
      </c>
      <c r="M56" s="16" t="s">
        <v>10</v>
      </c>
    </row>
    <row r="57" spans="1:13" x14ac:dyDescent="0.25">
      <c r="A57">
        <v>79</v>
      </c>
      <c r="B57" s="14" t="s">
        <v>651</v>
      </c>
      <c r="C57" s="14"/>
      <c r="D57" s="35" t="s">
        <v>33</v>
      </c>
      <c r="E57" s="33" t="s">
        <v>494</v>
      </c>
      <c r="F57" s="33" t="s">
        <v>495</v>
      </c>
      <c r="G57" s="14"/>
      <c r="H57" s="46" t="s">
        <v>496</v>
      </c>
      <c r="I57" s="145" t="s">
        <v>830</v>
      </c>
      <c r="J57" s="15">
        <f>SUMIF(PAYOUT!$A:$A,'MP1'!$A57,PAYOUT!$L:$L)</f>
        <v>59153</v>
      </c>
      <c r="K57" s="15">
        <v>200</v>
      </c>
      <c r="L57" s="15">
        <f>SUMIF(PAYOUT!$A:$A,'MP1'!$A57,PAYOUT!$AE:$AE)</f>
        <v>200</v>
      </c>
      <c r="M57" s="16" t="s">
        <v>10</v>
      </c>
    </row>
    <row r="58" spans="1:13" x14ac:dyDescent="0.25">
      <c r="A58">
        <v>52</v>
      </c>
      <c r="B58" s="14" t="s">
        <v>652</v>
      </c>
      <c r="C58" s="14"/>
      <c r="D58" s="35" t="s">
        <v>33</v>
      </c>
      <c r="E58" s="33" t="s">
        <v>497</v>
      </c>
      <c r="F58" s="33" t="s">
        <v>498</v>
      </c>
      <c r="G58" s="14"/>
      <c r="H58" s="46" t="s">
        <v>499</v>
      </c>
      <c r="I58" s="145" t="s">
        <v>830</v>
      </c>
      <c r="J58" s="15">
        <f>SUMIF(PAYOUT!$A:$A,'MP1'!$A58,PAYOUT!$L:$L)</f>
        <v>38764</v>
      </c>
      <c r="K58" s="15">
        <v>200</v>
      </c>
      <c r="L58" s="15">
        <f>SUMIF(PAYOUT!$A:$A,'MP1'!$A58,PAYOUT!$AE:$AE)</f>
        <v>200</v>
      </c>
      <c r="M58" s="16" t="s">
        <v>10</v>
      </c>
    </row>
    <row r="59" spans="1:13" x14ac:dyDescent="0.25">
      <c r="A59">
        <v>53</v>
      </c>
      <c r="B59" s="14" t="s">
        <v>653</v>
      </c>
      <c r="C59" s="14"/>
      <c r="D59" s="35" t="s">
        <v>33</v>
      </c>
      <c r="E59" s="33" t="s">
        <v>500</v>
      </c>
      <c r="F59" s="33" t="s">
        <v>501</v>
      </c>
      <c r="G59" s="14"/>
      <c r="H59" s="46" t="s">
        <v>502</v>
      </c>
      <c r="I59" s="145" t="s">
        <v>830</v>
      </c>
      <c r="J59" s="15">
        <f>SUMIF(PAYOUT!$A:$A,'MP1'!$A59,PAYOUT!$L:$L)</f>
        <v>81796</v>
      </c>
      <c r="K59" s="15">
        <v>200</v>
      </c>
      <c r="L59" s="15">
        <f>SUMIF(PAYOUT!$A:$A,'MP1'!$A59,PAYOUT!$AE:$AE)</f>
        <v>500</v>
      </c>
      <c r="M59" s="16" t="s">
        <v>10</v>
      </c>
    </row>
    <row r="60" spans="1:13" x14ac:dyDescent="0.25">
      <c r="A60">
        <v>54</v>
      </c>
      <c r="B60" s="14" t="s">
        <v>654</v>
      </c>
      <c r="C60" s="14"/>
      <c r="D60" s="35" t="s">
        <v>33</v>
      </c>
      <c r="E60" s="33" t="s">
        <v>503</v>
      </c>
      <c r="F60" s="33" t="s">
        <v>504</v>
      </c>
      <c r="G60" s="14"/>
      <c r="H60" s="46" t="s">
        <v>505</v>
      </c>
      <c r="I60" s="145" t="s">
        <v>830</v>
      </c>
      <c r="J60" s="15">
        <f>SUMIF(PAYOUT!$A:$A,'MP1'!$A60,PAYOUT!$L:$L)</f>
        <v>32109</v>
      </c>
      <c r="K60" s="15">
        <v>200</v>
      </c>
      <c r="L60" s="15">
        <f>SUMIF(PAYOUT!$A:$A,'MP1'!$A60,PAYOUT!$AE:$AE)</f>
        <v>200</v>
      </c>
      <c r="M60" s="16" t="s">
        <v>10</v>
      </c>
    </row>
    <row r="61" spans="1:13" x14ac:dyDescent="0.25">
      <c r="A61">
        <v>55</v>
      </c>
      <c r="B61" s="14" t="s">
        <v>655</v>
      </c>
      <c r="C61" s="14"/>
      <c r="D61" s="35" t="s">
        <v>33</v>
      </c>
      <c r="E61" s="33" t="s">
        <v>506</v>
      </c>
      <c r="F61" s="33" t="s">
        <v>507</v>
      </c>
      <c r="G61" s="14"/>
      <c r="H61" s="46" t="s">
        <v>112</v>
      </c>
      <c r="I61" s="145" t="s">
        <v>830</v>
      </c>
      <c r="J61" s="15">
        <f>SUMIF(PAYOUT!$A:$A,'MP1'!$A61,PAYOUT!$L:$L)</f>
        <v>18433</v>
      </c>
      <c r="K61" s="15">
        <v>200</v>
      </c>
      <c r="L61" s="15">
        <f>SUMIF(PAYOUT!$A:$A,'MP1'!$A61,PAYOUT!$AE:$AE)</f>
        <v>600</v>
      </c>
      <c r="M61" s="16" t="s">
        <v>10</v>
      </c>
    </row>
    <row r="62" spans="1:13" x14ac:dyDescent="0.25">
      <c r="A62">
        <v>56</v>
      </c>
      <c r="B62" s="14" t="s">
        <v>656</v>
      </c>
      <c r="C62" s="14"/>
      <c r="D62" s="35" t="s">
        <v>33</v>
      </c>
      <c r="E62" s="33" t="s">
        <v>508</v>
      </c>
      <c r="F62" s="33" t="s">
        <v>509</v>
      </c>
      <c r="G62" s="14"/>
      <c r="H62" s="46" t="s">
        <v>510</v>
      </c>
      <c r="I62" s="145" t="s">
        <v>830</v>
      </c>
      <c r="J62" s="15">
        <f>SUMIF(PAYOUT!$A:$A,'MP1'!$A62,PAYOUT!$L:$L)</f>
        <v>43442</v>
      </c>
      <c r="K62" s="15">
        <v>200</v>
      </c>
      <c r="L62" s="15">
        <f>SUMIF(PAYOUT!$A:$A,'MP1'!$A62,PAYOUT!$AE:$AE)</f>
        <v>500</v>
      </c>
      <c r="M62" s="16" t="s">
        <v>10</v>
      </c>
    </row>
    <row r="63" spans="1:13" x14ac:dyDescent="0.25">
      <c r="A63">
        <v>15</v>
      </c>
      <c r="B63" s="14" t="s">
        <v>657</v>
      </c>
      <c r="C63" s="14"/>
      <c r="D63" s="35" t="s">
        <v>33</v>
      </c>
      <c r="E63" s="33" t="s">
        <v>511</v>
      </c>
      <c r="F63" s="33" t="s">
        <v>512</v>
      </c>
      <c r="G63" s="14"/>
      <c r="H63" s="46" t="s">
        <v>513</v>
      </c>
      <c r="I63" s="145" t="s">
        <v>830</v>
      </c>
      <c r="J63" s="15">
        <f>SUMIF(PAYOUT!$A:$A,'MP1'!$A63,PAYOUT!$L:$L)</f>
        <v>53818</v>
      </c>
      <c r="K63" s="15">
        <v>200</v>
      </c>
      <c r="L63" s="15">
        <f>SUMIF(PAYOUT!$A:$A,'MP1'!$A63,PAYOUT!$AE:$AE)</f>
        <v>200</v>
      </c>
      <c r="M63" s="16" t="s">
        <v>10</v>
      </c>
    </row>
    <row r="64" spans="1:13" x14ac:dyDescent="0.25">
      <c r="A64">
        <v>57</v>
      </c>
      <c r="B64" s="14" t="s">
        <v>658</v>
      </c>
      <c r="C64" s="14"/>
      <c r="D64" s="35" t="s">
        <v>33</v>
      </c>
      <c r="E64" s="33" t="s">
        <v>514</v>
      </c>
      <c r="F64" s="33" t="s">
        <v>515</v>
      </c>
      <c r="G64" s="14"/>
      <c r="H64" s="46" t="s">
        <v>516</v>
      </c>
      <c r="I64" s="145" t="s">
        <v>830</v>
      </c>
      <c r="J64" s="15">
        <f>SUMIF(PAYOUT!$A:$A,'MP1'!$A64,PAYOUT!$L:$L)</f>
        <v>85356</v>
      </c>
      <c r="K64" s="15">
        <v>200</v>
      </c>
      <c r="L64" s="15">
        <f>SUMIF(PAYOUT!$A:$A,'MP1'!$A64,PAYOUT!$AE:$AE)</f>
        <v>600</v>
      </c>
      <c r="M64" s="16" t="s">
        <v>10</v>
      </c>
    </row>
    <row r="65" spans="1:13" x14ac:dyDescent="0.25">
      <c r="A65">
        <v>58</v>
      </c>
      <c r="B65" s="14" t="s">
        <v>659</v>
      </c>
      <c r="C65" s="14"/>
      <c r="D65" s="35" t="s">
        <v>33</v>
      </c>
      <c r="E65" s="33" t="s">
        <v>517</v>
      </c>
      <c r="F65" s="33" t="s">
        <v>518</v>
      </c>
      <c r="G65" s="14"/>
      <c r="H65" s="46" t="s">
        <v>519</v>
      </c>
      <c r="I65" s="145" t="s">
        <v>830</v>
      </c>
      <c r="J65" s="15">
        <f>SUMIF(PAYOUT!$A:$A,'MP1'!$A65,PAYOUT!$L:$L)</f>
        <v>42594</v>
      </c>
      <c r="K65" s="15">
        <v>200</v>
      </c>
      <c r="L65" s="15">
        <f>SUMIF(PAYOUT!$A:$A,'MP1'!$A65,PAYOUT!$AE:$AE)</f>
        <v>200</v>
      </c>
      <c r="M65" s="16" t="s">
        <v>10</v>
      </c>
    </row>
    <row r="66" spans="1:13" x14ac:dyDescent="0.25">
      <c r="A66">
        <v>59</v>
      </c>
      <c r="B66" s="14" t="s">
        <v>660</v>
      </c>
      <c r="C66" s="14"/>
      <c r="D66" s="35" t="s">
        <v>33</v>
      </c>
      <c r="E66" s="33" t="s">
        <v>444</v>
      </c>
      <c r="F66" s="33" t="s">
        <v>520</v>
      </c>
      <c r="G66" s="14"/>
      <c r="H66" s="46" t="s">
        <v>521</v>
      </c>
      <c r="I66" s="145" t="s">
        <v>830</v>
      </c>
      <c r="J66" s="15">
        <f>SUMIF(PAYOUT!$A:$A,'MP1'!$A66,PAYOUT!$L:$L)</f>
        <v>31820</v>
      </c>
      <c r="K66" s="15">
        <v>200</v>
      </c>
      <c r="L66" s="15">
        <f>SUMIF(PAYOUT!$A:$A,'MP1'!$A66,PAYOUT!$AE:$AE)</f>
        <v>200</v>
      </c>
      <c r="M66" s="16" t="s">
        <v>10</v>
      </c>
    </row>
    <row r="67" spans="1:13" x14ac:dyDescent="0.25">
      <c r="A67">
        <v>60</v>
      </c>
      <c r="B67" s="14" t="s">
        <v>661</v>
      </c>
      <c r="C67" s="14"/>
      <c r="D67" s="35" t="s">
        <v>33</v>
      </c>
      <c r="E67" s="33" t="s">
        <v>444</v>
      </c>
      <c r="F67" s="33" t="s">
        <v>522</v>
      </c>
      <c r="G67" s="14"/>
      <c r="H67" s="46" t="s">
        <v>523</v>
      </c>
      <c r="I67" s="145" t="s">
        <v>830</v>
      </c>
      <c r="J67" s="15">
        <f>SUMIF(PAYOUT!$A:$A,'MP1'!$A67,PAYOUT!$L:$L)</f>
        <v>20761</v>
      </c>
      <c r="K67" s="15">
        <v>200</v>
      </c>
      <c r="L67" s="15">
        <f>SUMIF(PAYOUT!$A:$A,'MP1'!$A67,PAYOUT!$AE:$AE)</f>
        <v>200</v>
      </c>
      <c r="M67" s="16" t="s">
        <v>10</v>
      </c>
    </row>
    <row r="68" spans="1:13" x14ac:dyDescent="0.25">
      <c r="A68">
        <v>61</v>
      </c>
      <c r="B68" s="14" t="s">
        <v>662</v>
      </c>
      <c r="C68" s="14"/>
      <c r="D68" s="35" t="s">
        <v>33</v>
      </c>
      <c r="E68" s="33" t="s">
        <v>524</v>
      </c>
      <c r="F68" s="33" t="s">
        <v>525</v>
      </c>
      <c r="G68" s="14"/>
      <c r="H68" s="46" t="s">
        <v>526</v>
      </c>
      <c r="I68" s="145" t="s">
        <v>830</v>
      </c>
      <c r="J68" s="15">
        <f>SUMIF(PAYOUT!$A:$A,'MP1'!$A68,PAYOUT!$L:$L)</f>
        <v>31820</v>
      </c>
      <c r="K68" s="15">
        <v>200</v>
      </c>
      <c r="L68" s="15">
        <f>SUMIF(PAYOUT!$A:$A,'MP1'!$A68,PAYOUT!$AE:$AE)</f>
        <v>200</v>
      </c>
      <c r="M68" s="16" t="s">
        <v>10</v>
      </c>
    </row>
    <row r="69" spans="1:13" x14ac:dyDescent="0.25">
      <c r="A69">
        <v>62</v>
      </c>
      <c r="B69" s="14" t="s">
        <v>663</v>
      </c>
      <c r="C69" s="14"/>
      <c r="D69" s="35" t="s">
        <v>33</v>
      </c>
      <c r="E69" s="33" t="s">
        <v>527</v>
      </c>
      <c r="F69" s="33" t="s">
        <v>528</v>
      </c>
      <c r="G69" s="14"/>
      <c r="H69" s="46" t="s">
        <v>529</v>
      </c>
      <c r="I69" s="145" t="s">
        <v>830</v>
      </c>
      <c r="J69" s="15">
        <f>SUMIF(PAYOUT!$A:$A,'MP1'!$A69,PAYOUT!$L:$L)</f>
        <v>57842</v>
      </c>
      <c r="K69" s="15">
        <v>200</v>
      </c>
      <c r="L69" s="15">
        <f>SUMIF(PAYOUT!$A:$A,'MP1'!$A69,PAYOUT!$AE:$AE)</f>
        <v>1000</v>
      </c>
      <c r="M69" s="16" t="s">
        <v>10</v>
      </c>
    </row>
    <row r="70" spans="1:13" x14ac:dyDescent="0.25">
      <c r="A70">
        <v>63</v>
      </c>
      <c r="B70" s="14" t="s">
        <v>664</v>
      </c>
      <c r="C70" s="14"/>
      <c r="D70" s="35" t="s">
        <v>33</v>
      </c>
      <c r="E70" s="33" t="s">
        <v>527</v>
      </c>
      <c r="F70" s="33" t="s">
        <v>530</v>
      </c>
      <c r="G70" s="14"/>
      <c r="H70" s="46" t="s">
        <v>531</v>
      </c>
      <c r="I70" s="145" t="s">
        <v>830</v>
      </c>
      <c r="J70" s="15">
        <f>SUMIF(PAYOUT!$A:$A,'MP1'!$A70,PAYOUT!$L:$L)</f>
        <v>22022</v>
      </c>
      <c r="K70" s="15">
        <v>200</v>
      </c>
      <c r="L70" s="15">
        <f>SUMIF(PAYOUT!$A:$A,'MP1'!$A70,PAYOUT!$AE:$AE)</f>
        <v>200</v>
      </c>
      <c r="M70" s="16" t="s">
        <v>10</v>
      </c>
    </row>
    <row r="71" spans="1:13" x14ac:dyDescent="0.25">
      <c r="A71">
        <v>64</v>
      </c>
      <c r="B71" s="14" t="s">
        <v>665</v>
      </c>
      <c r="C71" s="14"/>
      <c r="D71" s="35" t="s">
        <v>33</v>
      </c>
      <c r="E71" s="33" t="s">
        <v>532</v>
      </c>
      <c r="F71" s="33" t="s">
        <v>533</v>
      </c>
      <c r="G71" s="14"/>
      <c r="H71" s="46" t="s">
        <v>534</v>
      </c>
      <c r="I71" s="145" t="s">
        <v>830</v>
      </c>
      <c r="J71" s="15">
        <f>SUMIF(PAYOUT!$A:$A,'MP1'!$A71,PAYOUT!$L:$L)</f>
        <v>17898</v>
      </c>
      <c r="K71" s="15">
        <v>200</v>
      </c>
      <c r="L71" s="15">
        <f>SUMIF(PAYOUT!$A:$A,'MP1'!$A71,PAYOUT!$AE:$AE)</f>
        <v>700</v>
      </c>
      <c r="M71" s="16" t="s">
        <v>10</v>
      </c>
    </row>
    <row r="72" spans="1:13" x14ac:dyDescent="0.25">
      <c r="A72">
        <v>38</v>
      </c>
      <c r="B72" s="14" t="s">
        <v>666</v>
      </c>
      <c r="C72" s="14"/>
      <c r="D72" s="35" t="s">
        <v>33</v>
      </c>
      <c r="E72" s="33" t="s">
        <v>535</v>
      </c>
      <c r="F72" s="33" t="s">
        <v>536</v>
      </c>
      <c r="G72" s="14"/>
      <c r="H72" s="46" t="s">
        <v>537</v>
      </c>
      <c r="I72" s="145" t="s">
        <v>830</v>
      </c>
      <c r="J72" s="15">
        <f>SUMIF(PAYOUT!$A:$A,'MP1'!$A72,PAYOUT!$L:$L)</f>
        <v>38764</v>
      </c>
      <c r="K72" s="15">
        <v>200</v>
      </c>
      <c r="L72" s="15">
        <f>SUMIF(PAYOUT!$A:$A,'MP1'!$A72,PAYOUT!$AE:$AE)</f>
        <v>200</v>
      </c>
      <c r="M72" s="16" t="s">
        <v>10</v>
      </c>
    </row>
    <row r="73" spans="1:13" x14ac:dyDescent="0.25">
      <c r="A73">
        <v>65</v>
      </c>
      <c r="B73" s="14" t="s">
        <v>667</v>
      </c>
      <c r="C73" s="14"/>
      <c r="D73" s="35" t="s">
        <v>33</v>
      </c>
      <c r="E73" s="33" t="s">
        <v>539</v>
      </c>
      <c r="F73" s="33" t="s">
        <v>540</v>
      </c>
      <c r="G73" s="14"/>
      <c r="H73" s="46" t="s">
        <v>541</v>
      </c>
      <c r="I73" s="145" t="s">
        <v>830</v>
      </c>
      <c r="J73" s="15">
        <f>SUMIF(PAYOUT!$A:$A,'MP1'!$A73,PAYOUT!$L:$L)</f>
        <v>55499</v>
      </c>
      <c r="K73" s="15">
        <v>200</v>
      </c>
      <c r="L73" s="15">
        <f>SUMIF(PAYOUT!$A:$A,'MP1'!$A73,PAYOUT!$AE:$AE)</f>
        <v>500</v>
      </c>
      <c r="M73" s="16" t="s">
        <v>10</v>
      </c>
    </row>
    <row r="74" spans="1:13" x14ac:dyDescent="0.25">
      <c r="A74">
        <v>66</v>
      </c>
      <c r="B74" s="14" t="s">
        <v>668</v>
      </c>
      <c r="C74" s="14"/>
      <c r="D74" s="35" t="s">
        <v>33</v>
      </c>
      <c r="E74" s="33" t="s">
        <v>542</v>
      </c>
      <c r="F74" s="33" t="s">
        <v>543</v>
      </c>
      <c r="G74" s="14"/>
      <c r="H74" s="46" t="s">
        <v>544</v>
      </c>
      <c r="I74" s="145" t="s">
        <v>830</v>
      </c>
      <c r="J74" s="15">
        <f>SUMIF(PAYOUT!$A:$A,'MP1'!$A74,PAYOUT!$L:$L)</f>
        <v>42178</v>
      </c>
      <c r="K74" s="15">
        <v>200</v>
      </c>
      <c r="L74" s="15">
        <f>SUMIF(PAYOUT!$A:$A,'MP1'!$A74,PAYOUT!$AE:$AE)</f>
        <v>200</v>
      </c>
      <c r="M74" s="16" t="s">
        <v>10</v>
      </c>
    </row>
    <row r="75" spans="1:13" x14ac:dyDescent="0.25">
      <c r="A75">
        <v>67</v>
      </c>
      <c r="B75" s="50" t="s">
        <v>36</v>
      </c>
      <c r="C75" s="14"/>
      <c r="D75" s="35" t="s">
        <v>33</v>
      </c>
      <c r="E75" s="33" t="s">
        <v>40</v>
      </c>
      <c r="F75" s="33" t="s">
        <v>41</v>
      </c>
      <c r="G75" s="14"/>
      <c r="H75" s="46" t="s">
        <v>42</v>
      </c>
      <c r="I75" s="145" t="s">
        <v>830</v>
      </c>
      <c r="J75" s="15">
        <f>SUMIF(PAYOUT!$A:$A,'MP1'!$A75,PAYOUT!$L:$L)</f>
        <v>31705</v>
      </c>
      <c r="K75" s="15">
        <v>200</v>
      </c>
      <c r="L75" s="15">
        <f>SUMIF(PAYOUT!$A:$A,'MP1'!$A75,PAYOUT!$AE:$AE)</f>
        <v>200</v>
      </c>
      <c r="M75" s="16" t="s">
        <v>10</v>
      </c>
    </row>
    <row r="76" spans="1:13" x14ac:dyDescent="0.25">
      <c r="A76">
        <v>68</v>
      </c>
      <c r="B76" s="14" t="s">
        <v>669</v>
      </c>
      <c r="C76" s="14"/>
      <c r="D76" s="35" t="s">
        <v>33</v>
      </c>
      <c r="E76" s="33" t="s">
        <v>545</v>
      </c>
      <c r="F76" s="33" t="s">
        <v>546</v>
      </c>
      <c r="G76" s="14"/>
      <c r="H76" s="46" t="s">
        <v>547</v>
      </c>
      <c r="I76" s="145" t="s">
        <v>830</v>
      </c>
      <c r="J76" s="15">
        <f>SUMIF(PAYOUT!$A:$A,'MP1'!$A76,PAYOUT!$L:$L)</f>
        <v>55499</v>
      </c>
      <c r="K76" s="15">
        <v>200</v>
      </c>
      <c r="L76" s="15">
        <f>SUMIF(PAYOUT!$A:$A,'MP1'!$A76,PAYOUT!$AE:$AE)</f>
        <v>1000</v>
      </c>
      <c r="M76" s="16" t="s">
        <v>10</v>
      </c>
    </row>
    <row r="77" spans="1:13" x14ac:dyDescent="0.25">
      <c r="A77">
        <v>69</v>
      </c>
      <c r="B77" s="14" t="s">
        <v>670</v>
      </c>
      <c r="C77" s="14"/>
      <c r="D77" s="35" t="s">
        <v>33</v>
      </c>
      <c r="E77" s="33" t="s">
        <v>548</v>
      </c>
      <c r="F77" s="33" t="s">
        <v>549</v>
      </c>
      <c r="G77" s="14"/>
      <c r="H77" s="46" t="s">
        <v>550</v>
      </c>
      <c r="I77" s="145" t="s">
        <v>830</v>
      </c>
      <c r="J77" s="15">
        <f>SUMIF(PAYOUT!$A:$A,'MP1'!$A77,PAYOUT!$L:$L)</f>
        <v>43442</v>
      </c>
      <c r="K77" s="15">
        <v>200</v>
      </c>
      <c r="L77" s="15">
        <f>SUMIF(PAYOUT!$A:$A,'MP1'!$A77,PAYOUT!$AE:$AE)</f>
        <v>300</v>
      </c>
      <c r="M77" s="16" t="s">
        <v>10</v>
      </c>
    </row>
    <row r="78" spans="1:13" x14ac:dyDescent="0.25">
      <c r="A78">
        <v>70</v>
      </c>
      <c r="B78" s="14" t="s">
        <v>671</v>
      </c>
      <c r="C78" s="14"/>
      <c r="D78" s="35" t="s">
        <v>33</v>
      </c>
      <c r="E78" s="33" t="s">
        <v>551</v>
      </c>
      <c r="F78" s="33" t="s">
        <v>552</v>
      </c>
      <c r="G78" s="14"/>
      <c r="H78" s="46" t="s">
        <v>553</v>
      </c>
      <c r="I78" s="145" t="s">
        <v>830</v>
      </c>
      <c r="J78" s="15">
        <f>SUMIF(PAYOUT!$A:$A,'MP1'!$A78,PAYOUT!$L:$L)</f>
        <v>31705</v>
      </c>
      <c r="K78" s="15">
        <v>200</v>
      </c>
      <c r="L78" s="15">
        <f>SUMIF(PAYOUT!$A:$A,'MP1'!$A78,PAYOUT!$AE:$AE)</f>
        <v>200</v>
      </c>
      <c r="M78" s="16" t="s">
        <v>10</v>
      </c>
    </row>
    <row r="79" spans="1:13" x14ac:dyDescent="0.25">
      <c r="A79">
        <v>71</v>
      </c>
      <c r="B79" s="14" t="s">
        <v>672</v>
      </c>
      <c r="C79" s="14"/>
      <c r="D79" s="35" t="s">
        <v>33</v>
      </c>
      <c r="E79" s="33" t="s">
        <v>554</v>
      </c>
      <c r="F79" s="33" t="s">
        <v>555</v>
      </c>
      <c r="G79" s="14"/>
      <c r="H79" s="46" t="s">
        <v>556</v>
      </c>
      <c r="I79" s="145" t="s">
        <v>830</v>
      </c>
      <c r="J79" s="15">
        <f>SUMIF(PAYOUT!$A:$A,'MP1'!$A79,PAYOUT!$L:$L)</f>
        <v>53818</v>
      </c>
      <c r="K79" s="15">
        <v>200</v>
      </c>
      <c r="L79" s="15">
        <f>SUMIF(PAYOUT!$A:$A,'MP1'!$A79,PAYOUT!$AE:$AE)</f>
        <v>500</v>
      </c>
      <c r="M79" s="16" t="s">
        <v>10</v>
      </c>
    </row>
    <row r="80" spans="1:13" x14ac:dyDescent="0.25">
      <c r="A80">
        <v>72</v>
      </c>
      <c r="B80" s="40" t="s">
        <v>727</v>
      </c>
      <c r="C80" s="40"/>
      <c r="D80" s="35" t="s">
        <v>33</v>
      </c>
      <c r="E80" s="33" t="s">
        <v>728</v>
      </c>
      <c r="F80" s="33" t="s">
        <v>729</v>
      </c>
      <c r="G80" s="37"/>
      <c r="H80" s="46" t="s">
        <v>730</v>
      </c>
      <c r="I80" s="145" t="s">
        <v>830</v>
      </c>
      <c r="J80" s="15">
        <f>SUMIF(PAYOUT!$A:$A,'MP1'!$A80,PAYOUT!$L:$L)</f>
        <v>31705</v>
      </c>
      <c r="K80" s="15">
        <v>200</v>
      </c>
      <c r="L80" s="15">
        <f>SUMIF(PAYOUT!$A:$A,'MP1'!$A80,PAYOUT!$AE:$AE)</f>
        <v>200</v>
      </c>
      <c r="M80" s="16"/>
    </row>
    <row r="81" spans="1:13" x14ac:dyDescent="0.25">
      <c r="A81">
        <v>73</v>
      </c>
      <c r="B81" s="14" t="s">
        <v>673</v>
      </c>
      <c r="C81" s="14"/>
      <c r="D81" s="35" t="s">
        <v>33</v>
      </c>
      <c r="E81" s="33" t="s">
        <v>557</v>
      </c>
      <c r="F81" s="33" t="s">
        <v>558</v>
      </c>
      <c r="G81" s="14"/>
      <c r="H81" s="46" t="s">
        <v>559</v>
      </c>
      <c r="I81" s="145" t="s">
        <v>830</v>
      </c>
      <c r="J81" s="15">
        <f>SUMIF(PAYOUT!$A:$A,'MP1'!$A81,PAYOUT!$L:$L)</f>
        <v>43442</v>
      </c>
      <c r="K81" s="15">
        <v>200</v>
      </c>
      <c r="L81" s="15">
        <f>SUMIF(PAYOUT!$A:$A,'MP1'!$A81,PAYOUT!$AE:$AE)</f>
        <v>600</v>
      </c>
      <c r="M81" s="16" t="s">
        <v>10</v>
      </c>
    </row>
    <row r="82" spans="1:13" x14ac:dyDescent="0.25">
      <c r="A82">
        <v>26</v>
      </c>
      <c r="B82" s="14" t="s">
        <v>674</v>
      </c>
      <c r="C82" s="14"/>
      <c r="D82" s="35" t="s">
        <v>33</v>
      </c>
      <c r="E82" s="33" t="s">
        <v>560</v>
      </c>
      <c r="F82" s="33" t="s">
        <v>561</v>
      </c>
      <c r="G82" s="14"/>
      <c r="H82" s="46" t="s">
        <v>562</v>
      </c>
      <c r="I82" s="145" t="s">
        <v>830</v>
      </c>
      <c r="J82" s="15">
        <f>SUMIF(PAYOUT!$A:$A,'MP1'!$A82,PAYOUT!$L:$L)</f>
        <v>43015</v>
      </c>
      <c r="K82" s="15">
        <v>200</v>
      </c>
      <c r="L82" s="15">
        <f>SUMIF(PAYOUT!$A:$A,'MP1'!$A82,PAYOUT!$AE:$AE)</f>
        <v>200</v>
      </c>
      <c r="M82" s="16" t="s">
        <v>10</v>
      </c>
    </row>
    <row r="83" spans="1:13" x14ac:dyDescent="0.25">
      <c r="A83">
        <v>74</v>
      </c>
      <c r="B83" s="14" t="s">
        <v>675</v>
      </c>
      <c r="C83" s="14"/>
      <c r="D83" s="35" t="s">
        <v>33</v>
      </c>
      <c r="E83" s="33" t="s">
        <v>563</v>
      </c>
      <c r="F83" s="33" t="s">
        <v>564</v>
      </c>
      <c r="G83" s="14"/>
      <c r="H83" s="46" t="s">
        <v>565</v>
      </c>
      <c r="I83" s="145" t="s">
        <v>830</v>
      </c>
      <c r="J83" s="15">
        <f>SUMIF(PAYOUT!$A:$A,'MP1'!$A83,PAYOUT!$L:$L)</f>
        <v>26917</v>
      </c>
      <c r="K83" s="15">
        <v>200</v>
      </c>
      <c r="L83" s="15">
        <f>SUMIF(PAYOUT!$A:$A,'MP1'!$A83,PAYOUT!$AE:$AE)</f>
        <v>200</v>
      </c>
      <c r="M83" s="16" t="s">
        <v>10</v>
      </c>
    </row>
    <row r="84" spans="1:13" x14ac:dyDescent="0.25">
      <c r="A84">
        <v>75</v>
      </c>
      <c r="B84" s="14" t="s">
        <v>676</v>
      </c>
      <c r="C84" s="14"/>
      <c r="D84" s="35" t="s">
        <v>33</v>
      </c>
      <c r="E84" s="33" t="s">
        <v>566</v>
      </c>
      <c r="F84" s="33" t="s">
        <v>567</v>
      </c>
      <c r="G84" s="14"/>
      <c r="H84" s="46" t="s">
        <v>568</v>
      </c>
      <c r="I84" s="145" t="s">
        <v>830</v>
      </c>
      <c r="J84" s="15">
        <f>SUMIF(PAYOUT!$A:$A,'MP1'!$A84,PAYOUT!$L:$L)</f>
        <v>24523</v>
      </c>
      <c r="K84" s="15">
        <v>200</v>
      </c>
      <c r="L84" s="15">
        <f>SUMIF(PAYOUT!$A:$A,'MP1'!$A84,PAYOUT!$AE:$AE)</f>
        <v>200</v>
      </c>
      <c r="M84" s="16" t="s">
        <v>10</v>
      </c>
    </row>
    <row r="85" spans="1:13" x14ac:dyDescent="0.25">
      <c r="A85">
        <v>76</v>
      </c>
      <c r="B85" s="14" t="s">
        <v>677</v>
      </c>
      <c r="C85" s="14"/>
      <c r="D85" s="35" t="s">
        <v>33</v>
      </c>
      <c r="E85" s="33" t="s">
        <v>569</v>
      </c>
      <c r="F85" s="33" t="s">
        <v>570</v>
      </c>
      <c r="G85" s="14"/>
      <c r="H85" s="46" t="s">
        <v>571</v>
      </c>
      <c r="I85" s="145" t="s">
        <v>830</v>
      </c>
      <c r="J85" s="15">
        <f>SUMIF(PAYOUT!$A:$A,'MP1'!$A85,PAYOUT!$L:$L)</f>
        <v>177545</v>
      </c>
      <c r="K85" s="15">
        <v>200</v>
      </c>
      <c r="L85" s="15">
        <f>SUMIF(PAYOUT!$A:$A,'MP1'!$A85,PAYOUT!$AE:$AE)</f>
        <v>200</v>
      </c>
      <c r="M85" s="16" t="s">
        <v>10</v>
      </c>
    </row>
    <row r="86" spans="1:13" x14ac:dyDescent="0.25">
      <c r="A86">
        <v>77</v>
      </c>
      <c r="B86" s="14" t="s">
        <v>678</v>
      </c>
      <c r="C86" s="14"/>
      <c r="D86" s="35" t="s">
        <v>33</v>
      </c>
      <c r="E86" s="33" t="s">
        <v>572</v>
      </c>
      <c r="F86" s="33" t="s">
        <v>573</v>
      </c>
      <c r="G86" s="14"/>
      <c r="H86" s="46" t="s">
        <v>574</v>
      </c>
      <c r="I86" s="145" t="s">
        <v>830</v>
      </c>
      <c r="J86" s="15">
        <f>SUMIF(PAYOUT!$A:$A,'MP1'!$A86,PAYOUT!$L:$L)</f>
        <v>42178</v>
      </c>
      <c r="K86" s="15">
        <v>200</v>
      </c>
      <c r="L86" s="15">
        <f>SUMIF(PAYOUT!$A:$A,'MP1'!$A86,PAYOUT!$AE:$AE)</f>
        <v>200</v>
      </c>
      <c r="M86" s="16" t="s">
        <v>10</v>
      </c>
    </row>
    <row r="87" spans="1:13" x14ac:dyDescent="0.25">
      <c r="A87">
        <v>78</v>
      </c>
      <c r="B87" s="14" t="s">
        <v>679</v>
      </c>
      <c r="C87" s="14"/>
      <c r="D87" s="35" t="s">
        <v>33</v>
      </c>
      <c r="E87" s="33" t="s">
        <v>575</v>
      </c>
      <c r="F87" s="33" t="s">
        <v>576</v>
      </c>
      <c r="G87" s="14"/>
      <c r="H87" s="46" t="s">
        <v>577</v>
      </c>
      <c r="I87" s="145" t="s">
        <v>830</v>
      </c>
      <c r="J87" s="15">
        <f>SUMIF(PAYOUT!$A:$A,'MP1'!$A87,PAYOUT!$L:$L)</f>
        <v>54933</v>
      </c>
      <c r="K87" s="15">
        <v>200</v>
      </c>
      <c r="L87" s="15">
        <f>SUMIF(PAYOUT!$A:$A,'MP1'!$A87,PAYOUT!$AE:$AE)</f>
        <v>200</v>
      </c>
      <c r="M87" s="16" t="s">
        <v>10</v>
      </c>
    </row>
    <row r="88" spans="1:13" x14ac:dyDescent="0.25">
      <c r="A88">
        <v>80</v>
      </c>
      <c r="B88" s="14" t="s">
        <v>680</v>
      </c>
      <c r="C88" s="14"/>
      <c r="D88" s="35" t="s">
        <v>33</v>
      </c>
      <c r="E88" s="33" t="s">
        <v>578</v>
      </c>
      <c r="F88" s="33" t="s">
        <v>579</v>
      </c>
      <c r="G88" s="14"/>
      <c r="H88" s="46" t="s">
        <v>580</v>
      </c>
      <c r="I88" s="145" t="s">
        <v>830</v>
      </c>
      <c r="J88" s="15">
        <f>SUMIF(PAYOUT!$A:$A,'MP1'!$A88,PAYOUT!$L:$L)</f>
        <v>31705</v>
      </c>
      <c r="K88" s="15">
        <v>200</v>
      </c>
      <c r="L88" s="15">
        <f>SUMIF(PAYOUT!$A:$A,'MP1'!$A88,PAYOUT!$AE:$AE)</f>
        <v>200</v>
      </c>
      <c r="M88" s="16" t="s">
        <v>10</v>
      </c>
    </row>
    <row r="89" spans="1:13" x14ac:dyDescent="0.25">
      <c r="A89">
        <v>81</v>
      </c>
      <c r="B89" s="50" t="s">
        <v>690</v>
      </c>
      <c r="C89" s="14"/>
      <c r="D89" s="35" t="s">
        <v>33</v>
      </c>
      <c r="E89" s="33" t="s">
        <v>581</v>
      </c>
      <c r="F89" s="33" t="s">
        <v>582</v>
      </c>
      <c r="G89" s="14"/>
      <c r="H89" s="46" t="s">
        <v>583</v>
      </c>
      <c r="I89" s="145" t="s">
        <v>830</v>
      </c>
      <c r="J89" s="15">
        <f>SUMIF(PAYOUT!$A:$A,'MP1'!$A89,PAYOUT!$L:$L)</f>
        <v>31705</v>
      </c>
      <c r="K89" s="15">
        <v>200</v>
      </c>
      <c r="L89" s="15">
        <f>SUMIF(PAYOUT!$A:$A,'MP1'!$A89,PAYOUT!$AE:$AE)</f>
        <v>200</v>
      </c>
      <c r="M89" s="16" t="s">
        <v>10</v>
      </c>
    </row>
    <row r="90" spans="1:13" x14ac:dyDescent="0.25">
      <c r="A90">
        <v>82</v>
      </c>
      <c r="B90" s="14" t="s">
        <v>681</v>
      </c>
      <c r="C90" s="14"/>
      <c r="D90" s="35" t="s">
        <v>33</v>
      </c>
      <c r="E90" s="33" t="s">
        <v>584</v>
      </c>
      <c r="F90" s="33" t="s">
        <v>585</v>
      </c>
      <c r="G90" s="14"/>
      <c r="H90" s="46" t="s">
        <v>586</v>
      </c>
      <c r="I90" s="145" t="s">
        <v>830</v>
      </c>
      <c r="J90" s="15">
        <f>SUMIF(PAYOUT!$A:$A,'MP1'!$A90,PAYOUT!$L:$L)</f>
        <v>42178</v>
      </c>
      <c r="K90" s="15">
        <v>200</v>
      </c>
      <c r="L90" s="15">
        <f>SUMIF(PAYOUT!$A:$A,'MP1'!$A90,PAYOUT!$AE:$AE)</f>
        <v>200</v>
      </c>
      <c r="M90" s="16" t="s">
        <v>10</v>
      </c>
    </row>
    <row r="91" spans="1:13" x14ac:dyDescent="0.25">
      <c r="A91">
        <v>83</v>
      </c>
      <c r="B91" s="14" t="s">
        <v>682</v>
      </c>
      <c r="C91" s="14"/>
      <c r="D91" s="35" t="s">
        <v>33</v>
      </c>
      <c r="E91" s="33" t="s">
        <v>587</v>
      </c>
      <c r="F91" s="33" t="s">
        <v>588</v>
      </c>
      <c r="G91" s="14"/>
      <c r="H91" s="46" t="s">
        <v>589</v>
      </c>
      <c r="I91" s="145" t="s">
        <v>830</v>
      </c>
      <c r="J91" s="15">
        <f>SUMIF(PAYOUT!$A:$A,'MP1'!$A91,PAYOUT!$L:$L)</f>
        <v>54933</v>
      </c>
      <c r="K91" s="15">
        <v>200</v>
      </c>
      <c r="L91" s="15">
        <f>SUMIF(PAYOUT!$A:$A,'MP1'!$A91,PAYOUT!$AE:$AE)</f>
        <v>200</v>
      </c>
      <c r="M91" s="16" t="s">
        <v>10</v>
      </c>
    </row>
    <row r="92" spans="1:13" x14ac:dyDescent="0.25">
      <c r="A92">
        <v>84</v>
      </c>
      <c r="B92" s="14" t="s">
        <v>683</v>
      </c>
      <c r="C92" s="14"/>
      <c r="D92" s="35" t="s">
        <v>33</v>
      </c>
      <c r="E92" s="33" t="s">
        <v>590</v>
      </c>
      <c r="F92" s="33" t="s">
        <v>591</v>
      </c>
      <c r="G92" s="14"/>
      <c r="H92" s="46" t="s">
        <v>592</v>
      </c>
      <c r="I92" s="145" t="s">
        <v>830</v>
      </c>
      <c r="J92" s="15">
        <f>SUMIF(PAYOUT!$A:$A,'MP1'!$A92,PAYOUT!$L:$L)</f>
        <v>42594</v>
      </c>
      <c r="K92" s="15">
        <v>200</v>
      </c>
      <c r="L92" s="15">
        <f>SUMIF(PAYOUT!$A:$A,'MP1'!$A92,PAYOUT!$AE:$AE)</f>
        <v>200</v>
      </c>
      <c r="M92" s="16" t="s">
        <v>10</v>
      </c>
    </row>
    <row r="93" spans="1:13" x14ac:dyDescent="0.25">
      <c r="A93">
        <v>85</v>
      </c>
      <c r="B93" s="14" t="s">
        <v>684</v>
      </c>
      <c r="C93" s="14"/>
      <c r="D93" s="35" t="s">
        <v>33</v>
      </c>
      <c r="E93" s="33" t="s">
        <v>593</v>
      </c>
      <c r="F93" s="33" t="s">
        <v>594</v>
      </c>
      <c r="G93" s="14"/>
      <c r="H93" s="46" t="s">
        <v>595</v>
      </c>
      <c r="I93" s="145" t="s">
        <v>830</v>
      </c>
      <c r="J93" s="15">
        <f>SUMIF(PAYOUT!$A:$A,'MP1'!$A93,PAYOUT!$L:$L)</f>
        <v>24329</v>
      </c>
      <c r="K93" s="15">
        <v>200</v>
      </c>
      <c r="L93" s="15">
        <f>SUMIF(PAYOUT!$A:$A,'MP1'!$A93,PAYOUT!$AE:$AE)</f>
        <v>600</v>
      </c>
      <c r="M93" s="16" t="s">
        <v>10</v>
      </c>
    </row>
    <row r="94" spans="1:13" x14ac:dyDescent="0.25">
      <c r="A94">
        <v>86</v>
      </c>
      <c r="B94" s="14" t="s">
        <v>685</v>
      </c>
      <c r="C94" s="14"/>
      <c r="D94" s="35" t="s">
        <v>33</v>
      </c>
      <c r="E94" s="33" t="s">
        <v>596</v>
      </c>
      <c r="F94" s="33" t="s">
        <v>597</v>
      </c>
      <c r="G94" s="14"/>
      <c r="H94" s="46" t="s">
        <v>598</v>
      </c>
      <c r="I94" s="145" t="s">
        <v>830</v>
      </c>
      <c r="J94" s="15">
        <f>SUMIF(PAYOUT!$A:$A,'MP1'!$A94,PAYOUT!$L:$L)</f>
        <v>31705</v>
      </c>
      <c r="K94" s="15">
        <v>200</v>
      </c>
      <c r="L94" s="15">
        <f>SUMIF(PAYOUT!$A:$A,'MP1'!$A94,PAYOUT!$AE:$AE)</f>
        <v>200</v>
      </c>
      <c r="M94" s="16" t="s">
        <v>10</v>
      </c>
    </row>
    <row r="95" spans="1:13" x14ac:dyDescent="0.25">
      <c r="A95">
        <v>87</v>
      </c>
      <c r="B95" s="14" t="s">
        <v>686</v>
      </c>
      <c r="C95" s="14"/>
      <c r="D95" s="35" t="s">
        <v>33</v>
      </c>
      <c r="E95" s="33" t="s">
        <v>538</v>
      </c>
      <c r="F95" s="33" t="s">
        <v>599</v>
      </c>
      <c r="G95" s="14"/>
      <c r="H95" s="46" t="s">
        <v>600</v>
      </c>
      <c r="I95" s="145" t="s">
        <v>830</v>
      </c>
      <c r="J95" s="15">
        <f>SUMIF(PAYOUT!$A:$A,'MP1'!$A95,PAYOUT!$L:$L)</f>
        <v>107500</v>
      </c>
      <c r="K95" s="15">
        <v>200</v>
      </c>
      <c r="L95" s="15">
        <f>SUMIF(PAYOUT!$A:$A,'MP1'!$A95,PAYOUT!$AE:$AE)</f>
        <v>200</v>
      </c>
      <c r="M95" s="16" t="s">
        <v>10</v>
      </c>
    </row>
    <row r="96" spans="1:13" x14ac:dyDescent="0.25">
      <c r="A96">
        <v>88</v>
      </c>
      <c r="B96" s="14" t="s">
        <v>687</v>
      </c>
      <c r="C96" s="14"/>
      <c r="D96" s="35" t="s">
        <v>33</v>
      </c>
      <c r="E96" s="33" t="s">
        <v>601</v>
      </c>
      <c r="F96" s="33" t="s">
        <v>602</v>
      </c>
      <c r="G96" s="14"/>
      <c r="H96" s="46" t="s">
        <v>565</v>
      </c>
      <c r="I96" s="145" t="s">
        <v>830</v>
      </c>
      <c r="J96" s="15">
        <f>SUMIF(PAYOUT!$A:$A,'MP1'!$A96,PAYOUT!$L:$L)</f>
        <v>32109</v>
      </c>
      <c r="K96" s="15">
        <v>200</v>
      </c>
      <c r="L96" s="15">
        <f>SUMIF(PAYOUT!$A:$A,'MP1'!$A96,PAYOUT!$AE:$AE)</f>
        <v>500</v>
      </c>
      <c r="M96" s="16" t="s">
        <v>10</v>
      </c>
    </row>
    <row r="97" spans="1:13" x14ac:dyDescent="0.25">
      <c r="A97">
        <v>89</v>
      </c>
      <c r="B97" s="14" t="s">
        <v>688</v>
      </c>
      <c r="C97" s="14"/>
      <c r="D97" s="35" t="s">
        <v>33</v>
      </c>
      <c r="E97" s="46" t="s">
        <v>603</v>
      </c>
      <c r="F97" s="46" t="s">
        <v>604</v>
      </c>
      <c r="G97" s="14"/>
      <c r="H97" s="46" t="s">
        <v>513</v>
      </c>
      <c r="I97" s="145" t="s">
        <v>830</v>
      </c>
      <c r="J97" s="15">
        <f>SUMIF(PAYOUT!$A:$A,'MP1'!$A97,PAYOUT!$L:$L)</f>
        <v>107500</v>
      </c>
      <c r="K97" s="15">
        <v>200</v>
      </c>
      <c r="L97" s="15">
        <f>SUMIF(PAYOUT!$A:$A,'MP1'!$A97,PAYOUT!$AE:$AE)</f>
        <v>200</v>
      </c>
      <c r="M97" s="16" t="s">
        <v>10</v>
      </c>
    </row>
    <row r="98" spans="1:13" x14ac:dyDescent="0.25">
      <c r="A98">
        <v>90</v>
      </c>
      <c r="B98" s="14" t="s">
        <v>689</v>
      </c>
      <c r="C98" s="14"/>
      <c r="D98" s="35" t="s">
        <v>33</v>
      </c>
      <c r="E98" s="46" t="s">
        <v>605</v>
      </c>
      <c r="F98" s="46" t="s">
        <v>606</v>
      </c>
      <c r="G98" s="14"/>
      <c r="H98" s="46" t="s">
        <v>607</v>
      </c>
      <c r="I98" s="145" t="s">
        <v>830</v>
      </c>
      <c r="J98" s="15">
        <f>SUMIF(PAYOUT!$A:$A,'MP1'!$A98,PAYOUT!$L:$L)</f>
        <v>82963</v>
      </c>
      <c r="K98" s="15">
        <v>200</v>
      </c>
      <c r="L98" s="15">
        <f>SUMIF(PAYOUT!$A:$A,'MP1'!$A98,PAYOUT!$AE:$AE)</f>
        <v>200</v>
      </c>
      <c r="M98" s="16" t="s">
        <v>10</v>
      </c>
    </row>
    <row r="99" spans="1:13" x14ac:dyDescent="0.25">
      <c r="B99" s="14"/>
      <c r="C99" s="14"/>
      <c r="D99" s="14"/>
      <c r="E99" s="14"/>
      <c r="F99" s="14"/>
      <c r="G99" s="14"/>
      <c r="H99" s="46"/>
      <c r="I99" s="14"/>
      <c r="J99" s="14"/>
      <c r="K99" s="54">
        <f>SUM(K9:K98)</f>
        <v>18000</v>
      </c>
      <c r="L99" s="54">
        <f>SUM(L9:L98)</f>
        <v>27000</v>
      </c>
      <c r="M99" s="16" t="s">
        <v>10</v>
      </c>
    </row>
    <row r="100" spans="1:13" x14ac:dyDescent="0.25">
      <c r="B100" s="14"/>
      <c r="C100" s="14"/>
      <c r="D100" s="14"/>
      <c r="E100" s="14"/>
      <c r="F100" s="14"/>
      <c r="G100" s="14"/>
      <c r="H100" s="46"/>
      <c r="I100" s="14"/>
      <c r="J100" s="14"/>
      <c r="K100" s="15"/>
      <c r="L100" s="15"/>
      <c r="M100" s="16" t="s">
        <v>10</v>
      </c>
    </row>
    <row r="101" spans="1:13" x14ac:dyDescent="0.25">
      <c r="B101" s="14"/>
      <c r="C101" s="14"/>
      <c r="D101" s="14"/>
      <c r="E101" s="14"/>
      <c r="F101" s="14"/>
      <c r="G101" s="14"/>
      <c r="H101" s="46"/>
      <c r="I101" s="14"/>
      <c r="J101" s="14"/>
      <c r="K101" s="15"/>
      <c r="L101" s="15"/>
      <c r="M101" s="16" t="s">
        <v>10</v>
      </c>
    </row>
    <row r="102" spans="1:13" x14ac:dyDescent="0.25">
      <c r="B102" s="14"/>
      <c r="C102" s="14"/>
      <c r="D102" s="14"/>
      <c r="E102" s="14"/>
      <c r="F102" s="14"/>
      <c r="G102" s="14"/>
      <c r="H102" s="46"/>
      <c r="I102" s="14"/>
      <c r="J102" s="14"/>
      <c r="K102" s="15"/>
      <c r="L102" s="15"/>
      <c r="M102" s="16" t="s">
        <v>10</v>
      </c>
    </row>
    <row r="103" spans="1:13" x14ac:dyDescent="0.25">
      <c r="B103" s="14"/>
      <c r="C103" s="14"/>
      <c r="D103" s="14"/>
      <c r="E103" s="14"/>
      <c r="F103" s="14"/>
      <c r="G103" s="14"/>
      <c r="H103" s="46"/>
      <c r="I103" s="14"/>
      <c r="J103" s="14"/>
      <c r="K103" s="15"/>
      <c r="L103" s="15"/>
      <c r="M103" s="16" t="s">
        <v>10</v>
      </c>
    </row>
    <row r="104" spans="1:13" x14ac:dyDescent="0.25">
      <c r="B104" s="14"/>
      <c r="C104" s="14"/>
      <c r="D104" s="14"/>
      <c r="E104" s="14"/>
      <c r="F104" s="14"/>
      <c r="G104" s="14"/>
      <c r="H104" s="46"/>
      <c r="I104" s="14"/>
      <c r="J104" s="14"/>
      <c r="K104" s="15"/>
      <c r="L104" s="15"/>
      <c r="M104" s="16" t="s">
        <v>10</v>
      </c>
    </row>
    <row r="105" spans="1:13" x14ac:dyDescent="0.25">
      <c r="B105" s="14"/>
      <c r="C105" s="14"/>
      <c r="D105" s="14"/>
      <c r="E105" s="14"/>
      <c r="F105" s="14"/>
      <c r="G105" s="14"/>
      <c r="H105" s="46"/>
      <c r="I105" s="14"/>
      <c r="J105" s="14"/>
      <c r="K105" s="15"/>
      <c r="L105" s="15"/>
      <c r="M105" s="16" t="s">
        <v>10</v>
      </c>
    </row>
    <row r="106" spans="1:13" x14ac:dyDescent="0.25">
      <c r="B106" s="14"/>
      <c r="C106" s="14"/>
      <c r="D106" s="14"/>
      <c r="E106" s="14"/>
      <c r="F106" s="14"/>
      <c r="G106" s="14"/>
      <c r="H106" s="46"/>
      <c r="I106" s="14"/>
      <c r="J106" s="14"/>
      <c r="K106" s="15"/>
      <c r="L106" s="15"/>
      <c r="M106" s="16" t="s">
        <v>10</v>
      </c>
    </row>
    <row r="107" spans="1:13" x14ac:dyDescent="0.25">
      <c r="B107" s="14"/>
      <c r="C107" s="14"/>
      <c r="D107" s="14"/>
      <c r="E107" s="14"/>
      <c r="F107" s="14"/>
      <c r="G107" s="14"/>
      <c r="H107" s="46"/>
      <c r="I107" s="14"/>
      <c r="J107" s="14"/>
      <c r="K107" s="15"/>
      <c r="L107" s="15"/>
      <c r="M107" s="16" t="s">
        <v>10</v>
      </c>
    </row>
    <row r="108" spans="1:13" x14ac:dyDescent="0.25">
      <c r="B108" s="14"/>
      <c r="C108" s="14"/>
      <c r="D108" s="14"/>
      <c r="E108" s="14"/>
      <c r="F108" s="14"/>
      <c r="G108" s="14"/>
      <c r="H108" s="46"/>
      <c r="I108" s="14"/>
      <c r="J108" s="14"/>
      <c r="K108" s="15"/>
      <c r="L108" s="15"/>
      <c r="M108" s="16" t="s">
        <v>10</v>
      </c>
    </row>
    <row r="109" spans="1:13" x14ac:dyDescent="0.25">
      <c r="B109" s="14"/>
      <c r="C109" s="14"/>
      <c r="D109" s="14"/>
      <c r="E109" s="14"/>
      <c r="F109" s="14"/>
      <c r="G109" s="14"/>
      <c r="H109" s="46"/>
      <c r="I109" s="14"/>
      <c r="J109" s="14"/>
      <c r="K109" s="15"/>
      <c r="L109" s="15"/>
      <c r="M109" s="16" t="s">
        <v>10</v>
      </c>
    </row>
    <row r="110" spans="1:13" x14ac:dyDescent="0.25">
      <c r="B110" s="14"/>
      <c r="C110" s="14"/>
      <c r="D110" s="14"/>
      <c r="E110" s="14"/>
      <c r="F110" s="14"/>
      <c r="G110" s="14"/>
      <c r="H110" s="46"/>
      <c r="I110" s="14"/>
      <c r="J110" s="14"/>
      <c r="K110" s="15"/>
      <c r="L110" s="15"/>
      <c r="M110" s="16" t="s">
        <v>10</v>
      </c>
    </row>
    <row r="111" spans="1:13" x14ac:dyDescent="0.25">
      <c r="B111" s="14"/>
      <c r="C111" s="14"/>
      <c r="D111" s="14"/>
      <c r="E111" s="14"/>
      <c r="F111" s="14"/>
      <c r="G111" s="14"/>
      <c r="H111" s="46"/>
      <c r="I111" s="14"/>
      <c r="J111" s="14"/>
      <c r="K111" s="15"/>
      <c r="L111" s="15"/>
      <c r="M111" s="16" t="s">
        <v>10</v>
      </c>
    </row>
    <row r="112" spans="1:13" x14ac:dyDescent="0.25">
      <c r="B112" s="14"/>
      <c r="C112" s="14"/>
      <c r="D112" s="14"/>
      <c r="E112" s="14"/>
      <c r="F112" s="14"/>
      <c r="G112" s="14"/>
      <c r="H112" s="46"/>
      <c r="I112" s="14"/>
      <c r="J112" s="14"/>
      <c r="K112" s="15"/>
      <c r="L112" s="15"/>
      <c r="M112" s="16" t="s">
        <v>10</v>
      </c>
    </row>
    <row r="113" spans="2:13" x14ac:dyDescent="0.25">
      <c r="B113" s="14"/>
      <c r="C113" s="14"/>
      <c r="D113" s="14"/>
      <c r="E113" s="14"/>
      <c r="F113" s="14"/>
      <c r="G113" s="14"/>
      <c r="H113" s="46"/>
      <c r="I113" s="14"/>
      <c r="J113" s="14"/>
      <c r="K113" s="15"/>
      <c r="L113" s="15"/>
      <c r="M113" s="16" t="s">
        <v>10</v>
      </c>
    </row>
    <row r="114" spans="2:13" x14ac:dyDescent="0.25">
      <c r="B114" s="14"/>
      <c r="C114" s="14"/>
      <c r="D114" s="14"/>
      <c r="E114" s="14"/>
      <c r="F114" s="14"/>
      <c r="G114" s="14"/>
      <c r="H114" s="46"/>
      <c r="I114" s="14"/>
      <c r="J114" s="14"/>
      <c r="K114" s="15"/>
      <c r="L114" s="15"/>
      <c r="M114" s="16" t="s">
        <v>10</v>
      </c>
    </row>
    <row r="115" spans="2:13" x14ac:dyDescent="0.25">
      <c r="B115" s="14"/>
      <c r="C115" s="14"/>
      <c r="D115" s="14"/>
      <c r="E115" s="14"/>
      <c r="F115" s="14"/>
      <c r="G115" s="14"/>
      <c r="H115" s="46"/>
      <c r="I115" s="14"/>
      <c r="J115" s="14"/>
      <c r="K115" s="15"/>
      <c r="L115" s="15"/>
      <c r="M115" s="16" t="s">
        <v>10</v>
      </c>
    </row>
    <row r="116" spans="2:13" x14ac:dyDescent="0.25">
      <c r="B116" s="14"/>
      <c r="C116" s="14"/>
      <c r="D116" s="14"/>
      <c r="E116" s="14"/>
      <c r="F116" s="14"/>
      <c r="G116" s="14"/>
      <c r="H116" s="46"/>
      <c r="I116" s="14"/>
      <c r="J116" s="14"/>
      <c r="K116" s="15"/>
      <c r="L116" s="15"/>
      <c r="M116" s="16" t="s">
        <v>10</v>
      </c>
    </row>
    <row r="117" spans="2:13" x14ac:dyDescent="0.25">
      <c r="B117" s="14"/>
      <c r="C117" s="14"/>
      <c r="D117" s="14"/>
      <c r="E117" s="14"/>
      <c r="F117" s="14"/>
      <c r="G117" s="14"/>
      <c r="H117" s="46"/>
      <c r="I117" s="14"/>
      <c r="J117" s="14"/>
      <c r="K117" s="15"/>
      <c r="L117" s="15"/>
      <c r="M117" s="16" t="s">
        <v>10</v>
      </c>
    </row>
    <row r="118" spans="2:13" x14ac:dyDescent="0.25">
      <c r="B118" s="14"/>
      <c r="C118" s="14"/>
      <c r="D118" s="14"/>
      <c r="E118" s="14"/>
      <c r="F118" s="14"/>
      <c r="G118" s="14"/>
      <c r="H118" s="46"/>
      <c r="I118" s="14"/>
      <c r="J118" s="14"/>
      <c r="K118" s="15"/>
      <c r="L118" s="15"/>
      <c r="M118" s="16" t="s">
        <v>10</v>
      </c>
    </row>
    <row r="119" spans="2:13" x14ac:dyDescent="0.25">
      <c r="B119" s="14"/>
      <c r="C119" s="14"/>
      <c r="D119" s="14"/>
      <c r="E119" s="14"/>
      <c r="F119" s="14"/>
      <c r="G119" s="14"/>
      <c r="H119" s="46"/>
      <c r="I119" s="14"/>
      <c r="J119" s="14"/>
      <c r="K119" s="15"/>
      <c r="L119" s="15"/>
      <c r="M119" s="16" t="s">
        <v>10</v>
      </c>
    </row>
    <row r="120" spans="2:13" x14ac:dyDescent="0.25">
      <c r="B120" s="14"/>
      <c r="C120" s="14"/>
      <c r="D120" s="14"/>
      <c r="E120" s="14"/>
      <c r="F120" s="14"/>
      <c r="G120" s="14"/>
      <c r="H120" s="46"/>
      <c r="I120" s="14"/>
      <c r="J120" s="14"/>
      <c r="K120" s="15"/>
      <c r="L120" s="15"/>
      <c r="M120" s="16" t="s">
        <v>10</v>
      </c>
    </row>
    <row r="121" spans="2:13" x14ac:dyDescent="0.25">
      <c r="B121" s="14"/>
      <c r="C121" s="14"/>
      <c r="D121" s="14"/>
      <c r="E121" s="14"/>
      <c r="F121" s="14"/>
      <c r="G121" s="14"/>
      <c r="H121" s="46"/>
      <c r="I121" s="14"/>
      <c r="J121" s="14"/>
      <c r="K121" s="15"/>
      <c r="L121" s="15"/>
      <c r="M121" s="16" t="s">
        <v>10</v>
      </c>
    </row>
    <row r="122" spans="2:13" x14ac:dyDescent="0.25">
      <c r="B122" s="14"/>
      <c r="C122" s="14"/>
      <c r="D122" s="14"/>
      <c r="E122" s="14"/>
      <c r="F122" s="14"/>
      <c r="G122" s="14"/>
      <c r="H122" s="46"/>
      <c r="I122" s="14"/>
      <c r="J122" s="14"/>
      <c r="K122" s="15"/>
      <c r="L122" s="15"/>
      <c r="M122" s="16" t="s">
        <v>10</v>
      </c>
    </row>
    <row r="123" spans="2:13" x14ac:dyDescent="0.25">
      <c r="B123" s="14"/>
      <c r="C123" s="14"/>
      <c r="D123" s="14"/>
      <c r="E123" s="14"/>
      <c r="F123" s="14"/>
      <c r="G123" s="14"/>
      <c r="H123" s="46"/>
      <c r="I123" s="14"/>
      <c r="J123" s="14"/>
      <c r="K123" s="15"/>
      <c r="L123" s="15"/>
      <c r="M123" s="16" t="s">
        <v>10</v>
      </c>
    </row>
    <row r="124" spans="2:13" x14ac:dyDescent="0.25">
      <c r="B124" s="14"/>
      <c r="C124" s="14"/>
      <c r="D124" s="14"/>
      <c r="E124" s="14"/>
      <c r="F124" s="14"/>
      <c r="G124" s="14"/>
      <c r="H124" s="46"/>
      <c r="I124" s="14"/>
      <c r="J124" s="14"/>
      <c r="K124" s="15"/>
      <c r="L124" s="15"/>
      <c r="M124" s="16" t="s">
        <v>10</v>
      </c>
    </row>
    <row r="125" spans="2:13" x14ac:dyDescent="0.25">
      <c r="B125" s="14"/>
      <c r="C125" s="14"/>
      <c r="D125" s="14"/>
      <c r="E125" s="14"/>
      <c r="F125" s="14"/>
      <c r="G125" s="14"/>
      <c r="H125" s="46"/>
      <c r="I125" s="14"/>
      <c r="J125" s="14"/>
      <c r="K125" s="15"/>
      <c r="L125" s="15"/>
      <c r="M125" s="16" t="s">
        <v>10</v>
      </c>
    </row>
    <row r="126" spans="2:13" x14ac:dyDescent="0.25">
      <c r="B126" s="14"/>
      <c r="C126" s="14"/>
      <c r="D126" s="14"/>
      <c r="E126" s="14"/>
      <c r="F126" s="14"/>
      <c r="G126" s="14"/>
      <c r="H126" s="46"/>
      <c r="I126" s="14"/>
      <c r="J126" s="14"/>
      <c r="K126" s="15"/>
      <c r="L126" s="15"/>
      <c r="M126" s="16" t="s">
        <v>10</v>
      </c>
    </row>
    <row r="127" spans="2:13" x14ac:dyDescent="0.25">
      <c r="B127" s="14"/>
      <c r="C127" s="14"/>
      <c r="D127" s="14"/>
      <c r="E127" s="14"/>
      <c r="F127" s="14"/>
      <c r="G127" s="14"/>
      <c r="H127" s="46"/>
      <c r="I127" s="14"/>
      <c r="J127" s="14"/>
      <c r="K127" s="15"/>
      <c r="L127" s="15"/>
      <c r="M127" s="16" t="s">
        <v>10</v>
      </c>
    </row>
    <row r="128" spans="2:13" x14ac:dyDescent="0.25">
      <c r="B128" s="14"/>
      <c r="C128" s="14"/>
      <c r="D128" s="14"/>
      <c r="E128" s="14"/>
      <c r="F128" s="14"/>
      <c r="G128" s="14"/>
      <c r="H128" s="46"/>
      <c r="I128" s="14"/>
      <c r="J128" s="14"/>
      <c r="K128" s="15"/>
      <c r="L128" s="15"/>
      <c r="M128" s="16" t="s">
        <v>10</v>
      </c>
    </row>
    <row r="129" spans="2:13" x14ac:dyDescent="0.25">
      <c r="B129" s="14"/>
      <c r="C129" s="14"/>
      <c r="D129" s="14"/>
      <c r="E129" s="14"/>
      <c r="F129" s="14"/>
      <c r="G129" s="14"/>
      <c r="H129" s="46"/>
      <c r="I129" s="14"/>
      <c r="J129" s="14"/>
      <c r="K129" s="15"/>
      <c r="L129" s="15"/>
      <c r="M129" s="16" t="s">
        <v>10</v>
      </c>
    </row>
    <row r="130" spans="2:13" x14ac:dyDescent="0.25">
      <c r="B130" s="14"/>
      <c r="C130" s="14"/>
      <c r="D130" s="14"/>
      <c r="E130" s="14"/>
      <c r="F130" s="14"/>
      <c r="G130" s="14"/>
      <c r="H130" s="46"/>
      <c r="I130" s="14"/>
      <c r="J130" s="14"/>
      <c r="K130" s="15"/>
      <c r="L130" s="15"/>
      <c r="M130" s="16" t="s">
        <v>10</v>
      </c>
    </row>
    <row r="131" spans="2:13" x14ac:dyDescent="0.25">
      <c r="B131" s="14"/>
      <c r="C131" s="14"/>
      <c r="D131" s="14"/>
      <c r="E131" s="14"/>
      <c r="F131" s="14"/>
      <c r="G131" s="14"/>
      <c r="H131" s="46"/>
      <c r="I131" s="14"/>
      <c r="J131" s="14"/>
      <c r="K131" s="15"/>
      <c r="L131" s="15"/>
      <c r="M131" s="16" t="s">
        <v>10</v>
      </c>
    </row>
    <row r="132" spans="2:13" x14ac:dyDescent="0.25">
      <c r="B132" s="14"/>
      <c r="C132" s="14"/>
      <c r="D132" s="14"/>
      <c r="E132" s="14"/>
      <c r="F132" s="14"/>
      <c r="G132" s="14"/>
      <c r="H132" s="46"/>
      <c r="I132" s="14"/>
      <c r="J132" s="14"/>
      <c r="K132" s="15"/>
      <c r="L132" s="15"/>
      <c r="M132" s="16" t="s">
        <v>10</v>
      </c>
    </row>
    <row r="133" spans="2:13" x14ac:dyDescent="0.25">
      <c r="B133" s="14"/>
      <c r="C133" s="14"/>
      <c r="D133" s="14"/>
      <c r="E133" s="14"/>
      <c r="F133" s="14"/>
      <c r="G133" s="14"/>
      <c r="H133" s="46"/>
      <c r="I133" s="14"/>
      <c r="J133" s="14"/>
      <c r="K133" s="15"/>
      <c r="L133" s="15"/>
      <c r="M133" s="16" t="s">
        <v>10</v>
      </c>
    </row>
    <row r="134" spans="2:13" x14ac:dyDescent="0.25">
      <c r="B134" s="14"/>
      <c r="C134" s="14"/>
      <c r="D134" s="14"/>
      <c r="E134" s="14"/>
      <c r="F134" s="14"/>
      <c r="G134" s="14"/>
      <c r="H134" s="46"/>
      <c r="I134" s="14"/>
      <c r="J134" s="14"/>
      <c r="K134" s="15"/>
      <c r="L134" s="15"/>
      <c r="M134" s="16" t="s">
        <v>10</v>
      </c>
    </row>
    <row r="135" spans="2:13" x14ac:dyDescent="0.25">
      <c r="B135" s="14"/>
      <c r="C135" s="14"/>
      <c r="D135" s="14"/>
      <c r="E135" s="14"/>
      <c r="F135" s="14"/>
      <c r="G135" s="14"/>
      <c r="H135" s="46"/>
      <c r="I135" s="14"/>
      <c r="J135" s="14"/>
      <c r="K135" s="15"/>
      <c r="L135" s="15"/>
      <c r="M135" s="16" t="s">
        <v>10</v>
      </c>
    </row>
    <row r="136" spans="2:13" x14ac:dyDescent="0.25">
      <c r="B136" s="14"/>
      <c r="C136" s="14"/>
      <c r="D136" s="14"/>
      <c r="E136" s="14"/>
      <c r="F136" s="14"/>
      <c r="G136" s="14"/>
      <c r="H136" s="46"/>
      <c r="I136" s="14"/>
      <c r="J136" s="14"/>
      <c r="K136" s="15"/>
      <c r="L136" s="15"/>
      <c r="M136" s="16" t="s">
        <v>10</v>
      </c>
    </row>
    <row r="137" spans="2:13" x14ac:dyDescent="0.25">
      <c r="B137" s="14"/>
      <c r="C137" s="14"/>
      <c r="D137" s="14"/>
      <c r="E137" s="14"/>
      <c r="F137" s="14"/>
      <c r="G137" s="14"/>
      <c r="H137" s="46"/>
      <c r="I137" s="14"/>
      <c r="J137" s="14"/>
      <c r="K137" s="15"/>
      <c r="L137" s="15"/>
      <c r="M137" s="16" t="s">
        <v>10</v>
      </c>
    </row>
    <row r="138" spans="2:13" x14ac:dyDescent="0.25">
      <c r="B138" s="14"/>
      <c r="C138" s="14"/>
      <c r="D138" s="14"/>
      <c r="E138" s="14"/>
      <c r="F138" s="14"/>
      <c r="G138" s="14"/>
      <c r="H138" s="46"/>
      <c r="I138" s="14"/>
      <c r="J138" s="14"/>
      <c r="K138" s="15"/>
      <c r="L138" s="15"/>
      <c r="M138" s="16" t="s">
        <v>10</v>
      </c>
    </row>
    <row r="139" spans="2:13" x14ac:dyDescent="0.25">
      <c r="B139" s="14"/>
      <c r="C139" s="14"/>
      <c r="D139" s="14"/>
      <c r="E139" s="14"/>
      <c r="F139" s="14"/>
      <c r="G139" s="14"/>
      <c r="H139" s="46"/>
      <c r="I139" s="14"/>
      <c r="J139" s="14"/>
      <c r="K139" s="15"/>
      <c r="L139" s="15"/>
      <c r="M139" s="16" t="s">
        <v>10</v>
      </c>
    </row>
    <row r="140" spans="2:13" x14ac:dyDescent="0.25">
      <c r="B140" s="14"/>
      <c r="C140" s="14"/>
      <c r="D140" s="14"/>
      <c r="E140" s="14"/>
      <c r="F140" s="14"/>
      <c r="G140" s="14"/>
      <c r="H140" s="46"/>
      <c r="I140" s="14"/>
      <c r="J140" s="14"/>
      <c r="K140" s="15"/>
      <c r="L140" s="15"/>
      <c r="M140" s="16" t="s">
        <v>10</v>
      </c>
    </row>
    <row r="141" spans="2:13" x14ac:dyDescent="0.25">
      <c r="B141" s="14"/>
      <c r="C141" s="14"/>
      <c r="D141" s="14"/>
      <c r="E141" s="14"/>
      <c r="F141" s="14"/>
      <c r="G141" s="14"/>
      <c r="H141" s="46"/>
      <c r="I141" s="14"/>
      <c r="J141" s="14"/>
      <c r="K141" s="15"/>
      <c r="L141" s="15"/>
      <c r="M141" s="16" t="s">
        <v>10</v>
      </c>
    </row>
    <row r="142" spans="2:13" x14ac:dyDescent="0.25">
      <c r="B142" s="14"/>
      <c r="C142" s="14"/>
      <c r="D142" s="14"/>
      <c r="E142" s="14"/>
      <c r="F142" s="14"/>
      <c r="G142" s="14"/>
      <c r="H142" s="46"/>
      <c r="I142" s="14"/>
      <c r="J142" s="14"/>
      <c r="K142" s="15"/>
      <c r="L142" s="15"/>
      <c r="M142" s="16" t="s">
        <v>10</v>
      </c>
    </row>
    <row r="143" spans="2:13" x14ac:dyDescent="0.25">
      <c r="B143" s="14"/>
      <c r="C143" s="14"/>
      <c r="D143" s="14"/>
      <c r="E143" s="14"/>
      <c r="F143" s="14"/>
      <c r="G143" s="14"/>
      <c r="H143" s="46"/>
      <c r="I143" s="14"/>
      <c r="J143" s="14"/>
      <c r="K143" s="15"/>
      <c r="L143" s="15"/>
      <c r="M143" s="16" t="s">
        <v>10</v>
      </c>
    </row>
    <row r="144" spans="2:13" x14ac:dyDescent="0.25">
      <c r="B144" s="14"/>
      <c r="C144" s="14"/>
      <c r="D144" s="14"/>
      <c r="E144" s="14"/>
      <c r="F144" s="14"/>
      <c r="G144" s="14"/>
      <c r="H144" s="46"/>
      <c r="I144" s="14"/>
      <c r="J144" s="14"/>
      <c r="K144" s="15"/>
      <c r="L144" s="15"/>
      <c r="M144" s="16" t="s">
        <v>10</v>
      </c>
    </row>
    <row r="145" spans="2:13" x14ac:dyDescent="0.25">
      <c r="B145" s="14"/>
      <c r="C145" s="14"/>
      <c r="D145" s="14"/>
      <c r="E145" s="14"/>
      <c r="F145" s="14"/>
      <c r="G145" s="14"/>
      <c r="H145" s="46"/>
      <c r="I145" s="14"/>
      <c r="J145" s="14"/>
      <c r="K145" s="15"/>
      <c r="L145" s="15"/>
      <c r="M145" s="16" t="s">
        <v>10</v>
      </c>
    </row>
    <row r="146" spans="2:13" x14ac:dyDescent="0.25">
      <c r="B146" s="14"/>
      <c r="C146" s="14"/>
      <c r="D146" s="14"/>
      <c r="E146" s="14"/>
      <c r="F146" s="14"/>
      <c r="G146" s="14"/>
      <c r="H146" s="46"/>
      <c r="I146" s="14"/>
      <c r="J146" s="14"/>
      <c r="K146" s="15"/>
      <c r="L146" s="15"/>
      <c r="M146" s="16" t="s">
        <v>10</v>
      </c>
    </row>
    <row r="147" spans="2:13" x14ac:dyDescent="0.25">
      <c r="B147" s="14"/>
      <c r="C147" s="14"/>
      <c r="D147" s="14"/>
      <c r="E147" s="14"/>
      <c r="F147" s="14"/>
      <c r="G147" s="14"/>
      <c r="H147" s="46"/>
      <c r="I147" s="14"/>
      <c r="J147" s="14"/>
      <c r="K147" s="15"/>
      <c r="L147" s="15"/>
      <c r="M147" s="16" t="s">
        <v>10</v>
      </c>
    </row>
    <row r="148" spans="2:13" x14ac:dyDescent="0.25">
      <c r="B148" s="14"/>
      <c r="C148" s="14"/>
      <c r="D148" s="14"/>
      <c r="E148" s="14"/>
      <c r="F148" s="14"/>
      <c r="G148" s="14"/>
      <c r="H148" s="46"/>
      <c r="I148" s="14"/>
      <c r="J148" s="14"/>
      <c r="K148" s="15"/>
      <c r="L148" s="15"/>
      <c r="M148" s="16" t="s">
        <v>10</v>
      </c>
    </row>
    <row r="149" spans="2:13" x14ac:dyDescent="0.25">
      <c r="B149" s="14"/>
      <c r="C149" s="14"/>
      <c r="D149" s="14"/>
      <c r="E149" s="14"/>
      <c r="F149" s="14"/>
      <c r="G149" s="14"/>
      <c r="H149" s="46"/>
      <c r="I149" s="14"/>
      <c r="J149" s="14"/>
      <c r="K149" s="15"/>
      <c r="L149" s="15"/>
      <c r="M149" s="16" t="s">
        <v>10</v>
      </c>
    </row>
    <row r="150" spans="2:13" x14ac:dyDescent="0.25">
      <c r="B150" s="14"/>
      <c r="C150" s="14"/>
      <c r="D150" s="14"/>
      <c r="E150" s="14"/>
      <c r="F150" s="14"/>
      <c r="G150" s="14"/>
      <c r="H150" s="46"/>
      <c r="I150" s="14"/>
      <c r="J150" s="14"/>
      <c r="K150" s="15"/>
      <c r="L150" s="15"/>
      <c r="M150" s="16" t="s">
        <v>10</v>
      </c>
    </row>
    <row r="151" spans="2:13" x14ac:dyDescent="0.25">
      <c r="B151" s="14"/>
      <c r="C151" s="14"/>
      <c r="D151" s="14"/>
      <c r="E151" s="14"/>
      <c r="F151" s="14"/>
      <c r="G151" s="14"/>
      <c r="H151" s="46"/>
      <c r="I151" s="14"/>
      <c r="J151" s="14"/>
      <c r="K151" s="15"/>
      <c r="L151" s="15"/>
      <c r="M151" s="16" t="s">
        <v>10</v>
      </c>
    </row>
    <row r="152" spans="2:13" x14ac:dyDescent="0.25">
      <c r="B152" s="14"/>
      <c r="C152" s="14"/>
      <c r="D152" s="14"/>
      <c r="E152" s="14"/>
      <c r="F152" s="14"/>
      <c r="G152" s="14"/>
      <c r="H152" s="46"/>
      <c r="I152" s="14"/>
      <c r="J152" s="14"/>
      <c r="K152" s="15"/>
      <c r="L152" s="15"/>
      <c r="M152" s="16" t="s">
        <v>10</v>
      </c>
    </row>
    <row r="153" spans="2:13" x14ac:dyDescent="0.25">
      <c r="B153" s="14"/>
      <c r="C153" s="14"/>
      <c r="D153" s="14"/>
      <c r="E153" s="14"/>
      <c r="F153" s="14"/>
      <c r="G153" s="14"/>
      <c r="H153" s="46"/>
      <c r="I153" s="14"/>
      <c r="J153" s="14"/>
      <c r="K153" s="15"/>
      <c r="L153" s="15"/>
      <c r="M153" s="16" t="s">
        <v>10</v>
      </c>
    </row>
    <row r="154" spans="2:13" x14ac:dyDescent="0.25">
      <c r="B154" s="14"/>
      <c r="C154" s="14"/>
      <c r="D154" s="14"/>
      <c r="E154" s="14"/>
      <c r="F154" s="14"/>
      <c r="G154" s="14"/>
      <c r="H154" s="46"/>
      <c r="I154" s="14"/>
      <c r="J154" s="14"/>
      <c r="K154" s="15"/>
      <c r="L154" s="15"/>
      <c r="M154" s="16" t="s">
        <v>10</v>
      </c>
    </row>
    <row r="155" spans="2:13" x14ac:dyDescent="0.25">
      <c r="B155" s="14"/>
      <c r="C155" s="14"/>
      <c r="D155" s="14"/>
      <c r="E155" s="14"/>
      <c r="F155" s="14"/>
      <c r="G155" s="14"/>
      <c r="H155" s="46"/>
      <c r="I155" s="14"/>
      <c r="J155" s="14"/>
      <c r="K155" s="15"/>
      <c r="L155" s="15"/>
      <c r="M155" s="16" t="s">
        <v>10</v>
      </c>
    </row>
    <row r="156" spans="2:13" x14ac:dyDescent="0.25">
      <c r="B156" s="14"/>
      <c r="C156" s="14"/>
      <c r="D156" s="14"/>
      <c r="E156" s="14"/>
      <c r="F156" s="14"/>
      <c r="G156" s="14"/>
      <c r="H156" s="46"/>
      <c r="I156" s="14"/>
      <c r="J156" s="14"/>
      <c r="K156" s="15"/>
      <c r="L156" s="15"/>
      <c r="M156" s="16" t="s">
        <v>10</v>
      </c>
    </row>
    <row r="157" spans="2:13" x14ac:dyDescent="0.25">
      <c r="B157" s="14"/>
      <c r="C157" s="14"/>
      <c r="D157" s="14"/>
      <c r="E157" s="14"/>
      <c r="F157" s="14"/>
      <c r="G157" s="14"/>
      <c r="H157" s="46"/>
      <c r="I157" s="14"/>
      <c r="J157" s="14"/>
      <c r="K157" s="15"/>
      <c r="L157" s="15"/>
      <c r="M157" s="16" t="s">
        <v>10</v>
      </c>
    </row>
    <row r="158" spans="2:13" x14ac:dyDescent="0.25">
      <c r="B158" s="14"/>
      <c r="C158" s="14"/>
      <c r="D158" s="14"/>
      <c r="E158" s="14"/>
      <c r="F158" s="14"/>
      <c r="G158" s="14"/>
      <c r="H158" s="46"/>
      <c r="I158" s="14"/>
      <c r="J158" s="14"/>
      <c r="K158" s="15"/>
      <c r="L158" s="15"/>
      <c r="M158" s="16" t="s">
        <v>10</v>
      </c>
    </row>
    <row r="159" spans="2:13" x14ac:dyDescent="0.25">
      <c r="B159" s="14"/>
      <c r="C159" s="14"/>
      <c r="D159" s="14"/>
      <c r="E159" s="14"/>
      <c r="F159" s="14"/>
      <c r="G159" s="14"/>
      <c r="H159" s="46"/>
      <c r="I159" s="14"/>
      <c r="J159" s="14"/>
      <c r="K159" s="15"/>
      <c r="L159" s="15"/>
      <c r="M159" s="16" t="s">
        <v>10</v>
      </c>
    </row>
    <row r="160" spans="2:13" x14ac:dyDescent="0.25">
      <c r="B160" s="14"/>
      <c r="C160" s="14"/>
      <c r="D160" s="14"/>
      <c r="E160" s="14"/>
      <c r="F160" s="14"/>
      <c r="G160" s="14"/>
      <c r="H160" s="46"/>
      <c r="I160" s="14"/>
      <c r="J160" s="14"/>
      <c r="K160" s="15"/>
      <c r="L160" s="15"/>
      <c r="M160" s="16" t="s">
        <v>10</v>
      </c>
    </row>
    <row r="161" spans="2:13" x14ac:dyDescent="0.25">
      <c r="B161" s="14"/>
      <c r="C161" s="14"/>
      <c r="D161" s="14"/>
      <c r="E161" s="14"/>
      <c r="F161" s="14"/>
      <c r="G161" s="14"/>
      <c r="H161" s="46"/>
      <c r="I161" s="14"/>
      <c r="J161" s="14"/>
      <c r="K161" s="15"/>
      <c r="L161" s="15"/>
      <c r="M161" s="16" t="s">
        <v>10</v>
      </c>
    </row>
    <row r="162" spans="2:13" x14ac:dyDescent="0.25">
      <c r="B162" s="14"/>
      <c r="C162" s="14"/>
      <c r="D162" s="14"/>
      <c r="E162" s="14"/>
      <c r="F162" s="14"/>
      <c r="G162" s="14"/>
      <c r="H162" s="46"/>
      <c r="I162" s="14"/>
      <c r="J162" s="14"/>
      <c r="K162" s="15"/>
      <c r="L162" s="15"/>
      <c r="M162" s="16" t="s">
        <v>10</v>
      </c>
    </row>
    <row r="163" spans="2:13" x14ac:dyDescent="0.25">
      <c r="B163" s="14"/>
      <c r="C163" s="14"/>
      <c r="D163" s="14"/>
      <c r="E163" s="14"/>
      <c r="F163" s="14"/>
      <c r="G163" s="14"/>
      <c r="H163" s="46"/>
      <c r="I163" s="14"/>
      <c r="J163" s="14"/>
      <c r="K163" s="15"/>
      <c r="L163" s="15"/>
      <c r="M163" s="16" t="s">
        <v>10</v>
      </c>
    </row>
    <row r="164" spans="2:13" x14ac:dyDescent="0.25">
      <c r="B164" s="14"/>
      <c r="C164" s="14"/>
      <c r="D164" s="14"/>
      <c r="E164" s="14"/>
      <c r="F164" s="14"/>
      <c r="G164" s="14"/>
      <c r="H164" s="46"/>
      <c r="I164" s="14"/>
      <c r="J164" s="14"/>
      <c r="K164" s="15"/>
      <c r="L164" s="15"/>
      <c r="M164" s="16" t="s">
        <v>10</v>
      </c>
    </row>
    <row r="165" spans="2:13" x14ac:dyDescent="0.25">
      <c r="B165" s="14"/>
      <c r="C165" s="14"/>
      <c r="D165" s="14"/>
      <c r="E165" s="14"/>
      <c r="F165" s="14"/>
      <c r="G165" s="14"/>
      <c r="H165" s="46"/>
      <c r="I165" s="14"/>
      <c r="J165" s="14"/>
      <c r="K165" s="15"/>
      <c r="L165" s="15"/>
      <c r="M165" s="16" t="s">
        <v>10</v>
      </c>
    </row>
    <row r="166" spans="2:13" x14ac:dyDescent="0.25">
      <c r="B166" s="14"/>
      <c r="C166" s="14"/>
      <c r="D166" s="14"/>
      <c r="E166" s="14"/>
      <c r="F166" s="14"/>
      <c r="G166" s="14"/>
      <c r="H166" s="46"/>
      <c r="I166" s="14"/>
      <c r="J166" s="14"/>
      <c r="K166" s="15"/>
      <c r="L166" s="15"/>
      <c r="M166" s="16" t="s">
        <v>10</v>
      </c>
    </row>
    <row r="167" spans="2:13" x14ac:dyDescent="0.25">
      <c r="B167" s="14"/>
      <c r="C167" s="14"/>
      <c r="D167" s="14"/>
      <c r="E167" s="14"/>
      <c r="F167" s="14"/>
      <c r="G167" s="14"/>
      <c r="H167" s="46"/>
      <c r="I167" s="14"/>
      <c r="J167" s="14"/>
      <c r="K167" s="15"/>
      <c r="L167" s="15"/>
      <c r="M167" s="16" t="s">
        <v>10</v>
      </c>
    </row>
    <row r="168" spans="2:13" x14ac:dyDescent="0.25">
      <c r="B168" s="14"/>
      <c r="C168" s="14"/>
      <c r="D168" s="14"/>
      <c r="E168" s="14"/>
      <c r="F168" s="14"/>
      <c r="G168" s="14"/>
      <c r="H168" s="46"/>
      <c r="I168" s="14"/>
      <c r="J168" s="14"/>
      <c r="K168" s="15"/>
      <c r="L168" s="15"/>
      <c r="M168" s="16" t="s">
        <v>10</v>
      </c>
    </row>
    <row r="169" spans="2:13" x14ac:dyDescent="0.25">
      <c r="B169" s="14"/>
      <c r="C169" s="14"/>
      <c r="D169" s="14"/>
      <c r="E169" s="14"/>
      <c r="F169" s="14"/>
      <c r="G169" s="14"/>
      <c r="H169" s="46"/>
      <c r="I169" s="14"/>
      <c r="J169" s="14"/>
      <c r="K169" s="15"/>
      <c r="L169" s="15"/>
      <c r="M169" s="16" t="s">
        <v>10</v>
      </c>
    </row>
    <row r="170" spans="2:13" x14ac:dyDescent="0.25">
      <c r="B170" s="14"/>
      <c r="C170" s="14"/>
      <c r="D170" s="14"/>
      <c r="E170" s="14"/>
      <c r="F170" s="14"/>
      <c r="G170" s="14"/>
      <c r="H170" s="46"/>
      <c r="I170" s="14"/>
      <c r="J170" s="14"/>
      <c r="K170" s="15"/>
      <c r="L170" s="15"/>
      <c r="M170" s="16" t="s">
        <v>10</v>
      </c>
    </row>
    <row r="171" spans="2:13" x14ac:dyDescent="0.25">
      <c r="B171" s="14"/>
      <c r="C171" s="14"/>
      <c r="D171" s="14"/>
      <c r="E171" s="14"/>
      <c r="F171" s="14"/>
      <c r="G171" s="14"/>
      <c r="H171" s="46"/>
      <c r="I171" s="14"/>
      <c r="J171" s="14"/>
      <c r="K171" s="15"/>
      <c r="L171" s="15"/>
      <c r="M171" s="16" t="s">
        <v>10</v>
      </c>
    </row>
    <row r="172" spans="2:13" x14ac:dyDescent="0.25">
      <c r="B172" s="14"/>
      <c r="C172" s="14"/>
      <c r="D172" s="14"/>
      <c r="E172" s="14"/>
      <c r="F172" s="14"/>
      <c r="G172" s="14"/>
      <c r="H172" s="46"/>
      <c r="I172" s="14"/>
      <c r="J172" s="14"/>
      <c r="K172" s="15"/>
      <c r="L172" s="15"/>
      <c r="M172" s="16" t="s">
        <v>10</v>
      </c>
    </row>
    <row r="173" spans="2:13" x14ac:dyDescent="0.25">
      <c r="B173" s="14"/>
      <c r="C173" s="14"/>
      <c r="D173" s="14"/>
      <c r="E173" s="14"/>
      <c r="F173" s="14"/>
      <c r="G173" s="14"/>
      <c r="H173" s="46"/>
      <c r="I173" s="14"/>
      <c r="J173" s="14"/>
      <c r="K173" s="15"/>
      <c r="L173" s="15"/>
      <c r="M173" s="16" t="s">
        <v>10</v>
      </c>
    </row>
    <row r="174" spans="2:13" x14ac:dyDescent="0.25">
      <c r="B174" s="14"/>
      <c r="C174" s="14"/>
      <c r="D174" s="14"/>
      <c r="E174" s="14"/>
      <c r="F174" s="14"/>
      <c r="G174" s="14"/>
      <c r="H174" s="46"/>
      <c r="I174" s="14"/>
      <c r="J174" s="14"/>
      <c r="K174" s="15"/>
      <c r="L174" s="15"/>
      <c r="M174" s="16" t="s">
        <v>10</v>
      </c>
    </row>
    <row r="175" spans="2:13" x14ac:dyDescent="0.25">
      <c r="B175" s="14"/>
      <c r="C175" s="14"/>
      <c r="D175" s="14"/>
      <c r="E175" s="14"/>
      <c r="F175" s="14"/>
      <c r="G175" s="14"/>
      <c r="H175" s="46"/>
      <c r="I175" s="14"/>
      <c r="J175" s="14"/>
      <c r="K175" s="15"/>
      <c r="L175" s="15"/>
      <c r="M175" s="16" t="s">
        <v>10</v>
      </c>
    </row>
    <row r="176" spans="2:13" x14ac:dyDescent="0.25">
      <c r="B176" s="14"/>
      <c r="C176" s="14"/>
      <c r="D176" s="14"/>
      <c r="E176" s="14"/>
      <c r="F176" s="14"/>
      <c r="G176" s="14"/>
      <c r="H176" s="46"/>
      <c r="I176" s="14"/>
      <c r="J176" s="14"/>
      <c r="K176" s="15"/>
      <c r="L176" s="15"/>
      <c r="M176" s="16" t="s">
        <v>10</v>
      </c>
    </row>
    <row r="177" spans="2:13" x14ac:dyDescent="0.25">
      <c r="B177" s="14"/>
      <c r="C177" s="14"/>
      <c r="D177" s="14"/>
      <c r="E177" s="14"/>
      <c r="F177" s="14"/>
      <c r="G177" s="14"/>
      <c r="H177" s="46"/>
      <c r="I177" s="14"/>
      <c r="J177" s="14"/>
      <c r="K177" s="15"/>
      <c r="L177" s="15"/>
      <c r="M177" s="16" t="s">
        <v>10</v>
      </c>
    </row>
    <row r="178" spans="2:13" x14ac:dyDescent="0.25">
      <c r="B178" s="14"/>
      <c r="C178" s="14"/>
      <c r="D178" s="14"/>
      <c r="E178" s="14"/>
      <c r="F178" s="14"/>
      <c r="G178" s="14"/>
      <c r="H178" s="46"/>
      <c r="I178" s="14"/>
      <c r="J178" s="14"/>
      <c r="K178" s="15"/>
      <c r="L178" s="15"/>
      <c r="M178" s="16" t="s">
        <v>10</v>
      </c>
    </row>
    <row r="179" spans="2:13" x14ac:dyDescent="0.25">
      <c r="B179" s="14"/>
      <c r="C179" s="14"/>
      <c r="D179" s="14"/>
      <c r="E179" s="14"/>
      <c r="F179" s="14"/>
      <c r="G179" s="14"/>
      <c r="H179" s="46"/>
      <c r="I179" s="14"/>
      <c r="J179" s="14"/>
      <c r="K179" s="15"/>
      <c r="L179" s="15"/>
      <c r="M179" s="16" t="s">
        <v>10</v>
      </c>
    </row>
    <row r="180" spans="2:13" x14ac:dyDescent="0.25">
      <c r="B180" s="14"/>
      <c r="C180" s="14"/>
      <c r="D180" s="14"/>
      <c r="E180" s="14"/>
      <c r="F180" s="14"/>
      <c r="G180" s="14"/>
      <c r="H180" s="46"/>
      <c r="I180" s="14"/>
      <c r="J180" s="14"/>
      <c r="K180" s="15"/>
      <c r="L180" s="15"/>
      <c r="M180" s="16" t="s">
        <v>10</v>
      </c>
    </row>
    <row r="181" spans="2:13" x14ac:dyDescent="0.25">
      <c r="B181" s="14"/>
      <c r="C181" s="14"/>
      <c r="D181" s="14"/>
      <c r="E181" s="14"/>
      <c r="F181" s="14"/>
      <c r="G181" s="14"/>
      <c r="H181" s="46"/>
      <c r="I181" s="14"/>
      <c r="J181" s="14"/>
      <c r="K181" s="15"/>
      <c r="L181" s="15"/>
      <c r="M181" s="16" t="s">
        <v>10</v>
      </c>
    </row>
    <row r="182" spans="2:13" x14ac:dyDescent="0.25">
      <c r="B182" s="14"/>
      <c r="C182" s="14"/>
      <c r="D182" s="14"/>
      <c r="E182" s="14"/>
      <c r="F182" s="14"/>
      <c r="G182" s="14"/>
      <c r="H182" s="46"/>
      <c r="I182" s="14"/>
      <c r="J182" s="14"/>
      <c r="K182" s="15"/>
      <c r="L182" s="15"/>
      <c r="M182" s="16" t="s">
        <v>10</v>
      </c>
    </row>
    <row r="183" spans="2:13" x14ac:dyDescent="0.25">
      <c r="B183" s="14"/>
      <c r="C183" s="14"/>
      <c r="D183" s="14"/>
      <c r="E183" s="14"/>
      <c r="F183" s="14"/>
      <c r="G183" s="14"/>
      <c r="H183" s="46"/>
      <c r="I183" s="14"/>
      <c r="J183" s="14"/>
      <c r="K183" s="15"/>
      <c r="L183" s="15"/>
      <c r="M183" s="16" t="s">
        <v>10</v>
      </c>
    </row>
    <row r="184" spans="2:13" x14ac:dyDescent="0.25">
      <c r="B184" s="14"/>
      <c r="C184" s="14"/>
      <c r="D184" s="14"/>
      <c r="E184" s="14"/>
      <c r="F184" s="14"/>
      <c r="G184" s="14"/>
      <c r="H184" s="46"/>
      <c r="I184" s="14"/>
      <c r="J184" s="14"/>
      <c r="K184" s="15"/>
      <c r="L184" s="15"/>
      <c r="M184" s="16" t="s">
        <v>10</v>
      </c>
    </row>
    <row r="185" spans="2:13" x14ac:dyDescent="0.25">
      <c r="B185" s="14"/>
      <c r="C185" s="14"/>
      <c r="D185" s="14"/>
      <c r="E185" s="14"/>
      <c r="F185" s="14"/>
      <c r="G185" s="14"/>
      <c r="H185" s="46"/>
      <c r="I185" s="14"/>
      <c r="J185" s="14"/>
      <c r="K185" s="15"/>
      <c r="L185" s="15"/>
      <c r="M185" s="16" t="s">
        <v>10</v>
      </c>
    </row>
    <row r="186" spans="2:13" x14ac:dyDescent="0.25">
      <c r="B186" s="14"/>
      <c r="C186" s="14"/>
      <c r="D186" s="14"/>
      <c r="E186" s="14"/>
      <c r="F186" s="14"/>
      <c r="G186" s="14"/>
      <c r="H186" s="46"/>
      <c r="I186" s="14"/>
      <c r="J186" s="14"/>
      <c r="K186" s="15"/>
      <c r="L186" s="15"/>
      <c r="M186" s="16" t="s">
        <v>10</v>
      </c>
    </row>
    <row r="187" spans="2:13" x14ac:dyDescent="0.25">
      <c r="B187" s="14"/>
      <c r="C187" s="14"/>
      <c r="D187" s="14"/>
      <c r="E187" s="14"/>
      <c r="F187" s="14"/>
      <c r="G187" s="14"/>
      <c r="H187" s="46"/>
      <c r="I187" s="14"/>
      <c r="J187" s="14"/>
      <c r="K187" s="15"/>
      <c r="L187" s="15"/>
      <c r="M187" s="16" t="s">
        <v>10</v>
      </c>
    </row>
    <row r="188" spans="2:13" x14ac:dyDescent="0.25">
      <c r="B188" s="14"/>
      <c r="C188" s="14"/>
      <c r="D188" s="14"/>
      <c r="E188" s="14"/>
      <c r="F188" s="14"/>
      <c r="G188" s="14"/>
      <c r="H188" s="46"/>
      <c r="I188" s="14"/>
      <c r="J188" s="14"/>
      <c r="K188" s="15"/>
      <c r="L188" s="15"/>
      <c r="M188" s="16" t="s">
        <v>10</v>
      </c>
    </row>
    <row r="189" spans="2:13" x14ac:dyDescent="0.25">
      <c r="B189" s="14"/>
      <c r="C189" s="14"/>
      <c r="D189" s="14"/>
      <c r="E189" s="14"/>
      <c r="F189" s="14"/>
      <c r="G189" s="14"/>
      <c r="H189" s="46"/>
      <c r="I189" s="14"/>
      <c r="J189" s="14"/>
      <c r="K189" s="15"/>
      <c r="L189" s="15"/>
      <c r="M189" s="16" t="s">
        <v>10</v>
      </c>
    </row>
    <row r="190" spans="2:13" x14ac:dyDescent="0.25">
      <c r="B190" s="14"/>
      <c r="C190" s="14"/>
      <c r="D190" s="14"/>
      <c r="E190" s="14"/>
      <c r="F190" s="14"/>
      <c r="G190" s="14"/>
      <c r="H190" s="46"/>
      <c r="I190" s="14"/>
      <c r="J190" s="14"/>
      <c r="K190" s="15"/>
      <c r="L190" s="15"/>
      <c r="M190" s="16" t="s">
        <v>10</v>
      </c>
    </row>
    <row r="191" spans="2:13" x14ac:dyDescent="0.25">
      <c r="B191" s="14"/>
      <c r="C191" s="14"/>
      <c r="D191" s="14"/>
      <c r="E191" s="14"/>
      <c r="F191" s="14"/>
      <c r="G191" s="14"/>
      <c r="H191" s="46"/>
      <c r="I191" s="14"/>
      <c r="J191" s="14"/>
      <c r="K191" s="15"/>
      <c r="L191" s="15"/>
      <c r="M191" s="16" t="s">
        <v>10</v>
      </c>
    </row>
    <row r="192" spans="2:13" x14ac:dyDescent="0.25">
      <c r="B192" s="14"/>
      <c r="C192" s="14"/>
      <c r="D192" s="14"/>
      <c r="E192" s="14"/>
      <c r="F192" s="14"/>
      <c r="G192" s="14"/>
      <c r="H192" s="46"/>
      <c r="I192" s="14"/>
      <c r="J192" s="14"/>
      <c r="K192" s="15"/>
      <c r="L192" s="15"/>
      <c r="M192" s="16" t="s">
        <v>10</v>
      </c>
    </row>
    <row r="193" spans="2:13" x14ac:dyDescent="0.25">
      <c r="B193" s="14"/>
      <c r="C193" s="14"/>
      <c r="D193" s="14"/>
      <c r="E193" s="14"/>
      <c r="F193" s="14"/>
      <c r="G193" s="14"/>
      <c r="H193" s="46"/>
      <c r="I193" s="14"/>
      <c r="J193" s="14"/>
      <c r="K193" s="15"/>
      <c r="L193" s="15"/>
      <c r="M193" s="16" t="s">
        <v>10</v>
      </c>
    </row>
    <row r="194" spans="2:13" x14ac:dyDescent="0.25">
      <c r="B194" s="14"/>
      <c r="C194" s="14"/>
      <c r="D194" s="14"/>
      <c r="E194" s="14"/>
      <c r="F194" s="14"/>
      <c r="G194" s="14"/>
      <c r="H194" s="46"/>
      <c r="I194" s="14"/>
      <c r="J194" s="14"/>
      <c r="K194" s="15"/>
      <c r="L194" s="15"/>
      <c r="M194" s="16" t="s">
        <v>10</v>
      </c>
    </row>
    <row r="195" spans="2:13" x14ac:dyDescent="0.25">
      <c r="B195" s="14"/>
      <c r="C195" s="14"/>
      <c r="D195" s="14"/>
      <c r="E195" s="14"/>
      <c r="F195" s="14"/>
      <c r="G195" s="14"/>
      <c r="H195" s="46"/>
      <c r="I195" s="14"/>
      <c r="J195" s="14"/>
      <c r="K195" s="15"/>
      <c r="L195" s="15"/>
      <c r="M195" s="16" t="s">
        <v>10</v>
      </c>
    </row>
    <row r="196" spans="2:13" x14ac:dyDescent="0.25">
      <c r="B196" s="14"/>
      <c r="C196" s="14"/>
      <c r="D196" s="14"/>
      <c r="E196" s="14"/>
      <c r="F196" s="14"/>
      <c r="G196" s="14"/>
      <c r="H196" s="46"/>
      <c r="I196" s="14"/>
      <c r="J196" s="14"/>
      <c r="K196" s="15"/>
      <c r="L196" s="15"/>
      <c r="M196" s="16" t="s">
        <v>10</v>
      </c>
    </row>
    <row r="197" spans="2:13" x14ac:dyDescent="0.25">
      <c r="B197" s="14"/>
      <c r="C197" s="14"/>
      <c r="D197" s="14"/>
      <c r="E197" s="14"/>
      <c r="F197" s="14"/>
      <c r="G197" s="14"/>
      <c r="H197" s="46"/>
      <c r="I197" s="14"/>
      <c r="J197" s="14"/>
      <c r="K197" s="15"/>
      <c r="L197" s="15"/>
      <c r="M197" s="16" t="s">
        <v>10</v>
      </c>
    </row>
    <row r="198" spans="2:13" x14ac:dyDescent="0.25">
      <c r="B198" s="14"/>
      <c r="C198" s="14"/>
      <c r="D198" s="14"/>
      <c r="E198" s="14"/>
      <c r="F198" s="14"/>
      <c r="G198" s="14"/>
      <c r="H198" s="46"/>
      <c r="I198" s="14"/>
      <c r="J198" s="14"/>
      <c r="K198" s="15"/>
      <c r="L198" s="15"/>
      <c r="M198" s="16" t="s">
        <v>10</v>
      </c>
    </row>
    <row r="199" spans="2:13" x14ac:dyDescent="0.25">
      <c r="B199" s="14"/>
      <c r="C199" s="14"/>
      <c r="D199" s="14"/>
      <c r="E199" s="14"/>
      <c r="F199" s="14"/>
      <c r="G199" s="14"/>
      <c r="H199" s="46"/>
      <c r="I199" s="14"/>
      <c r="J199" s="14"/>
      <c r="K199" s="15"/>
      <c r="L199" s="15"/>
      <c r="M199" s="16" t="s">
        <v>10</v>
      </c>
    </row>
    <row r="200" spans="2:13" x14ac:dyDescent="0.25">
      <c r="B200" s="14"/>
      <c r="C200" s="14"/>
      <c r="D200" s="14"/>
      <c r="E200" s="14"/>
      <c r="F200" s="14"/>
      <c r="G200" s="14"/>
      <c r="H200" s="46"/>
      <c r="I200" s="14"/>
      <c r="J200" s="14"/>
      <c r="K200" s="15"/>
      <c r="L200" s="15"/>
      <c r="M200" s="16" t="s">
        <v>10</v>
      </c>
    </row>
    <row r="201" spans="2:13" x14ac:dyDescent="0.25">
      <c r="B201" s="14"/>
      <c r="C201" s="14"/>
      <c r="D201" s="14"/>
      <c r="E201" s="14"/>
      <c r="F201" s="14"/>
      <c r="G201" s="14"/>
      <c r="H201" s="46"/>
      <c r="I201" s="14"/>
      <c r="J201" s="14"/>
      <c r="K201" s="15"/>
      <c r="L201" s="15"/>
      <c r="M201" s="16" t="s">
        <v>10</v>
      </c>
    </row>
    <row r="202" spans="2:13" x14ac:dyDescent="0.25">
      <c r="B202" s="14"/>
      <c r="C202" s="14"/>
      <c r="D202" s="14"/>
      <c r="E202" s="14"/>
      <c r="F202" s="14"/>
      <c r="G202" s="14"/>
      <c r="H202" s="46"/>
      <c r="I202" s="14"/>
      <c r="J202" s="14"/>
      <c r="K202" s="15"/>
      <c r="L202" s="15"/>
      <c r="M202" s="16" t="s">
        <v>10</v>
      </c>
    </row>
    <row r="203" spans="2:13" x14ac:dyDescent="0.25">
      <c r="B203" s="14"/>
      <c r="C203" s="14"/>
      <c r="D203" s="14"/>
      <c r="E203" s="14"/>
      <c r="F203" s="14"/>
      <c r="G203" s="14"/>
      <c r="H203" s="46"/>
      <c r="I203" s="14"/>
      <c r="J203" s="14"/>
      <c r="K203" s="15"/>
      <c r="L203" s="15"/>
      <c r="M203" s="16" t="s">
        <v>10</v>
      </c>
    </row>
    <row r="204" spans="2:13" x14ac:dyDescent="0.25">
      <c r="B204" s="14"/>
      <c r="C204" s="14"/>
      <c r="D204" s="14"/>
      <c r="E204" s="14"/>
      <c r="F204" s="14"/>
      <c r="G204" s="14"/>
      <c r="H204" s="46"/>
      <c r="I204" s="14"/>
      <c r="J204" s="14"/>
      <c r="K204" s="15"/>
      <c r="L204" s="15"/>
      <c r="M204" s="16" t="s">
        <v>10</v>
      </c>
    </row>
    <row r="205" spans="2:13" x14ac:dyDescent="0.25">
      <c r="B205" s="14"/>
      <c r="C205" s="14"/>
      <c r="D205" s="14"/>
      <c r="E205" s="14"/>
      <c r="F205" s="14"/>
      <c r="G205" s="14"/>
      <c r="H205" s="46"/>
      <c r="I205" s="14"/>
      <c r="J205" s="14"/>
      <c r="K205" s="15"/>
      <c r="L205" s="15"/>
      <c r="M205" s="16" t="s">
        <v>10</v>
      </c>
    </row>
    <row r="206" spans="2:13" x14ac:dyDescent="0.25">
      <c r="B206" s="14"/>
      <c r="C206" s="14"/>
      <c r="D206" s="14"/>
      <c r="E206" s="14"/>
      <c r="F206" s="14"/>
      <c r="G206" s="14"/>
      <c r="H206" s="46"/>
      <c r="I206" s="14"/>
      <c r="J206" s="14"/>
      <c r="K206" s="15"/>
      <c r="L206" s="15"/>
      <c r="M206" s="16" t="s">
        <v>10</v>
      </c>
    </row>
    <row r="207" spans="2:13" x14ac:dyDescent="0.25">
      <c r="B207" s="14"/>
      <c r="C207" s="14"/>
      <c r="D207" s="14"/>
      <c r="E207" s="14"/>
      <c r="F207" s="14"/>
      <c r="G207" s="14"/>
      <c r="H207" s="46"/>
      <c r="I207" s="14"/>
      <c r="J207" s="14"/>
      <c r="K207" s="15"/>
      <c r="L207" s="15"/>
      <c r="M207" s="16" t="s">
        <v>10</v>
      </c>
    </row>
    <row r="208" spans="2:13" x14ac:dyDescent="0.25">
      <c r="B208" s="14"/>
      <c r="C208" s="14"/>
      <c r="D208" s="14"/>
      <c r="E208" s="14"/>
      <c r="F208" s="14"/>
      <c r="G208" s="14"/>
      <c r="H208" s="46"/>
      <c r="I208" s="14"/>
      <c r="J208" s="14"/>
      <c r="K208" s="15"/>
      <c r="L208" s="15"/>
      <c r="M208" s="16" t="s">
        <v>10</v>
      </c>
    </row>
    <row r="209" spans="2:13" x14ac:dyDescent="0.25">
      <c r="B209" s="14"/>
      <c r="C209" s="14"/>
      <c r="D209" s="14"/>
      <c r="E209" s="14"/>
      <c r="F209" s="14"/>
      <c r="G209" s="14"/>
      <c r="H209" s="46"/>
      <c r="I209" s="14"/>
      <c r="J209" s="14"/>
      <c r="K209" s="15"/>
      <c r="L209" s="15"/>
      <c r="M209" s="16" t="s">
        <v>10</v>
      </c>
    </row>
    <row r="210" spans="2:13" x14ac:dyDescent="0.25">
      <c r="B210" s="14"/>
      <c r="C210" s="14"/>
      <c r="D210" s="14"/>
      <c r="E210" s="14"/>
      <c r="F210" s="14"/>
      <c r="G210" s="14"/>
      <c r="H210" s="46"/>
      <c r="I210" s="14"/>
      <c r="J210" s="14"/>
      <c r="K210" s="15"/>
      <c r="L210" s="15"/>
      <c r="M210" s="16" t="s">
        <v>10</v>
      </c>
    </row>
    <row r="211" spans="2:13" x14ac:dyDescent="0.25">
      <c r="B211" s="14"/>
      <c r="C211" s="14"/>
      <c r="D211" s="14"/>
      <c r="E211" s="14"/>
      <c r="F211" s="14"/>
      <c r="G211" s="14"/>
      <c r="H211" s="46"/>
      <c r="I211" s="14"/>
      <c r="J211" s="14"/>
      <c r="K211" s="15"/>
      <c r="L211" s="15"/>
      <c r="M211" s="16" t="s">
        <v>10</v>
      </c>
    </row>
    <row r="212" spans="2:13" x14ac:dyDescent="0.25">
      <c r="B212" s="8"/>
      <c r="C212" s="8"/>
      <c r="D212" s="8"/>
      <c r="E212" s="8"/>
      <c r="F212" s="8"/>
      <c r="G212" s="8"/>
      <c r="H212" s="46"/>
      <c r="I212" s="8"/>
      <c r="J212" s="8"/>
      <c r="K212" s="9"/>
      <c r="L212" s="9"/>
      <c r="M212" s="10" t="s">
        <v>10</v>
      </c>
    </row>
    <row r="213" spans="2:13" x14ac:dyDescent="0.25">
      <c r="B213" s="8"/>
      <c r="C213" s="8"/>
      <c r="D213" s="8"/>
      <c r="E213" s="8"/>
      <c r="F213" s="8"/>
      <c r="G213" s="8"/>
      <c r="H213" s="46"/>
      <c r="I213" s="8"/>
      <c r="J213" s="8"/>
      <c r="K213" s="9"/>
      <c r="L213" s="9"/>
      <c r="M213" s="10" t="s">
        <v>10</v>
      </c>
    </row>
    <row r="214" spans="2:13" x14ac:dyDescent="0.25">
      <c r="B214" s="8"/>
      <c r="C214" s="8"/>
      <c r="D214" s="8"/>
      <c r="E214" s="8"/>
      <c r="F214" s="8"/>
      <c r="G214" s="8"/>
      <c r="H214" s="46"/>
      <c r="I214" s="8"/>
      <c r="J214" s="8"/>
      <c r="K214" s="9"/>
      <c r="L214" s="9"/>
      <c r="M214" s="10" t="s">
        <v>10</v>
      </c>
    </row>
    <row r="215" spans="2:13" x14ac:dyDescent="0.25">
      <c r="B215" s="8"/>
      <c r="C215" s="8"/>
      <c r="D215" s="8"/>
      <c r="E215" s="8"/>
      <c r="F215" s="8"/>
      <c r="G215" s="8"/>
      <c r="H215" s="46"/>
      <c r="I215" s="8"/>
      <c r="J215" s="8"/>
      <c r="K215" s="9"/>
      <c r="L215" s="9"/>
      <c r="M215" s="10" t="s">
        <v>10</v>
      </c>
    </row>
    <row r="216" spans="2:13" x14ac:dyDescent="0.25">
      <c r="B216" s="8"/>
      <c r="C216" s="8"/>
      <c r="D216" s="8"/>
      <c r="E216" s="8"/>
      <c r="F216" s="8"/>
      <c r="G216" s="8"/>
      <c r="H216" s="46"/>
      <c r="I216" s="8"/>
      <c r="J216" s="8"/>
      <c r="K216" s="9"/>
      <c r="L216" s="9"/>
      <c r="M216" s="10" t="s">
        <v>10</v>
      </c>
    </row>
    <row r="217" spans="2:13" x14ac:dyDescent="0.25">
      <c r="B217" s="8"/>
      <c r="C217" s="8"/>
      <c r="D217" s="8"/>
      <c r="E217" s="8"/>
      <c r="F217" s="8"/>
      <c r="G217" s="8"/>
      <c r="H217" s="46"/>
      <c r="I217" s="8"/>
      <c r="J217" s="8"/>
      <c r="K217" s="9"/>
      <c r="L217" s="9"/>
      <c r="M217" s="10" t="s">
        <v>10</v>
      </c>
    </row>
    <row r="218" spans="2:13" x14ac:dyDescent="0.25">
      <c r="B218" s="8"/>
      <c r="C218" s="8"/>
      <c r="D218" s="8"/>
      <c r="E218" s="8"/>
      <c r="F218" s="8"/>
      <c r="G218" s="8"/>
      <c r="H218" s="46"/>
      <c r="I218" s="8"/>
      <c r="J218" s="8"/>
      <c r="K218" s="9"/>
      <c r="L218" s="9"/>
      <c r="M218" s="10" t="s">
        <v>10</v>
      </c>
    </row>
    <row r="219" spans="2:13" x14ac:dyDescent="0.25">
      <c r="B219" s="8"/>
      <c r="C219" s="8"/>
      <c r="D219" s="8"/>
      <c r="E219" s="8"/>
      <c r="F219" s="8"/>
      <c r="G219" s="8"/>
      <c r="H219" s="46"/>
      <c r="I219" s="8"/>
      <c r="J219" s="8"/>
      <c r="K219" s="9"/>
      <c r="L219" s="9"/>
      <c r="M219" s="10" t="s">
        <v>10</v>
      </c>
    </row>
    <row r="220" spans="2:13" x14ac:dyDescent="0.25">
      <c r="B220" s="8"/>
      <c r="C220" s="8"/>
      <c r="D220" s="8"/>
      <c r="E220" s="8"/>
      <c r="F220" s="8"/>
      <c r="G220" s="8"/>
      <c r="H220" s="46"/>
      <c r="I220" s="8"/>
      <c r="J220" s="8"/>
      <c r="K220" s="9"/>
      <c r="L220" s="9"/>
      <c r="M220" s="10" t="s">
        <v>10</v>
      </c>
    </row>
    <row r="221" spans="2:13" x14ac:dyDescent="0.25">
      <c r="B221" s="8"/>
      <c r="C221" s="8"/>
      <c r="D221" s="8"/>
      <c r="E221" s="8"/>
      <c r="F221" s="8"/>
      <c r="G221" s="8"/>
      <c r="H221" s="46"/>
      <c r="I221" s="8"/>
      <c r="J221" s="8"/>
      <c r="K221" s="9"/>
      <c r="L221" s="9"/>
      <c r="M221" s="10" t="s">
        <v>10</v>
      </c>
    </row>
    <row r="222" spans="2:13" x14ac:dyDescent="0.25">
      <c r="B222" s="8"/>
      <c r="C222" s="8"/>
      <c r="D222" s="8"/>
      <c r="E222" s="8"/>
      <c r="F222" s="8"/>
      <c r="G222" s="8"/>
      <c r="H222" s="46"/>
      <c r="I222" s="8"/>
      <c r="J222" s="8"/>
      <c r="K222" s="9"/>
      <c r="L222" s="9"/>
      <c r="M222" s="10" t="s">
        <v>10</v>
      </c>
    </row>
    <row r="223" spans="2:13" x14ac:dyDescent="0.25">
      <c r="B223" s="8"/>
      <c r="C223" s="8"/>
      <c r="D223" s="8"/>
      <c r="E223" s="8"/>
      <c r="F223" s="8"/>
      <c r="G223" s="8"/>
      <c r="H223" s="46"/>
      <c r="I223" s="8"/>
      <c r="J223" s="8"/>
      <c r="K223" s="9"/>
      <c r="L223" s="9"/>
      <c r="M223" s="10" t="s">
        <v>10</v>
      </c>
    </row>
    <row r="224" spans="2:13" x14ac:dyDescent="0.25">
      <c r="B224" s="8"/>
      <c r="C224" s="8"/>
      <c r="D224" s="8"/>
      <c r="E224" s="8"/>
      <c r="F224" s="8"/>
      <c r="G224" s="8"/>
      <c r="H224" s="46"/>
      <c r="I224" s="8"/>
      <c r="J224" s="8"/>
      <c r="K224" s="9"/>
      <c r="L224" s="9"/>
      <c r="M224" s="10" t="s">
        <v>10</v>
      </c>
    </row>
    <row r="225" spans="2:13" x14ac:dyDescent="0.25">
      <c r="B225" s="8"/>
      <c r="C225" s="8"/>
      <c r="D225" s="8"/>
      <c r="E225" s="8"/>
      <c r="F225" s="8"/>
      <c r="G225" s="8"/>
      <c r="H225" s="46"/>
      <c r="I225" s="8"/>
      <c r="J225" s="8"/>
      <c r="K225" s="9"/>
      <c r="L225" s="9"/>
      <c r="M225" s="10" t="s">
        <v>10</v>
      </c>
    </row>
    <row r="226" spans="2:13" x14ac:dyDescent="0.25">
      <c r="B226" s="8"/>
      <c r="C226" s="8"/>
      <c r="D226" s="8"/>
      <c r="E226" s="8"/>
      <c r="F226" s="8"/>
      <c r="G226" s="8"/>
      <c r="H226" s="46"/>
      <c r="I226" s="8"/>
      <c r="J226" s="8"/>
      <c r="K226" s="9"/>
      <c r="L226" s="9"/>
      <c r="M226" s="10" t="s">
        <v>10</v>
      </c>
    </row>
    <row r="227" spans="2:13" x14ac:dyDescent="0.25">
      <c r="B227" s="8"/>
      <c r="C227" s="8"/>
      <c r="D227" s="8"/>
      <c r="E227" s="8"/>
      <c r="F227" s="8"/>
      <c r="G227" s="8"/>
      <c r="H227" s="46"/>
      <c r="I227" s="8"/>
      <c r="J227" s="8"/>
      <c r="K227" s="9"/>
      <c r="L227" s="9"/>
      <c r="M227" s="10" t="s">
        <v>10</v>
      </c>
    </row>
    <row r="228" spans="2:13" x14ac:dyDescent="0.25">
      <c r="B228" s="8"/>
      <c r="C228" s="8"/>
      <c r="D228" s="8"/>
      <c r="E228" s="8"/>
      <c r="F228" s="8"/>
      <c r="G228" s="8"/>
      <c r="H228" s="46"/>
      <c r="I228" s="8"/>
      <c r="J228" s="8"/>
      <c r="K228" s="9"/>
      <c r="L228" s="9"/>
      <c r="M228" s="10" t="s">
        <v>10</v>
      </c>
    </row>
    <row r="229" spans="2:13" x14ac:dyDescent="0.25">
      <c r="B229" s="8"/>
      <c r="C229" s="8"/>
      <c r="D229" s="8"/>
      <c r="E229" s="8"/>
      <c r="F229" s="8"/>
      <c r="G229" s="8"/>
      <c r="H229" s="46"/>
      <c r="I229" s="8"/>
      <c r="J229" s="8"/>
      <c r="K229" s="9"/>
      <c r="L229" s="9"/>
      <c r="M229" s="10" t="s">
        <v>10</v>
      </c>
    </row>
    <row r="230" spans="2:13" x14ac:dyDescent="0.25">
      <c r="B230" s="8"/>
      <c r="C230" s="8"/>
      <c r="D230" s="8"/>
      <c r="E230" s="8"/>
      <c r="F230" s="8"/>
      <c r="G230" s="8"/>
      <c r="H230" s="46"/>
      <c r="I230" s="8"/>
      <c r="J230" s="8"/>
      <c r="K230" s="9"/>
      <c r="L230" s="9"/>
      <c r="M230" s="10" t="s">
        <v>10</v>
      </c>
    </row>
    <row r="231" spans="2:13" x14ac:dyDescent="0.25">
      <c r="B231" s="8"/>
      <c r="C231" s="8"/>
      <c r="D231" s="8"/>
      <c r="E231" s="8"/>
      <c r="F231" s="8"/>
      <c r="G231" s="8"/>
      <c r="H231" s="46"/>
      <c r="I231" s="8"/>
      <c r="J231" s="8"/>
      <c r="K231" s="9"/>
      <c r="L231" s="9"/>
      <c r="M231" s="10" t="s">
        <v>10</v>
      </c>
    </row>
    <row r="232" spans="2:13" x14ac:dyDescent="0.25">
      <c r="B232" s="8"/>
      <c r="C232" s="8"/>
      <c r="D232" s="8"/>
      <c r="E232" s="8"/>
      <c r="F232" s="8"/>
      <c r="G232" s="8"/>
      <c r="H232" s="46"/>
      <c r="I232" s="8"/>
      <c r="J232" s="8"/>
      <c r="K232" s="9"/>
      <c r="L232" s="9"/>
      <c r="M232" s="10" t="s">
        <v>10</v>
      </c>
    </row>
    <row r="233" spans="2:13" x14ac:dyDescent="0.25">
      <c r="B233" s="8"/>
      <c r="C233" s="8"/>
      <c r="D233" s="8"/>
      <c r="E233" s="8"/>
      <c r="F233" s="8"/>
      <c r="G233" s="8"/>
      <c r="H233" s="46"/>
      <c r="I233" s="8"/>
      <c r="J233" s="8"/>
      <c r="K233" s="9"/>
      <c r="L233" s="9"/>
      <c r="M233" s="10" t="s">
        <v>10</v>
      </c>
    </row>
    <row r="234" spans="2:13" x14ac:dyDescent="0.25">
      <c r="B234" s="8"/>
      <c r="C234" s="8"/>
      <c r="D234" s="8"/>
      <c r="E234" s="8"/>
      <c r="F234" s="8"/>
      <c r="G234" s="8"/>
      <c r="H234" s="46"/>
      <c r="I234" s="8"/>
      <c r="J234" s="8"/>
      <c r="K234" s="9"/>
      <c r="L234" s="9"/>
      <c r="M234" s="10" t="s">
        <v>10</v>
      </c>
    </row>
    <row r="235" spans="2:13" x14ac:dyDescent="0.25">
      <c r="B235" s="8"/>
      <c r="C235" s="8"/>
      <c r="D235" s="8"/>
      <c r="E235" s="8"/>
      <c r="F235" s="8"/>
      <c r="G235" s="8"/>
      <c r="H235" s="46"/>
      <c r="I235" s="8"/>
      <c r="J235" s="8"/>
      <c r="K235" s="9"/>
      <c r="L235" s="9"/>
      <c r="M235" s="10" t="s">
        <v>10</v>
      </c>
    </row>
    <row r="236" spans="2:13" x14ac:dyDescent="0.25">
      <c r="B236" s="8"/>
      <c r="C236" s="8"/>
      <c r="D236" s="8"/>
      <c r="E236" s="8"/>
      <c r="F236" s="8"/>
      <c r="G236" s="8"/>
      <c r="H236" s="46"/>
      <c r="I236" s="8"/>
      <c r="J236" s="8"/>
      <c r="K236" s="9"/>
      <c r="L236" s="9"/>
      <c r="M236" s="10" t="s">
        <v>10</v>
      </c>
    </row>
    <row r="237" spans="2:13" x14ac:dyDescent="0.25">
      <c r="B237" s="8"/>
      <c r="C237" s="8"/>
      <c r="D237" s="8"/>
      <c r="E237" s="8"/>
      <c r="F237" s="8"/>
      <c r="G237" s="8"/>
      <c r="H237" s="46"/>
      <c r="I237" s="8"/>
      <c r="J237" s="8"/>
      <c r="K237" s="9"/>
      <c r="L237" s="9"/>
      <c r="M237" s="10" t="s">
        <v>10</v>
      </c>
    </row>
    <row r="238" spans="2:13" x14ac:dyDescent="0.25">
      <c r="B238" s="8"/>
      <c r="C238" s="8"/>
      <c r="D238" s="8"/>
      <c r="E238" s="8"/>
      <c r="F238" s="8"/>
      <c r="G238" s="8"/>
      <c r="H238" s="46"/>
      <c r="I238" s="8"/>
      <c r="J238" s="8"/>
      <c r="K238" s="9"/>
      <c r="L238" s="9"/>
      <c r="M238" s="10" t="s">
        <v>10</v>
      </c>
    </row>
    <row r="239" spans="2:13" x14ac:dyDescent="0.25">
      <c r="B239" s="8"/>
      <c r="C239" s="8"/>
      <c r="D239" s="8"/>
      <c r="E239" s="8"/>
      <c r="F239" s="8"/>
      <c r="G239" s="8"/>
      <c r="H239" s="46"/>
      <c r="I239" s="8"/>
      <c r="J239" s="8"/>
      <c r="K239" s="9"/>
      <c r="L239" s="9"/>
      <c r="M239" s="10" t="s">
        <v>10</v>
      </c>
    </row>
    <row r="240" spans="2:13" x14ac:dyDescent="0.25">
      <c r="B240" s="8"/>
      <c r="C240" s="8"/>
      <c r="D240" s="8"/>
      <c r="E240" s="8"/>
      <c r="F240" s="8"/>
      <c r="G240" s="8"/>
      <c r="H240" s="46"/>
      <c r="I240" s="8"/>
      <c r="J240" s="8"/>
      <c r="K240" s="9"/>
      <c r="L240" s="9"/>
      <c r="M240" s="10" t="s">
        <v>10</v>
      </c>
    </row>
    <row r="241" spans="2:13" x14ac:dyDescent="0.25">
      <c r="B241" s="8"/>
      <c r="C241" s="8"/>
      <c r="D241" s="8"/>
      <c r="E241" s="8"/>
      <c r="F241" s="8"/>
      <c r="G241" s="8"/>
      <c r="H241" s="46"/>
      <c r="I241" s="8"/>
      <c r="J241" s="8"/>
      <c r="K241" s="9"/>
      <c r="L241" s="9"/>
      <c r="M241" s="10" t="s">
        <v>10</v>
      </c>
    </row>
    <row r="242" spans="2:13" x14ac:dyDescent="0.25">
      <c r="B242" s="8"/>
      <c r="C242" s="8"/>
      <c r="D242" s="8"/>
      <c r="E242" s="8"/>
      <c r="F242" s="8"/>
      <c r="G242" s="8"/>
      <c r="H242" s="46"/>
      <c r="I242" s="8"/>
      <c r="J242" s="8"/>
      <c r="K242" s="9"/>
      <c r="L242" s="9"/>
      <c r="M242" s="10" t="s">
        <v>10</v>
      </c>
    </row>
    <row r="243" spans="2:13" x14ac:dyDescent="0.25">
      <c r="B243" s="8"/>
      <c r="C243" s="8"/>
      <c r="D243" s="8"/>
      <c r="E243" s="8"/>
      <c r="F243" s="8"/>
      <c r="G243" s="8"/>
      <c r="H243" s="46"/>
      <c r="I243" s="8"/>
      <c r="J243" s="8"/>
      <c r="K243" s="9"/>
      <c r="L243" s="9"/>
      <c r="M243" s="10" t="s">
        <v>10</v>
      </c>
    </row>
    <row r="244" spans="2:13" x14ac:dyDescent="0.25">
      <c r="B244" s="8"/>
      <c r="C244" s="8"/>
      <c r="D244" s="8"/>
      <c r="E244" s="8"/>
      <c r="F244" s="8"/>
      <c r="G244" s="8"/>
      <c r="H244" s="46"/>
      <c r="I244" s="8"/>
      <c r="J244" s="8"/>
      <c r="K244" s="9"/>
      <c r="L244" s="9"/>
      <c r="M244" s="10" t="s">
        <v>10</v>
      </c>
    </row>
    <row r="245" spans="2:13" x14ac:dyDescent="0.25">
      <c r="B245" s="8"/>
      <c r="C245" s="8"/>
      <c r="D245" s="8"/>
      <c r="E245" s="8"/>
      <c r="F245" s="8"/>
      <c r="G245" s="8"/>
      <c r="H245" s="46"/>
      <c r="I245" s="8"/>
      <c r="J245" s="8"/>
      <c r="K245" s="9"/>
      <c r="L245" s="9"/>
      <c r="M245" s="10" t="s">
        <v>10</v>
      </c>
    </row>
    <row r="246" spans="2:13" x14ac:dyDescent="0.25">
      <c r="B246" s="8"/>
      <c r="C246" s="8"/>
      <c r="D246" s="8"/>
      <c r="E246" s="8"/>
      <c r="F246" s="8"/>
      <c r="G246" s="8"/>
      <c r="H246" s="46"/>
      <c r="I246" s="8"/>
      <c r="J246" s="8"/>
      <c r="K246" s="9"/>
      <c r="L246" s="9"/>
      <c r="M246" s="10" t="s">
        <v>10</v>
      </c>
    </row>
    <row r="247" spans="2:13" x14ac:dyDescent="0.25">
      <c r="B247" s="8"/>
      <c r="C247" s="8"/>
      <c r="D247" s="8"/>
      <c r="E247" s="8"/>
      <c r="F247" s="8"/>
      <c r="G247" s="8"/>
      <c r="H247" s="46"/>
      <c r="I247" s="8"/>
      <c r="J247" s="8"/>
      <c r="K247" s="9"/>
      <c r="L247" s="9"/>
      <c r="M247" s="10" t="s">
        <v>10</v>
      </c>
    </row>
    <row r="248" spans="2:13" x14ac:dyDescent="0.25">
      <c r="B248" s="8"/>
      <c r="C248" s="8"/>
      <c r="D248" s="8"/>
      <c r="E248" s="8"/>
      <c r="F248" s="8"/>
      <c r="G248" s="8"/>
      <c r="H248" s="46"/>
      <c r="I248" s="8"/>
      <c r="J248" s="8"/>
      <c r="K248" s="9"/>
      <c r="L248" s="9"/>
      <c r="M248" s="10" t="s">
        <v>10</v>
      </c>
    </row>
    <row r="249" spans="2:13" x14ac:dyDescent="0.25">
      <c r="B249" s="8"/>
      <c r="C249" s="8"/>
      <c r="D249" s="8"/>
      <c r="E249" s="8"/>
      <c r="F249" s="8"/>
      <c r="G249" s="8"/>
      <c r="H249" s="46"/>
      <c r="I249" s="8"/>
      <c r="J249" s="8"/>
      <c r="K249" s="9"/>
      <c r="L249" s="9"/>
      <c r="M249" s="10" t="s">
        <v>10</v>
      </c>
    </row>
    <row r="250" spans="2:13" x14ac:dyDescent="0.25">
      <c r="B250" s="8"/>
      <c r="C250" s="8"/>
      <c r="D250" s="8"/>
      <c r="E250" s="8"/>
      <c r="F250" s="8"/>
      <c r="G250" s="8"/>
      <c r="H250" s="46"/>
      <c r="I250" s="8"/>
      <c r="J250" s="8"/>
      <c r="K250" s="9"/>
      <c r="L250" s="9"/>
      <c r="M250" s="10" t="s">
        <v>10</v>
      </c>
    </row>
    <row r="251" spans="2:13" x14ac:dyDescent="0.25">
      <c r="B251" s="8"/>
      <c r="C251" s="8"/>
      <c r="D251" s="8"/>
      <c r="E251" s="8"/>
      <c r="F251" s="8"/>
      <c r="G251" s="8"/>
      <c r="H251" s="46"/>
      <c r="I251" s="8"/>
      <c r="J251" s="8"/>
      <c r="K251" s="9"/>
      <c r="L251" s="9"/>
      <c r="M251" s="10" t="s">
        <v>10</v>
      </c>
    </row>
    <row r="252" spans="2:13" x14ac:dyDescent="0.25">
      <c r="B252" s="8"/>
      <c r="C252" s="8"/>
      <c r="D252" s="8"/>
      <c r="E252" s="8"/>
      <c r="F252" s="8"/>
      <c r="G252" s="8"/>
      <c r="H252" s="46"/>
      <c r="I252" s="8"/>
      <c r="J252" s="8"/>
      <c r="K252" s="9"/>
      <c r="L252" s="9"/>
      <c r="M252" s="10" t="s">
        <v>10</v>
      </c>
    </row>
    <row r="253" spans="2:13" x14ac:dyDescent="0.25">
      <c r="B253" s="8"/>
      <c r="C253" s="8"/>
      <c r="D253" s="8"/>
      <c r="E253" s="8"/>
      <c r="F253" s="8"/>
      <c r="G253" s="8"/>
      <c r="H253" s="46"/>
      <c r="I253" s="8"/>
      <c r="J253" s="8"/>
      <c r="K253" s="9"/>
      <c r="L253" s="9"/>
      <c r="M253" s="10" t="s">
        <v>10</v>
      </c>
    </row>
    <row r="254" spans="2:13" x14ac:dyDescent="0.25">
      <c r="B254" s="8"/>
      <c r="C254" s="8"/>
      <c r="D254" s="8"/>
      <c r="E254" s="8"/>
      <c r="F254" s="8"/>
      <c r="G254" s="8"/>
      <c r="H254" s="46"/>
      <c r="I254" s="8"/>
      <c r="J254" s="8"/>
      <c r="K254" s="9"/>
      <c r="L254" s="9"/>
      <c r="M254" s="10" t="s">
        <v>10</v>
      </c>
    </row>
    <row r="255" spans="2:13" x14ac:dyDescent="0.25">
      <c r="B255" s="8"/>
      <c r="C255" s="8"/>
      <c r="D255" s="8"/>
      <c r="E255" s="8"/>
      <c r="F255" s="8"/>
      <c r="G255" s="8"/>
      <c r="H255" s="46"/>
      <c r="I255" s="8"/>
      <c r="J255" s="8"/>
      <c r="K255" s="9"/>
      <c r="L255" s="9"/>
      <c r="M255" s="10" t="s">
        <v>10</v>
      </c>
    </row>
    <row r="256" spans="2:13" x14ac:dyDescent="0.25">
      <c r="B256" s="8"/>
      <c r="C256" s="8"/>
      <c r="D256" s="8"/>
      <c r="E256" s="8"/>
      <c r="F256" s="8"/>
      <c r="G256" s="8"/>
      <c r="H256" s="46"/>
      <c r="I256" s="8"/>
      <c r="J256" s="8"/>
      <c r="K256" s="9"/>
      <c r="L256" s="9"/>
      <c r="M256" s="10" t="s">
        <v>10</v>
      </c>
    </row>
    <row r="257" spans="2:13" x14ac:dyDescent="0.25">
      <c r="B257" s="8"/>
      <c r="C257" s="8"/>
      <c r="D257" s="8"/>
      <c r="E257" s="8"/>
      <c r="F257" s="8"/>
      <c r="G257" s="8"/>
      <c r="H257" s="46"/>
      <c r="I257" s="8"/>
      <c r="J257" s="8"/>
      <c r="K257" s="9"/>
      <c r="L257" s="9"/>
      <c r="M257" s="10" t="s">
        <v>10</v>
      </c>
    </row>
    <row r="258" spans="2:13" x14ac:dyDescent="0.25">
      <c r="B258" s="8"/>
      <c r="C258" s="8"/>
      <c r="D258" s="8"/>
      <c r="E258" s="8"/>
      <c r="F258" s="8"/>
      <c r="G258" s="8"/>
      <c r="H258" s="46"/>
      <c r="I258" s="8"/>
      <c r="J258" s="8"/>
      <c r="K258" s="9"/>
      <c r="L258" s="9"/>
      <c r="M258" s="10" t="s">
        <v>10</v>
      </c>
    </row>
    <row r="259" spans="2:13" x14ac:dyDescent="0.25">
      <c r="B259" s="8"/>
      <c r="C259" s="8"/>
      <c r="D259" s="8"/>
      <c r="E259" s="8"/>
      <c r="F259" s="8"/>
      <c r="G259" s="8"/>
      <c r="H259" s="46"/>
      <c r="I259" s="8"/>
      <c r="J259" s="8"/>
      <c r="K259" s="9"/>
      <c r="L259" s="9"/>
      <c r="M259" s="10" t="s">
        <v>10</v>
      </c>
    </row>
    <row r="260" spans="2:13" x14ac:dyDescent="0.25">
      <c r="B260" s="8"/>
      <c r="C260" s="8"/>
      <c r="D260" s="8"/>
      <c r="E260" s="8"/>
      <c r="F260" s="8"/>
      <c r="G260" s="8"/>
      <c r="H260" s="46"/>
      <c r="I260" s="8"/>
      <c r="J260" s="8"/>
      <c r="K260" s="9"/>
      <c r="L260" s="9"/>
      <c r="M260" s="10" t="s">
        <v>10</v>
      </c>
    </row>
    <row r="261" spans="2:13" x14ac:dyDescent="0.25">
      <c r="B261" s="8"/>
      <c r="C261" s="8"/>
      <c r="D261" s="8"/>
      <c r="E261" s="8"/>
      <c r="F261" s="8"/>
      <c r="G261" s="8"/>
      <c r="H261" s="46"/>
      <c r="I261" s="8"/>
      <c r="J261" s="8"/>
      <c r="K261" s="9"/>
      <c r="L261" s="9"/>
      <c r="M261" s="10" t="s">
        <v>10</v>
      </c>
    </row>
    <row r="262" spans="2:13" x14ac:dyDescent="0.25">
      <c r="B262" s="8"/>
      <c r="C262" s="8"/>
      <c r="D262" s="8"/>
      <c r="E262" s="8"/>
      <c r="F262" s="8"/>
      <c r="G262" s="8"/>
      <c r="H262" s="46"/>
      <c r="I262" s="8"/>
      <c r="J262" s="8"/>
      <c r="K262" s="9"/>
      <c r="L262" s="9"/>
      <c r="M262" s="10" t="s">
        <v>10</v>
      </c>
    </row>
    <row r="263" spans="2:13" x14ac:dyDescent="0.25">
      <c r="B263" s="8"/>
      <c r="C263" s="8"/>
      <c r="D263" s="8"/>
      <c r="E263" s="8"/>
      <c r="F263" s="8"/>
      <c r="G263" s="8"/>
      <c r="H263" s="46"/>
      <c r="I263" s="8"/>
      <c r="J263" s="8"/>
      <c r="K263" s="9"/>
      <c r="L263" s="9"/>
      <c r="M263" s="10" t="s">
        <v>10</v>
      </c>
    </row>
    <row r="264" spans="2:13" x14ac:dyDescent="0.25">
      <c r="B264" s="8"/>
      <c r="C264" s="8"/>
      <c r="D264" s="8"/>
      <c r="E264" s="8"/>
      <c r="F264" s="8"/>
      <c r="G264" s="8"/>
      <c r="H264" s="46"/>
      <c r="I264" s="8"/>
      <c r="J264" s="8"/>
      <c r="K264" s="9"/>
      <c r="L264" s="9"/>
      <c r="M264" s="10" t="s">
        <v>10</v>
      </c>
    </row>
    <row r="265" spans="2:13" x14ac:dyDescent="0.25">
      <c r="B265" s="8"/>
      <c r="C265" s="8"/>
      <c r="D265" s="8"/>
      <c r="E265" s="8"/>
      <c r="F265" s="8"/>
      <c r="G265" s="8"/>
      <c r="H265" s="46"/>
      <c r="I265" s="8"/>
      <c r="J265" s="8"/>
      <c r="K265" s="9"/>
      <c r="L265" s="9"/>
      <c r="M265" s="10" t="s">
        <v>10</v>
      </c>
    </row>
    <row r="266" spans="2:13" x14ac:dyDescent="0.25">
      <c r="B266" s="8"/>
      <c r="C266" s="8"/>
      <c r="D266" s="8"/>
      <c r="E266" s="8"/>
      <c r="F266" s="8"/>
      <c r="G266" s="8"/>
      <c r="H266" s="46"/>
      <c r="I266" s="8"/>
      <c r="J266" s="8"/>
      <c r="K266" s="9"/>
      <c r="L266" s="9"/>
      <c r="M266" s="10" t="s">
        <v>10</v>
      </c>
    </row>
    <row r="267" spans="2:13" x14ac:dyDescent="0.25">
      <c r="B267" s="8"/>
      <c r="C267" s="8"/>
      <c r="D267" s="8"/>
      <c r="E267" s="8"/>
      <c r="F267" s="8"/>
      <c r="G267" s="8"/>
      <c r="H267" s="46"/>
      <c r="I267" s="8"/>
      <c r="J267" s="8"/>
      <c r="K267" s="9"/>
      <c r="L267" s="9"/>
      <c r="M267" s="10" t="s">
        <v>10</v>
      </c>
    </row>
    <row r="268" spans="2:13" x14ac:dyDescent="0.25">
      <c r="B268" s="8"/>
      <c r="C268" s="8"/>
      <c r="D268" s="8"/>
      <c r="E268" s="8"/>
      <c r="F268" s="8"/>
      <c r="G268" s="8"/>
      <c r="H268" s="46"/>
      <c r="I268" s="8"/>
      <c r="J268" s="8"/>
      <c r="K268" s="9"/>
      <c r="L268" s="9"/>
      <c r="M268" s="10" t="s">
        <v>10</v>
      </c>
    </row>
    <row r="269" spans="2:13" x14ac:dyDescent="0.25">
      <c r="B269" s="8"/>
      <c r="C269" s="8"/>
      <c r="D269" s="8"/>
      <c r="E269" s="8"/>
      <c r="F269" s="8"/>
      <c r="G269" s="8"/>
      <c r="H269" s="46"/>
      <c r="I269" s="8"/>
      <c r="J269" s="8"/>
      <c r="K269" s="9"/>
      <c r="L269" s="9"/>
      <c r="M269" s="10" t="s">
        <v>10</v>
      </c>
    </row>
    <row r="270" spans="2:13" x14ac:dyDescent="0.25">
      <c r="B270" s="8"/>
      <c r="C270" s="8"/>
      <c r="D270" s="8"/>
      <c r="E270" s="8"/>
      <c r="F270" s="8"/>
      <c r="G270" s="8"/>
      <c r="H270" s="46"/>
      <c r="I270" s="8"/>
      <c r="J270" s="8"/>
      <c r="K270" s="9"/>
      <c r="L270" s="9"/>
      <c r="M270" s="10" t="s">
        <v>10</v>
      </c>
    </row>
    <row r="271" spans="2:13" x14ac:dyDescent="0.25">
      <c r="B271" s="8"/>
      <c r="C271" s="8"/>
      <c r="D271" s="8"/>
      <c r="E271" s="8"/>
      <c r="F271" s="8"/>
      <c r="G271" s="8"/>
      <c r="H271" s="46"/>
      <c r="I271" s="8"/>
      <c r="J271" s="8"/>
      <c r="K271" s="9"/>
      <c r="L271" s="9"/>
      <c r="M271" s="10" t="s">
        <v>10</v>
      </c>
    </row>
    <row r="272" spans="2:13" x14ac:dyDescent="0.25">
      <c r="B272" s="8"/>
      <c r="C272" s="8"/>
      <c r="D272" s="8"/>
      <c r="E272" s="8"/>
      <c r="F272" s="8"/>
      <c r="G272" s="8"/>
      <c r="H272" s="46"/>
      <c r="I272" s="8"/>
      <c r="J272" s="8"/>
      <c r="K272" s="9"/>
      <c r="L272" s="9"/>
      <c r="M272" s="10" t="s">
        <v>10</v>
      </c>
    </row>
    <row r="273" spans="2:13" x14ac:dyDescent="0.25">
      <c r="B273" s="8"/>
      <c r="C273" s="8"/>
      <c r="D273" s="8"/>
      <c r="E273" s="8"/>
      <c r="F273" s="8"/>
      <c r="G273" s="8"/>
      <c r="H273" s="46"/>
      <c r="I273" s="8"/>
      <c r="J273" s="8"/>
      <c r="K273" s="9"/>
      <c r="L273" s="9"/>
      <c r="M273" s="10" t="s">
        <v>10</v>
      </c>
    </row>
    <row r="274" spans="2:13" x14ac:dyDescent="0.25">
      <c r="B274" s="8"/>
      <c r="C274" s="8"/>
      <c r="D274" s="8"/>
      <c r="E274" s="8"/>
      <c r="F274" s="8"/>
      <c r="G274" s="8"/>
      <c r="H274" s="46"/>
      <c r="I274" s="8"/>
      <c r="J274" s="8"/>
      <c r="K274" s="9"/>
      <c r="L274" s="9"/>
      <c r="M274" s="10" t="s">
        <v>10</v>
      </c>
    </row>
    <row r="275" spans="2:13" x14ac:dyDescent="0.25">
      <c r="B275" s="8"/>
      <c r="C275" s="8"/>
      <c r="D275" s="8"/>
      <c r="E275" s="8"/>
      <c r="F275" s="8"/>
      <c r="G275" s="8"/>
      <c r="H275" s="46"/>
      <c r="I275" s="8"/>
      <c r="J275" s="8"/>
      <c r="K275" s="9"/>
      <c r="L275" s="9"/>
      <c r="M275" s="10" t="s">
        <v>10</v>
      </c>
    </row>
    <row r="276" spans="2:13" x14ac:dyDescent="0.25">
      <c r="B276" s="8"/>
      <c r="C276" s="8"/>
      <c r="D276" s="8"/>
      <c r="E276" s="8"/>
      <c r="F276" s="8"/>
      <c r="G276" s="8"/>
      <c r="H276" s="46"/>
      <c r="I276" s="8"/>
      <c r="J276" s="8"/>
      <c r="K276" s="9"/>
      <c r="L276" s="9"/>
      <c r="M276" s="10" t="s">
        <v>10</v>
      </c>
    </row>
    <row r="277" spans="2:13" x14ac:dyDescent="0.25">
      <c r="B277" s="8"/>
      <c r="C277" s="8"/>
      <c r="D277" s="8"/>
      <c r="E277" s="8"/>
      <c r="F277" s="8"/>
      <c r="G277" s="8"/>
      <c r="H277" s="46"/>
      <c r="I277" s="8"/>
      <c r="J277" s="8"/>
      <c r="K277" s="9"/>
      <c r="L277" s="9"/>
      <c r="M277" s="10" t="s">
        <v>10</v>
      </c>
    </row>
    <row r="278" spans="2:13" x14ac:dyDescent="0.25">
      <c r="B278" s="8"/>
      <c r="C278" s="8"/>
      <c r="D278" s="8"/>
      <c r="E278" s="8"/>
      <c r="F278" s="8"/>
      <c r="G278" s="8"/>
      <c r="H278" s="46"/>
      <c r="I278" s="8"/>
      <c r="J278" s="8"/>
      <c r="K278" s="9"/>
      <c r="L278" s="9"/>
      <c r="M278" s="10" t="s">
        <v>10</v>
      </c>
    </row>
    <row r="279" spans="2:13" x14ac:dyDescent="0.25">
      <c r="B279" s="8"/>
      <c r="C279" s="8"/>
      <c r="D279" s="8"/>
      <c r="E279" s="8"/>
      <c r="F279" s="8"/>
      <c r="G279" s="8"/>
      <c r="H279" s="46"/>
      <c r="I279" s="8"/>
      <c r="J279" s="8"/>
      <c r="K279" s="9"/>
      <c r="L279" s="9"/>
      <c r="M279" s="10" t="s">
        <v>10</v>
      </c>
    </row>
    <row r="280" spans="2:13" x14ac:dyDescent="0.25">
      <c r="B280" s="8"/>
      <c r="C280" s="8"/>
      <c r="D280" s="8"/>
      <c r="E280" s="8"/>
      <c r="F280" s="8"/>
      <c r="G280" s="8"/>
      <c r="H280" s="46"/>
      <c r="I280" s="8"/>
      <c r="J280" s="8"/>
      <c r="K280" s="9"/>
      <c r="L280" s="9"/>
      <c r="M280" s="10" t="s">
        <v>10</v>
      </c>
    </row>
    <row r="281" spans="2:13" x14ac:dyDescent="0.25">
      <c r="B281" s="8"/>
      <c r="C281" s="8"/>
      <c r="D281" s="8"/>
      <c r="E281" s="8"/>
      <c r="F281" s="8"/>
      <c r="G281" s="8"/>
      <c r="H281" s="46"/>
      <c r="I281" s="8"/>
      <c r="J281" s="8"/>
      <c r="K281" s="9"/>
      <c r="L281" s="9"/>
      <c r="M281" s="10" t="s">
        <v>10</v>
      </c>
    </row>
    <row r="282" spans="2:13" x14ac:dyDescent="0.25">
      <c r="B282" s="8"/>
      <c r="C282" s="8"/>
      <c r="D282" s="8"/>
      <c r="E282" s="8"/>
      <c r="F282" s="8"/>
      <c r="G282" s="8"/>
      <c r="H282" s="46"/>
      <c r="I282" s="8"/>
      <c r="J282" s="8"/>
      <c r="K282" s="9"/>
      <c r="L282" s="9"/>
      <c r="M282" s="10" t="s">
        <v>10</v>
      </c>
    </row>
    <row r="283" spans="2:13" x14ac:dyDescent="0.25">
      <c r="B283" s="8"/>
      <c r="C283" s="8"/>
      <c r="D283" s="8"/>
      <c r="E283" s="8"/>
      <c r="F283" s="8"/>
      <c r="G283" s="8"/>
      <c r="H283" s="46"/>
      <c r="I283" s="8"/>
      <c r="J283" s="8"/>
      <c r="K283" s="9"/>
      <c r="L283" s="9"/>
      <c r="M283" s="10" t="s">
        <v>10</v>
      </c>
    </row>
    <row r="284" spans="2:13" x14ac:dyDescent="0.25">
      <c r="B284" s="8"/>
      <c r="C284" s="8"/>
      <c r="D284" s="8"/>
      <c r="E284" s="8"/>
      <c r="F284" s="8"/>
      <c r="G284" s="8"/>
      <c r="H284" s="46"/>
      <c r="I284" s="8"/>
      <c r="J284" s="8"/>
      <c r="K284" s="9"/>
      <c r="L284" s="9"/>
      <c r="M284" s="10" t="s">
        <v>10</v>
      </c>
    </row>
    <row r="285" spans="2:13" x14ac:dyDescent="0.25">
      <c r="B285" s="8"/>
      <c r="C285" s="8"/>
      <c r="D285" s="8"/>
      <c r="E285" s="8"/>
      <c r="F285" s="8"/>
      <c r="G285" s="8"/>
      <c r="H285" s="46"/>
      <c r="I285" s="8"/>
      <c r="J285" s="8"/>
      <c r="K285" s="9"/>
      <c r="L285" s="9"/>
      <c r="M285" s="10" t="s">
        <v>10</v>
      </c>
    </row>
    <row r="286" spans="2:13" x14ac:dyDescent="0.25">
      <c r="B286" s="8"/>
      <c r="C286" s="8"/>
      <c r="D286" s="8"/>
      <c r="E286" s="8"/>
      <c r="F286" s="8"/>
      <c r="G286" s="8"/>
      <c r="H286" s="46"/>
      <c r="I286" s="8"/>
      <c r="J286" s="8"/>
      <c r="K286" s="9"/>
      <c r="L286" s="9"/>
      <c r="M286" s="10" t="s">
        <v>10</v>
      </c>
    </row>
    <row r="287" spans="2:13" x14ac:dyDescent="0.25">
      <c r="B287" s="8"/>
      <c r="C287" s="8"/>
      <c r="D287" s="8"/>
      <c r="E287" s="8"/>
      <c r="F287" s="8"/>
      <c r="G287" s="8"/>
      <c r="H287" s="46"/>
      <c r="I287" s="8"/>
      <c r="J287" s="8"/>
      <c r="K287" s="9"/>
      <c r="L287" s="9"/>
      <c r="M287" s="10" t="s">
        <v>10</v>
      </c>
    </row>
    <row r="288" spans="2:13" x14ac:dyDescent="0.25">
      <c r="B288" s="8"/>
      <c r="C288" s="8"/>
      <c r="D288" s="8"/>
      <c r="E288" s="8"/>
      <c r="F288" s="8"/>
      <c r="G288" s="8"/>
      <c r="H288" s="46"/>
      <c r="I288" s="8"/>
      <c r="J288" s="8"/>
      <c r="K288" s="9"/>
      <c r="L288" s="9"/>
      <c r="M288" s="10" t="s">
        <v>10</v>
      </c>
    </row>
    <row r="289" spans="2:13" x14ac:dyDescent="0.25">
      <c r="B289" s="8"/>
      <c r="C289" s="8"/>
      <c r="D289" s="8"/>
      <c r="E289" s="8"/>
      <c r="F289" s="8"/>
      <c r="G289" s="8"/>
      <c r="H289" s="46"/>
      <c r="I289" s="8"/>
      <c r="J289" s="8"/>
      <c r="K289" s="9"/>
      <c r="L289" s="9"/>
      <c r="M289" s="10" t="s">
        <v>10</v>
      </c>
    </row>
    <row r="290" spans="2:13" x14ac:dyDescent="0.25">
      <c r="B290" s="8"/>
      <c r="C290" s="8"/>
      <c r="D290" s="8"/>
      <c r="E290" s="8"/>
      <c r="F290" s="8"/>
      <c r="G290" s="8"/>
      <c r="H290" s="46"/>
      <c r="I290" s="8"/>
      <c r="J290" s="8"/>
      <c r="K290" s="9"/>
      <c r="L290" s="9"/>
      <c r="M290" s="10" t="s">
        <v>10</v>
      </c>
    </row>
    <row r="291" spans="2:13" x14ac:dyDescent="0.25">
      <c r="B291" s="8"/>
      <c r="C291" s="8"/>
      <c r="D291" s="8"/>
      <c r="E291" s="8"/>
      <c r="F291" s="8"/>
      <c r="G291" s="8"/>
      <c r="H291" s="46"/>
      <c r="I291" s="8"/>
      <c r="J291" s="8"/>
      <c r="K291" s="9"/>
      <c r="L291" s="9"/>
      <c r="M291" s="10" t="s">
        <v>10</v>
      </c>
    </row>
    <row r="292" spans="2:13" x14ac:dyDescent="0.25">
      <c r="B292" s="8"/>
      <c r="C292" s="8"/>
      <c r="D292" s="8"/>
      <c r="E292" s="8"/>
      <c r="F292" s="8"/>
      <c r="G292" s="8"/>
      <c r="H292" s="46"/>
      <c r="I292" s="8"/>
      <c r="J292" s="8"/>
      <c r="K292" s="9"/>
      <c r="L292" s="9"/>
      <c r="M292" s="10" t="s">
        <v>10</v>
      </c>
    </row>
    <row r="293" spans="2:13" x14ac:dyDescent="0.25">
      <c r="B293" s="8"/>
      <c r="C293" s="8"/>
      <c r="D293" s="8"/>
      <c r="E293" s="8"/>
      <c r="F293" s="8"/>
      <c r="G293" s="8"/>
      <c r="H293" s="46"/>
      <c r="I293" s="8"/>
      <c r="J293" s="8"/>
      <c r="K293" s="9"/>
      <c r="L293" s="9"/>
      <c r="M293" s="10" t="s">
        <v>10</v>
      </c>
    </row>
    <row r="294" spans="2:13" x14ac:dyDescent="0.25">
      <c r="B294" s="8"/>
      <c r="C294" s="8"/>
      <c r="D294" s="8"/>
      <c r="E294" s="8"/>
      <c r="F294" s="8"/>
      <c r="G294" s="8"/>
      <c r="H294" s="46"/>
      <c r="I294" s="8"/>
      <c r="J294" s="8"/>
      <c r="K294" s="9"/>
      <c r="L294" s="9"/>
      <c r="M294" s="10" t="s">
        <v>10</v>
      </c>
    </row>
    <row r="295" spans="2:13" x14ac:dyDescent="0.25">
      <c r="B295" s="8"/>
      <c r="C295" s="8"/>
      <c r="D295" s="8"/>
      <c r="E295" s="8"/>
      <c r="F295" s="8"/>
      <c r="G295" s="8"/>
      <c r="H295" s="46"/>
      <c r="I295" s="8"/>
      <c r="J295" s="8"/>
      <c r="K295" s="9"/>
      <c r="L295" s="9"/>
      <c r="M295" s="10" t="s">
        <v>10</v>
      </c>
    </row>
    <row r="296" spans="2:13" x14ac:dyDescent="0.25">
      <c r="B296" s="8"/>
      <c r="C296" s="8"/>
      <c r="D296" s="8"/>
      <c r="E296" s="8"/>
      <c r="F296" s="8"/>
      <c r="G296" s="8"/>
      <c r="H296" s="46"/>
      <c r="I296" s="8"/>
      <c r="J296" s="8"/>
      <c r="K296" s="9"/>
      <c r="L296" s="9"/>
      <c r="M296" s="10" t="s">
        <v>10</v>
      </c>
    </row>
    <row r="297" spans="2:13" x14ac:dyDescent="0.25">
      <c r="B297" s="8"/>
      <c r="C297" s="8"/>
      <c r="D297" s="8"/>
      <c r="E297" s="8"/>
      <c r="F297" s="8"/>
      <c r="G297" s="8"/>
      <c r="H297" s="46"/>
      <c r="I297" s="8"/>
      <c r="J297" s="8"/>
      <c r="K297" s="9"/>
      <c r="L297" s="9"/>
      <c r="M297" s="10" t="s">
        <v>10</v>
      </c>
    </row>
    <row r="298" spans="2:13" x14ac:dyDescent="0.25">
      <c r="B298" s="8"/>
      <c r="C298" s="8"/>
      <c r="D298" s="8"/>
      <c r="E298" s="8"/>
      <c r="F298" s="8"/>
      <c r="G298" s="8"/>
      <c r="H298" s="46"/>
      <c r="I298" s="8"/>
      <c r="J298" s="8"/>
      <c r="K298" s="9"/>
      <c r="L298" s="9"/>
      <c r="M298" s="10" t="s">
        <v>10</v>
      </c>
    </row>
    <row r="299" spans="2:13" x14ac:dyDescent="0.25">
      <c r="B299" s="8"/>
      <c r="C299" s="8"/>
      <c r="D299" s="8"/>
      <c r="E299" s="8"/>
      <c r="F299" s="8"/>
      <c r="G299" s="8"/>
      <c r="H299" s="46"/>
      <c r="I299" s="8"/>
      <c r="J299" s="8"/>
      <c r="K299" s="9"/>
      <c r="L299" s="9"/>
      <c r="M299" s="10" t="s">
        <v>10</v>
      </c>
    </row>
    <row r="300" spans="2:13" x14ac:dyDescent="0.25">
      <c r="B300" s="8"/>
      <c r="C300" s="8"/>
      <c r="D300" s="8"/>
      <c r="E300" s="8"/>
      <c r="F300" s="8"/>
      <c r="G300" s="8"/>
      <c r="H300" s="46"/>
      <c r="I300" s="8"/>
      <c r="J300" s="8"/>
      <c r="K300" s="9"/>
      <c r="L300" s="9"/>
      <c r="M300" s="10" t="s">
        <v>10</v>
      </c>
    </row>
    <row r="301" spans="2:13" x14ac:dyDescent="0.25">
      <c r="B301" s="8"/>
      <c r="C301" s="8"/>
      <c r="D301" s="8"/>
      <c r="E301" s="8"/>
      <c r="F301" s="8"/>
      <c r="G301" s="8"/>
      <c r="H301" s="46"/>
      <c r="I301" s="8"/>
      <c r="J301" s="8"/>
      <c r="K301" s="9"/>
      <c r="L301" s="9"/>
      <c r="M301" s="10" t="s">
        <v>10</v>
      </c>
    </row>
    <row r="302" spans="2:13" x14ac:dyDescent="0.25">
      <c r="B302" s="8"/>
      <c r="C302" s="8"/>
      <c r="D302" s="8"/>
      <c r="E302" s="8"/>
      <c r="F302" s="8"/>
      <c r="G302" s="8"/>
      <c r="H302" s="46"/>
      <c r="I302" s="8"/>
      <c r="J302" s="8"/>
      <c r="K302" s="9"/>
      <c r="L302" s="9"/>
      <c r="M302" s="10" t="s">
        <v>10</v>
      </c>
    </row>
    <row r="303" spans="2:13" x14ac:dyDescent="0.25">
      <c r="B303" s="8"/>
      <c r="C303" s="8"/>
      <c r="D303" s="8"/>
      <c r="E303" s="8"/>
      <c r="F303" s="8"/>
      <c r="G303" s="8"/>
      <c r="H303" s="46"/>
      <c r="I303" s="8"/>
      <c r="J303" s="8"/>
      <c r="K303" s="9"/>
      <c r="L303" s="9"/>
      <c r="M303" s="10" t="s">
        <v>10</v>
      </c>
    </row>
    <row r="304" spans="2:13" x14ac:dyDescent="0.25">
      <c r="B304" s="8"/>
      <c r="C304" s="8"/>
      <c r="D304" s="8"/>
      <c r="E304" s="8"/>
      <c r="F304" s="8"/>
      <c r="G304" s="8"/>
      <c r="H304" s="46"/>
      <c r="I304" s="8"/>
      <c r="J304" s="8"/>
      <c r="K304" s="9"/>
      <c r="L304" s="9"/>
      <c r="M304" s="10" t="s">
        <v>10</v>
      </c>
    </row>
    <row r="305" spans="2:13" x14ac:dyDescent="0.25">
      <c r="B305" s="8"/>
      <c r="C305" s="8"/>
      <c r="D305" s="8"/>
      <c r="E305" s="8"/>
      <c r="F305" s="8"/>
      <c r="G305" s="8"/>
      <c r="H305" s="46"/>
      <c r="I305" s="8"/>
      <c r="J305" s="8"/>
      <c r="K305" s="9"/>
      <c r="L305" s="9"/>
      <c r="M305" s="10" t="s">
        <v>10</v>
      </c>
    </row>
    <row r="306" spans="2:13" x14ac:dyDescent="0.25">
      <c r="B306" s="8"/>
      <c r="C306" s="8"/>
      <c r="D306" s="8"/>
      <c r="E306" s="8"/>
      <c r="F306" s="8"/>
      <c r="G306" s="8"/>
      <c r="H306" s="46"/>
      <c r="I306" s="8"/>
      <c r="J306" s="8"/>
      <c r="K306" s="9"/>
      <c r="L306" s="9"/>
      <c r="M306" s="10" t="s">
        <v>10</v>
      </c>
    </row>
    <row r="307" spans="2:13" x14ac:dyDescent="0.25">
      <c r="B307" s="8"/>
      <c r="C307" s="8"/>
      <c r="D307" s="8"/>
      <c r="E307" s="8"/>
      <c r="F307" s="8"/>
      <c r="G307" s="8"/>
      <c r="H307" s="46"/>
      <c r="I307" s="8"/>
      <c r="J307" s="8"/>
      <c r="K307" s="9"/>
      <c r="L307" s="9"/>
      <c r="M307" s="10" t="s">
        <v>10</v>
      </c>
    </row>
    <row r="308" spans="2:13" x14ac:dyDescent="0.25">
      <c r="B308" s="8"/>
      <c r="C308" s="8"/>
      <c r="D308" s="8"/>
      <c r="E308" s="8"/>
      <c r="F308" s="8"/>
      <c r="G308" s="8"/>
      <c r="H308" s="46"/>
      <c r="I308" s="8"/>
      <c r="J308" s="8"/>
      <c r="K308" s="9"/>
      <c r="L308" s="9"/>
      <c r="M308" s="10" t="s">
        <v>10</v>
      </c>
    </row>
    <row r="309" spans="2:13" x14ac:dyDescent="0.25">
      <c r="B309" s="8"/>
      <c r="C309" s="8"/>
      <c r="D309" s="8"/>
      <c r="E309" s="8"/>
      <c r="F309" s="8"/>
      <c r="G309" s="8"/>
      <c r="H309" s="46"/>
      <c r="I309" s="8"/>
      <c r="J309" s="8"/>
      <c r="K309" s="9"/>
      <c r="L309" s="9"/>
      <c r="M309" s="10" t="s">
        <v>10</v>
      </c>
    </row>
    <row r="310" spans="2:13" x14ac:dyDescent="0.25">
      <c r="B310" s="8"/>
      <c r="C310" s="8"/>
      <c r="D310" s="8"/>
      <c r="E310" s="8"/>
      <c r="F310" s="8"/>
      <c r="G310" s="8"/>
      <c r="H310" s="46"/>
      <c r="I310" s="8"/>
      <c r="J310" s="8"/>
      <c r="K310" s="9"/>
      <c r="L310" s="9"/>
      <c r="M310" s="10" t="s">
        <v>10</v>
      </c>
    </row>
    <row r="311" spans="2:13" x14ac:dyDescent="0.25">
      <c r="B311" s="8"/>
      <c r="C311" s="8"/>
      <c r="D311" s="8"/>
      <c r="E311" s="8"/>
      <c r="F311" s="8"/>
      <c r="G311" s="8"/>
      <c r="H311" s="46"/>
      <c r="I311" s="8"/>
      <c r="J311" s="8"/>
      <c r="K311" s="9"/>
      <c r="L311" s="9"/>
      <c r="M311" s="10" t="s">
        <v>10</v>
      </c>
    </row>
    <row r="312" spans="2:13" x14ac:dyDescent="0.25">
      <c r="B312" s="8"/>
      <c r="C312" s="8"/>
      <c r="D312" s="8"/>
      <c r="E312" s="8"/>
      <c r="F312" s="8"/>
      <c r="G312" s="8"/>
      <c r="H312" s="46"/>
      <c r="I312" s="8"/>
      <c r="J312" s="8"/>
      <c r="K312" s="9"/>
      <c r="L312" s="9"/>
      <c r="M312" s="10" t="s">
        <v>10</v>
      </c>
    </row>
    <row r="313" spans="2:13" x14ac:dyDescent="0.25">
      <c r="B313" s="8"/>
      <c r="C313" s="8"/>
      <c r="D313" s="8"/>
      <c r="E313" s="8"/>
      <c r="F313" s="8"/>
      <c r="G313" s="8"/>
      <c r="H313" s="46"/>
      <c r="I313" s="8"/>
      <c r="J313" s="8"/>
      <c r="K313" s="9"/>
      <c r="L313" s="9"/>
      <c r="M313" s="10" t="s">
        <v>10</v>
      </c>
    </row>
    <row r="314" spans="2:13" x14ac:dyDescent="0.25">
      <c r="B314" s="8"/>
      <c r="C314" s="8"/>
      <c r="D314" s="8"/>
      <c r="E314" s="8"/>
      <c r="F314" s="8"/>
      <c r="G314" s="8"/>
      <c r="H314" s="46"/>
      <c r="I314" s="8"/>
      <c r="J314" s="8"/>
      <c r="K314" s="9"/>
      <c r="L314" s="9"/>
      <c r="M314" s="10" t="s">
        <v>10</v>
      </c>
    </row>
    <row r="315" spans="2:13" x14ac:dyDescent="0.25">
      <c r="B315" s="8"/>
      <c r="C315" s="8"/>
      <c r="D315" s="8"/>
      <c r="E315" s="8"/>
      <c r="F315" s="8"/>
      <c r="G315" s="8"/>
      <c r="H315" s="46"/>
      <c r="I315" s="8"/>
      <c r="J315" s="8"/>
      <c r="K315" s="9"/>
      <c r="L315" s="9"/>
      <c r="M315" s="10" t="s">
        <v>10</v>
      </c>
    </row>
    <row r="316" spans="2:13" x14ac:dyDescent="0.25">
      <c r="B316" s="8"/>
      <c r="C316" s="8"/>
      <c r="D316" s="8"/>
      <c r="E316" s="8"/>
      <c r="F316" s="8"/>
      <c r="G316" s="8"/>
      <c r="H316" s="46"/>
      <c r="I316" s="8"/>
      <c r="J316" s="8"/>
      <c r="K316" s="9"/>
      <c r="L316" s="9"/>
      <c r="M316" s="10" t="s">
        <v>10</v>
      </c>
    </row>
    <row r="317" spans="2:13" x14ac:dyDescent="0.25">
      <c r="B317" s="8"/>
      <c r="C317" s="8"/>
      <c r="D317" s="8"/>
      <c r="E317" s="8"/>
      <c r="F317" s="8"/>
      <c r="G317" s="8"/>
      <c r="H317" s="46"/>
      <c r="I317" s="8"/>
      <c r="J317" s="8"/>
      <c r="K317" s="9"/>
      <c r="L317" s="9"/>
      <c r="M317" s="10" t="s">
        <v>10</v>
      </c>
    </row>
    <row r="318" spans="2:13" x14ac:dyDescent="0.25">
      <c r="B318" s="8"/>
      <c r="C318" s="8"/>
      <c r="D318" s="8"/>
      <c r="E318" s="8"/>
      <c r="F318" s="8"/>
      <c r="G318" s="8"/>
      <c r="H318" s="46"/>
      <c r="I318" s="8"/>
      <c r="J318" s="8"/>
      <c r="K318" s="9"/>
      <c r="L318" s="9"/>
      <c r="M318" s="10" t="s">
        <v>10</v>
      </c>
    </row>
    <row r="319" spans="2:13" x14ac:dyDescent="0.25">
      <c r="B319" s="8"/>
      <c r="C319" s="8"/>
      <c r="D319" s="8"/>
      <c r="E319" s="8"/>
      <c r="F319" s="8"/>
      <c r="G319" s="8"/>
      <c r="H319" s="46"/>
      <c r="I319" s="8"/>
      <c r="J319" s="8"/>
      <c r="K319" s="9"/>
      <c r="L319" s="9"/>
      <c r="M319" s="10" t="s">
        <v>10</v>
      </c>
    </row>
    <row r="320" spans="2:13" x14ac:dyDescent="0.25">
      <c r="B320" s="8"/>
      <c r="C320" s="8"/>
      <c r="D320" s="8"/>
      <c r="E320" s="8"/>
      <c r="F320" s="8"/>
      <c r="G320" s="8"/>
      <c r="H320" s="46"/>
      <c r="I320" s="8"/>
      <c r="J320" s="8"/>
      <c r="K320" s="9"/>
      <c r="L320" s="9"/>
      <c r="M320" s="10" t="s">
        <v>10</v>
      </c>
    </row>
    <row r="321" spans="2:13" x14ac:dyDescent="0.25">
      <c r="B321" s="8"/>
      <c r="C321" s="8"/>
      <c r="D321" s="8"/>
      <c r="E321" s="8"/>
      <c r="F321" s="8"/>
      <c r="G321" s="8"/>
      <c r="H321" s="46"/>
      <c r="I321" s="8"/>
      <c r="J321" s="8"/>
      <c r="K321" s="9"/>
      <c r="L321" s="9"/>
      <c r="M321" s="10" t="s">
        <v>10</v>
      </c>
    </row>
    <row r="322" spans="2:13" x14ac:dyDescent="0.25">
      <c r="B322" s="8"/>
      <c r="C322" s="8"/>
      <c r="D322" s="8"/>
      <c r="E322" s="8"/>
      <c r="F322" s="8"/>
      <c r="G322" s="8"/>
      <c r="H322" s="46"/>
      <c r="I322" s="8"/>
      <c r="J322" s="8"/>
      <c r="K322" s="9"/>
      <c r="L322" s="9"/>
      <c r="M322" s="10" t="s">
        <v>10</v>
      </c>
    </row>
    <row r="323" spans="2:13" x14ac:dyDescent="0.25">
      <c r="B323" s="8"/>
      <c r="C323" s="8"/>
      <c r="D323" s="8"/>
      <c r="E323" s="8"/>
      <c r="F323" s="8"/>
      <c r="G323" s="8"/>
      <c r="H323" s="46"/>
      <c r="I323" s="8"/>
      <c r="J323" s="8"/>
      <c r="K323" s="9"/>
      <c r="L323" s="9"/>
      <c r="M323" s="10" t="s">
        <v>10</v>
      </c>
    </row>
    <row r="324" spans="2:13" x14ac:dyDescent="0.25">
      <c r="B324" s="8"/>
      <c r="C324" s="8"/>
      <c r="D324" s="8"/>
      <c r="E324" s="8"/>
      <c r="F324" s="8"/>
      <c r="G324" s="8"/>
      <c r="H324" s="46"/>
      <c r="I324" s="8"/>
      <c r="J324" s="8"/>
      <c r="K324" s="9"/>
      <c r="L324" s="9"/>
      <c r="M324" s="10" t="s">
        <v>10</v>
      </c>
    </row>
    <row r="325" spans="2:13" x14ac:dyDescent="0.25">
      <c r="B325" s="8"/>
      <c r="C325" s="8"/>
      <c r="D325" s="8"/>
      <c r="E325" s="8"/>
      <c r="F325" s="8"/>
      <c r="G325" s="8"/>
      <c r="H325" s="46"/>
      <c r="I325" s="8"/>
      <c r="J325" s="8"/>
      <c r="K325" s="9"/>
      <c r="L325" s="9"/>
      <c r="M325" s="10" t="s">
        <v>10</v>
      </c>
    </row>
    <row r="326" spans="2:13" x14ac:dyDescent="0.25">
      <c r="B326" s="8"/>
      <c r="C326" s="8"/>
      <c r="D326" s="8"/>
      <c r="E326" s="8"/>
      <c r="F326" s="8"/>
      <c r="G326" s="8"/>
      <c r="H326" s="46"/>
      <c r="I326" s="8"/>
      <c r="J326" s="8"/>
      <c r="K326" s="9"/>
      <c r="L326" s="9"/>
      <c r="M326" s="10" t="s">
        <v>10</v>
      </c>
    </row>
    <row r="327" spans="2:13" x14ac:dyDescent="0.25">
      <c r="B327" s="8"/>
      <c r="C327" s="8"/>
      <c r="D327" s="8"/>
      <c r="E327" s="8"/>
      <c r="F327" s="8"/>
      <c r="G327" s="8"/>
      <c r="H327" s="46"/>
      <c r="I327" s="8"/>
      <c r="J327" s="8"/>
      <c r="K327" s="9"/>
      <c r="L327" s="9"/>
      <c r="M327" s="10" t="s">
        <v>10</v>
      </c>
    </row>
    <row r="328" spans="2:13" x14ac:dyDescent="0.25">
      <c r="B328" s="8"/>
      <c r="C328" s="8"/>
      <c r="D328" s="8"/>
      <c r="E328" s="8"/>
      <c r="F328" s="8"/>
      <c r="G328" s="8"/>
      <c r="H328" s="46"/>
      <c r="I328" s="8"/>
      <c r="J328" s="8"/>
      <c r="K328" s="9"/>
      <c r="L328" s="9"/>
      <c r="M328" s="10" t="s">
        <v>10</v>
      </c>
    </row>
    <row r="329" spans="2:13" x14ac:dyDescent="0.25">
      <c r="B329" s="8"/>
      <c r="C329" s="8"/>
      <c r="D329" s="8"/>
      <c r="E329" s="8"/>
      <c r="F329" s="8"/>
      <c r="G329" s="8"/>
      <c r="H329" s="46"/>
      <c r="I329" s="8"/>
      <c r="J329" s="8"/>
      <c r="K329" s="9"/>
      <c r="L329" s="9"/>
      <c r="M329" s="10" t="s">
        <v>10</v>
      </c>
    </row>
    <row r="330" spans="2:13" x14ac:dyDescent="0.25">
      <c r="B330" s="8"/>
      <c r="C330" s="8"/>
      <c r="D330" s="8"/>
      <c r="E330" s="8"/>
      <c r="F330" s="8"/>
      <c r="G330" s="8"/>
      <c r="H330" s="46"/>
      <c r="I330" s="8"/>
      <c r="J330" s="8"/>
      <c r="K330" s="9"/>
      <c r="L330" s="9"/>
      <c r="M330" s="10" t="s">
        <v>10</v>
      </c>
    </row>
    <row r="331" spans="2:13" x14ac:dyDescent="0.25">
      <c r="B331" s="8"/>
      <c r="C331" s="8"/>
      <c r="D331" s="8"/>
      <c r="E331" s="8"/>
      <c r="F331" s="8"/>
      <c r="G331" s="8"/>
      <c r="H331" s="46"/>
      <c r="I331" s="8"/>
      <c r="J331" s="8"/>
      <c r="K331" s="9"/>
      <c r="L331" s="9"/>
      <c r="M331" s="10" t="s">
        <v>10</v>
      </c>
    </row>
    <row r="332" spans="2:13" x14ac:dyDescent="0.25">
      <c r="B332" s="8"/>
      <c r="C332" s="8"/>
      <c r="D332" s="8"/>
      <c r="E332" s="8"/>
      <c r="F332" s="8"/>
      <c r="G332" s="8"/>
      <c r="H332" s="46"/>
      <c r="I332" s="8"/>
      <c r="J332" s="8"/>
      <c r="K332" s="9"/>
      <c r="L332" s="9"/>
      <c r="M332" s="10" t="s">
        <v>10</v>
      </c>
    </row>
    <row r="333" spans="2:13" x14ac:dyDescent="0.25">
      <c r="B333" s="8"/>
      <c r="C333" s="8"/>
      <c r="D333" s="8"/>
      <c r="E333" s="8"/>
      <c r="F333" s="8"/>
      <c r="G333" s="8"/>
      <c r="H333" s="46"/>
      <c r="I333" s="8"/>
      <c r="J333" s="8"/>
      <c r="K333" s="9"/>
      <c r="L333" s="9"/>
      <c r="M333" s="10" t="s">
        <v>10</v>
      </c>
    </row>
    <row r="334" spans="2:13" x14ac:dyDescent="0.25">
      <c r="B334" s="8"/>
      <c r="C334" s="8"/>
      <c r="D334" s="8"/>
      <c r="E334" s="8"/>
      <c r="F334" s="8"/>
      <c r="G334" s="8"/>
      <c r="H334" s="46"/>
      <c r="I334" s="8"/>
      <c r="J334" s="8"/>
      <c r="K334" s="9"/>
      <c r="L334" s="9"/>
      <c r="M334" s="10" t="s">
        <v>10</v>
      </c>
    </row>
    <row r="335" spans="2:13" x14ac:dyDescent="0.25">
      <c r="B335" s="8"/>
      <c r="C335" s="8"/>
      <c r="D335" s="8"/>
      <c r="E335" s="8"/>
      <c r="F335" s="8"/>
      <c r="G335" s="8"/>
      <c r="H335" s="46"/>
      <c r="I335" s="8"/>
      <c r="J335" s="8"/>
      <c r="K335" s="9"/>
      <c r="L335" s="9"/>
      <c r="M335" s="10" t="s">
        <v>10</v>
      </c>
    </row>
    <row r="336" spans="2:13" x14ac:dyDescent="0.25">
      <c r="B336" s="8"/>
      <c r="C336" s="8"/>
      <c r="D336" s="8"/>
      <c r="E336" s="8"/>
      <c r="F336" s="8"/>
      <c r="G336" s="8"/>
      <c r="H336" s="46"/>
      <c r="I336" s="8"/>
      <c r="J336" s="8"/>
      <c r="K336" s="9"/>
      <c r="L336" s="9"/>
      <c r="M336" s="10" t="s">
        <v>10</v>
      </c>
    </row>
    <row r="337" spans="2:13" x14ac:dyDescent="0.25">
      <c r="B337" s="8"/>
      <c r="C337" s="8"/>
      <c r="D337" s="8"/>
      <c r="E337" s="8"/>
      <c r="F337" s="8"/>
      <c r="G337" s="8"/>
      <c r="H337" s="46"/>
      <c r="I337" s="8"/>
      <c r="J337" s="8"/>
      <c r="K337" s="9"/>
      <c r="L337" s="9"/>
      <c r="M337" s="10" t="s">
        <v>10</v>
      </c>
    </row>
    <row r="338" spans="2:13" x14ac:dyDescent="0.25">
      <c r="B338" s="8"/>
      <c r="C338" s="8"/>
      <c r="D338" s="8"/>
      <c r="E338" s="8"/>
      <c r="F338" s="8"/>
      <c r="G338" s="8"/>
      <c r="H338" s="46"/>
      <c r="I338" s="8"/>
      <c r="J338" s="8"/>
      <c r="K338" s="9"/>
      <c r="L338" s="9"/>
      <c r="M338" s="10" t="s">
        <v>10</v>
      </c>
    </row>
    <row r="339" spans="2:13" x14ac:dyDescent="0.25">
      <c r="B339" s="8"/>
      <c r="C339" s="8"/>
      <c r="D339" s="8"/>
      <c r="E339" s="8"/>
      <c r="F339" s="8"/>
      <c r="G339" s="8"/>
      <c r="H339" s="46"/>
      <c r="I339" s="8"/>
      <c r="J339" s="8"/>
      <c r="K339" s="9"/>
      <c r="L339" s="9"/>
      <c r="M339" s="10" t="s">
        <v>10</v>
      </c>
    </row>
    <row r="340" spans="2:13" x14ac:dyDescent="0.25">
      <c r="B340" s="8"/>
      <c r="C340" s="8"/>
      <c r="D340" s="8"/>
      <c r="E340" s="8"/>
      <c r="F340" s="8"/>
      <c r="G340" s="8"/>
      <c r="H340" s="46"/>
      <c r="I340" s="8"/>
      <c r="J340" s="8"/>
      <c r="K340" s="9"/>
      <c r="L340" s="9"/>
      <c r="M340" s="10" t="s">
        <v>10</v>
      </c>
    </row>
    <row r="341" spans="2:13" x14ac:dyDescent="0.25">
      <c r="B341" s="8"/>
      <c r="C341" s="8"/>
      <c r="D341" s="8"/>
      <c r="E341" s="8"/>
      <c r="F341" s="8"/>
      <c r="G341" s="8"/>
      <c r="H341" s="46"/>
      <c r="I341" s="8"/>
      <c r="J341" s="8"/>
      <c r="K341" s="9"/>
      <c r="L341" s="9"/>
      <c r="M341" s="10" t="s">
        <v>10</v>
      </c>
    </row>
    <row r="342" spans="2:13" x14ac:dyDescent="0.25">
      <c r="B342" s="8"/>
      <c r="C342" s="8"/>
      <c r="D342" s="8"/>
      <c r="E342" s="8"/>
      <c r="F342" s="8"/>
      <c r="G342" s="8"/>
      <c r="H342" s="46"/>
      <c r="I342" s="8"/>
      <c r="J342" s="8"/>
      <c r="K342" s="9"/>
      <c r="L342" s="9"/>
      <c r="M342" s="10" t="s">
        <v>10</v>
      </c>
    </row>
    <row r="343" spans="2:13" x14ac:dyDescent="0.25">
      <c r="B343" s="8"/>
      <c r="C343" s="8"/>
      <c r="D343" s="8"/>
      <c r="E343" s="8"/>
      <c r="F343" s="8"/>
      <c r="G343" s="8"/>
      <c r="H343" s="46"/>
      <c r="I343" s="8"/>
      <c r="J343" s="8"/>
      <c r="K343" s="9"/>
      <c r="L343" s="9"/>
      <c r="M343" s="10" t="s">
        <v>10</v>
      </c>
    </row>
    <row r="344" spans="2:13" x14ac:dyDescent="0.25">
      <c r="B344" s="8"/>
      <c r="C344" s="8"/>
      <c r="D344" s="8"/>
      <c r="E344" s="8"/>
      <c r="F344" s="8"/>
      <c r="G344" s="8"/>
      <c r="H344" s="46"/>
      <c r="I344" s="8"/>
      <c r="J344" s="8"/>
      <c r="K344" s="9"/>
      <c r="L344" s="9"/>
      <c r="M344" s="10" t="s">
        <v>10</v>
      </c>
    </row>
    <row r="345" spans="2:13" x14ac:dyDescent="0.25">
      <c r="B345" s="8"/>
      <c r="C345" s="8"/>
      <c r="D345" s="8"/>
      <c r="E345" s="8"/>
      <c r="F345" s="8"/>
      <c r="G345" s="8"/>
      <c r="H345" s="46"/>
      <c r="I345" s="8"/>
      <c r="J345" s="8"/>
      <c r="K345" s="9"/>
      <c r="L345" s="9"/>
      <c r="M345" s="10" t="s">
        <v>10</v>
      </c>
    </row>
    <row r="346" spans="2:13" x14ac:dyDescent="0.25">
      <c r="B346" s="8"/>
      <c r="C346" s="8"/>
      <c r="D346" s="8"/>
      <c r="E346" s="8"/>
      <c r="F346" s="8"/>
      <c r="G346" s="8"/>
      <c r="H346" s="46"/>
      <c r="I346" s="8"/>
      <c r="J346" s="8"/>
      <c r="K346" s="9"/>
      <c r="L346" s="9"/>
      <c r="M346" s="10" t="s">
        <v>10</v>
      </c>
    </row>
    <row r="347" spans="2:13" x14ac:dyDescent="0.25">
      <c r="B347" s="8"/>
      <c r="C347" s="8"/>
      <c r="D347" s="8"/>
      <c r="E347" s="8"/>
      <c r="F347" s="8"/>
      <c r="G347" s="8"/>
      <c r="H347" s="46"/>
      <c r="I347" s="8"/>
      <c r="J347" s="8"/>
      <c r="K347" s="9"/>
      <c r="L347" s="9"/>
      <c r="M347" s="10" t="s">
        <v>10</v>
      </c>
    </row>
    <row r="348" spans="2:13" x14ac:dyDescent="0.25">
      <c r="B348" s="8"/>
      <c r="C348" s="8"/>
      <c r="D348" s="8"/>
      <c r="E348" s="8"/>
      <c r="F348" s="8"/>
      <c r="G348" s="8"/>
      <c r="H348" s="46"/>
      <c r="I348" s="8"/>
      <c r="J348" s="8"/>
      <c r="K348" s="9"/>
      <c r="L348" s="9"/>
      <c r="M348" s="10" t="s">
        <v>10</v>
      </c>
    </row>
    <row r="349" spans="2:13" x14ac:dyDescent="0.25">
      <c r="B349" s="8"/>
      <c r="C349" s="8"/>
      <c r="D349" s="8"/>
      <c r="E349" s="8"/>
      <c r="F349" s="8"/>
      <c r="G349" s="8"/>
      <c r="H349" s="46"/>
      <c r="I349" s="8"/>
      <c r="J349" s="8"/>
      <c r="K349" s="9"/>
      <c r="L349" s="9"/>
      <c r="M349" s="10" t="s">
        <v>10</v>
      </c>
    </row>
    <row r="350" spans="2:13" x14ac:dyDescent="0.25">
      <c r="B350" s="8"/>
      <c r="C350" s="8"/>
      <c r="D350" s="8"/>
      <c r="E350" s="8"/>
      <c r="F350" s="8"/>
      <c r="G350" s="8"/>
      <c r="H350" s="46"/>
      <c r="I350" s="8"/>
      <c r="J350" s="8"/>
      <c r="K350" s="9"/>
      <c r="L350" s="9"/>
      <c r="M350" s="10" t="s">
        <v>10</v>
      </c>
    </row>
    <row r="351" spans="2:13" x14ac:dyDescent="0.25">
      <c r="B351" s="8"/>
      <c r="C351" s="8"/>
      <c r="D351" s="8"/>
      <c r="E351" s="8"/>
      <c r="F351" s="8"/>
      <c r="G351" s="8"/>
      <c r="H351" s="46"/>
      <c r="I351" s="8"/>
      <c r="J351" s="8"/>
      <c r="K351" s="9"/>
      <c r="L351" s="9"/>
      <c r="M351" s="10" t="s">
        <v>10</v>
      </c>
    </row>
    <row r="352" spans="2:13" x14ac:dyDescent="0.25">
      <c r="B352" s="8"/>
      <c r="C352" s="8"/>
      <c r="D352" s="8"/>
      <c r="E352" s="8"/>
      <c r="F352" s="8"/>
      <c r="G352" s="8"/>
      <c r="H352" s="46"/>
      <c r="I352" s="8"/>
      <c r="J352" s="8"/>
      <c r="K352" s="9"/>
      <c r="L352" s="9"/>
      <c r="M352" s="10" t="s">
        <v>10</v>
      </c>
    </row>
    <row r="353" spans="2:13" x14ac:dyDescent="0.25">
      <c r="B353" s="8"/>
      <c r="C353" s="8"/>
      <c r="D353" s="8"/>
      <c r="E353" s="8"/>
      <c r="F353" s="8"/>
      <c r="G353" s="8"/>
      <c r="H353" s="46"/>
      <c r="I353" s="8"/>
      <c r="J353" s="8"/>
      <c r="K353" s="9"/>
      <c r="L353" s="9"/>
      <c r="M353" s="10" t="s">
        <v>10</v>
      </c>
    </row>
    <row r="354" spans="2:13" x14ac:dyDescent="0.25">
      <c r="B354" s="8"/>
      <c r="C354" s="8"/>
      <c r="D354" s="8"/>
      <c r="E354" s="8"/>
      <c r="F354" s="8"/>
      <c r="G354" s="8"/>
      <c r="H354" s="46"/>
      <c r="I354" s="8"/>
      <c r="J354" s="8"/>
      <c r="K354" s="9"/>
      <c r="L354" s="9"/>
      <c r="M354" s="10" t="s">
        <v>10</v>
      </c>
    </row>
    <row r="355" spans="2:13" x14ac:dyDescent="0.25">
      <c r="B355" s="8"/>
      <c r="C355" s="8"/>
      <c r="D355" s="8"/>
      <c r="E355" s="8"/>
      <c r="F355" s="8"/>
      <c r="G355" s="8"/>
      <c r="H355" s="46"/>
      <c r="I355" s="8"/>
      <c r="J355" s="8"/>
      <c r="K355" s="9"/>
      <c r="L355" s="9"/>
      <c r="M355" s="10" t="s">
        <v>10</v>
      </c>
    </row>
    <row r="356" spans="2:13" x14ac:dyDescent="0.25">
      <c r="B356" s="8"/>
      <c r="C356" s="8"/>
      <c r="D356" s="8"/>
      <c r="E356" s="8"/>
      <c r="F356" s="8"/>
      <c r="G356" s="8"/>
      <c r="H356" s="46"/>
      <c r="I356" s="8"/>
      <c r="J356" s="8"/>
      <c r="K356" s="9"/>
      <c r="L356" s="9"/>
      <c r="M356" s="10" t="s">
        <v>10</v>
      </c>
    </row>
    <row r="357" spans="2:13" x14ac:dyDescent="0.25">
      <c r="B357" s="8"/>
      <c r="C357" s="8"/>
      <c r="D357" s="8"/>
      <c r="E357" s="8"/>
      <c r="F357" s="8"/>
      <c r="G357" s="8"/>
      <c r="H357" s="46"/>
      <c r="I357" s="8"/>
      <c r="J357" s="8"/>
      <c r="K357" s="9"/>
      <c r="L357" s="9"/>
      <c r="M357" s="10" t="s">
        <v>10</v>
      </c>
    </row>
    <row r="358" spans="2:13" x14ac:dyDescent="0.25">
      <c r="B358" s="8"/>
      <c r="C358" s="8"/>
      <c r="D358" s="8"/>
      <c r="E358" s="8"/>
      <c r="F358" s="8"/>
      <c r="G358" s="8"/>
      <c r="H358" s="46"/>
      <c r="I358" s="8"/>
      <c r="J358" s="8"/>
      <c r="K358" s="9"/>
      <c r="L358" s="9"/>
      <c r="M358" s="10" t="s">
        <v>10</v>
      </c>
    </row>
    <row r="359" spans="2:13" x14ac:dyDescent="0.25">
      <c r="B359" s="8"/>
      <c r="C359" s="8"/>
      <c r="D359" s="8"/>
      <c r="E359" s="8"/>
      <c r="F359" s="8"/>
      <c r="G359" s="8"/>
      <c r="H359" s="46"/>
      <c r="I359" s="8"/>
      <c r="J359" s="8"/>
      <c r="K359" s="9"/>
      <c r="L359" s="9"/>
      <c r="M359" s="10" t="s">
        <v>10</v>
      </c>
    </row>
    <row r="360" spans="2:13" x14ac:dyDescent="0.25">
      <c r="B360" s="8"/>
      <c r="C360" s="8"/>
      <c r="D360" s="8"/>
      <c r="E360" s="8"/>
      <c r="F360" s="8"/>
      <c r="G360" s="8"/>
      <c r="H360" s="46"/>
      <c r="I360" s="8"/>
      <c r="J360" s="8"/>
      <c r="K360" s="9"/>
      <c r="L360" s="9"/>
      <c r="M360" s="10" t="s">
        <v>10</v>
      </c>
    </row>
    <row r="361" spans="2:13" x14ac:dyDescent="0.25">
      <c r="B361" s="8"/>
      <c r="C361" s="8"/>
      <c r="D361" s="8"/>
      <c r="E361" s="8"/>
      <c r="F361" s="8"/>
      <c r="G361" s="8"/>
      <c r="H361" s="46"/>
      <c r="I361" s="8"/>
      <c r="J361" s="8"/>
      <c r="K361" s="9"/>
      <c r="L361" s="9"/>
      <c r="M361" s="10" t="s">
        <v>10</v>
      </c>
    </row>
    <row r="362" spans="2:13" x14ac:dyDescent="0.25">
      <c r="B362" s="8"/>
      <c r="C362" s="8"/>
      <c r="D362" s="8"/>
      <c r="E362" s="8"/>
      <c r="F362" s="8"/>
      <c r="G362" s="8"/>
      <c r="H362" s="46"/>
      <c r="I362" s="8"/>
      <c r="J362" s="8"/>
      <c r="K362" s="9"/>
      <c r="L362" s="9"/>
      <c r="M362" s="10" t="s">
        <v>10</v>
      </c>
    </row>
    <row r="363" spans="2:13" x14ac:dyDescent="0.25">
      <c r="B363" s="8"/>
      <c r="C363" s="8"/>
      <c r="D363" s="8"/>
      <c r="E363" s="8"/>
      <c r="F363" s="8"/>
      <c r="G363" s="8"/>
      <c r="H363" s="46"/>
      <c r="I363" s="8"/>
      <c r="J363" s="8"/>
      <c r="K363" s="9"/>
      <c r="L363" s="9"/>
      <c r="M363" s="10" t="s">
        <v>10</v>
      </c>
    </row>
    <row r="364" spans="2:13" x14ac:dyDescent="0.25">
      <c r="B364" s="8"/>
      <c r="C364" s="8"/>
      <c r="D364" s="8"/>
      <c r="E364" s="8"/>
      <c r="F364" s="8"/>
      <c r="G364" s="8"/>
      <c r="H364" s="46"/>
      <c r="I364" s="8"/>
      <c r="J364" s="8"/>
      <c r="K364" s="9"/>
      <c r="L364" s="9"/>
      <c r="M364" s="10" t="s">
        <v>10</v>
      </c>
    </row>
    <row r="365" spans="2:13" x14ac:dyDescent="0.25">
      <c r="B365" s="8"/>
      <c r="C365" s="8"/>
      <c r="D365" s="8"/>
      <c r="E365" s="8"/>
      <c r="F365" s="8"/>
      <c r="G365" s="8"/>
      <c r="H365" s="46"/>
      <c r="I365" s="8"/>
      <c r="J365" s="8"/>
      <c r="K365" s="9"/>
      <c r="L365" s="9"/>
      <c r="M365" s="10" t="s">
        <v>10</v>
      </c>
    </row>
    <row r="366" spans="2:13" x14ac:dyDescent="0.25">
      <c r="B366" s="8"/>
      <c r="C366" s="8"/>
      <c r="D366" s="8"/>
      <c r="E366" s="8"/>
      <c r="F366" s="8"/>
      <c r="G366" s="8"/>
      <c r="H366" s="46"/>
      <c r="I366" s="8"/>
      <c r="J366" s="8"/>
      <c r="K366" s="9"/>
      <c r="L366" s="9"/>
      <c r="M366" s="10" t="s">
        <v>10</v>
      </c>
    </row>
    <row r="367" spans="2:13" x14ac:dyDescent="0.25">
      <c r="B367" s="8"/>
      <c r="C367" s="8"/>
      <c r="D367" s="8"/>
      <c r="E367" s="8"/>
      <c r="F367" s="8"/>
      <c r="G367" s="8"/>
      <c r="H367" s="46"/>
      <c r="I367" s="8"/>
      <c r="J367" s="8"/>
      <c r="K367" s="9"/>
      <c r="L367" s="9"/>
      <c r="M367" s="10" t="s">
        <v>10</v>
      </c>
    </row>
    <row r="368" spans="2:13" x14ac:dyDescent="0.25">
      <c r="B368" s="8"/>
      <c r="C368" s="8"/>
      <c r="D368" s="8"/>
      <c r="E368" s="8"/>
      <c r="F368" s="8"/>
      <c r="G368" s="8"/>
      <c r="H368" s="46"/>
      <c r="I368" s="8"/>
      <c r="J368" s="8"/>
      <c r="K368" s="9"/>
      <c r="L368" s="9"/>
      <c r="M368" s="10" t="s">
        <v>10</v>
      </c>
    </row>
    <row r="369" spans="2:13" x14ac:dyDescent="0.25">
      <c r="B369" s="8"/>
      <c r="C369" s="8"/>
      <c r="D369" s="8"/>
      <c r="E369" s="8"/>
      <c r="F369" s="8"/>
      <c r="G369" s="8"/>
      <c r="H369" s="46"/>
      <c r="I369" s="8"/>
      <c r="J369" s="8"/>
      <c r="K369" s="9"/>
      <c r="L369" s="9"/>
      <c r="M369" s="10" t="s">
        <v>10</v>
      </c>
    </row>
    <row r="370" spans="2:13" x14ac:dyDescent="0.25">
      <c r="B370" s="8"/>
      <c r="C370" s="8"/>
      <c r="D370" s="8"/>
      <c r="E370" s="8"/>
      <c r="F370" s="8"/>
      <c r="G370" s="8"/>
      <c r="H370" s="46"/>
      <c r="I370" s="8"/>
      <c r="J370" s="8"/>
      <c r="K370" s="9"/>
      <c r="L370" s="9"/>
      <c r="M370" s="10" t="s">
        <v>10</v>
      </c>
    </row>
    <row r="371" spans="2:13" x14ac:dyDescent="0.25">
      <c r="B371" s="8"/>
      <c r="C371" s="8"/>
      <c r="D371" s="8"/>
      <c r="E371" s="8"/>
      <c r="F371" s="8"/>
      <c r="G371" s="8"/>
      <c r="H371" s="46"/>
      <c r="I371" s="8"/>
      <c r="J371" s="8"/>
      <c r="K371" s="9"/>
      <c r="L371" s="9"/>
      <c r="M371" s="10" t="s">
        <v>10</v>
      </c>
    </row>
    <row r="372" spans="2:13" x14ac:dyDescent="0.25">
      <c r="B372" s="8"/>
      <c r="C372" s="8"/>
      <c r="D372" s="8"/>
      <c r="E372" s="8"/>
      <c r="F372" s="8"/>
      <c r="G372" s="8"/>
      <c r="H372" s="46"/>
      <c r="I372" s="8"/>
      <c r="J372" s="8"/>
      <c r="K372" s="9"/>
      <c r="L372" s="9"/>
      <c r="M372" s="10" t="s">
        <v>10</v>
      </c>
    </row>
    <row r="373" spans="2:13" x14ac:dyDescent="0.25">
      <c r="B373" s="8"/>
      <c r="C373" s="8"/>
      <c r="D373" s="8"/>
      <c r="E373" s="8"/>
      <c r="F373" s="8"/>
      <c r="G373" s="8"/>
      <c r="H373" s="46"/>
      <c r="I373" s="8"/>
      <c r="J373" s="8"/>
      <c r="K373" s="9"/>
      <c r="L373" s="9"/>
      <c r="M373" s="10" t="s">
        <v>10</v>
      </c>
    </row>
    <row r="374" spans="2:13" x14ac:dyDescent="0.25">
      <c r="B374" s="8"/>
      <c r="C374" s="8"/>
      <c r="D374" s="8"/>
      <c r="E374" s="8"/>
      <c r="F374" s="8"/>
      <c r="G374" s="8"/>
      <c r="H374" s="46"/>
      <c r="I374" s="8"/>
      <c r="J374" s="8"/>
      <c r="K374" s="9"/>
      <c r="L374" s="9"/>
      <c r="M374" s="10" t="s">
        <v>10</v>
      </c>
    </row>
    <row r="375" spans="2:13" x14ac:dyDescent="0.25">
      <c r="B375" s="8"/>
      <c r="C375" s="8"/>
      <c r="D375" s="8"/>
      <c r="E375" s="8"/>
      <c r="F375" s="8"/>
      <c r="G375" s="8"/>
      <c r="H375" s="46"/>
      <c r="I375" s="8"/>
      <c r="J375" s="8"/>
      <c r="K375" s="9"/>
      <c r="L375" s="9"/>
      <c r="M375" s="10" t="s">
        <v>10</v>
      </c>
    </row>
    <row r="376" spans="2:13" x14ac:dyDescent="0.25">
      <c r="B376" s="8"/>
      <c r="C376" s="8"/>
      <c r="D376" s="8"/>
      <c r="E376" s="8"/>
      <c r="F376" s="8"/>
      <c r="G376" s="8"/>
      <c r="H376" s="46"/>
      <c r="I376" s="8"/>
      <c r="J376" s="8"/>
      <c r="K376" s="9"/>
      <c r="L376" s="9"/>
      <c r="M376" s="10" t="s">
        <v>10</v>
      </c>
    </row>
    <row r="377" spans="2:13" x14ac:dyDescent="0.25">
      <c r="B377" s="8"/>
      <c r="C377" s="8"/>
      <c r="D377" s="8"/>
      <c r="E377" s="8"/>
      <c r="F377" s="8"/>
      <c r="G377" s="8"/>
      <c r="H377" s="46"/>
      <c r="I377" s="8"/>
      <c r="J377" s="8"/>
      <c r="K377" s="9"/>
      <c r="L377" s="9"/>
      <c r="M377" s="10" t="s">
        <v>10</v>
      </c>
    </row>
    <row r="378" spans="2:13" x14ac:dyDescent="0.25">
      <c r="B378" s="8"/>
      <c r="C378" s="8"/>
      <c r="D378" s="8"/>
      <c r="E378" s="8"/>
      <c r="F378" s="8"/>
      <c r="G378" s="8"/>
      <c r="H378" s="46"/>
      <c r="I378" s="8"/>
      <c r="J378" s="8"/>
      <c r="K378" s="9"/>
      <c r="L378" s="9"/>
      <c r="M378" s="10" t="s">
        <v>10</v>
      </c>
    </row>
    <row r="379" spans="2:13" x14ac:dyDescent="0.25">
      <c r="B379" s="8"/>
      <c r="C379" s="8"/>
      <c r="D379" s="8"/>
      <c r="E379" s="8"/>
      <c r="F379" s="8"/>
      <c r="G379" s="8"/>
      <c r="H379" s="46"/>
      <c r="I379" s="8"/>
      <c r="J379" s="8"/>
      <c r="K379" s="9"/>
      <c r="L379" s="9"/>
      <c r="M379" s="10" t="s">
        <v>10</v>
      </c>
    </row>
    <row r="380" spans="2:13" x14ac:dyDescent="0.25">
      <c r="B380" s="8"/>
      <c r="C380" s="8"/>
      <c r="D380" s="8"/>
      <c r="E380" s="8"/>
      <c r="F380" s="8"/>
      <c r="G380" s="8"/>
      <c r="H380" s="46"/>
      <c r="I380" s="8"/>
      <c r="J380" s="8"/>
      <c r="K380" s="9"/>
      <c r="L380" s="9"/>
      <c r="M380" s="10" t="s">
        <v>10</v>
      </c>
    </row>
    <row r="381" spans="2:13" x14ac:dyDescent="0.25">
      <c r="B381" s="8"/>
      <c r="C381" s="8"/>
      <c r="D381" s="8"/>
      <c r="E381" s="8"/>
      <c r="F381" s="8"/>
      <c r="G381" s="8"/>
      <c r="H381" s="46"/>
      <c r="I381" s="8"/>
      <c r="J381" s="8"/>
      <c r="K381" s="9"/>
      <c r="L381" s="9"/>
      <c r="M381" s="10" t="s">
        <v>10</v>
      </c>
    </row>
    <row r="382" spans="2:13" x14ac:dyDescent="0.25">
      <c r="B382" s="8"/>
      <c r="C382" s="8"/>
      <c r="D382" s="8"/>
      <c r="E382" s="8"/>
      <c r="F382" s="8"/>
      <c r="G382" s="8"/>
      <c r="H382" s="46"/>
      <c r="I382" s="8"/>
      <c r="J382" s="8"/>
      <c r="K382" s="9"/>
      <c r="L382" s="9"/>
      <c r="M382" s="10" t="s">
        <v>10</v>
      </c>
    </row>
    <row r="383" spans="2:13" x14ac:dyDescent="0.25">
      <c r="B383" s="8"/>
      <c r="C383" s="8"/>
      <c r="D383" s="8"/>
      <c r="E383" s="8"/>
      <c r="F383" s="8"/>
      <c r="G383" s="8"/>
      <c r="H383" s="46"/>
      <c r="I383" s="8"/>
      <c r="J383" s="8"/>
      <c r="K383" s="9"/>
      <c r="L383" s="9"/>
      <c r="M383" s="10" t="s">
        <v>10</v>
      </c>
    </row>
    <row r="384" spans="2:13" x14ac:dyDescent="0.25">
      <c r="B384" s="8"/>
      <c r="C384" s="8"/>
      <c r="D384" s="8"/>
      <c r="E384" s="8"/>
      <c r="F384" s="8"/>
      <c r="G384" s="8"/>
      <c r="H384" s="46"/>
      <c r="I384" s="8"/>
      <c r="J384" s="8"/>
      <c r="K384" s="9"/>
      <c r="L384" s="9"/>
      <c r="M384" s="10" t="s">
        <v>10</v>
      </c>
    </row>
    <row r="385" spans="2:13" x14ac:dyDescent="0.25">
      <c r="B385" s="8"/>
      <c r="C385" s="8"/>
      <c r="D385" s="8"/>
      <c r="E385" s="8"/>
      <c r="F385" s="8"/>
      <c r="G385" s="8"/>
      <c r="H385" s="46"/>
      <c r="I385" s="8"/>
      <c r="J385" s="8"/>
      <c r="K385" s="9"/>
      <c r="L385" s="9"/>
      <c r="M385" s="10" t="s">
        <v>10</v>
      </c>
    </row>
    <row r="386" spans="2:13" x14ac:dyDescent="0.25">
      <c r="B386" s="8"/>
      <c r="C386" s="8"/>
      <c r="D386" s="8"/>
      <c r="E386" s="8"/>
      <c r="F386" s="8"/>
      <c r="G386" s="8"/>
      <c r="H386" s="46"/>
      <c r="I386" s="8"/>
      <c r="J386" s="8"/>
      <c r="K386" s="9"/>
      <c r="L386" s="9"/>
      <c r="M386" s="10" t="s">
        <v>10</v>
      </c>
    </row>
    <row r="387" spans="2:13" x14ac:dyDescent="0.25">
      <c r="B387" s="8"/>
      <c r="C387" s="8"/>
      <c r="D387" s="8"/>
      <c r="E387" s="8"/>
      <c r="F387" s="8"/>
      <c r="G387" s="8"/>
      <c r="H387" s="46"/>
      <c r="I387" s="8"/>
      <c r="J387" s="8"/>
      <c r="K387" s="9"/>
      <c r="L387" s="9"/>
      <c r="M387" s="10" t="s">
        <v>10</v>
      </c>
    </row>
    <row r="388" spans="2:13" x14ac:dyDescent="0.25">
      <c r="B388" s="8"/>
      <c r="C388" s="8"/>
      <c r="D388" s="8"/>
      <c r="E388" s="8"/>
      <c r="F388" s="8"/>
      <c r="G388" s="8"/>
      <c r="H388" s="46"/>
      <c r="I388" s="8"/>
      <c r="J388" s="8"/>
      <c r="K388" s="9"/>
      <c r="L388" s="9"/>
      <c r="M388" s="10" t="s">
        <v>10</v>
      </c>
    </row>
    <row r="389" spans="2:13" x14ac:dyDescent="0.25">
      <c r="B389" s="8"/>
      <c r="C389" s="8"/>
      <c r="D389" s="8"/>
      <c r="E389" s="8"/>
      <c r="F389" s="8"/>
      <c r="G389" s="8"/>
      <c r="H389" s="46"/>
      <c r="I389" s="8"/>
      <c r="J389" s="8"/>
      <c r="K389" s="9"/>
      <c r="L389" s="9"/>
      <c r="M389" s="10" t="s">
        <v>10</v>
      </c>
    </row>
    <row r="390" spans="2:13" x14ac:dyDescent="0.25">
      <c r="B390" s="8"/>
      <c r="C390" s="8"/>
      <c r="D390" s="8"/>
      <c r="E390" s="8"/>
      <c r="F390" s="8"/>
      <c r="G390" s="8"/>
      <c r="H390" s="46"/>
      <c r="I390" s="8"/>
      <c r="J390" s="8"/>
      <c r="K390" s="9"/>
      <c r="L390" s="9"/>
      <c r="M390" s="10" t="s">
        <v>10</v>
      </c>
    </row>
    <row r="391" spans="2:13" x14ac:dyDescent="0.25">
      <c r="B391" s="8"/>
      <c r="C391" s="8"/>
      <c r="D391" s="8"/>
      <c r="E391" s="8"/>
      <c r="F391" s="8"/>
      <c r="G391" s="8"/>
      <c r="H391" s="46"/>
      <c r="I391" s="8"/>
      <c r="J391" s="8"/>
      <c r="K391" s="9"/>
      <c r="L391" s="9"/>
      <c r="M391" s="10" t="s">
        <v>10</v>
      </c>
    </row>
    <row r="392" spans="2:13" x14ac:dyDescent="0.25">
      <c r="B392" s="8"/>
      <c r="C392" s="8"/>
      <c r="D392" s="8"/>
      <c r="E392" s="8"/>
      <c r="F392" s="8"/>
      <c r="G392" s="8"/>
      <c r="H392" s="46"/>
      <c r="I392" s="8"/>
      <c r="J392" s="8"/>
      <c r="K392" s="9"/>
      <c r="L392" s="9"/>
      <c r="M392" s="10" t="s">
        <v>10</v>
      </c>
    </row>
    <row r="393" spans="2:13" x14ac:dyDescent="0.25">
      <c r="B393" s="8"/>
      <c r="C393" s="8"/>
      <c r="D393" s="8"/>
      <c r="E393" s="8"/>
      <c r="F393" s="8"/>
      <c r="G393" s="8"/>
      <c r="H393" s="46"/>
      <c r="I393" s="8"/>
      <c r="J393" s="8"/>
      <c r="K393" s="9"/>
      <c r="L393" s="9"/>
      <c r="M393" s="10" t="s">
        <v>10</v>
      </c>
    </row>
    <row r="394" spans="2:13" x14ac:dyDescent="0.25">
      <c r="B394" s="8"/>
      <c r="C394" s="8"/>
      <c r="D394" s="8"/>
      <c r="E394" s="8"/>
      <c r="F394" s="8"/>
      <c r="G394" s="8"/>
      <c r="H394" s="46"/>
      <c r="I394" s="8"/>
      <c r="J394" s="8"/>
      <c r="K394" s="9"/>
      <c r="L394" s="9"/>
      <c r="M394" s="10" t="s">
        <v>10</v>
      </c>
    </row>
    <row r="395" spans="2:13" x14ac:dyDescent="0.25">
      <c r="B395" s="8"/>
      <c r="C395" s="8"/>
      <c r="D395" s="8"/>
      <c r="E395" s="8"/>
      <c r="F395" s="8"/>
      <c r="G395" s="8"/>
      <c r="H395" s="46"/>
      <c r="I395" s="8"/>
      <c r="J395" s="8"/>
      <c r="K395" s="9"/>
      <c r="L395" s="9"/>
      <c r="M395" s="10" t="s">
        <v>10</v>
      </c>
    </row>
    <row r="396" spans="2:13" x14ac:dyDescent="0.25">
      <c r="B396" s="8"/>
      <c r="C396" s="8"/>
      <c r="D396" s="8"/>
      <c r="E396" s="8"/>
      <c r="F396" s="8"/>
      <c r="G396" s="8"/>
      <c r="H396" s="46"/>
      <c r="I396" s="8"/>
      <c r="J396" s="8"/>
      <c r="K396" s="9"/>
      <c r="L396" s="9"/>
      <c r="M396" s="10" t="s">
        <v>10</v>
      </c>
    </row>
    <row r="397" spans="2:13" x14ac:dyDescent="0.25">
      <c r="B397" s="8"/>
      <c r="C397" s="8"/>
      <c r="D397" s="8"/>
      <c r="E397" s="8"/>
      <c r="F397" s="8"/>
      <c r="G397" s="8"/>
      <c r="H397" s="46"/>
      <c r="I397" s="8"/>
      <c r="J397" s="8"/>
      <c r="K397" s="9"/>
      <c r="L397" s="9"/>
      <c r="M397" s="10" t="s">
        <v>10</v>
      </c>
    </row>
    <row r="398" spans="2:13" x14ac:dyDescent="0.25">
      <c r="B398" s="8"/>
      <c r="C398" s="8"/>
      <c r="D398" s="8"/>
      <c r="E398" s="8"/>
      <c r="F398" s="8"/>
      <c r="G398" s="8"/>
      <c r="H398" s="46"/>
      <c r="I398" s="8"/>
      <c r="J398" s="8"/>
      <c r="K398" s="9"/>
      <c r="L398" s="9"/>
      <c r="M398" s="10" t="s">
        <v>10</v>
      </c>
    </row>
    <row r="399" spans="2:13" x14ac:dyDescent="0.25">
      <c r="B399" s="8"/>
      <c r="C399" s="8"/>
      <c r="D399" s="8"/>
      <c r="E399" s="8"/>
      <c r="F399" s="8"/>
      <c r="G399" s="8"/>
      <c r="H399" s="46"/>
      <c r="I399" s="8"/>
      <c r="J399" s="8"/>
      <c r="K399" s="9"/>
      <c r="L399" s="9"/>
      <c r="M399" s="10" t="s">
        <v>10</v>
      </c>
    </row>
    <row r="400" spans="2:13" x14ac:dyDescent="0.25">
      <c r="B400" s="8"/>
      <c r="C400" s="8"/>
      <c r="D400" s="8"/>
      <c r="E400" s="8"/>
      <c r="F400" s="8"/>
      <c r="G400" s="8"/>
      <c r="H400" s="46"/>
      <c r="I400" s="8"/>
      <c r="J400" s="8"/>
      <c r="K400" s="9"/>
      <c r="L400" s="9"/>
      <c r="M400" s="10" t="s">
        <v>10</v>
      </c>
    </row>
    <row r="401" spans="2:13" x14ac:dyDescent="0.25">
      <c r="B401" s="8"/>
      <c r="C401" s="8"/>
      <c r="D401" s="8"/>
      <c r="E401" s="8"/>
      <c r="F401" s="8"/>
      <c r="G401" s="8"/>
      <c r="H401" s="46"/>
      <c r="I401" s="8"/>
      <c r="J401" s="8"/>
      <c r="K401" s="9"/>
      <c r="L401" s="9"/>
      <c r="M401" s="10" t="s">
        <v>10</v>
      </c>
    </row>
    <row r="402" spans="2:13" x14ac:dyDescent="0.25">
      <c r="B402" s="8"/>
      <c r="C402" s="8"/>
      <c r="D402" s="8"/>
      <c r="E402" s="8"/>
      <c r="F402" s="8"/>
      <c r="G402" s="8"/>
      <c r="H402" s="46"/>
      <c r="I402" s="8"/>
      <c r="J402" s="8"/>
      <c r="K402" s="9"/>
      <c r="L402" s="9"/>
      <c r="M402" s="10" t="s">
        <v>10</v>
      </c>
    </row>
    <row r="403" spans="2:13" x14ac:dyDescent="0.25">
      <c r="B403" s="8"/>
      <c r="C403" s="8"/>
      <c r="D403" s="8"/>
      <c r="E403" s="8"/>
      <c r="F403" s="8"/>
      <c r="G403" s="8"/>
      <c r="H403" s="46"/>
      <c r="I403" s="8"/>
      <c r="J403" s="8"/>
      <c r="K403" s="9"/>
      <c r="L403" s="9"/>
      <c r="M403" s="10" t="s">
        <v>10</v>
      </c>
    </row>
    <row r="404" spans="2:13" x14ac:dyDescent="0.25">
      <c r="B404" s="8"/>
      <c r="C404" s="8"/>
      <c r="D404" s="8"/>
      <c r="E404" s="8"/>
      <c r="F404" s="8"/>
      <c r="G404" s="8"/>
      <c r="H404" s="46"/>
      <c r="I404" s="8"/>
      <c r="J404" s="8"/>
      <c r="K404" s="9"/>
      <c r="L404" s="9"/>
      <c r="M404" s="10" t="s">
        <v>10</v>
      </c>
    </row>
    <row r="405" spans="2:13" x14ac:dyDescent="0.25">
      <c r="B405" s="8"/>
      <c r="C405" s="8"/>
      <c r="D405" s="8"/>
      <c r="E405" s="8"/>
      <c r="F405" s="8"/>
      <c r="G405" s="8"/>
      <c r="H405" s="46"/>
      <c r="I405" s="8"/>
      <c r="J405" s="8"/>
      <c r="K405" s="9"/>
      <c r="L405" s="9"/>
      <c r="M405" s="10" t="s">
        <v>10</v>
      </c>
    </row>
    <row r="406" spans="2:13" x14ac:dyDescent="0.25">
      <c r="B406" s="8"/>
      <c r="C406" s="8"/>
      <c r="D406" s="8"/>
      <c r="E406" s="8"/>
      <c r="F406" s="8"/>
      <c r="G406" s="8"/>
      <c r="H406" s="46"/>
      <c r="I406" s="8"/>
      <c r="J406" s="8"/>
      <c r="K406" s="9"/>
      <c r="L406" s="9"/>
      <c r="M406" s="10" t="s">
        <v>10</v>
      </c>
    </row>
    <row r="407" spans="2:13" x14ac:dyDescent="0.25">
      <c r="B407" s="8"/>
      <c r="C407" s="8"/>
      <c r="D407" s="8"/>
      <c r="E407" s="8"/>
      <c r="F407" s="8"/>
      <c r="G407" s="8"/>
      <c r="H407" s="46"/>
      <c r="I407" s="8"/>
      <c r="J407" s="8"/>
      <c r="K407" s="9"/>
      <c r="L407" s="9"/>
      <c r="M407" s="10" t="s">
        <v>10</v>
      </c>
    </row>
    <row r="408" spans="2:13" x14ac:dyDescent="0.25">
      <c r="B408" s="8"/>
      <c r="C408" s="8"/>
      <c r="D408" s="8"/>
      <c r="E408" s="8"/>
      <c r="F408" s="8"/>
      <c r="G408" s="8"/>
      <c r="H408" s="46"/>
      <c r="I408" s="8"/>
      <c r="J408" s="8"/>
      <c r="K408" s="9"/>
      <c r="L408" s="9"/>
      <c r="M408" s="10" t="s">
        <v>10</v>
      </c>
    </row>
    <row r="409" spans="2:13" x14ac:dyDescent="0.25">
      <c r="B409" s="8"/>
      <c r="C409" s="8"/>
      <c r="D409" s="8"/>
      <c r="E409" s="8"/>
      <c r="F409" s="8"/>
      <c r="G409" s="8"/>
      <c r="H409" s="46"/>
      <c r="I409" s="8"/>
      <c r="J409" s="8"/>
      <c r="K409" s="9"/>
      <c r="L409" s="9"/>
      <c r="M409" s="10" t="s">
        <v>10</v>
      </c>
    </row>
    <row r="410" spans="2:13" x14ac:dyDescent="0.25">
      <c r="B410" s="8"/>
      <c r="C410" s="8"/>
      <c r="D410" s="8"/>
      <c r="E410" s="8"/>
      <c r="F410" s="8"/>
      <c r="G410" s="8"/>
      <c r="H410" s="46"/>
      <c r="I410" s="8"/>
      <c r="J410" s="8"/>
      <c r="K410" s="9"/>
      <c r="L410" s="9"/>
      <c r="M410" s="10" t="s">
        <v>10</v>
      </c>
    </row>
    <row r="411" spans="2:13" x14ac:dyDescent="0.25">
      <c r="B411" s="8"/>
      <c r="C411" s="8"/>
      <c r="D411" s="8"/>
      <c r="E411" s="8"/>
      <c r="F411" s="8"/>
      <c r="G411" s="8"/>
      <c r="H411" s="46"/>
      <c r="I411" s="8"/>
      <c r="J411" s="8"/>
      <c r="K411" s="9"/>
      <c r="L411" s="9"/>
      <c r="M411" s="10" t="s">
        <v>10</v>
      </c>
    </row>
    <row r="412" spans="2:13" x14ac:dyDescent="0.25">
      <c r="B412" s="8"/>
      <c r="C412" s="8"/>
      <c r="D412" s="8"/>
      <c r="E412" s="8"/>
      <c r="F412" s="8"/>
      <c r="G412" s="8"/>
      <c r="H412" s="46"/>
      <c r="I412" s="8"/>
      <c r="J412" s="8"/>
      <c r="K412" s="9"/>
      <c r="L412" s="9"/>
      <c r="M412" s="10" t="s">
        <v>10</v>
      </c>
    </row>
    <row r="413" spans="2:13" x14ac:dyDescent="0.25">
      <c r="B413" s="8"/>
      <c r="C413" s="8"/>
      <c r="D413" s="8"/>
      <c r="E413" s="8"/>
      <c r="F413" s="8"/>
      <c r="G413" s="8"/>
      <c r="H413" s="46"/>
      <c r="I413" s="8"/>
      <c r="J413" s="8"/>
      <c r="K413" s="9"/>
      <c r="L413" s="9"/>
      <c r="M413" s="10" t="s">
        <v>10</v>
      </c>
    </row>
    <row r="414" spans="2:13" x14ac:dyDescent="0.25">
      <c r="B414" s="8"/>
      <c r="C414" s="8"/>
      <c r="D414" s="8"/>
      <c r="E414" s="8"/>
      <c r="F414" s="8"/>
      <c r="G414" s="8"/>
      <c r="H414" s="46"/>
      <c r="I414" s="8"/>
      <c r="J414" s="8"/>
      <c r="K414" s="9"/>
      <c r="L414" s="9"/>
      <c r="M414" s="10" t="s">
        <v>10</v>
      </c>
    </row>
    <row r="415" spans="2:13" x14ac:dyDescent="0.25">
      <c r="B415" s="8"/>
      <c r="C415" s="8"/>
      <c r="D415" s="8"/>
      <c r="E415" s="8"/>
      <c r="F415" s="8"/>
      <c r="G415" s="8"/>
      <c r="H415" s="46"/>
      <c r="I415" s="8"/>
      <c r="J415" s="8"/>
      <c r="K415" s="9"/>
      <c r="L415" s="9"/>
      <c r="M415" s="10" t="s">
        <v>10</v>
      </c>
    </row>
    <row r="416" spans="2:13" x14ac:dyDescent="0.25">
      <c r="B416" s="8"/>
      <c r="C416" s="8"/>
      <c r="D416" s="8"/>
      <c r="E416" s="8"/>
      <c r="F416" s="8"/>
      <c r="G416" s="8"/>
      <c r="H416" s="46"/>
      <c r="I416" s="8"/>
      <c r="J416" s="8"/>
      <c r="K416" s="9"/>
      <c r="L416" s="9"/>
      <c r="M416" s="10" t="s">
        <v>10</v>
      </c>
    </row>
    <row r="417" spans="2:13" x14ac:dyDescent="0.25">
      <c r="B417" s="8"/>
      <c r="C417" s="8"/>
      <c r="D417" s="8"/>
      <c r="E417" s="8"/>
      <c r="F417" s="8"/>
      <c r="G417" s="8"/>
      <c r="H417" s="46"/>
      <c r="I417" s="8"/>
      <c r="J417" s="8"/>
      <c r="K417" s="9"/>
      <c r="L417" s="9"/>
      <c r="M417" s="10" t="s">
        <v>10</v>
      </c>
    </row>
    <row r="418" spans="2:13" x14ac:dyDescent="0.25">
      <c r="B418" s="8"/>
      <c r="C418" s="8"/>
      <c r="D418" s="8"/>
      <c r="E418" s="8"/>
      <c r="F418" s="8"/>
      <c r="G418" s="8"/>
      <c r="H418" s="46"/>
      <c r="I418" s="8"/>
      <c r="J418" s="8"/>
      <c r="K418" s="9"/>
      <c r="L418" s="9"/>
      <c r="M418" s="10" t="s">
        <v>10</v>
      </c>
    </row>
    <row r="419" spans="2:13" x14ac:dyDescent="0.25">
      <c r="B419" s="8"/>
      <c r="C419" s="8"/>
      <c r="D419" s="8"/>
      <c r="E419" s="8"/>
      <c r="F419" s="8"/>
      <c r="G419" s="8"/>
      <c r="H419" s="46"/>
      <c r="I419" s="8"/>
      <c r="J419" s="8"/>
      <c r="K419" s="9"/>
      <c r="L419" s="9"/>
      <c r="M419" s="10" t="s">
        <v>10</v>
      </c>
    </row>
    <row r="420" spans="2:13" x14ac:dyDescent="0.25">
      <c r="B420" s="8"/>
      <c r="C420" s="8"/>
      <c r="D420" s="8"/>
      <c r="E420" s="8"/>
      <c r="F420" s="8"/>
      <c r="G420" s="8"/>
      <c r="H420" s="46"/>
      <c r="I420" s="8"/>
      <c r="J420" s="8"/>
      <c r="K420" s="9"/>
      <c r="L420" s="9"/>
      <c r="M420" s="10" t="s">
        <v>10</v>
      </c>
    </row>
    <row r="421" spans="2:13" x14ac:dyDescent="0.25">
      <c r="B421" s="8"/>
      <c r="C421" s="8"/>
      <c r="D421" s="8"/>
      <c r="E421" s="8"/>
      <c r="F421" s="8"/>
      <c r="G421" s="8"/>
      <c r="H421" s="46"/>
      <c r="I421" s="8"/>
      <c r="J421" s="8"/>
      <c r="K421" s="9"/>
      <c r="L421" s="9"/>
      <c r="M421" s="10" t="s">
        <v>10</v>
      </c>
    </row>
    <row r="422" spans="2:13" x14ac:dyDescent="0.25">
      <c r="B422" s="8"/>
      <c r="C422" s="8"/>
      <c r="D422" s="8"/>
      <c r="E422" s="8"/>
      <c r="F422" s="8"/>
      <c r="G422" s="8"/>
      <c r="H422" s="46"/>
      <c r="I422" s="8"/>
      <c r="J422" s="8"/>
      <c r="K422" s="9"/>
      <c r="L422" s="9"/>
      <c r="M422" s="10" t="s">
        <v>10</v>
      </c>
    </row>
    <row r="423" spans="2:13" x14ac:dyDescent="0.25">
      <c r="B423" s="8"/>
      <c r="C423" s="8"/>
      <c r="D423" s="8"/>
      <c r="E423" s="8"/>
      <c r="F423" s="8"/>
      <c r="G423" s="8"/>
      <c r="H423" s="46"/>
      <c r="I423" s="8"/>
      <c r="J423" s="8"/>
      <c r="K423" s="9"/>
      <c r="L423" s="9"/>
      <c r="M423" s="10" t="s">
        <v>10</v>
      </c>
    </row>
    <row r="424" spans="2:13" x14ac:dyDescent="0.25">
      <c r="B424" s="8"/>
      <c r="C424" s="8"/>
      <c r="D424" s="8"/>
      <c r="E424" s="8"/>
      <c r="F424" s="8"/>
      <c r="G424" s="8"/>
      <c r="H424" s="46"/>
      <c r="I424" s="8"/>
      <c r="J424" s="8"/>
      <c r="K424" s="9"/>
      <c r="L424" s="9"/>
      <c r="M424" s="10" t="s">
        <v>10</v>
      </c>
    </row>
    <row r="425" spans="2:13" x14ac:dyDescent="0.25">
      <c r="B425" s="8"/>
      <c r="C425" s="8"/>
      <c r="D425" s="8"/>
      <c r="E425" s="8"/>
      <c r="F425" s="8"/>
      <c r="G425" s="8"/>
      <c r="H425" s="46"/>
      <c r="I425" s="8"/>
      <c r="J425" s="8"/>
      <c r="K425" s="9"/>
      <c r="L425" s="9"/>
      <c r="M425" s="10" t="s">
        <v>10</v>
      </c>
    </row>
    <row r="426" spans="2:13" x14ac:dyDescent="0.25">
      <c r="B426" s="8"/>
      <c r="C426" s="8"/>
      <c r="D426" s="8"/>
      <c r="E426" s="8"/>
      <c r="F426" s="8"/>
      <c r="G426" s="8"/>
      <c r="H426" s="46"/>
      <c r="I426" s="8"/>
      <c r="J426" s="8"/>
      <c r="K426" s="9"/>
      <c r="L426" s="9"/>
      <c r="M426" s="10" t="s">
        <v>10</v>
      </c>
    </row>
    <row r="427" spans="2:13" x14ac:dyDescent="0.25">
      <c r="B427" s="8"/>
      <c r="C427" s="8"/>
      <c r="D427" s="8"/>
      <c r="E427" s="8"/>
      <c r="F427" s="8"/>
      <c r="G427" s="8"/>
      <c r="H427" s="46"/>
      <c r="I427" s="8"/>
      <c r="J427" s="8"/>
      <c r="K427" s="9"/>
      <c r="L427" s="9"/>
      <c r="M427" s="10" t="s">
        <v>10</v>
      </c>
    </row>
    <row r="428" spans="2:13" x14ac:dyDescent="0.25">
      <c r="B428" s="8"/>
      <c r="C428" s="8"/>
      <c r="D428" s="8"/>
      <c r="E428" s="8"/>
      <c r="F428" s="8"/>
      <c r="G428" s="8"/>
      <c r="H428" s="46"/>
      <c r="I428" s="8"/>
      <c r="J428" s="8"/>
      <c r="K428" s="9"/>
      <c r="L428" s="9"/>
      <c r="M428" s="10" t="s">
        <v>10</v>
      </c>
    </row>
    <row r="429" spans="2:13" x14ac:dyDescent="0.25">
      <c r="B429" s="8"/>
      <c r="C429" s="8"/>
      <c r="D429" s="8"/>
      <c r="E429" s="8"/>
      <c r="F429" s="8"/>
      <c r="G429" s="8"/>
      <c r="H429" s="46"/>
      <c r="I429" s="8"/>
      <c r="J429" s="8"/>
      <c r="K429" s="9"/>
      <c r="L429" s="9"/>
      <c r="M429" s="10" t="s">
        <v>10</v>
      </c>
    </row>
    <row r="430" spans="2:13" x14ac:dyDescent="0.25">
      <c r="B430" s="8"/>
      <c r="C430" s="8"/>
      <c r="D430" s="8"/>
      <c r="E430" s="8"/>
      <c r="F430" s="8"/>
      <c r="G430" s="8"/>
      <c r="H430" s="46"/>
      <c r="I430" s="8"/>
      <c r="J430" s="8"/>
      <c r="K430" s="9"/>
      <c r="L430" s="9"/>
      <c r="M430" s="10" t="s">
        <v>10</v>
      </c>
    </row>
    <row r="431" spans="2:13" x14ac:dyDescent="0.25">
      <c r="B431" s="8"/>
      <c r="C431" s="8"/>
      <c r="D431" s="8"/>
      <c r="E431" s="8"/>
      <c r="F431" s="8"/>
      <c r="G431" s="8"/>
      <c r="H431" s="46"/>
      <c r="I431" s="8"/>
      <c r="J431" s="8"/>
      <c r="K431" s="9"/>
      <c r="L431" s="9"/>
      <c r="M431" s="10" t="s">
        <v>10</v>
      </c>
    </row>
    <row r="432" spans="2:13" x14ac:dyDescent="0.25">
      <c r="B432" s="8"/>
      <c r="C432" s="8"/>
      <c r="D432" s="8"/>
      <c r="E432" s="8"/>
      <c r="F432" s="8"/>
      <c r="G432" s="8"/>
      <c r="H432" s="46"/>
      <c r="I432" s="8"/>
      <c r="J432" s="8"/>
      <c r="K432" s="9"/>
      <c r="L432" s="9"/>
      <c r="M432" s="10" t="s">
        <v>10</v>
      </c>
    </row>
    <row r="433" spans="2:13" x14ac:dyDescent="0.25">
      <c r="B433" s="8"/>
      <c r="C433" s="8"/>
      <c r="D433" s="8"/>
      <c r="E433" s="8"/>
      <c r="F433" s="8"/>
      <c r="G433" s="8"/>
      <c r="H433" s="46"/>
      <c r="I433" s="8"/>
      <c r="J433" s="8"/>
      <c r="K433" s="9"/>
      <c r="L433" s="9"/>
      <c r="M433" s="10" t="s">
        <v>10</v>
      </c>
    </row>
    <row r="434" spans="2:13" x14ac:dyDescent="0.25">
      <c r="B434" s="8"/>
      <c r="C434" s="8"/>
      <c r="D434" s="8"/>
      <c r="E434" s="8"/>
      <c r="F434" s="8"/>
      <c r="G434" s="8"/>
      <c r="H434" s="46"/>
      <c r="I434" s="8"/>
      <c r="J434" s="8"/>
      <c r="K434" s="9"/>
      <c r="L434" s="9"/>
      <c r="M434" s="10" t="s">
        <v>10</v>
      </c>
    </row>
    <row r="435" spans="2:13" x14ac:dyDescent="0.25">
      <c r="B435" s="8"/>
      <c r="C435" s="8"/>
      <c r="D435" s="8"/>
      <c r="E435" s="8"/>
      <c r="F435" s="8"/>
      <c r="G435" s="8"/>
      <c r="H435" s="46"/>
      <c r="I435" s="8"/>
      <c r="J435" s="8"/>
      <c r="K435" s="9"/>
      <c r="L435" s="9"/>
      <c r="M435" s="10" t="s">
        <v>10</v>
      </c>
    </row>
    <row r="436" spans="2:13" x14ac:dyDescent="0.25">
      <c r="B436" s="8"/>
      <c r="C436" s="8"/>
      <c r="D436" s="8"/>
      <c r="E436" s="8"/>
      <c r="F436" s="8"/>
      <c r="G436" s="8"/>
      <c r="H436" s="46"/>
      <c r="I436" s="8"/>
      <c r="J436" s="8"/>
      <c r="K436" s="9"/>
      <c r="L436" s="9"/>
      <c r="M436" s="10" t="s">
        <v>10</v>
      </c>
    </row>
    <row r="437" spans="2:13" x14ac:dyDescent="0.25">
      <c r="B437" s="8"/>
      <c r="C437" s="8"/>
      <c r="D437" s="8"/>
      <c r="E437" s="8"/>
      <c r="F437" s="8"/>
      <c r="G437" s="8"/>
      <c r="H437" s="46"/>
      <c r="I437" s="8"/>
      <c r="J437" s="8"/>
      <c r="K437" s="9"/>
      <c r="L437" s="9"/>
      <c r="M437" s="10" t="s">
        <v>10</v>
      </c>
    </row>
    <row r="438" spans="2:13" x14ac:dyDescent="0.25">
      <c r="B438" s="8"/>
      <c r="C438" s="8"/>
      <c r="D438" s="8"/>
      <c r="E438" s="8"/>
      <c r="F438" s="8"/>
      <c r="G438" s="8"/>
      <c r="H438" s="46"/>
      <c r="I438" s="8"/>
      <c r="J438" s="8"/>
      <c r="K438" s="9"/>
      <c r="L438" s="9"/>
      <c r="M438" s="10" t="s">
        <v>10</v>
      </c>
    </row>
    <row r="439" spans="2:13" x14ac:dyDescent="0.25">
      <c r="B439" s="8"/>
      <c r="C439" s="8"/>
      <c r="D439" s="8"/>
      <c r="E439" s="8"/>
      <c r="F439" s="8"/>
      <c r="G439" s="8"/>
      <c r="H439" s="46"/>
      <c r="I439" s="8"/>
      <c r="J439" s="8"/>
      <c r="K439" s="9"/>
      <c r="L439" s="9"/>
      <c r="M439" s="10" t="s">
        <v>10</v>
      </c>
    </row>
    <row r="440" spans="2:13" x14ac:dyDescent="0.25">
      <c r="B440" s="8"/>
      <c r="C440" s="8"/>
      <c r="D440" s="8"/>
      <c r="E440" s="8"/>
      <c r="F440" s="8"/>
      <c r="G440" s="8"/>
      <c r="H440" s="46"/>
      <c r="I440" s="8"/>
      <c r="J440" s="8"/>
      <c r="K440" s="9"/>
      <c r="L440" s="9"/>
      <c r="M440" s="10" t="s">
        <v>10</v>
      </c>
    </row>
    <row r="441" spans="2:13" x14ac:dyDescent="0.25">
      <c r="B441" s="8"/>
      <c r="C441" s="8"/>
      <c r="D441" s="8"/>
      <c r="E441" s="8"/>
      <c r="F441" s="8"/>
      <c r="G441" s="8"/>
      <c r="H441" s="46"/>
      <c r="I441" s="8"/>
      <c r="J441" s="8"/>
      <c r="K441" s="9"/>
      <c r="L441" s="9"/>
      <c r="M441" s="10" t="s">
        <v>10</v>
      </c>
    </row>
    <row r="442" spans="2:13" x14ac:dyDescent="0.25">
      <c r="B442" s="8"/>
      <c r="C442" s="8"/>
      <c r="D442" s="8"/>
      <c r="E442" s="8"/>
      <c r="F442" s="8"/>
      <c r="G442" s="8"/>
      <c r="H442" s="46"/>
      <c r="I442" s="8"/>
      <c r="J442" s="8"/>
      <c r="K442" s="9"/>
      <c r="L442" s="9"/>
      <c r="M442" s="10" t="s">
        <v>10</v>
      </c>
    </row>
    <row r="443" spans="2:13" x14ac:dyDescent="0.25">
      <c r="B443" s="8"/>
      <c r="C443" s="8"/>
      <c r="D443" s="8"/>
      <c r="E443" s="8"/>
      <c r="F443" s="8"/>
      <c r="G443" s="8"/>
      <c r="H443" s="46"/>
      <c r="I443" s="8"/>
      <c r="J443" s="8"/>
      <c r="K443" s="9"/>
      <c r="L443" s="9"/>
      <c r="M443" s="10" t="s">
        <v>10</v>
      </c>
    </row>
    <row r="444" spans="2:13" x14ac:dyDescent="0.25">
      <c r="B444" s="8"/>
      <c r="C444" s="8"/>
      <c r="D444" s="8"/>
      <c r="E444" s="8"/>
      <c r="F444" s="8"/>
      <c r="G444" s="8"/>
      <c r="H444" s="46"/>
      <c r="I444" s="8"/>
      <c r="J444" s="8"/>
      <c r="K444" s="9"/>
      <c r="L444" s="9"/>
      <c r="M444" s="10" t="s">
        <v>10</v>
      </c>
    </row>
    <row r="445" spans="2:13" x14ac:dyDescent="0.25">
      <c r="B445" s="8"/>
      <c r="C445" s="8"/>
      <c r="D445" s="8"/>
      <c r="E445" s="8"/>
      <c r="F445" s="8"/>
      <c r="G445" s="8"/>
      <c r="H445" s="46"/>
      <c r="I445" s="8"/>
      <c r="J445" s="8"/>
      <c r="K445" s="9"/>
      <c r="L445" s="9"/>
      <c r="M445" s="10" t="s">
        <v>10</v>
      </c>
    </row>
    <row r="446" spans="2:13" x14ac:dyDescent="0.25">
      <c r="B446" s="8"/>
      <c r="C446" s="8"/>
      <c r="D446" s="8"/>
      <c r="E446" s="8"/>
      <c r="F446" s="8"/>
      <c r="G446" s="8"/>
      <c r="H446" s="46"/>
      <c r="I446" s="8"/>
      <c r="J446" s="8"/>
      <c r="K446" s="9"/>
      <c r="L446" s="9"/>
      <c r="M446" s="10" t="s">
        <v>10</v>
      </c>
    </row>
    <row r="447" spans="2:13" x14ac:dyDescent="0.25">
      <c r="B447" s="8"/>
      <c r="C447" s="8"/>
      <c r="D447" s="8"/>
      <c r="E447" s="8"/>
      <c r="F447" s="8"/>
      <c r="G447" s="8"/>
      <c r="H447" s="46"/>
      <c r="I447" s="8"/>
      <c r="J447" s="8"/>
      <c r="K447" s="9"/>
      <c r="L447" s="9"/>
      <c r="M447" s="10" t="s">
        <v>10</v>
      </c>
    </row>
    <row r="448" spans="2:13" x14ac:dyDescent="0.25">
      <c r="B448" s="8"/>
      <c r="C448" s="8"/>
      <c r="D448" s="8"/>
      <c r="E448" s="8"/>
      <c r="F448" s="8"/>
      <c r="G448" s="8"/>
      <c r="H448" s="46"/>
      <c r="I448" s="8"/>
      <c r="J448" s="8"/>
      <c r="K448" s="9"/>
      <c r="L448" s="9"/>
      <c r="M448" s="10" t="s">
        <v>10</v>
      </c>
    </row>
    <row r="449" spans="2:13" x14ac:dyDescent="0.25">
      <c r="B449" s="8"/>
      <c r="C449" s="8"/>
      <c r="D449" s="8"/>
      <c r="E449" s="8"/>
      <c r="F449" s="8"/>
      <c r="G449" s="8"/>
      <c r="H449" s="46"/>
      <c r="I449" s="8"/>
      <c r="J449" s="8"/>
      <c r="K449" s="9"/>
      <c r="L449" s="9"/>
      <c r="M449" s="10" t="s">
        <v>10</v>
      </c>
    </row>
    <row r="450" spans="2:13" x14ac:dyDescent="0.25">
      <c r="B450" s="8"/>
      <c r="C450" s="8"/>
      <c r="D450" s="8"/>
      <c r="E450" s="8"/>
      <c r="F450" s="8"/>
      <c r="G450" s="8"/>
      <c r="H450" s="46"/>
      <c r="I450" s="8"/>
      <c r="J450" s="8"/>
      <c r="K450" s="9"/>
      <c r="L450" s="9"/>
      <c r="M450" s="10" t="s">
        <v>10</v>
      </c>
    </row>
    <row r="451" spans="2:13" x14ac:dyDescent="0.25">
      <c r="B451" s="8"/>
      <c r="C451" s="8"/>
      <c r="D451" s="8"/>
      <c r="E451" s="8"/>
      <c r="F451" s="8"/>
      <c r="G451" s="8"/>
      <c r="H451" s="46"/>
      <c r="I451" s="8"/>
      <c r="J451" s="8"/>
      <c r="K451" s="9"/>
      <c r="L451" s="9"/>
      <c r="M451" s="10" t="s">
        <v>10</v>
      </c>
    </row>
    <row r="452" spans="2:13" x14ac:dyDescent="0.25">
      <c r="B452" s="8"/>
      <c r="C452" s="8"/>
      <c r="D452" s="8"/>
      <c r="E452" s="8"/>
      <c r="F452" s="8"/>
      <c r="G452" s="8"/>
      <c r="H452" s="46"/>
      <c r="I452" s="8"/>
      <c r="J452" s="8"/>
      <c r="K452" s="9"/>
      <c r="L452" s="9"/>
      <c r="M452" s="10" t="s">
        <v>10</v>
      </c>
    </row>
    <row r="453" spans="2:13" x14ac:dyDescent="0.25">
      <c r="B453" s="8"/>
      <c r="C453" s="8"/>
      <c r="D453" s="8"/>
      <c r="E453" s="8"/>
      <c r="F453" s="8"/>
      <c r="G453" s="8"/>
      <c r="H453" s="46"/>
      <c r="I453" s="8"/>
      <c r="J453" s="8"/>
      <c r="K453" s="9"/>
      <c r="L453" s="9"/>
      <c r="M453" s="10" t="s">
        <v>10</v>
      </c>
    </row>
    <row r="454" spans="2:13" x14ac:dyDescent="0.25">
      <c r="B454" s="8"/>
      <c r="C454" s="8"/>
      <c r="D454" s="8"/>
      <c r="E454" s="8"/>
      <c r="F454" s="8"/>
      <c r="G454" s="8"/>
      <c r="H454" s="46"/>
      <c r="I454" s="8"/>
      <c r="J454" s="8"/>
      <c r="K454" s="9"/>
      <c r="L454" s="9"/>
      <c r="M454" s="10" t="s">
        <v>10</v>
      </c>
    </row>
    <row r="455" spans="2:13" x14ac:dyDescent="0.25">
      <c r="B455" s="8"/>
      <c r="C455" s="8"/>
      <c r="D455" s="8"/>
      <c r="E455" s="8"/>
      <c r="F455" s="8"/>
      <c r="G455" s="8"/>
      <c r="H455" s="46"/>
      <c r="I455" s="8"/>
      <c r="J455" s="8"/>
      <c r="K455" s="9"/>
      <c r="L455" s="9"/>
      <c r="M455" s="10" t="s">
        <v>10</v>
      </c>
    </row>
    <row r="456" spans="2:13" x14ac:dyDescent="0.25">
      <c r="B456" s="8"/>
      <c r="C456" s="8"/>
      <c r="D456" s="8"/>
      <c r="E456" s="8"/>
      <c r="F456" s="8"/>
      <c r="G456" s="8"/>
      <c r="H456" s="46"/>
      <c r="I456" s="8"/>
      <c r="J456" s="8"/>
      <c r="K456" s="9"/>
      <c r="L456" s="9"/>
      <c r="M456" s="10" t="s">
        <v>10</v>
      </c>
    </row>
    <row r="457" spans="2:13" x14ac:dyDescent="0.25">
      <c r="B457" s="8"/>
      <c r="C457" s="8"/>
      <c r="D457" s="8"/>
      <c r="E457" s="8"/>
      <c r="F457" s="8"/>
      <c r="G457" s="8"/>
      <c r="H457" s="46"/>
      <c r="I457" s="8"/>
      <c r="J457" s="8"/>
      <c r="K457" s="9"/>
      <c r="L457" s="9"/>
      <c r="M457" s="10" t="s">
        <v>10</v>
      </c>
    </row>
    <row r="458" spans="2:13" x14ac:dyDescent="0.25">
      <c r="B458" s="8"/>
      <c r="C458" s="8"/>
      <c r="D458" s="8"/>
      <c r="E458" s="8"/>
      <c r="F458" s="8"/>
      <c r="G458" s="8"/>
      <c r="H458" s="46"/>
      <c r="I458" s="8"/>
      <c r="J458" s="8"/>
      <c r="K458" s="9"/>
      <c r="L458" s="9"/>
      <c r="M458" s="10" t="s">
        <v>10</v>
      </c>
    </row>
    <row r="459" spans="2:13" x14ac:dyDescent="0.25">
      <c r="B459" s="8"/>
      <c r="C459" s="8"/>
      <c r="D459" s="8"/>
      <c r="E459" s="8"/>
      <c r="F459" s="8"/>
      <c r="G459" s="8"/>
      <c r="H459" s="46"/>
      <c r="I459" s="8"/>
      <c r="J459" s="8"/>
      <c r="K459" s="9"/>
      <c r="L459" s="9"/>
      <c r="M459" s="10" t="s">
        <v>10</v>
      </c>
    </row>
    <row r="460" spans="2:13" x14ac:dyDescent="0.25">
      <c r="B460" s="8"/>
      <c r="C460" s="8"/>
      <c r="D460" s="8"/>
      <c r="E460" s="8"/>
      <c r="F460" s="8"/>
      <c r="G460" s="8"/>
      <c r="H460" s="46"/>
      <c r="I460" s="8"/>
      <c r="J460" s="8"/>
      <c r="K460" s="9"/>
      <c r="L460" s="9"/>
      <c r="M460" s="10" t="s">
        <v>10</v>
      </c>
    </row>
    <row r="461" spans="2:13" x14ac:dyDescent="0.25">
      <c r="B461" s="8"/>
      <c r="C461" s="8"/>
      <c r="D461" s="8"/>
      <c r="E461" s="8"/>
      <c r="F461" s="8"/>
      <c r="G461" s="8"/>
      <c r="H461" s="46"/>
      <c r="I461" s="8"/>
      <c r="J461" s="8"/>
      <c r="K461" s="9"/>
      <c r="L461" s="9"/>
      <c r="M461" s="10" t="s">
        <v>10</v>
      </c>
    </row>
    <row r="462" spans="2:13" x14ac:dyDescent="0.25">
      <c r="B462" s="8"/>
      <c r="C462" s="8"/>
      <c r="D462" s="8"/>
      <c r="E462" s="8"/>
      <c r="F462" s="8"/>
      <c r="G462" s="8"/>
      <c r="H462" s="46"/>
      <c r="I462" s="8"/>
      <c r="J462" s="8"/>
      <c r="K462" s="9"/>
      <c r="L462" s="9"/>
      <c r="M462" s="10" t="s">
        <v>10</v>
      </c>
    </row>
    <row r="463" spans="2:13" x14ac:dyDescent="0.25">
      <c r="B463" s="8"/>
      <c r="C463" s="8"/>
      <c r="D463" s="8"/>
      <c r="E463" s="8"/>
      <c r="F463" s="8"/>
      <c r="G463" s="8"/>
      <c r="H463" s="46"/>
      <c r="I463" s="8"/>
      <c r="J463" s="8"/>
      <c r="K463" s="9"/>
      <c r="L463" s="9"/>
      <c r="M463" s="10" t="s">
        <v>10</v>
      </c>
    </row>
    <row r="464" spans="2:13" x14ac:dyDescent="0.25">
      <c r="B464" s="8"/>
      <c r="C464" s="8"/>
      <c r="D464" s="8"/>
      <c r="E464" s="8"/>
      <c r="F464" s="8"/>
      <c r="G464" s="8"/>
      <c r="H464" s="46"/>
      <c r="I464" s="8"/>
      <c r="J464" s="8"/>
      <c r="K464" s="9"/>
      <c r="L464" s="9"/>
      <c r="M464" s="10" t="s">
        <v>10</v>
      </c>
    </row>
    <row r="465" spans="2:13" x14ac:dyDescent="0.25">
      <c r="B465" s="8"/>
      <c r="C465" s="8"/>
      <c r="D465" s="8"/>
      <c r="E465" s="8"/>
      <c r="F465" s="8"/>
      <c r="G465" s="8"/>
      <c r="H465" s="46"/>
      <c r="I465" s="8"/>
      <c r="J465" s="8"/>
      <c r="K465" s="9"/>
      <c r="L465" s="9"/>
      <c r="M465" s="10" t="s">
        <v>10</v>
      </c>
    </row>
    <row r="466" spans="2:13" x14ac:dyDescent="0.25">
      <c r="B466" s="8"/>
      <c r="C466" s="8"/>
      <c r="D466" s="8"/>
      <c r="E466" s="8"/>
      <c r="F466" s="8"/>
      <c r="G466" s="8"/>
      <c r="H466" s="46"/>
      <c r="I466" s="8"/>
      <c r="J466" s="8"/>
      <c r="K466" s="9"/>
      <c r="L466" s="9"/>
      <c r="M466" s="10" t="s">
        <v>10</v>
      </c>
    </row>
    <row r="467" spans="2:13" x14ac:dyDescent="0.25">
      <c r="B467" s="8"/>
      <c r="C467" s="8"/>
      <c r="D467" s="8"/>
      <c r="E467" s="8"/>
      <c r="F467" s="8"/>
      <c r="G467" s="8"/>
      <c r="H467" s="46"/>
      <c r="I467" s="8"/>
      <c r="J467" s="8"/>
      <c r="K467" s="9"/>
      <c r="L467" s="9"/>
      <c r="M467" s="10" t="s">
        <v>10</v>
      </c>
    </row>
    <row r="468" spans="2:13" x14ac:dyDescent="0.25">
      <c r="B468" s="8"/>
      <c r="C468" s="8"/>
      <c r="D468" s="8"/>
      <c r="E468" s="8"/>
      <c r="F468" s="8"/>
      <c r="G468" s="8"/>
      <c r="H468" s="46"/>
      <c r="I468" s="8"/>
      <c r="J468" s="8"/>
      <c r="K468" s="9"/>
      <c r="L468" s="9"/>
      <c r="M468" s="10" t="s">
        <v>10</v>
      </c>
    </row>
    <row r="469" spans="2:13" x14ac:dyDescent="0.25">
      <c r="B469" s="8"/>
      <c r="C469" s="8"/>
      <c r="D469" s="8"/>
      <c r="E469" s="8"/>
      <c r="F469" s="8"/>
      <c r="G469" s="8"/>
      <c r="H469" s="46"/>
      <c r="I469" s="8"/>
      <c r="J469" s="8"/>
      <c r="K469" s="9"/>
      <c r="L469" s="9"/>
      <c r="M469" s="10" t="s">
        <v>10</v>
      </c>
    </row>
    <row r="470" spans="2:13" x14ac:dyDescent="0.25">
      <c r="B470" s="8"/>
      <c r="C470" s="8"/>
      <c r="D470" s="8"/>
      <c r="E470" s="8"/>
      <c r="F470" s="8"/>
      <c r="G470" s="8"/>
      <c r="H470" s="46"/>
      <c r="I470" s="8"/>
      <c r="J470" s="8"/>
      <c r="K470" s="9"/>
      <c r="L470" s="9"/>
      <c r="M470" s="10" t="s">
        <v>10</v>
      </c>
    </row>
    <row r="471" spans="2:13" x14ac:dyDescent="0.25">
      <c r="B471" s="8"/>
      <c r="C471" s="8"/>
      <c r="D471" s="8"/>
      <c r="E471" s="8"/>
      <c r="F471" s="8"/>
      <c r="G471" s="8"/>
      <c r="H471" s="46"/>
      <c r="I471" s="8"/>
      <c r="J471" s="8"/>
      <c r="K471" s="9"/>
      <c r="L471" s="9"/>
      <c r="M471" s="10" t="s">
        <v>10</v>
      </c>
    </row>
    <row r="472" spans="2:13" x14ac:dyDescent="0.25">
      <c r="B472" s="8"/>
      <c r="C472" s="8"/>
      <c r="D472" s="8"/>
      <c r="E472" s="8"/>
      <c r="F472" s="8"/>
      <c r="G472" s="8"/>
      <c r="H472" s="46"/>
      <c r="I472" s="8"/>
      <c r="J472" s="8"/>
      <c r="K472" s="9"/>
      <c r="L472" s="9"/>
      <c r="M472" s="10" t="s">
        <v>10</v>
      </c>
    </row>
    <row r="473" spans="2:13" x14ac:dyDescent="0.25">
      <c r="B473" s="8"/>
      <c r="C473" s="8"/>
      <c r="D473" s="8"/>
      <c r="E473" s="8"/>
      <c r="F473" s="8"/>
      <c r="G473" s="8"/>
      <c r="H473" s="46"/>
      <c r="I473" s="8"/>
      <c r="J473" s="8"/>
      <c r="K473" s="9"/>
      <c r="L473" s="9"/>
      <c r="M473" s="10" t="s">
        <v>10</v>
      </c>
    </row>
    <row r="474" spans="2:13" x14ac:dyDescent="0.25">
      <c r="B474" s="8"/>
      <c r="C474" s="8"/>
      <c r="D474" s="8"/>
      <c r="E474" s="8"/>
      <c r="F474" s="8"/>
      <c r="G474" s="8"/>
      <c r="H474" s="46"/>
      <c r="I474" s="8"/>
      <c r="J474" s="8"/>
      <c r="K474" s="9"/>
      <c r="L474" s="9"/>
      <c r="M474" s="10" t="s">
        <v>10</v>
      </c>
    </row>
    <row r="475" spans="2:13" x14ac:dyDescent="0.25">
      <c r="B475" s="8"/>
      <c r="C475" s="8"/>
      <c r="D475" s="8"/>
      <c r="E475" s="8"/>
      <c r="F475" s="8"/>
      <c r="G475" s="8"/>
      <c r="H475" s="46"/>
      <c r="I475" s="8"/>
      <c r="J475" s="8"/>
      <c r="K475" s="9"/>
      <c r="L475" s="9"/>
      <c r="M475" s="10" t="s">
        <v>10</v>
      </c>
    </row>
    <row r="476" spans="2:13" x14ac:dyDescent="0.25">
      <c r="B476" s="8"/>
      <c r="C476" s="8"/>
      <c r="D476" s="8"/>
      <c r="E476" s="8"/>
      <c r="F476" s="8"/>
      <c r="G476" s="8"/>
      <c r="H476" s="46"/>
      <c r="I476" s="8"/>
      <c r="J476" s="8"/>
      <c r="K476" s="9"/>
      <c r="L476" s="9"/>
      <c r="M476" s="10" t="s">
        <v>10</v>
      </c>
    </row>
    <row r="477" spans="2:13" x14ac:dyDescent="0.25">
      <c r="B477" s="8"/>
      <c r="C477" s="8"/>
      <c r="D477" s="8"/>
      <c r="E477" s="8"/>
      <c r="F477" s="8"/>
      <c r="G477" s="8"/>
      <c r="H477" s="46"/>
      <c r="I477" s="8"/>
      <c r="J477" s="8"/>
      <c r="K477" s="9"/>
      <c r="L477" s="9"/>
      <c r="M477" s="10" t="s">
        <v>10</v>
      </c>
    </row>
    <row r="478" spans="2:13" x14ac:dyDescent="0.25">
      <c r="B478" s="8"/>
      <c r="C478" s="8"/>
      <c r="D478" s="8"/>
      <c r="E478" s="8"/>
      <c r="F478" s="8"/>
      <c r="G478" s="8"/>
      <c r="H478" s="46"/>
      <c r="I478" s="8"/>
      <c r="J478" s="8"/>
      <c r="K478" s="9"/>
      <c r="L478" s="9"/>
      <c r="M478" s="10" t="s">
        <v>10</v>
      </c>
    </row>
    <row r="479" spans="2:13" x14ac:dyDescent="0.25">
      <c r="B479" s="8"/>
      <c r="C479" s="8"/>
      <c r="D479" s="8"/>
      <c r="E479" s="8"/>
      <c r="F479" s="8"/>
      <c r="G479" s="8"/>
      <c r="H479" s="46"/>
      <c r="I479" s="8"/>
      <c r="J479" s="8"/>
      <c r="K479" s="9"/>
      <c r="L479" s="9"/>
      <c r="M479" s="10" t="s">
        <v>10</v>
      </c>
    </row>
    <row r="480" spans="2:13" x14ac:dyDescent="0.25">
      <c r="B480" s="8"/>
      <c r="C480" s="8"/>
      <c r="D480" s="8"/>
      <c r="E480" s="8"/>
      <c r="F480" s="8"/>
      <c r="G480" s="8"/>
      <c r="H480" s="46"/>
      <c r="I480" s="8"/>
      <c r="J480" s="8"/>
      <c r="K480" s="9"/>
      <c r="L480" s="9"/>
      <c r="M480" s="10" t="s">
        <v>10</v>
      </c>
    </row>
    <row r="481" spans="2:13" x14ac:dyDescent="0.25">
      <c r="B481" s="8"/>
      <c r="C481" s="8"/>
      <c r="D481" s="8"/>
      <c r="E481" s="8"/>
      <c r="F481" s="8"/>
      <c r="G481" s="8"/>
      <c r="H481" s="46"/>
      <c r="I481" s="8"/>
      <c r="J481" s="8"/>
      <c r="K481" s="9"/>
      <c r="L481" s="9"/>
      <c r="M481" s="10" t="s">
        <v>10</v>
      </c>
    </row>
    <row r="482" spans="2:13" x14ac:dyDescent="0.25">
      <c r="B482" s="8"/>
      <c r="C482" s="8"/>
      <c r="D482" s="8"/>
      <c r="E482" s="8"/>
      <c r="F482" s="8"/>
      <c r="G482" s="8"/>
      <c r="H482" s="46"/>
      <c r="I482" s="8"/>
      <c r="J482" s="8"/>
      <c r="K482" s="9"/>
      <c r="L482" s="9"/>
      <c r="M482" s="10" t="s">
        <v>10</v>
      </c>
    </row>
    <row r="483" spans="2:13" x14ac:dyDescent="0.25">
      <c r="B483" s="8"/>
      <c r="C483" s="8"/>
      <c r="D483" s="8"/>
      <c r="E483" s="8"/>
      <c r="F483" s="8"/>
      <c r="G483" s="8"/>
      <c r="H483" s="46"/>
      <c r="I483" s="8"/>
      <c r="J483" s="8"/>
      <c r="K483" s="9"/>
      <c r="L483" s="9"/>
      <c r="M483" s="10" t="s">
        <v>10</v>
      </c>
    </row>
    <row r="484" spans="2:13" x14ac:dyDescent="0.25">
      <c r="B484" s="8"/>
      <c r="C484" s="8"/>
      <c r="D484" s="8"/>
      <c r="E484" s="8"/>
      <c r="F484" s="8"/>
      <c r="G484" s="8"/>
      <c r="H484" s="46"/>
      <c r="I484" s="8"/>
      <c r="J484" s="8"/>
      <c r="K484" s="9"/>
      <c r="L484" s="9"/>
      <c r="M484" s="10" t="s">
        <v>10</v>
      </c>
    </row>
    <row r="485" spans="2:13" x14ac:dyDescent="0.25">
      <c r="B485" s="8"/>
      <c r="C485" s="8"/>
      <c r="D485" s="8"/>
      <c r="E485" s="8"/>
      <c r="F485" s="8"/>
      <c r="G485" s="8"/>
      <c r="H485" s="46"/>
      <c r="I485" s="8"/>
      <c r="J485" s="8"/>
      <c r="K485" s="9"/>
      <c r="L485" s="9"/>
      <c r="M485" s="10" t="s">
        <v>10</v>
      </c>
    </row>
    <row r="486" spans="2:13" x14ac:dyDescent="0.25">
      <c r="B486" s="8"/>
      <c r="C486" s="8"/>
      <c r="D486" s="8"/>
      <c r="E486" s="8"/>
      <c r="F486" s="8"/>
      <c r="G486" s="8"/>
      <c r="H486" s="46"/>
      <c r="I486" s="8"/>
      <c r="J486" s="8"/>
      <c r="K486" s="9"/>
      <c r="L486" s="9"/>
      <c r="M486" s="10" t="s">
        <v>10</v>
      </c>
    </row>
    <row r="487" spans="2:13" x14ac:dyDescent="0.25">
      <c r="B487" s="8"/>
      <c r="C487" s="8"/>
      <c r="D487" s="8"/>
      <c r="E487" s="8"/>
      <c r="F487" s="8"/>
      <c r="G487" s="8"/>
      <c r="H487" s="46"/>
      <c r="I487" s="8"/>
      <c r="J487" s="8"/>
      <c r="K487" s="9"/>
      <c r="L487" s="9"/>
      <c r="M487" s="10" t="s">
        <v>10</v>
      </c>
    </row>
    <row r="488" spans="2:13" x14ac:dyDescent="0.25">
      <c r="B488" s="8"/>
      <c r="C488" s="8"/>
      <c r="D488" s="8"/>
      <c r="E488" s="8"/>
      <c r="F488" s="8"/>
      <c r="G488" s="8"/>
      <c r="H488" s="46"/>
      <c r="I488" s="8"/>
      <c r="J488" s="8"/>
      <c r="K488" s="9"/>
      <c r="L488" s="9"/>
      <c r="M488" s="10" t="s">
        <v>10</v>
      </c>
    </row>
    <row r="489" spans="2:13" x14ac:dyDescent="0.25">
      <c r="B489" s="8"/>
      <c r="C489" s="8"/>
      <c r="D489" s="8"/>
      <c r="E489" s="8"/>
      <c r="F489" s="8"/>
      <c r="G489" s="8"/>
      <c r="H489" s="46"/>
      <c r="I489" s="8"/>
      <c r="J489" s="8"/>
      <c r="K489" s="9"/>
      <c r="L489" s="9"/>
      <c r="M489" s="10" t="s">
        <v>10</v>
      </c>
    </row>
    <row r="490" spans="2:13" x14ac:dyDescent="0.25">
      <c r="B490" s="8"/>
      <c r="C490" s="8"/>
      <c r="D490" s="8"/>
      <c r="E490" s="8"/>
      <c r="F490" s="8"/>
      <c r="G490" s="8"/>
      <c r="H490" s="46"/>
      <c r="I490" s="8"/>
      <c r="J490" s="8"/>
      <c r="K490" s="9"/>
      <c r="L490" s="9"/>
      <c r="M490" s="10" t="s">
        <v>10</v>
      </c>
    </row>
    <row r="491" spans="2:13" x14ac:dyDescent="0.25">
      <c r="B491" s="8"/>
      <c r="C491" s="8"/>
      <c r="D491" s="8"/>
      <c r="E491" s="8"/>
      <c r="F491" s="8"/>
      <c r="G491" s="8"/>
      <c r="H491" s="46"/>
      <c r="I491" s="8"/>
      <c r="J491" s="8"/>
      <c r="K491" s="9"/>
      <c r="L491" s="9"/>
      <c r="M491" s="10" t="s">
        <v>10</v>
      </c>
    </row>
    <row r="492" spans="2:13" x14ac:dyDescent="0.25">
      <c r="B492" s="8"/>
      <c r="C492" s="8"/>
      <c r="D492" s="8"/>
      <c r="E492" s="8"/>
      <c r="F492" s="8"/>
      <c r="G492" s="8"/>
      <c r="H492" s="46"/>
      <c r="I492" s="8"/>
      <c r="J492" s="8"/>
      <c r="K492" s="9"/>
      <c r="L492" s="9"/>
      <c r="M492" s="10" t="s">
        <v>10</v>
      </c>
    </row>
    <row r="493" spans="2:13" x14ac:dyDescent="0.25">
      <c r="B493" s="8"/>
      <c r="C493" s="8"/>
      <c r="D493" s="8"/>
      <c r="E493" s="8"/>
      <c r="F493" s="8"/>
      <c r="G493" s="8"/>
      <c r="H493" s="46"/>
      <c r="I493" s="8"/>
      <c r="J493" s="8"/>
      <c r="K493" s="9"/>
      <c r="L493" s="9"/>
      <c r="M493" s="10" t="s">
        <v>10</v>
      </c>
    </row>
    <row r="494" spans="2:13" x14ac:dyDescent="0.25">
      <c r="B494" s="8"/>
      <c r="C494" s="8"/>
      <c r="D494" s="8"/>
      <c r="E494" s="8"/>
      <c r="F494" s="8"/>
      <c r="G494" s="8"/>
      <c r="H494" s="46"/>
      <c r="I494" s="8"/>
      <c r="J494" s="8"/>
      <c r="K494" s="9"/>
      <c r="L494" s="9"/>
      <c r="M494" s="10" t="s">
        <v>10</v>
      </c>
    </row>
    <row r="495" spans="2:13" x14ac:dyDescent="0.25">
      <c r="B495" s="8"/>
      <c r="C495" s="8"/>
      <c r="D495" s="8"/>
      <c r="E495" s="8"/>
      <c r="F495" s="8"/>
      <c r="G495" s="8"/>
      <c r="H495" s="46"/>
      <c r="I495" s="8"/>
      <c r="J495" s="8"/>
      <c r="K495" s="9"/>
      <c r="L495" s="9"/>
      <c r="M495" s="10" t="s">
        <v>10</v>
      </c>
    </row>
    <row r="496" spans="2:13" x14ac:dyDescent="0.25">
      <c r="B496" s="8"/>
      <c r="C496" s="8"/>
      <c r="D496" s="8"/>
      <c r="E496" s="8"/>
      <c r="F496" s="8"/>
      <c r="G496" s="8"/>
      <c r="H496" s="46"/>
      <c r="I496" s="8"/>
      <c r="J496" s="8"/>
      <c r="K496" s="9"/>
      <c r="L496" s="9"/>
      <c r="M496" s="10" t="s">
        <v>10</v>
      </c>
    </row>
    <row r="497" spans="2:13" x14ac:dyDescent="0.25">
      <c r="B497" s="8"/>
      <c r="C497" s="8"/>
      <c r="D497" s="8"/>
      <c r="E497" s="8"/>
      <c r="F497" s="8"/>
      <c r="G497" s="8"/>
      <c r="H497" s="46"/>
      <c r="I497" s="8"/>
      <c r="J497" s="8"/>
      <c r="K497" s="9"/>
      <c r="L497" s="9"/>
      <c r="M497" s="10" t="s">
        <v>10</v>
      </c>
    </row>
    <row r="498" spans="2:13" x14ac:dyDescent="0.25">
      <c r="B498" s="8"/>
      <c r="C498" s="8"/>
      <c r="D498" s="8"/>
      <c r="E498" s="8"/>
      <c r="F498" s="8"/>
      <c r="G498" s="8"/>
      <c r="H498" s="46"/>
      <c r="I498" s="8"/>
      <c r="J498" s="8"/>
      <c r="K498" s="9"/>
      <c r="L498" s="9"/>
      <c r="M498" s="10" t="s">
        <v>10</v>
      </c>
    </row>
    <row r="499" spans="2:13" x14ac:dyDescent="0.25">
      <c r="B499" s="8"/>
      <c r="C499" s="8"/>
      <c r="D499" s="8"/>
      <c r="E499" s="8"/>
      <c r="F499" s="8"/>
      <c r="G499" s="8"/>
      <c r="H499" s="46"/>
      <c r="I499" s="8"/>
      <c r="J499" s="8"/>
      <c r="K499" s="9"/>
      <c r="L499" s="9"/>
      <c r="M499" s="10" t="s">
        <v>10</v>
      </c>
    </row>
    <row r="500" spans="2:13" x14ac:dyDescent="0.25">
      <c r="B500" s="8"/>
      <c r="C500" s="8"/>
      <c r="D500" s="8"/>
      <c r="E500" s="8"/>
      <c r="F500" s="8"/>
      <c r="G500" s="8"/>
      <c r="H500" s="46"/>
      <c r="I500" s="8"/>
      <c r="J500" s="8"/>
      <c r="K500" s="9"/>
      <c r="L500" s="9"/>
      <c r="M500" s="10" t="s">
        <v>10</v>
      </c>
    </row>
    <row r="501" spans="2:13" x14ac:dyDescent="0.25">
      <c r="B501" s="8"/>
      <c r="C501" s="8"/>
      <c r="D501" s="8"/>
      <c r="E501" s="8"/>
      <c r="F501" s="8"/>
      <c r="G501" s="8"/>
      <c r="H501" s="46"/>
      <c r="I501" s="8"/>
      <c r="J501" s="8"/>
      <c r="K501" s="9"/>
      <c r="L501" s="9"/>
      <c r="M501" s="10" t="s">
        <v>10</v>
      </c>
    </row>
    <row r="502" spans="2:13" x14ac:dyDescent="0.25">
      <c r="B502" s="8"/>
      <c r="C502" s="8"/>
      <c r="D502" s="8"/>
      <c r="E502" s="8"/>
      <c r="F502" s="8"/>
      <c r="G502" s="8"/>
      <c r="H502" s="46"/>
      <c r="I502" s="8"/>
      <c r="J502" s="8"/>
      <c r="K502" s="9"/>
      <c r="L502" s="9"/>
      <c r="M502" s="10" t="s">
        <v>10</v>
      </c>
    </row>
    <row r="503" spans="2:13" x14ac:dyDescent="0.25">
      <c r="B503" s="8"/>
      <c r="C503" s="8"/>
      <c r="D503" s="8"/>
      <c r="E503" s="8"/>
      <c r="F503" s="8"/>
      <c r="G503" s="8"/>
      <c r="H503" s="46"/>
      <c r="I503" s="8"/>
      <c r="J503" s="8"/>
      <c r="K503" s="9"/>
      <c r="L503" s="9"/>
      <c r="M503" s="10" t="s">
        <v>10</v>
      </c>
    </row>
    <row r="504" spans="2:13" x14ac:dyDescent="0.25">
      <c r="B504" s="8"/>
      <c r="C504" s="8"/>
      <c r="D504" s="8"/>
      <c r="E504" s="8"/>
      <c r="F504" s="8"/>
      <c r="G504" s="8"/>
      <c r="H504" s="46"/>
      <c r="I504" s="8"/>
      <c r="J504" s="8"/>
      <c r="K504" s="9"/>
      <c r="L504" s="9"/>
      <c r="M504" s="10" t="s">
        <v>10</v>
      </c>
    </row>
    <row r="505" spans="2:13" x14ac:dyDescent="0.25">
      <c r="B505" s="8"/>
      <c r="C505" s="8"/>
      <c r="D505" s="8"/>
      <c r="E505" s="8"/>
      <c r="F505" s="8"/>
      <c r="G505" s="8"/>
      <c r="H505" s="46"/>
      <c r="I505" s="8"/>
      <c r="J505" s="8"/>
      <c r="K505" s="9"/>
      <c r="L505" s="9"/>
      <c r="M505" s="10" t="s">
        <v>10</v>
      </c>
    </row>
    <row r="506" spans="2:13" x14ac:dyDescent="0.25">
      <c r="B506" s="8"/>
      <c r="C506" s="8"/>
      <c r="D506" s="8"/>
      <c r="E506" s="8"/>
      <c r="F506" s="8"/>
      <c r="G506" s="8"/>
      <c r="H506" s="46"/>
      <c r="I506" s="8"/>
      <c r="J506" s="8"/>
      <c r="K506" s="9"/>
      <c r="L506" s="9"/>
      <c r="M506" s="10" t="s">
        <v>10</v>
      </c>
    </row>
    <row r="507" spans="2:13" x14ac:dyDescent="0.25">
      <c r="B507" s="8"/>
      <c r="C507" s="8"/>
      <c r="D507" s="8"/>
      <c r="E507" s="8"/>
      <c r="F507" s="8"/>
      <c r="G507" s="8"/>
      <c r="H507" s="46"/>
      <c r="I507" s="8"/>
      <c r="J507" s="8"/>
      <c r="K507" s="9"/>
      <c r="L507" s="9"/>
      <c r="M507" s="10" t="s">
        <v>10</v>
      </c>
    </row>
    <row r="508" spans="2:13" x14ac:dyDescent="0.25">
      <c r="B508" s="8"/>
      <c r="C508" s="8"/>
      <c r="D508" s="8"/>
      <c r="E508" s="8"/>
      <c r="F508" s="8"/>
      <c r="G508" s="8"/>
      <c r="H508" s="46"/>
      <c r="I508" s="8"/>
      <c r="J508" s="8"/>
      <c r="K508" s="9"/>
      <c r="L508" s="9"/>
      <c r="M508" s="10" t="s">
        <v>10</v>
      </c>
    </row>
    <row r="509" spans="2:13" x14ac:dyDescent="0.25">
      <c r="B509" s="8"/>
      <c r="C509" s="8"/>
      <c r="D509" s="8"/>
      <c r="E509" s="8"/>
      <c r="F509" s="8"/>
      <c r="G509" s="8"/>
      <c r="H509" s="46"/>
      <c r="I509" s="8"/>
      <c r="J509" s="8"/>
      <c r="K509" s="9"/>
      <c r="L509" s="9"/>
      <c r="M509" s="10" t="s">
        <v>10</v>
      </c>
    </row>
    <row r="510" spans="2:13" x14ac:dyDescent="0.25">
      <c r="B510" s="8"/>
      <c r="C510" s="8"/>
      <c r="D510" s="8"/>
      <c r="E510" s="8"/>
      <c r="F510" s="8"/>
      <c r="G510" s="8"/>
      <c r="H510" s="46"/>
      <c r="I510" s="8"/>
      <c r="J510" s="8"/>
      <c r="K510" s="9"/>
      <c r="L510" s="9"/>
      <c r="M510" s="10" t="s">
        <v>10</v>
      </c>
    </row>
    <row r="511" spans="2:13" x14ac:dyDescent="0.25">
      <c r="B511" s="8"/>
      <c r="C511" s="8"/>
      <c r="D511" s="8"/>
      <c r="E511" s="8"/>
      <c r="F511" s="8"/>
      <c r="G511" s="8"/>
      <c r="H511" s="46"/>
      <c r="I511" s="8"/>
      <c r="J511" s="8"/>
      <c r="K511" s="9"/>
      <c r="L511" s="9"/>
      <c r="M511" s="10" t="s">
        <v>10</v>
      </c>
    </row>
    <row r="512" spans="2:13" x14ac:dyDescent="0.25">
      <c r="B512" s="8"/>
      <c r="C512" s="8"/>
      <c r="D512" s="8"/>
      <c r="E512" s="8"/>
      <c r="F512" s="8"/>
      <c r="G512" s="8"/>
      <c r="H512" s="46"/>
      <c r="I512" s="8"/>
      <c r="J512" s="8"/>
      <c r="K512" s="9"/>
      <c r="L512" s="9"/>
      <c r="M512" s="10" t="s">
        <v>10</v>
      </c>
    </row>
    <row r="513" spans="2:13" x14ac:dyDescent="0.25">
      <c r="B513" s="8"/>
      <c r="C513" s="8"/>
      <c r="D513" s="8"/>
      <c r="E513" s="8"/>
      <c r="F513" s="8"/>
      <c r="G513" s="8"/>
      <c r="H513" s="46"/>
      <c r="I513" s="8"/>
      <c r="J513" s="8"/>
      <c r="K513" s="9"/>
      <c r="L513" s="9"/>
      <c r="M513" s="10" t="s">
        <v>10</v>
      </c>
    </row>
    <row r="514" spans="2:13" x14ac:dyDescent="0.25">
      <c r="B514" s="8"/>
      <c r="C514" s="8"/>
      <c r="D514" s="8"/>
      <c r="E514" s="8"/>
      <c r="F514" s="8"/>
      <c r="G514" s="8"/>
      <c r="H514" s="46"/>
      <c r="I514" s="8"/>
      <c r="J514" s="8"/>
      <c r="K514" s="9"/>
      <c r="L514" s="9"/>
      <c r="M514" s="10" t="s">
        <v>10</v>
      </c>
    </row>
    <row r="515" spans="2:13" x14ac:dyDescent="0.25">
      <c r="B515" s="8"/>
      <c r="C515" s="8"/>
      <c r="D515" s="8"/>
      <c r="E515" s="8"/>
      <c r="F515" s="8"/>
      <c r="G515" s="8"/>
      <c r="H515" s="46"/>
      <c r="I515" s="8"/>
      <c r="J515" s="8"/>
      <c r="K515" s="9"/>
      <c r="L515" s="9"/>
      <c r="M515" s="10" t="s">
        <v>10</v>
      </c>
    </row>
    <row r="516" spans="2:13" x14ac:dyDescent="0.25">
      <c r="B516" s="8"/>
      <c r="C516" s="8"/>
      <c r="D516" s="8"/>
      <c r="E516" s="8"/>
      <c r="F516" s="8"/>
      <c r="G516" s="8"/>
      <c r="H516" s="46"/>
      <c r="I516" s="8"/>
      <c r="J516" s="8"/>
      <c r="K516" s="9"/>
      <c r="L516" s="9"/>
      <c r="M516" s="10" t="s">
        <v>10</v>
      </c>
    </row>
    <row r="517" spans="2:13" x14ac:dyDescent="0.25">
      <c r="B517" s="8"/>
      <c r="C517" s="8"/>
      <c r="D517" s="8"/>
      <c r="E517" s="8"/>
      <c r="F517" s="8"/>
      <c r="G517" s="8"/>
      <c r="H517" s="46"/>
      <c r="I517" s="8"/>
      <c r="J517" s="8"/>
      <c r="K517" s="9"/>
      <c r="L517" s="9"/>
      <c r="M517" s="10" t="s">
        <v>10</v>
      </c>
    </row>
    <row r="518" spans="2:13" x14ac:dyDescent="0.25">
      <c r="B518" s="8"/>
      <c r="C518" s="8"/>
      <c r="D518" s="8"/>
      <c r="E518" s="8"/>
      <c r="F518" s="8"/>
      <c r="G518" s="8"/>
      <c r="H518" s="46"/>
      <c r="I518" s="8"/>
      <c r="J518" s="8"/>
      <c r="K518" s="9"/>
      <c r="L518" s="9"/>
      <c r="M518" s="10" t="s">
        <v>10</v>
      </c>
    </row>
    <row r="519" spans="2:13" x14ac:dyDescent="0.25">
      <c r="B519" s="8"/>
      <c r="C519" s="8"/>
      <c r="D519" s="8"/>
      <c r="E519" s="8"/>
      <c r="F519" s="8"/>
      <c r="G519" s="8"/>
      <c r="H519" s="46"/>
      <c r="I519" s="8"/>
      <c r="J519" s="8"/>
      <c r="K519" s="9"/>
      <c r="L519" s="9"/>
      <c r="M519" s="10" t="s">
        <v>10</v>
      </c>
    </row>
    <row r="520" spans="2:13" x14ac:dyDescent="0.25">
      <c r="B520" s="8"/>
      <c r="C520" s="8"/>
      <c r="D520" s="8"/>
      <c r="E520" s="8"/>
      <c r="F520" s="8"/>
      <c r="G520" s="8"/>
      <c r="H520" s="46"/>
      <c r="I520" s="8"/>
      <c r="J520" s="8"/>
      <c r="K520" s="9"/>
      <c r="L520" s="9"/>
      <c r="M520" s="10" t="s">
        <v>10</v>
      </c>
    </row>
    <row r="521" spans="2:13" x14ac:dyDescent="0.25">
      <c r="B521" s="8"/>
      <c r="C521" s="8"/>
      <c r="D521" s="8"/>
      <c r="E521" s="8"/>
      <c r="F521" s="8"/>
      <c r="G521" s="8"/>
      <c r="H521" s="46"/>
      <c r="I521" s="8"/>
      <c r="J521" s="8"/>
      <c r="K521" s="9"/>
      <c r="L521" s="9"/>
      <c r="M521" s="10" t="s">
        <v>10</v>
      </c>
    </row>
    <row r="522" spans="2:13" x14ac:dyDescent="0.25">
      <c r="B522" s="8"/>
      <c r="C522" s="8"/>
      <c r="D522" s="8"/>
      <c r="E522" s="8"/>
      <c r="F522" s="8"/>
      <c r="G522" s="8"/>
      <c r="H522" s="46"/>
      <c r="I522" s="8"/>
      <c r="J522" s="8"/>
      <c r="K522" s="9"/>
      <c r="L522" s="9"/>
      <c r="M522" s="10" t="s">
        <v>10</v>
      </c>
    </row>
    <row r="523" spans="2:13" x14ac:dyDescent="0.25">
      <c r="B523" s="8"/>
      <c r="C523" s="8"/>
      <c r="D523" s="8"/>
      <c r="E523" s="8"/>
      <c r="F523" s="8"/>
      <c r="G523" s="8"/>
      <c r="H523" s="46"/>
      <c r="I523" s="8"/>
      <c r="J523" s="8"/>
      <c r="K523" s="9"/>
      <c r="L523" s="9"/>
      <c r="M523" s="10" t="s">
        <v>10</v>
      </c>
    </row>
    <row r="524" spans="2:13" x14ac:dyDescent="0.25">
      <c r="B524" s="8"/>
      <c r="C524" s="8"/>
      <c r="D524" s="8"/>
      <c r="E524" s="8"/>
      <c r="F524" s="8"/>
      <c r="G524" s="8"/>
      <c r="H524" s="46"/>
      <c r="I524" s="8"/>
      <c r="J524" s="8"/>
      <c r="K524" s="9"/>
      <c r="L524" s="9"/>
      <c r="M524" s="10" t="s">
        <v>10</v>
      </c>
    </row>
    <row r="525" spans="2:13" x14ac:dyDescent="0.25">
      <c r="B525" s="8"/>
      <c r="C525" s="8"/>
      <c r="D525" s="8"/>
      <c r="E525" s="8"/>
      <c r="F525" s="8"/>
      <c r="G525" s="8"/>
      <c r="H525" s="46"/>
      <c r="I525" s="8"/>
      <c r="J525" s="8"/>
      <c r="K525" s="9"/>
      <c r="L525" s="9"/>
      <c r="M525" s="10" t="s">
        <v>10</v>
      </c>
    </row>
    <row r="526" spans="2:13" x14ac:dyDescent="0.25">
      <c r="B526" s="8"/>
      <c r="C526" s="8"/>
      <c r="D526" s="8"/>
      <c r="E526" s="8"/>
      <c r="F526" s="8"/>
      <c r="G526" s="8"/>
      <c r="H526" s="46"/>
      <c r="I526" s="8"/>
      <c r="J526" s="8"/>
      <c r="K526" s="9"/>
      <c r="L526" s="9"/>
      <c r="M526" s="10" t="s">
        <v>10</v>
      </c>
    </row>
    <row r="527" spans="2:13" x14ac:dyDescent="0.25">
      <c r="B527" s="8"/>
      <c r="C527" s="8"/>
      <c r="D527" s="8"/>
      <c r="E527" s="8"/>
      <c r="F527" s="8"/>
      <c r="G527" s="8"/>
      <c r="H527" s="46"/>
      <c r="I527" s="8"/>
      <c r="J527" s="8"/>
      <c r="K527" s="9"/>
      <c r="L527" s="9"/>
      <c r="M527" s="10" t="s">
        <v>10</v>
      </c>
    </row>
    <row r="528" spans="2:13" x14ac:dyDescent="0.25">
      <c r="B528" s="8"/>
      <c r="C528" s="8"/>
      <c r="D528" s="8"/>
      <c r="E528" s="8"/>
      <c r="F528" s="8"/>
      <c r="G528" s="8"/>
      <c r="H528" s="46"/>
      <c r="I528" s="8"/>
      <c r="J528" s="8"/>
      <c r="K528" s="9"/>
      <c r="L528" s="9"/>
      <c r="M528" s="10" t="s">
        <v>10</v>
      </c>
    </row>
    <row r="529" spans="2:13" x14ac:dyDescent="0.25">
      <c r="B529" s="8"/>
      <c r="C529" s="8"/>
      <c r="D529" s="8"/>
      <c r="E529" s="8"/>
      <c r="F529" s="8"/>
      <c r="G529" s="8"/>
      <c r="H529" s="46"/>
      <c r="I529" s="8"/>
      <c r="J529" s="8"/>
      <c r="K529" s="9"/>
      <c r="L529" s="9"/>
      <c r="M529" s="10" t="s">
        <v>10</v>
      </c>
    </row>
    <row r="530" spans="2:13" x14ac:dyDescent="0.25">
      <c r="B530" s="8"/>
      <c r="C530" s="8"/>
      <c r="D530" s="8"/>
      <c r="E530" s="8"/>
      <c r="F530" s="8"/>
      <c r="G530" s="8"/>
      <c r="H530" s="46"/>
      <c r="I530" s="8"/>
      <c r="J530" s="8"/>
      <c r="K530" s="9"/>
      <c r="L530" s="9"/>
      <c r="M530" s="10" t="s">
        <v>10</v>
      </c>
    </row>
    <row r="531" spans="2:13" x14ac:dyDescent="0.25">
      <c r="B531" s="8"/>
      <c r="C531" s="8"/>
      <c r="D531" s="8"/>
      <c r="E531" s="8"/>
      <c r="F531" s="8"/>
      <c r="G531" s="8"/>
      <c r="H531" s="46"/>
      <c r="I531" s="8"/>
      <c r="J531" s="8"/>
      <c r="K531" s="9"/>
      <c r="L531" s="9"/>
      <c r="M531" s="10" t="s">
        <v>10</v>
      </c>
    </row>
    <row r="532" spans="2:13" x14ac:dyDescent="0.25">
      <c r="B532" s="8"/>
      <c r="C532" s="8"/>
      <c r="D532" s="8"/>
      <c r="E532" s="8"/>
      <c r="F532" s="8"/>
      <c r="G532" s="8"/>
      <c r="H532" s="46"/>
      <c r="I532" s="8"/>
      <c r="J532" s="8"/>
      <c r="K532" s="9"/>
      <c r="L532" s="9"/>
      <c r="M532" s="10" t="s">
        <v>10</v>
      </c>
    </row>
    <row r="533" spans="2:13" x14ac:dyDescent="0.25">
      <c r="B533" s="8"/>
      <c r="C533" s="8"/>
      <c r="D533" s="8"/>
      <c r="E533" s="8"/>
      <c r="F533" s="8"/>
      <c r="G533" s="8"/>
      <c r="H533" s="46"/>
      <c r="I533" s="8"/>
      <c r="J533" s="8"/>
      <c r="K533" s="9"/>
      <c r="L533" s="9"/>
      <c r="M533" s="10" t="s">
        <v>10</v>
      </c>
    </row>
    <row r="534" spans="2:13" x14ac:dyDescent="0.25">
      <c r="B534" s="8"/>
      <c r="C534" s="8"/>
      <c r="D534" s="8"/>
      <c r="E534" s="8"/>
      <c r="F534" s="8"/>
      <c r="G534" s="8"/>
      <c r="H534" s="46"/>
      <c r="I534" s="8"/>
      <c r="J534" s="8"/>
      <c r="K534" s="9"/>
      <c r="L534" s="9"/>
      <c r="M534" s="10" t="s">
        <v>10</v>
      </c>
    </row>
    <row r="535" spans="2:13" x14ac:dyDescent="0.25">
      <c r="B535" s="8"/>
      <c r="C535" s="8"/>
      <c r="D535" s="8"/>
      <c r="E535" s="8"/>
      <c r="F535" s="8"/>
      <c r="G535" s="8"/>
      <c r="H535" s="46"/>
      <c r="I535" s="8"/>
      <c r="J535" s="8"/>
      <c r="K535" s="9"/>
      <c r="L535" s="9"/>
      <c r="M535" s="10" t="s">
        <v>10</v>
      </c>
    </row>
    <row r="536" spans="2:13" x14ac:dyDescent="0.25">
      <c r="B536" s="8"/>
      <c r="C536" s="8"/>
      <c r="D536" s="8"/>
      <c r="E536" s="8"/>
      <c r="F536" s="8"/>
      <c r="G536" s="8"/>
      <c r="H536" s="46"/>
      <c r="I536" s="8"/>
      <c r="J536" s="8"/>
      <c r="K536" s="9"/>
      <c r="L536" s="9"/>
      <c r="M536" s="10" t="s">
        <v>10</v>
      </c>
    </row>
    <row r="537" spans="2:13" x14ac:dyDescent="0.25">
      <c r="B537" s="8"/>
      <c r="C537" s="8"/>
      <c r="D537" s="8"/>
      <c r="E537" s="8"/>
      <c r="F537" s="8"/>
      <c r="G537" s="8"/>
      <c r="H537" s="46"/>
      <c r="I537" s="8"/>
      <c r="J537" s="8"/>
      <c r="K537" s="9"/>
      <c r="L537" s="9"/>
      <c r="M537" s="10" t="s">
        <v>10</v>
      </c>
    </row>
    <row r="538" spans="2:13" x14ac:dyDescent="0.25">
      <c r="B538" s="8"/>
      <c r="C538" s="8"/>
      <c r="D538" s="8"/>
      <c r="E538" s="8"/>
      <c r="F538" s="8"/>
      <c r="G538" s="8"/>
      <c r="H538" s="46"/>
      <c r="I538" s="8"/>
      <c r="J538" s="8"/>
      <c r="K538" s="9"/>
      <c r="L538" s="9"/>
      <c r="M538" s="10" t="s">
        <v>10</v>
      </c>
    </row>
    <row r="539" spans="2:13" x14ac:dyDescent="0.25">
      <c r="B539" s="8"/>
      <c r="C539" s="8"/>
      <c r="D539" s="8"/>
      <c r="E539" s="8"/>
      <c r="F539" s="8"/>
      <c r="G539" s="8"/>
      <c r="H539" s="46"/>
      <c r="I539" s="8"/>
      <c r="J539" s="8"/>
      <c r="K539" s="9"/>
      <c r="L539" s="9"/>
      <c r="M539" s="10" t="s">
        <v>10</v>
      </c>
    </row>
    <row r="540" spans="2:13" x14ac:dyDescent="0.25">
      <c r="B540" s="8"/>
      <c r="C540" s="8"/>
      <c r="D540" s="8"/>
      <c r="E540" s="8"/>
      <c r="F540" s="8"/>
      <c r="G540" s="8"/>
      <c r="H540" s="46"/>
      <c r="I540" s="8"/>
      <c r="J540" s="8"/>
      <c r="K540" s="9"/>
      <c r="L540" s="9"/>
      <c r="M540" s="10" t="s">
        <v>10</v>
      </c>
    </row>
    <row r="541" spans="2:13" x14ac:dyDescent="0.25">
      <c r="B541" s="8"/>
      <c r="C541" s="8"/>
      <c r="D541" s="8"/>
      <c r="E541" s="8"/>
      <c r="F541" s="8"/>
      <c r="G541" s="8"/>
      <c r="H541" s="46"/>
      <c r="I541" s="8"/>
      <c r="J541" s="8"/>
      <c r="K541" s="9"/>
      <c r="L541" s="9"/>
      <c r="M541" s="10" t="s">
        <v>10</v>
      </c>
    </row>
    <row r="542" spans="2:13" x14ac:dyDescent="0.25">
      <c r="B542" s="8"/>
      <c r="C542" s="8"/>
      <c r="D542" s="8"/>
      <c r="E542" s="8"/>
      <c r="F542" s="8"/>
      <c r="G542" s="8"/>
      <c r="H542" s="46"/>
      <c r="I542" s="8"/>
      <c r="J542" s="8"/>
      <c r="K542" s="9"/>
      <c r="L542" s="9"/>
      <c r="M542" s="10" t="s">
        <v>10</v>
      </c>
    </row>
    <row r="543" spans="2:13" x14ac:dyDescent="0.25">
      <c r="B543" s="8"/>
      <c r="C543" s="8"/>
      <c r="D543" s="8"/>
      <c r="E543" s="8"/>
      <c r="F543" s="8"/>
      <c r="G543" s="8"/>
      <c r="H543" s="46"/>
      <c r="I543" s="8"/>
      <c r="J543" s="8"/>
      <c r="K543" s="9"/>
      <c r="L543" s="9"/>
      <c r="M543" s="10" t="s">
        <v>10</v>
      </c>
    </row>
    <row r="544" spans="2:13" x14ac:dyDescent="0.25">
      <c r="B544" s="8"/>
      <c r="C544" s="8"/>
      <c r="D544" s="8"/>
      <c r="E544" s="8"/>
      <c r="F544" s="8"/>
      <c r="G544" s="8"/>
      <c r="H544" s="46"/>
      <c r="I544" s="8"/>
      <c r="J544" s="8"/>
      <c r="K544" s="9"/>
      <c r="L544" s="9"/>
      <c r="M544" s="10" t="s">
        <v>10</v>
      </c>
    </row>
    <row r="545" spans="2:13" x14ac:dyDescent="0.25">
      <c r="B545" s="8"/>
      <c r="C545" s="8"/>
      <c r="D545" s="8"/>
      <c r="E545" s="8"/>
      <c r="F545" s="8"/>
      <c r="G545" s="8"/>
      <c r="H545" s="46"/>
      <c r="I545" s="8"/>
      <c r="J545" s="8"/>
      <c r="K545" s="9"/>
      <c r="L545" s="9"/>
      <c r="M545" s="10" t="s">
        <v>10</v>
      </c>
    </row>
    <row r="546" spans="2:13" x14ac:dyDescent="0.25">
      <c r="B546" s="8"/>
      <c r="C546" s="8"/>
      <c r="D546" s="8"/>
      <c r="E546" s="8"/>
      <c r="F546" s="8"/>
      <c r="G546" s="8"/>
      <c r="H546" s="46"/>
      <c r="I546" s="8"/>
      <c r="J546" s="8"/>
      <c r="K546" s="9"/>
      <c r="L546" s="9"/>
      <c r="M546" s="10" t="s">
        <v>10</v>
      </c>
    </row>
    <row r="547" spans="2:13" x14ac:dyDescent="0.25">
      <c r="B547" s="8"/>
      <c r="C547" s="8"/>
      <c r="D547" s="8"/>
      <c r="E547" s="8"/>
      <c r="F547" s="8"/>
      <c r="G547" s="8"/>
      <c r="H547" s="46"/>
      <c r="I547" s="8"/>
      <c r="J547" s="8"/>
      <c r="K547" s="9"/>
      <c r="L547" s="9"/>
      <c r="M547" s="10" t="s">
        <v>10</v>
      </c>
    </row>
    <row r="548" spans="2:13" x14ac:dyDescent="0.25">
      <c r="B548" s="8"/>
      <c r="C548" s="8"/>
      <c r="D548" s="8"/>
      <c r="E548" s="8"/>
      <c r="F548" s="8"/>
      <c r="G548" s="8"/>
      <c r="H548" s="46"/>
      <c r="I548" s="8"/>
      <c r="J548" s="8"/>
      <c r="K548" s="9"/>
      <c r="L548" s="9"/>
      <c r="M548" s="10" t="s">
        <v>10</v>
      </c>
    </row>
    <row r="549" spans="2:13" x14ac:dyDescent="0.25">
      <c r="B549" s="8"/>
      <c r="C549" s="8"/>
      <c r="D549" s="8"/>
      <c r="E549" s="8"/>
      <c r="F549" s="8"/>
      <c r="G549" s="8"/>
      <c r="H549" s="46"/>
      <c r="I549" s="8"/>
      <c r="J549" s="8"/>
      <c r="K549" s="9"/>
      <c r="L549" s="9"/>
      <c r="M549" s="10" t="s">
        <v>10</v>
      </c>
    </row>
    <row r="550" spans="2:13" x14ac:dyDescent="0.25">
      <c r="B550" s="8"/>
      <c r="C550" s="8"/>
      <c r="D550" s="8"/>
      <c r="E550" s="8"/>
      <c r="F550" s="8"/>
      <c r="G550" s="8"/>
      <c r="H550" s="46"/>
      <c r="I550" s="8"/>
      <c r="J550" s="8"/>
      <c r="K550" s="9"/>
      <c r="L550" s="9"/>
      <c r="M550" s="10" t="s">
        <v>10</v>
      </c>
    </row>
    <row r="551" spans="2:13" x14ac:dyDescent="0.25">
      <c r="B551" s="8"/>
      <c r="C551" s="8"/>
      <c r="D551" s="8"/>
      <c r="E551" s="8"/>
      <c r="F551" s="8"/>
      <c r="G551" s="8"/>
      <c r="H551" s="46"/>
      <c r="I551" s="8"/>
      <c r="J551" s="8"/>
      <c r="K551" s="9"/>
      <c r="L551" s="9"/>
      <c r="M551" s="10" t="s">
        <v>10</v>
      </c>
    </row>
    <row r="552" spans="2:13" x14ac:dyDescent="0.25">
      <c r="B552" s="8"/>
      <c r="C552" s="8"/>
      <c r="D552" s="8"/>
      <c r="E552" s="8"/>
      <c r="F552" s="8"/>
      <c r="G552" s="8"/>
      <c r="H552" s="46"/>
      <c r="I552" s="8"/>
      <c r="J552" s="8"/>
      <c r="K552" s="9"/>
      <c r="L552" s="9"/>
      <c r="M552" s="10" t="s">
        <v>10</v>
      </c>
    </row>
    <row r="553" spans="2:13" x14ac:dyDescent="0.25">
      <c r="B553" s="8"/>
      <c r="C553" s="8"/>
      <c r="D553" s="8"/>
      <c r="E553" s="8"/>
      <c r="F553" s="8"/>
      <c r="G553" s="8"/>
      <c r="H553" s="46"/>
      <c r="I553" s="8"/>
      <c r="J553" s="8"/>
      <c r="K553" s="9"/>
      <c r="L553" s="9"/>
      <c r="M553" s="10" t="s">
        <v>10</v>
      </c>
    </row>
    <row r="554" spans="2:13" x14ac:dyDescent="0.25">
      <c r="B554" s="8"/>
      <c r="C554" s="8"/>
      <c r="D554" s="8"/>
      <c r="E554" s="8"/>
      <c r="F554" s="8"/>
      <c r="G554" s="8"/>
      <c r="H554" s="46"/>
      <c r="I554" s="8"/>
      <c r="J554" s="8"/>
      <c r="K554" s="9"/>
      <c r="L554" s="9"/>
      <c r="M554" s="10" t="s">
        <v>10</v>
      </c>
    </row>
    <row r="555" spans="2:13" x14ac:dyDescent="0.25">
      <c r="B555" s="8"/>
      <c r="C555" s="8"/>
      <c r="D555" s="8"/>
      <c r="E555" s="8"/>
      <c r="F555" s="8"/>
      <c r="G555" s="8"/>
      <c r="H555" s="46"/>
      <c r="I555" s="8"/>
      <c r="J555" s="8"/>
      <c r="K555" s="9"/>
      <c r="L555" s="9"/>
      <c r="M555" s="10" t="s">
        <v>10</v>
      </c>
    </row>
    <row r="556" spans="2:13" x14ac:dyDescent="0.25">
      <c r="B556" s="8"/>
      <c r="C556" s="8"/>
      <c r="D556" s="8"/>
      <c r="E556" s="8"/>
      <c r="F556" s="8"/>
      <c r="G556" s="8"/>
      <c r="H556" s="46"/>
      <c r="I556" s="8"/>
      <c r="J556" s="8"/>
      <c r="K556" s="9"/>
      <c r="L556" s="9"/>
      <c r="M556" s="10" t="s">
        <v>10</v>
      </c>
    </row>
    <row r="557" spans="2:13" x14ac:dyDescent="0.25">
      <c r="B557" s="8"/>
      <c r="C557" s="8"/>
      <c r="D557" s="8"/>
      <c r="E557" s="8"/>
      <c r="F557" s="8"/>
      <c r="G557" s="8"/>
      <c r="H557" s="46"/>
      <c r="I557" s="8"/>
      <c r="J557" s="8"/>
      <c r="K557" s="9"/>
      <c r="L557" s="9"/>
      <c r="M557" s="10" t="s">
        <v>10</v>
      </c>
    </row>
    <row r="558" spans="2:13" x14ac:dyDescent="0.25">
      <c r="B558" s="8"/>
      <c r="C558" s="8"/>
      <c r="D558" s="8"/>
      <c r="E558" s="8"/>
      <c r="F558" s="8"/>
      <c r="G558" s="8"/>
      <c r="H558" s="46"/>
      <c r="I558" s="8"/>
      <c r="J558" s="8"/>
      <c r="K558" s="9"/>
      <c r="L558" s="9"/>
      <c r="M558" s="10" t="s">
        <v>10</v>
      </c>
    </row>
    <row r="559" spans="2:13" x14ac:dyDescent="0.25">
      <c r="B559" s="8"/>
      <c r="C559" s="8"/>
      <c r="D559" s="8"/>
      <c r="E559" s="8"/>
      <c r="F559" s="8"/>
      <c r="G559" s="8"/>
      <c r="H559" s="46"/>
      <c r="I559" s="8"/>
      <c r="J559" s="8"/>
      <c r="K559" s="9"/>
      <c r="L559" s="9"/>
      <c r="M559" s="10" t="s">
        <v>10</v>
      </c>
    </row>
    <row r="560" spans="2:13" x14ac:dyDescent="0.25">
      <c r="B560" s="8"/>
      <c r="C560" s="8"/>
      <c r="D560" s="8"/>
      <c r="E560" s="8"/>
      <c r="F560" s="8"/>
      <c r="G560" s="8"/>
      <c r="H560" s="46"/>
      <c r="I560" s="8"/>
      <c r="J560" s="8"/>
      <c r="K560" s="9"/>
      <c r="L560" s="9"/>
      <c r="M560" s="10" t="s">
        <v>10</v>
      </c>
    </row>
    <row r="561" spans="2:13" x14ac:dyDescent="0.25">
      <c r="B561" s="8"/>
      <c r="C561" s="8"/>
      <c r="D561" s="8"/>
      <c r="E561" s="8"/>
      <c r="F561" s="8"/>
      <c r="G561" s="8"/>
      <c r="H561" s="46"/>
      <c r="I561" s="8"/>
      <c r="J561" s="8"/>
      <c r="K561" s="9"/>
      <c r="L561" s="9"/>
      <c r="M561" s="10" t="s">
        <v>10</v>
      </c>
    </row>
    <row r="562" spans="2:13" x14ac:dyDescent="0.25">
      <c r="B562" s="8"/>
      <c r="C562" s="8"/>
      <c r="D562" s="8"/>
      <c r="E562" s="8"/>
      <c r="F562" s="8"/>
      <c r="G562" s="8"/>
      <c r="H562" s="46"/>
      <c r="I562" s="8"/>
      <c r="J562" s="8"/>
      <c r="K562" s="9"/>
      <c r="L562" s="9"/>
      <c r="M562" s="10" t="s">
        <v>10</v>
      </c>
    </row>
    <row r="563" spans="2:13" x14ac:dyDescent="0.25">
      <c r="B563" s="8"/>
      <c r="C563" s="8"/>
      <c r="D563" s="8"/>
      <c r="E563" s="8"/>
      <c r="F563" s="8"/>
      <c r="G563" s="8"/>
      <c r="H563" s="46"/>
      <c r="I563" s="8"/>
      <c r="J563" s="8"/>
      <c r="K563" s="9"/>
      <c r="L563" s="9"/>
      <c r="M563" s="10" t="s">
        <v>10</v>
      </c>
    </row>
    <row r="564" spans="2:13" x14ac:dyDescent="0.25">
      <c r="B564" s="8"/>
      <c r="C564" s="8"/>
      <c r="D564" s="8"/>
      <c r="E564" s="8"/>
      <c r="F564" s="8"/>
      <c r="G564" s="8"/>
      <c r="H564" s="46"/>
      <c r="I564" s="8"/>
      <c r="J564" s="8"/>
      <c r="K564" s="9"/>
      <c r="L564" s="9"/>
      <c r="M564" s="10" t="s">
        <v>10</v>
      </c>
    </row>
    <row r="565" spans="2:13" x14ac:dyDescent="0.25">
      <c r="B565" s="8"/>
      <c r="C565" s="8"/>
      <c r="D565" s="8"/>
      <c r="E565" s="8"/>
      <c r="F565" s="8"/>
      <c r="G565" s="8"/>
      <c r="H565" s="46"/>
      <c r="I565" s="8"/>
      <c r="J565" s="8"/>
      <c r="K565" s="9"/>
      <c r="L565" s="9"/>
      <c r="M565" s="10" t="s">
        <v>10</v>
      </c>
    </row>
    <row r="566" spans="2:13" x14ac:dyDescent="0.25">
      <c r="B566" s="8"/>
      <c r="C566" s="8"/>
      <c r="D566" s="8"/>
      <c r="E566" s="8"/>
      <c r="F566" s="8"/>
      <c r="G566" s="8"/>
      <c r="H566" s="46"/>
      <c r="I566" s="8"/>
      <c r="J566" s="8"/>
      <c r="K566" s="9"/>
      <c r="L566" s="9"/>
      <c r="M566" s="10" t="s">
        <v>10</v>
      </c>
    </row>
    <row r="567" spans="2:13" x14ac:dyDescent="0.25">
      <c r="B567" s="8"/>
      <c r="C567" s="8"/>
      <c r="D567" s="8"/>
      <c r="E567" s="8"/>
      <c r="F567" s="8"/>
      <c r="G567" s="8"/>
      <c r="H567" s="46"/>
      <c r="I567" s="8"/>
      <c r="J567" s="8"/>
      <c r="K567" s="9"/>
      <c r="L567" s="9"/>
      <c r="M567" s="10" t="s">
        <v>10</v>
      </c>
    </row>
    <row r="568" spans="2:13" x14ac:dyDescent="0.25">
      <c r="B568" s="8"/>
      <c r="C568" s="8"/>
      <c r="D568" s="8"/>
      <c r="E568" s="8"/>
      <c r="F568" s="8"/>
      <c r="G568" s="8"/>
      <c r="H568" s="46"/>
      <c r="I568" s="8"/>
      <c r="J568" s="8"/>
      <c r="K568" s="9"/>
      <c r="L568" s="9"/>
      <c r="M568" s="10" t="s">
        <v>10</v>
      </c>
    </row>
    <row r="569" spans="2:13" x14ac:dyDescent="0.25">
      <c r="B569" s="8"/>
      <c r="C569" s="8"/>
      <c r="D569" s="8"/>
      <c r="E569" s="8"/>
      <c r="F569" s="8"/>
      <c r="G569" s="8"/>
      <c r="H569" s="46"/>
      <c r="I569" s="8"/>
      <c r="J569" s="8"/>
      <c r="K569" s="9"/>
      <c r="L569" s="9"/>
      <c r="M569" s="10" t="s">
        <v>10</v>
      </c>
    </row>
    <row r="570" spans="2:13" x14ac:dyDescent="0.25">
      <c r="B570" s="8"/>
      <c r="C570" s="8"/>
      <c r="D570" s="8"/>
      <c r="E570" s="8"/>
      <c r="F570" s="8"/>
      <c r="G570" s="8"/>
      <c r="H570" s="46"/>
      <c r="I570" s="8"/>
      <c r="J570" s="8"/>
      <c r="K570" s="9"/>
      <c r="L570" s="9"/>
      <c r="M570" s="10" t="s">
        <v>10</v>
      </c>
    </row>
    <row r="571" spans="2:13" x14ac:dyDescent="0.25">
      <c r="B571" s="8"/>
      <c r="C571" s="8"/>
      <c r="D571" s="8"/>
      <c r="E571" s="8"/>
      <c r="F571" s="8"/>
      <c r="G571" s="8"/>
      <c r="H571" s="46"/>
      <c r="I571" s="8"/>
      <c r="J571" s="8"/>
      <c r="K571" s="9"/>
      <c r="L571" s="9"/>
      <c r="M571" s="10" t="s">
        <v>10</v>
      </c>
    </row>
    <row r="572" spans="2:13" x14ac:dyDescent="0.25">
      <c r="B572" s="8"/>
      <c r="C572" s="8"/>
      <c r="D572" s="8"/>
      <c r="E572" s="8"/>
      <c r="F572" s="8"/>
      <c r="G572" s="8"/>
      <c r="H572" s="46"/>
      <c r="I572" s="8"/>
      <c r="J572" s="8"/>
      <c r="K572" s="9"/>
      <c r="L572" s="9"/>
      <c r="M572" s="10" t="s">
        <v>10</v>
      </c>
    </row>
    <row r="573" spans="2:13" x14ac:dyDescent="0.25">
      <c r="B573" s="8"/>
      <c r="C573" s="8"/>
      <c r="D573" s="8"/>
      <c r="E573" s="8"/>
      <c r="F573" s="8"/>
      <c r="G573" s="8"/>
      <c r="H573" s="46"/>
      <c r="I573" s="8"/>
      <c r="J573" s="8"/>
      <c r="K573" s="9"/>
      <c r="L573" s="9"/>
      <c r="M573" s="10" t="s">
        <v>10</v>
      </c>
    </row>
    <row r="574" spans="2:13" x14ac:dyDescent="0.25">
      <c r="B574" s="8"/>
      <c r="C574" s="8"/>
      <c r="D574" s="8"/>
      <c r="E574" s="8"/>
      <c r="F574" s="8"/>
      <c r="G574" s="8"/>
      <c r="H574" s="46"/>
      <c r="I574" s="8"/>
      <c r="J574" s="8"/>
      <c r="K574" s="9"/>
      <c r="L574" s="9"/>
      <c r="M574" s="10" t="s">
        <v>10</v>
      </c>
    </row>
    <row r="575" spans="2:13" x14ac:dyDescent="0.25">
      <c r="B575" s="8"/>
      <c r="C575" s="8"/>
      <c r="D575" s="8"/>
      <c r="E575" s="8"/>
      <c r="F575" s="8"/>
      <c r="G575" s="8"/>
      <c r="H575" s="46"/>
      <c r="I575" s="8"/>
      <c r="J575" s="8"/>
      <c r="K575" s="9"/>
      <c r="L575" s="9"/>
      <c r="M575" s="10" t="s">
        <v>10</v>
      </c>
    </row>
    <row r="576" spans="2:13" x14ac:dyDescent="0.25">
      <c r="B576" s="8"/>
      <c r="C576" s="8"/>
      <c r="D576" s="8"/>
      <c r="E576" s="8"/>
      <c r="F576" s="8"/>
      <c r="G576" s="8"/>
      <c r="H576" s="46"/>
      <c r="I576" s="8"/>
      <c r="J576" s="8"/>
      <c r="K576" s="9"/>
      <c r="L576" s="9"/>
      <c r="M576" s="10" t="s">
        <v>10</v>
      </c>
    </row>
    <row r="577" spans="2:13" x14ac:dyDescent="0.25">
      <c r="B577" s="8"/>
      <c r="C577" s="8"/>
      <c r="D577" s="8"/>
      <c r="E577" s="8"/>
      <c r="F577" s="8"/>
      <c r="G577" s="8"/>
      <c r="H577" s="46"/>
      <c r="I577" s="8"/>
      <c r="J577" s="8"/>
      <c r="K577" s="9"/>
      <c r="L577" s="9"/>
      <c r="M577" s="10" t="s">
        <v>10</v>
      </c>
    </row>
    <row r="578" spans="2:13" x14ac:dyDescent="0.25">
      <c r="B578" s="8"/>
      <c r="C578" s="8"/>
      <c r="D578" s="8"/>
      <c r="E578" s="8"/>
      <c r="F578" s="8"/>
      <c r="G578" s="8"/>
      <c r="H578" s="46"/>
      <c r="I578" s="8"/>
      <c r="J578" s="8"/>
      <c r="K578" s="9"/>
      <c r="L578" s="9"/>
      <c r="M578" s="10" t="s">
        <v>10</v>
      </c>
    </row>
    <row r="579" spans="2:13" x14ac:dyDescent="0.25">
      <c r="B579" s="8"/>
      <c r="C579" s="8"/>
      <c r="D579" s="8"/>
      <c r="E579" s="8"/>
      <c r="F579" s="8"/>
      <c r="G579" s="8"/>
      <c r="H579" s="46"/>
      <c r="I579" s="8"/>
      <c r="J579" s="8"/>
      <c r="K579" s="9"/>
      <c r="L579" s="9"/>
      <c r="M579" s="10" t="s">
        <v>10</v>
      </c>
    </row>
    <row r="580" spans="2:13" x14ac:dyDescent="0.25">
      <c r="B580" s="8"/>
      <c r="C580" s="8"/>
      <c r="D580" s="8"/>
      <c r="E580" s="8"/>
      <c r="F580" s="8"/>
      <c r="G580" s="8"/>
      <c r="H580" s="46"/>
      <c r="I580" s="8"/>
      <c r="J580" s="8"/>
      <c r="K580" s="9"/>
      <c r="L580" s="9"/>
      <c r="M580" s="10" t="s">
        <v>10</v>
      </c>
    </row>
    <row r="581" spans="2:13" x14ac:dyDescent="0.25">
      <c r="B581" s="8"/>
      <c r="C581" s="8"/>
      <c r="D581" s="8"/>
      <c r="E581" s="8"/>
      <c r="F581" s="8"/>
      <c r="G581" s="8"/>
      <c r="H581" s="46"/>
      <c r="I581" s="8"/>
      <c r="J581" s="8"/>
      <c r="K581" s="9"/>
      <c r="L581" s="9"/>
      <c r="M581" s="10" t="s">
        <v>10</v>
      </c>
    </row>
    <row r="582" spans="2:13" x14ac:dyDescent="0.25">
      <c r="B582" s="8"/>
      <c r="C582" s="8"/>
      <c r="D582" s="8"/>
      <c r="E582" s="8"/>
      <c r="F582" s="8"/>
      <c r="G582" s="8"/>
      <c r="H582" s="46"/>
      <c r="I582" s="8"/>
      <c r="J582" s="8"/>
      <c r="K582" s="9"/>
      <c r="L582" s="9"/>
      <c r="M582" s="10" t="s">
        <v>10</v>
      </c>
    </row>
    <row r="583" spans="2:13" x14ac:dyDescent="0.25">
      <c r="B583" s="8"/>
      <c r="C583" s="8"/>
      <c r="D583" s="8"/>
      <c r="E583" s="8"/>
      <c r="F583" s="8"/>
      <c r="G583" s="8"/>
      <c r="H583" s="46"/>
      <c r="I583" s="8"/>
      <c r="J583" s="8"/>
      <c r="K583" s="9"/>
      <c r="L583" s="9"/>
      <c r="M583" s="10" t="s">
        <v>10</v>
      </c>
    </row>
    <row r="584" spans="2:13" x14ac:dyDescent="0.25">
      <c r="B584" s="8"/>
      <c r="C584" s="8"/>
      <c r="D584" s="8"/>
      <c r="E584" s="8"/>
      <c r="F584" s="8"/>
      <c r="G584" s="8"/>
      <c r="H584" s="46"/>
      <c r="I584" s="8"/>
      <c r="J584" s="8"/>
      <c r="K584" s="9"/>
      <c r="L584" s="9"/>
      <c r="M584" s="10" t="s">
        <v>10</v>
      </c>
    </row>
    <row r="585" spans="2:13" x14ac:dyDescent="0.25">
      <c r="B585" s="8"/>
      <c r="C585" s="8"/>
      <c r="D585" s="8"/>
      <c r="E585" s="8"/>
      <c r="F585" s="8"/>
      <c r="G585" s="8"/>
      <c r="H585" s="46"/>
      <c r="I585" s="8"/>
      <c r="J585" s="8"/>
      <c r="K585" s="9"/>
      <c r="L585" s="9"/>
      <c r="M585" s="10" t="s">
        <v>10</v>
      </c>
    </row>
    <row r="586" spans="2:13" x14ac:dyDescent="0.25">
      <c r="B586" s="8"/>
      <c r="C586" s="8"/>
      <c r="D586" s="8"/>
      <c r="E586" s="8"/>
      <c r="F586" s="8"/>
      <c r="G586" s="8"/>
      <c r="H586" s="46"/>
      <c r="I586" s="8"/>
      <c r="J586" s="8"/>
      <c r="K586" s="9"/>
      <c r="L586" s="9"/>
      <c r="M586" s="10" t="s">
        <v>10</v>
      </c>
    </row>
    <row r="587" spans="2:13" x14ac:dyDescent="0.25">
      <c r="B587" s="8"/>
      <c r="C587" s="8"/>
      <c r="D587" s="8"/>
      <c r="E587" s="8"/>
      <c r="F587" s="8"/>
      <c r="G587" s="8"/>
      <c r="H587" s="46"/>
      <c r="I587" s="8"/>
      <c r="J587" s="8"/>
      <c r="K587" s="9"/>
      <c r="L587" s="9"/>
      <c r="M587" s="10" t="s">
        <v>10</v>
      </c>
    </row>
    <row r="588" spans="2:13" x14ac:dyDescent="0.25">
      <c r="B588" s="8"/>
      <c r="C588" s="8"/>
      <c r="D588" s="8"/>
      <c r="E588" s="8"/>
      <c r="F588" s="8"/>
      <c r="G588" s="8"/>
      <c r="H588" s="46"/>
      <c r="I588" s="8"/>
      <c r="J588" s="8"/>
      <c r="K588" s="9"/>
      <c r="L588" s="9"/>
      <c r="M588" s="10" t="s">
        <v>10</v>
      </c>
    </row>
    <row r="589" spans="2:13" x14ac:dyDescent="0.25">
      <c r="B589" s="8"/>
      <c r="C589" s="8"/>
      <c r="D589" s="8"/>
      <c r="E589" s="8"/>
      <c r="F589" s="8"/>
      <c r="G589" s="8"/>
      <c r="H589" s="46"/>
      <c r="I589" s="8"/>
      <c r="J589" s="8"/>
      <c r="K589" s="9"/>
      <c r="L589" s="9"/>
      <c r="M589" s="10" t="s">
        <v>10</v>
      </c>
    </row>
    <row r="590" spans="2:13" x14ac:dyDescent="0.25">
      <c r="B590" s="8"/>
      <c r="C590" s="8"/>
      <c r="D590" s="8"/>
      <c r="E590" s="8"/>
      <c r="F590" s="8"/>
      <c r="G590" s="8"/>
      <c r="H590" s="46"/>
      <c r="I590" s="8"/>
      <c r="J590" s="8"/>
      <c r="K590" s="9"/>
      <c r="L590" s="9"/>
      <c r="M590" s="10" t="s">
        <v>10</v>
      </c>
    </row>
    <row r="591" spans="2:13" x14ac:dyDescent="0.25">
      <c r="B591" s="8"/>
      <c r="C591" s="8"/>
      <c r="D591" s="8"/>
      <c r="E591" s="8"/>
      <c r="F591" s="8"/>
      <c r="G591" s="8"/>
      <c r="H591" s="46"/>
      <c r="I591" s="8"/>
      <c r="J591" s="8"/>
      <c r="K591" s="9"/>
      <c r="L591" s="9"/>
      <c r="M591" s="10" t="s">
        <v>10</v>
      </c>
    </row>
    <row r="592" spans="2:13" x14ac:dyDescent="0.25">
      <c r="B592" s="8"/>
      <c r="C592" s="8"/>
      <c r="D592" s="8"/>
      <c r="E592" s="8"/>
      <c r="F592" s="8"/>
      <c r="G592" s="8"/>
      <c r="H592" s="46"/>
      <c r="I592" s="8"/>
      <c r="J592" s="8"/>
      <c r="K592" s="9"/>
      <c r="L592" s="9"/>
      <c r="M592" s="10" t="s">
        <v>10</v>
      </c>
    </row>
    <row r="593" spans="2:13" x14ac:dyDescent="0.25">
      <c r="B593" s="8"/>
      <c r="C593" s="8"/>
      <c r="D593" s="8"/>
      <c r="E593" s="8"/>
      <c r="F593" s="8"/>
      <c r="G593" s="8"/>
      <c r="H593" s="46"/>
      <c r="I593" s="8"/>
      <c r="J593" s="8"/>
      <c r="K593" s="9"/>
      <c r="L593" s="9"/>
      <c r="M593" s="10" t="s">
        <v>10</v>
      </c>
    </row>
    <row r="594" spans="2:13" x14ac:dyDescent="0.25">
      <c r="B594" s="8"/>
      <c r="C594" s="8"/>
      <c r="D594" s="8"/>
      <c r="E594" s="8"/>
      <c r="F594" s="8"/>
      <c r="G594" s="8"/>
      <c r="H594" s="46"/>
      <c r="I594" s="8"/>
      <c r="J594" s="8"/>
      <c r="K594" s="9"/>
      <c r="L594" s="9"/>
      <c r="M594" s="10" t="s">
        <v>10</v>
      </c>
    </row>
    <row r="595" spans="2:13" x14ac:dyDescent="0.25">
      <c r="B595" s="8"/>
      <c r="C595" s="8"/>
      <c r="D595" s="8"/>
      <c r="E595" s="8"/>
      <c r="F595" s="8"/>
      <c r="G595" s="8"/>
      <c r="H595" s="46"/>
      <c r="I595" s="8"/>
      <c r="J595" s="8"/>
      <c r="K595" s="9"/>
      <c r="L595" s="9"/>
      <c r="M595" s="10" t="s">
        <v>10</v>
      </c>
    </row>
    <row r="596" spans="2:13" x14ac:dyDescent="0.25">
      <c r="B596" s="8"/>
      <c r="C596" s="8"/>
      <c r="D596" s="8"/>
      <c r="E596" s="8"/>
      <c r="F596" s="8"/>
      <c r="G596" s="8"/>
      <c r="H596" s="46"/>
      <c r="I596" s="8"/>
      <c r="J596" s="8"/>
      <c r="K596" s="9"/>
      <c r="L596" s="9"/>
      <c r="M596" s="10" t="s">
        <v>10</v>
      </c>
    </row>
    <row r="597" spans="2:13" x14ac:dyDescent="0.25">
      <c r="B597" s="8"/>
      <c r="C597" s="8"/>
      <c r="D597" s="8"/>
      <c r="E597" s="8"/>
      <c r="F597" s="8"/>
      <c r="G597" s="8"/>
      <c r="H597" s="46"/>
      <c r="I597" s="8"/>
      <c r="J597" s="8"/>
      <c r="K597" s="9"/>
      <c r="L597" s="9"/>
      <c r="M597" s="10" t="s">
        <v>10</v>
      </c>
    </row>
    <row r="598" spans="2:13" x14ac:dyDescent="0.25">
      <c r="B598" s="8"/>
      <c r="C598" s="8"/>
      <c r="D598" s="8"/>
      <c r="E598" s="8"/>
      <c r="F598" s="8"/>
      <c r="G598" s="8"/>
      <c r="H598" s="46"/>
      <c r="I598" s="8"/>
      <c r="J598" s="8"/>
      <c r="K598" s="9"/>
      <c r="L598" s="9"/>
      <c r="M598" s="10" t="s">
        <v>10</v>
      </c>
    </row>
    <row r="599" spans="2:13" x14ac:dyDescent="0.25">
      <c r="B599" s="8"/>
      <c r="C599" s="8"/>
      <c r="D599" s="8"/>
      <c r="E599" s="8"/>
      <c r="F599" s="8"/>
      <c r="G599" s="8"/>
      <c r="H599" s="46"/>
      <c r="I599" s="8"/>
      <c r="J599" s="8"/>
      <c r="K599" s="9"/>
      <c r="L599" s="9"/>
      <c r="M599" s="10" t="s">
        <v>10</v>
      </c>
    </row>
    <row r="600" spans="2:13" x14ac:dyDescent="0.25">
      <c r="B600" s="8"/>
      <c r="C600" s="8"/>
      <c r="D600" s="8"/>
      <c r="E600" s="8"/>
      <c r="F600" s="8"/>
      <c r="G600" s="8"/>
      <c r="H600" s="46"/>
      <c r="I600" s="8"/>
      <c r="J600" s="8"/>
      <c r="K600" s="9"/>
      <c r="L600" s="9"/>
      <c r="M600" s="10" t="s">
        <v>10</v>
      </c>
    </row>
    <row r="601" spans="2:13" x14ac:dyDescent="0.25">
      <c r="B601" s="8"/>
      <c r="C601" s="8"/>
      <c r="D601" s="8"/>
      <c r="E601" s="8"/>
      <c r="F601" s="8"/>
      <c r="G601" s="8"/>
      <c r="H601" s="46"/>
      <c r="I601" s="8"/>
      <c r="J601" s="8"/>
      <c r="K601" s="9"/>
      <c r="L601" s="9"/>
      <c r="M601" s="10" t="s">
        <v>10</v>
      </c>
    </row>
    <row r="602" spans="2:13" x14ac:dyDescent="0.25">
      <c r="B602" s="8"/>
      <c r="C602" s="8"/>
      <c r="D602" s="8"/>
      <c r="E602" s="8"/>
      <c r="F602" s="8"/>
      <c r="G602" s="8"/>
      <c r="H602" s="46"/>
      <c r="I602" s="8"/>
      <c r="J602" s="8"/>
      <c r="K602" s="9"/>
      <c r="L602" s="9"/>
      <c r="M602" s="10" t="s">
        <v>10</v>
      </c>
    </row>
    <row r="603" spans="2:13" x14ac:dyDescent="0.25">
      <c r="B603" s="8"/>
      <c r="C603" s="8"/>
      <c r="D603" s="8"/>
      <c r="E603" s="8"/>
      <c r="F603" s="8"/>
      <c r="G603" s="8"/>
      <c r="H603" s="46"/>
      <c r="I603" s="8"/>
      <c r="J603" s="8"/>
      <c r="K603" s="9"/>
      <c r="L603" s="9"/>
      <c r="M603" s="10" t="s">
        <v>10</v>
      </c>
    </row>
    <row r="604" spans="2:13" x14ac:dyDescent="0.25">
      <c r="B604" s="8"/>
      <c r="C604" s="8"/>
      <c r="D604" s="8"/>
      <c r="E604" s="8"/>
      <c r="F604" s="8"/>
      <c r="G604" s="8"/>
      <c r="H604" s="46"/>
      <c r="I604" s="8"/>
      <c r="J604" s="8"/>
      <c r="K604" s="9"/>
      <c r="L604" s="9"/>
      <c r="M604" s="10" t="s">
        <v>10</v>
      </c>
    </row>
    <row r="605" spans="2:13" x14ac:dyDescent="0.25">
      <c r="B605" s="8"/>
      <c r="C605" s="8"/>
      <c r="D605" s="8"/>
      <c r="E605" s="8"/>
      <c r="F605" s="8"/>
      <c r="G605" s="8"/>
      <c r="H605" s="46"/>
      <c r="I605" s="8"/>
      <c r="J605" s="8"/>
      <c r="K605" s="9"/>
      <c r="L605" s="9"/>
      <c r="M605" s="10" t="s">
        <v>10</v>
      </c>
    </row>
    <row r="606" spans="2:13" x14ac:dyDescent="0.25">
      <c r="B606" s="8"/>
      <c r="C606" s="8"/>
      <c r="D606" s="8"/>
      <c r="E606" s="8"/>
      <c r="F606" s="8"/>
      <c r="G606" s="8"/>
      <c r="H606" s="46"/>
      <c r="I606" s="8"/>
      <c r="J606" s="8"/>
      <c r="K606" s="9"/>
      <c r="L606" s="9"/>
      <c r="M606" s="10" t="s">
        <v>10</v>
      </c>
    </row>
    <row r="607" spans="2:13" x14ac:dyDescent="0.25">
      <c r="B607" s="8"/>
      <c r="C607" s="8"/>
      <c r="D607" s="8"/>
      <c r="E607" s="8"/>
      <c r="F607" s="8"/>
      <c r="G607" s="8"/>
      <c r="H607" s="46"/>
      <c r="I607" s="8"/>
      <c r="J607" s="8"/>
      <c r="K607" s="9"/>
      <c r="L607" s="9"/>
      <c r="M607" s="10" t="s">
        <v>10</v>
      </c>
    </row>
    <row r="608" spans="2:13" x14ac:dyDescent="0.25">
      <c r="B608" s="8"/>
      <c r="C608" s="8"/>
      <c r="D608" s="8"/>
      <c r="E608" s="8"/>
      <c r="F608" s="8"/>
      <c r="G608" s="8"/>
      <c r="H608" s="46"/>
      <c r="I608" s="8"/>
      <c r="J608" s="8"/>
      <c r="K608" s="9"/>
      <c r="L608" s="9"/>
      <c r="M608" s="10" t="s">
        <v>10</v>
      </c>
    </row>
    <row r="609" spans="2:13" x14ac:dyDescent="0.25">
      <c r="B609" s="8"/>
      <c r="C609" s="8"/>
      <c r="D609" s="8"/>
      <c r="E609" s="8"/>
      <c r="F609" s="8"/>
      <c r="G609" s="8"/>
      <c r="H609" s="46"/>
      <c r="I609" s="8"/>
      <c r="J609" s="8"/>
      <c r="K609" s="9"/>
      <c r="L609" s="9"/>
      <c r="M609" s="10" t="s">
        <v>10</v>
      </c>
    </row>
    <row r="610" spans="2:13" x14ac:dyDescent="0.25">
      <c r="B610" s="8"/>
      <c r="C610" s="8"/>
      <c r="D610" s="8"/>
      <c r="E610" s="8"/>
      <c r="F610" s="8"/>
      <c r="G610" s="8"/>
      <c r="H610" s="46"/>
      <c r="I610" s="8"/>
      <c r="J610" s="8"/>
      <c r="K610" s="9"/>
      <c r="L610" s="9"/>
      <c r="M610" s="10" t="s">
        <v>10</v>
      </c>
    </row>
    <row r="611" spans="2:13" x14ac:dyDescent="0.25">
      <c r="B611" s="8"/>
      <c r="C611" s="8"/>
      <c r="D611" s="8"/>
      <c r="E611" s="8"/>
      <c r="F611" s="8"/>
      <c r="G611" s="8"/>
      <c r="H611" s="46"/>
      <c r="I611" s="8"/>
      <c r="J611" s="8"/>
      <c r="K611" s="9"/>
      <c r="L611" s="9"/>
      <c r="M611" s="10" t="s">
        <v>10</v>
      </c>
    </row>
    <row r="612" spans="2:13" x14ac:dyDescent="0.25">
      <c r="B612" s="8"/>
      <c r="C612" s="8"/>
      <c r="D612" s="8"/>
      <c r="E612" s="8"/>
      <c r="F612" s="8"/>
      <c r="G612" s="8"/>
      <c r="H612" s="46"/>
      <c r="I612" s="8"/>
      <c r="J612" s="8"/>
      <c r="K612" s="9"/>
      <c r="L612" s="9"/>
      <c r="M612" s="10" t="s">
        <v>10</v>
      </c>
    </row>
    <row r="613" spans="2:13" x14ac:dyDescent="0.25">
      <c r="B613" s="8"/>
      <c r="C613" s="8"/>
      <c r="D613" s="8"/>
      <c r="E613" s="8"/>
      <c r="F613" s="8"/>
      <c r="G613" s="8"/>
      <c r="H613" s="46"/>
      <c r="I613" s="8"/>
      <c r="J613" s="8"/>
      <c r="K613" s="9"/>
      <c r="L613" s="9"/>
      <c r="M613" s="10" t="s">
        <v>10</v>
      </c>
    </row>
    <row r="614" spans="2:13" x14ac:dyDescent="0.25">
      <c r="B614" s="8"/>
      <c r="C614" s="8"/>
      <c r="D614" s="8"/>
      <c r="E614" s="8"/>
      <c r="F614" s="8"/>
      <c r="G614" s="8"/>
      <c r="H614" s="46"/>
      <c r="I614" s="8"/>
      <c r="J614" s="8"/>
      <c r="K614" s="9"/>
      <c r="L614" s="9"/>
      <c r="M614" s="10" t="s">
        <v>10</v>
      </c>
    </row>
    <row r="615" spans="2:13" x14ac:dyDescent="0.25">
      <c r="B615" s="8"/>
      <c r="C615" s="8"/>
      <c r="D615" s="8"/>
      <c r="E615" s="8"/>
      <c r="F615" s="8"/>
      <c r="G615" s="8"/>
      <c r="H615" s="46"/>
      <c r="I615" s="8"/>
      <c r="J615" s="8"/>
      <c r="K615" s="9"/>
      <c r="L615" s="9"/>
      <c r="M615" s="10" t="s">
        <v>10</v>
      </c>
    </row>
    <row r="616" spans="2:13" x14ac:dyDescent="0.25">
      <c r="B616" s="8"/>
      <c r="C616" s="8"/>
      <c r="D616" s="8"/>
      <c r="E616" s="8"/>
      <c r="F616" s="8"/>
      <c r="G616" s="8"/>
      <c r="H616" s="46"/>
      <c r="I616" s="8"/>
      <c r="J616" s="8"/>
      <c r="K616" s="9"/>
      <c r="L616" s="9"/>
      <c r="M616" s="10" t="s">
        <v>10</v>
      </c>
    </row>
    <row r="617" spans="2:13" x14ac:dyDescent="0.25">
      <c r="B617" s="8"/>
      <c r="C617" s="8"/>
      <c r="D617" s="8"/>
      <c r="E617" s="8"/>
      <c r="F617" s="8"/>
      <c r="G617" s="8"/>
      <c r="H617" s="46"/>
      <c r="I617" s="8"/>
      <c r="J617" s="8"/>
      <c r="K617" s="9"/>
      <c r="L617" s="9"/>
      <c r="M617" s="10" t="s">
        <v>10</v>
      </c>
    </row>
    <row r="618" spans="2:13" x14ac:dyDescent="0.25">
      <c r="B618" s="8"/>
      <c r="C618" s="8"/>
      <c r="D618" s="8"/>
      <c r="E618" s="8"/>
      <c r="F618" s="8"/>
      <c r="G618" s="8"/>
      <c r="H618" s="46"/>
      <c r="I618" s="8"/>
      <c r="J618" s="8"/>
      <c r="K618" s="9"/>
      <c r="L618" s="9"/>
      <c r="M618" s="10" t="s">
        <v>10</v>
      </c>
    </row>
    <row r="619" spans="2:13" x14ac:dyDescent="0.25">
      <c r="B619" s="8"/>
      <c r="C619" s="8"/>
      <c r="D619" s="8"/>
      <c r="E619" s="8"/>
      <c r="F619" s="8"/>
      <c r="G619" s="8"/>
      <c r="H619" s="46"/>
      <c r="I619" s="8"/>
      <c r="J619" s="8"/>
      <c r="K619" s="9"/>
      <c r="L619" s="9"/>
      <c r="M619" s="10" t="s">
        <v>10</v>
      </c>
    </row>
    <row r="620" spans="2:13" x14ac:dyDescent="0.25">
      <c r="B620" s="8"/>
      <c r="C620" s="8"/>
      <c r="D620" s="8"/>
      <c r="E620" s="8"/>
      <c r="F620" s="8"/>
      <c r="G620" s="8"/>
      <c r="H620" s="46"/>
      <c r="I620" s="8"/>
      <c r="J620" s="8"/>
      <c r="K620" s="9"/>
      <c r="L620" s="9"/>
      <c r="M620" s="10" t="s">
        <v>10</v>
      </c>
    </row>
    <row r="621" spans="2:13" x14ac:dyDescent="0.25">
      <c r="B621" s="8"/>
      <c r="C621" s="8"/>
      <c r="D621" s="8"/>
      <c r="E621" s="8"/>
      <c r="F621" s="8"/>
      <c r="G621" s="8"/>
      <c r="H621" s="46"/>
      <c r="I621" s="8"/>
      <c r="J621" s="8"/>
      <c r="K621" s="9"/>
      <c r="L621" s="9"/>
      <c r="M621" s="10" t="s">
        <v>10</v>
      </c>
    </row>
    <row r="622" spans="2:13" x14ac:dyDescent="0.25">
      <c r="B622" s="8"/>
      <c r="C622" s="8"/>
      <c r="D622" s="8"/>
      <c r="E622" s="8"/>
      <c r="F622" s="8"/>
      <c r="G622" s="8"/>
      <c r="H622" s="46"/>
      <c r="I622" s="8"/>
      <c r="J622" s="8"/>
      <c r="K622" s="9"/>
      <c r="L622" s="9"/>
      <c r="M622" s="10" t="s">
        <v>10</v>
      </c>
    </row>
    <row r="623" spans="2:13" x14ac:dyDescent="0.25">
      <c r="B623" s="8"/>
      <c r="C623" s="8"/>
      <c r="D623" s="8"/>
      <c r="E623" s="8"/>
      <c r="F623" s="8"/>
      <c r="G623" s="8"/>
      <c r="H623" s="46"/>
      <c r="I623" s="8"/>
      <c r="J623" s="8"/>
      <c r="K623" s="9"/>
      <c r="L623" s="9"/>
      <c r="M623" s="10" t="s">
        <v>10</v>
      </c>
    </row>
    <row r="624" spans="2:13" x14ac:dyDescent="0.25">
      <c r="B624" s="8"/>
      <c r="C624" s="8"/>
      <c r="D624" s="8"/>
      <c r="E624" s="8"/>
      <c r="F624" s="8"/>
      <c r="G624" s="8"/>
      <c r="H624" s="46"/>
      <c r="I624" s="8"/>
      <c r="J624" s="8"/>
      <c r="K624" s="9"/>
      <c r="L624" s="9"/>
      <c r="M624" s="10" t="s">
        <v>10</v>
      </c>
    </row>
    <row r="625" spans="2:13" x14ac:dyDescent="0.25">
      <c r="B625" s="8"/>
      <c r="C625" s="8"/>
      <c r="D625" s="8"/>
      <c r="E625" s="8"/>
      <c r="F625" s="8"/>
      <c r="G625" s="8"/>
      <c r="H625" s="46"/>
      <c r="I625" s="8"/>
      <c r="J625" s="8"/>
      <c r="K625" s="9"/>
      <c r="L625" s="9"/>
      <c r="M625" s="10" t="s">
        <v>10</v>
      </c>
    </row>
    <row r="626" spans="2:13" x14ac:dyDescent="0.25">
      <c r="B626" s="8"/>
      <c r="C626" s="8"/>
      <c r="D626" s="8"/>
      <c r="E626" s="8"/>
      <c r="F626" s="8"/>
      <c r="G626" s="8"/>
      <c r="H626" s="46"/>
      <c r="I626" s="8"/>
      <c r="J626" s="8"/>
      <c r="K626" s="9"/>
      <c r="L626" s="9"/>
      <c r="M626" s="10" t="s">
        <v>10</v>
      </c>
    </row>
    <row r="627" spans="2:13" x14ac:dyDescent="0.25">
      <c r="B627" s="8"/>
      <c r="C627" s="8"/>
      <c r="D627" s="8"/>
      <c r="E627" s="8"/>
      <c r="F627" s="8"/>
      <c r="G627" s="8"/>
      <c r="H627" s="46"/>
      <c r="I627" s="8"/>
      <c r="J627" s="8"/>
      <c r="K627" s="9"/>
      <c r="L627" s="9"/>
      <c r="M627" s="10" t="s">
        <v>10</v>
      </c>
    </row>
    <row r="628" spans="2:13" x14ac:dyDescent="0.25">
      <c r="B628" s="8"/>
      <c r="C628" s="8"/>
      <c r="D628" s="8"/>
      <c r="E628" s="8"/>
      <c r="F628" s="8"/>
      <c r="G628" s="8"/>
      <c r="H628" s="46"/>
      <c r="I628" s="8"/>
      <c r="J628" s="8"/>
      <c r="K628" s="9"/>
      <c r="L628" s="9"/>
      <c r="M628" s="10" t="s">
        <v>10</v>
      </c>
    </row>
    <row r="629" spans="2:13" x14ac:dyDescent="0.25">
      <c r="B629" s="8"/>
      <c r="C629" s="8"/>
      <c r="D629" s="8"/>
      <c r="E629" s="8"/>
      <c r="F629" s="8"/>
      <c r="G629" s="8"/>
      <c r="H629" s="46"/>
      <c r="I629" s="8"/>
      <c r="J629" s="8"/>
      <c r="K629" s="9"/>
      <c r="L629" s="9"/>
      <c r="M629" s="10" t="s">
        <v>10</v>
      </c>
    </row>
    <row r="630" spans="2:13" x14ac:dyDescent="0.25">
      <c r="B630" s="8"/>
      <c r="C630" s="8"/>
      <c r="D630" s="8"/>
      <c r="E630" s="8"/>
      <c r="F630" s="8"/>
      <c r="G630" s="8"/>
      <c r="H630" s="46"/>
      <c r="I630" s="8"/>
      <c r="J630" s="8"/>
      <c r="K630" s="9"/>
      <c r="L630" s="9"/>
      <c r="M630" s="10" t="s">
        <v>10</v>
      </c>
    </row>
    <row r="631" spans="2:13" x14ac:dyDescent="0.25">
      <c r="B631" s="8"/>
      <c r="C631" s="8"/>
      <c r="D631" s="8"/>
      <c r="E631" s="8"/>
      <c r="F631" s="8"/>
      <c r="G631" s="8"/>
      <c r="H631" s="46"/>
      <c r="I631" s="8"/>
      <c r="J631" s="8"/>
      <c r="K631" s="9"/>
      <c r="L631" s="9"/>
      <c r="M631" s="10" t="s">
        <v>10</v>
      </c>
    </row>
    <row r="632" spans="2:13" x14ac:dyDescent="0.25">
      <c r="B632" s="8"/>
      <c r="C632" s="8"/>
      <c r="D632" s="8"/>
      <c r="E632" s="8"/>
      <c r="F632" s="8"/>
      <c r="G632" s="8"/>
      <c r="H632" s="46"/>
      <c r="I632" s="8"/>
      <c r="J632" s="8"/>
      <c r="K632" s="9"/>
      <c r="L632" s="9"/>
      <c r="M632" s="10" t="s">
        <v>10</v>
      </c>
    </row>
    <row r="633" spans="2:13" x14ac:dyDescent="0.25">
      <c r="B633" s="8"/>
      <c r="C633" s="8"/>
      <c r="D633" s="8"/>
      <c r="E633" s="8"/>
      <c r="F633" s="8"/>
      <c r="G633" s="8"/>
      <c r="H633" s="46"/>
      <c r="I633" s="8"/>
      <c r="J633" s="8"/>
      <c r="K633" s="9"/>
      <c r="L633" s="9"/>
      <c r="M633" s="10" t="s">
        <v>10</v>
      </c>
    </row>
    <row r="634" spans="2:13" x14ac:dyDescent="0.25">
      <c r="B634" s="8"/>
      <c r="C634" s="8"/>
      <c r="D634" s="8"/>
      <c r="E634" s="8"/>
      <c r="F634" s="8"/>
      <c r="G634" s="8"/>
      <c r="H634" s="46"/>
      <c r="I634" s="8"/>
      <c r="J634" s="8"/>
      <c r="K634" s="9"/>
      <c r="L634" s="9"/>
      <c r="M634" s="10" t="s">
        <v>10</v>
      </c>
    </row>
    <row r="635" spans="2:13" x14ac:dyDescent="0.25">
      <c r="B635" s="8"/>
      <c r="C635" s="8"/>
      <c r="D635" s="8"/>
      <c r="E635" s="8"/>
      <c r="F635" s="8"/>
      <c r="G635" s="8"/>
      <c r="H635" s="46"/>
      <c r="I635" s="8"/>
      <c r="J635" s="8"/>
      <c r="K635" s="9"/>
      <c r="L635" s="9"/>
      <c r="M635" s="10" t="s">
        <v>10</v>
      </c>
    </row>
    <row r="636" spans="2:13" x14ac:dyDescent="0.25">
      <c r="B636" s="8"/>
      <c r="C636" s="8"/>
      <c r="D636" s="8"/>
      <c r="E636" s="8"/>
      <c r="F636" s="8"/>
      <c r="G636" s="8"/>
      <c r="H636" s="46"/>
      <c r="I636" s="8"/>
      <c r="J636" s="8"/>
      <c r="K636" s="9"/>
      <c r="L636" s="9"/>
      <c r="M636" s="10" t="s">
        <v>10</v>
      </c>
    </row>
    <row r="637" spans="2:13" x14ac:dyDescent="0.25">
      <c r="B637" s="8"/>
      <c r="C637" s="8"/>
      <c r="D637" s="8"/>
      <c r="E637" s="8"/>
      <c r="F637" s="8"/>
      <c r="G637" s="8"/>
      <c r="H637" s="46"/>
      <c r="I637" s="8"/>
      <c r="J637" s="8"/>
      <c r="K637" s="9"/>
      <c r="L637" s="9"/>
      <c r="M637" s="10" t="s">
        <v>10</v>
      </c>
    </row>
    <row r="638" spans="2:13" x14ac:dyDescent="0.25">
      <c r="B638" s="8"/>
      <c r="C638" s="8"/>
      <c r="D638" s="8"/>
      <c r="E638" s="8"/>
      <c r="F638" s="8"/>
      <c r="G638" s="8"/>
      <c r="H638" s="46"/>
      <c r="I638" s="8"/>
      <c r="J638" s="8"/>
      <c r="K638" s="9"/>
      <c r="L638" s="9"/>
      <c r="M638" s="10" t="s">
        <v>10</v>
      </c>
    </row>
    <row r="639" spans="2:13" x14ac:dyDescent="0.25">
      <c r="B639" s="8"/>
      <c r="C639" s="8"/>
      <c r="D639" s="8"/>
      <c r="E639" s="8"/>
      <c r="F639" s="8"/>
      <c r="G639" s="8"/>
      <c r="H639" s="46"/>
      <c r="I639" s="8"/>
      <c r="J639" s="8"/>
      <c r="K639" s="9"/>
      <c r="L639" s="9"/>
      <c r="M639" s="10" t="s">
        <v>10</v>
      </c>
    </row>
    <row r="640" spans="2:13" x14ac:dyDescent="0.25">
      <c r="B640" s="8"/>
      <c r="C640" s="8"/>
      <c r="D640" s="8"/>
      <c r="E640" s="8"/>
      <c r="F640" s="8"/>
      <c r="G640" s="8"/>
      <c r="H640" s="46"/>
      <c r="I640" s="8"/>
      <c r="J640" s="8"/>
      <c r="K640" s="9"/>
      <c r="L640" s="9"/>
      <c r="M640" s="10" t="s">
        <v>10</v>
      </c>
    </row>
    <row r="641" spans="2:13" x14ac:dyDescent="0.25">
      <c r="B641" s="8"/>
      <c r="C641" s="8"/>
      <c r="D641" s="8"/>
      <c r="E641" s="8"/>
      <c r="F641" s="8"/>
      <c r="G641" s="8"/>
      <c r="H641" s="46"/>
      <c r="I641" s="8"/>
      <c r="J641" s="8"/>
      <c r="K641" s="9"/>
      <c r="L641" s="9"/>
      <c r="M641" s="10" t="s">
        <v>10</v>
      </c>
    </row>
    <row r="642" spans="2:13" x14ac:dyDescent="0.25">
      <c r="B642" s="8"/>
      <c r="C642" s="8"/>
      <c r="D642" s="8"/>
      <c r="E642" s="8"/>
      <c r="F642" s="8"/>
      <c r="G642" s="8"/>
      <c r="H642" s="46"/>
      <c r="I642" s="8"/>
      <c r="J642" s="8"/>
      <c r="K642" s="9"/>
      <c r="L642" s="9"/>
      <c r="M642" s="10" t="s">
        <v>10</v>
      </c>
    </row>
    <row r="643" spans="2:13" x14ac:dyDescent="0.25">
      <c r="B643" s="8"/>
      <c r="C643" s="8"/>
      <c r="D643" s="8"/>
      <c r="E643" s="8"/>
      <c r="F643" s="8"/>
      <c r="G643" s="8"/>
      <c r="H643" s="46"/>
      <c r="I643" s="8"/>
      <c r="J643" s="8"/>
      <c r="K643" s="9"/>
      <c r="L643" s="9"/>
      <c r="M643" s="10" t="s">
        <v>10</v>
      </c>
    </row>
    <row r="644" spans="2:13" x14ac:dyDescent="0.25">
      <c r="B644" s="8"/>
      <c r="C644" s="8"/>
      <c r="D644" s="8"/>
      <c r="E644" s="8"/>
      <c r="F644" s="8"/>
      <c r="G644" s="8"/>
      <c r="H644" s="46"/>
      <c r="I644" s="8"/>
      <c r="J644" s="8"/>
      <c r="K644" s="9"/>
      <c r="L644" s="9"/>
      <c r="M644" s="10" t="s">
        <v>10</v>
      </c>
    </row>
    <row r="645" spans="2:13" x14ac:dyDescent="0.25">
      <c r="B645" s="8"/>
      <c r="C645" s="8"/>
      <c r="D645" s="8"/>
      <c r="E645" s="8"/>
      <c r="F645" s="8"/>
      <c r="G645" s="8"/>
      <c r="H645" s="46"/>
      <c r="I645" s="8"/>
      <c r="J645" s="8"/>
      <c r="K645" s="9"/>
      <c r="L645" s="9"/>
      <c r="M645" s="10" t="s">
        <v>10</v>
      </c>
    </row>
    <row r="646" spans="2:13" x14ac:dyDescent="0.25">
      <c r="B646" s="8"/>
      <c r="C646" s="8"/>
      <c r="D646" s="8"/>
      <c r="E646" s="8"/>
      <c r="F646" s="8"/>
      <c r="G646" s="8"/>
      <c r="H646" s="46"/>
      <c r="I646" s="8"/>
      <c r="J646" s="8"/>
      <c r="K646" s="9"/>
      <c r="L646" s="9"/>
      <c r="M646" s="10" t="s">
        <v>10</v>
      </c>
    </row>
    <row r="647" spans="2:13" x14ac:dyDescent="0.25">
      <c r="B647" s="8"/>
      <c r="C647" s="8"/>
      <c r="D647" s="8"/>
      <c r="E647" s="8"/>
      <c r="F647" s="8"/>
      <c r="G647" s="8"/>
      <c r="H647" s="46"/>
      <c r="I647" s="8"/>
      <c r="J647" s="8"/>
      <c r="K647" s="9"/>
      <c r="L647" s="9"/>
      <c r="M647" s="10" t="s">
        <v>10</v>
      </c>
    </row>
    <row r="648" spans="2:13" x14ac:dyDescent="0.25">
      <c r="B648" s="8"/>
      <c r="C648" s="8"/>
      <c r="D648" s="8"/>
      <c r="E648" s="8"/>
      <c r="F648" s="8"/>
      <c r="G648" s="8"/>
      <c r="H648" s="46"/>
      <c r="I648" s="8"/>
      <c r="J648" s="8"/>
      <c r="K648" s="9"/>
      <c r="L648" s="9"/>
      <c r="M648" s="10" t="s">
        <v>10</v>
      </c>
    </row>
    <row r="649" spans="2:13" x14ac:dyDescent="0.25">
      <c r="B649" s="8"/>
      <c r="C649" s="8"/>
      <c r="D649" s="8"/>
      <c r="E649" s="8"/>
      <c r="F649" s="8"/>
      <c r="G649" s="8"/>
      <c r="H649" s="46"/>
      <c r="I649" s="8"/>
      <c r="J649" s="8"/>
      <c r="K649" s="9"/>
      <c r="L649" s="9"/>
      <c r="M649" s="10" t="s">
        <v>10</v>
      </c>
    </row>
    <row r="650" spans="2:13" x14ac:dyDescent="0.25">
      <c r="B650" s="8"/>
      <c r="C650" s="8"/>
      <c r="D650" s="8"/>
      <c r="E650" s="8"/>
      <c r="F650" s="8"/>
      <c r="G650" s="8"/>
      <c r="H650" s="46"/>
      <c r="I650" s="8"/>
      <c r="J650" s="8"/>
      <c r="K650" s="9"/>
      <c r="L650" s="9"/>
      <c r="M650" s="10" t="s">
        <v>10</v>
      </c>
    </row>
    <row r="651" spans="2:13" x14ac:dyDescent="0.25">
      <c r="B651" s="8"/>
      <c r="C651" s="8"/>
      <c r="D651" s="8"/>
      <c r="E651" s="8"/>
      <c r="F651" s="8"/>
      <c r="G651" s="8"/>
      <c r="H651" s="46"/>
      <c r="I651" s="8"/>
      <c r="J651" s="8"/>
      <c r="K651" s="9"/>
      <c r="L651" s="9"/>
      <c r="M651" s="10" t="s">
        <v>10</v>
      </c>
    </row>
    <row r="652" spans="2:13" x14ac:dyDescent="0.25">
      <c r="B652" s="8"/>
      <c r="C652" s="8"/>
      <c r="D652" s="8"/>
      <c r="E652" s="8"/>
      <c r="F652" s="8"/>
      <c r="G652" s="8"/>
      <c r="H652" s="46"/>
      <c r="I652" s="8"/>
      <c r="J652" s="8"/>
      <c r="K652" s="9"/>
      <c r="L652" s="9"/>
      <c r="M652" s="10" t="s">
        <v>10</v>
      </c>
    </row>
    <row r="653" spans="2:13" x14ac:dyDescent="0.25">
      <c r="B653" s="8"/>
      <c r="C653" s="8"/>
      <c r="D653" s="8"/>
      <c r="E653" s="8"/>
      <c r="F653" s="8"/>
      <c r="G653" s="8"/>
      <c r="H653" s="46"/>
      <c r="I653" s="8"/>
      <c r="J653" s="8"/>
      <c r="K653" s="9"/>
      <c r="L653" s="9"/>
      <c r="M653" s="10" t="s">
        <v>10</v>
      </c>
    </row>
    <row r="654" spans="2:13" x14ac:dyDescent="0.25">
      <c r="B654" s="8"/>
      <c r="C654" s="8"/>
      <c r="D654" s="8"/>
      <c r="E654" s="8"/>
      <c r="F654" s="8"/>
      <c r="G654" s="8"/>
      <c r="H654" s="46"/>
      <c r="I654" s="8"/>
      <c r="J654" s="8"/>
      <c r="K654" s="9"/>
      <c r="L654" s="9"/>
      <c r="M654" s="10" t="s">
        <v>10</v>
      </c>
    </row>
    <row r="655" spans="2:13" x14ac:dyDescent="0.25">
      <c r="B655" s="8"/>
      <c r="C655" s="8"/>
      <c r="D655" s="8"/>
      <c r="E655" s="8"/>
      <c r="F655" s="8"/>
      <c r="G655" s="8"/>
      <c r="H655" s="46"/>
      <c r="I655" s="8"/>
      <c r="J655" s="8"/>
      <c r="K655" s="9"/>
      <c r="L655" s="9"/>
      <c r="M655" s="10" t="s">
        <v>10</v>
      </c>
    </row>
    <row r="656" spans="2:13" x14ac:dyDescent="0.25">
      <c r="B656" s="8"/>
      <c r="C656" s="8"/>
      <c r="D656" s="8"/>
      <c r="E656" s="8"/>
      <c r="F656" s="8"/>
      <c r="G656" s="8"/>
      <c r="H656" s="46"/>
      <c r="I656" s="8"/>
      <c r="J656" s="8"/>
      <c r="K656" s="9"/>
      <c r="L656" s="9"/>
      <c r="M656" s="10" t="s">
        <v>10</v>
      </c>
    </row>
    <row r="657" spans="2:13" x14ac:dyDescent="0.25">
      <c r="B657" s="8"/>
      <c r="C657" s="8"/>
      <c r="D657" s="8"/>
      <c r="E657" s="8"/>
      <c r="F657" s="8"/>
      <c r="G657" s="8"/>
      <c r="H657" s="46"/>
      <c r="I657" s="8"/>
      <c r="J657" s="8"/>
      <c r="K657" s="9"/>
      <c r="L657" s="9"/>
      <c r="M657" s="10" t="s">
        <v>10</v>
      </c>
    </row>
    <row r="658" spans="2:13" x14ac:dyDescent="0.25">
      <c r="B658" s="8"/>
      <c r="C658" s="8"/>
      <c r="D658" s="8"/>
      <c r="E658" s="8"/>
      <c r="F658" s="8"/>
      <c r="G658" s="8"/>
      <c r="H658" s="46"/>
      <c r="I658" s="8"/>
      <c r="J658" s="8"/>
      <c r="K658" s="9"/>
      <c r="L658" s="9"/>
      <c r="M658" s="10" t="s">
        <v>10</v>
      </c>
    </row>
    <row r="659" spans="2:13" x14ac:dyDescent="0.25">
      <c r="B659" s="8"/>
      <c r="C659" s="8"/>
      <c r="D659" s="8"/>
      <c r="E659" s="8"/>
      <c r="F659" s="8"/>
      <c r="G659" s="8"/>
      <c r="H659" s="46"/>
      <c r="I659" s="8"/>
      <c r="J659" s="8"/>
      <c r="K659" s="9"/>
      <c r="L659" s="9"/>
      <c r="M659" s="10" t="s">
        <v>10</v>
      </c>
    </row>
    <row r="660" spans="2:13" x14ac:dyDescent="0.25">
      <c r="B660" s="8"/>
      <c r="C660" s="8"/>
      <c r="D660" s="8"/>
      <c r="E660" s="8"/>
      <c r="F660" s="8"/>
      <c r="G660" s="8"/>
      <c r="H660" s="46"/>
      <c r="I660" s="8"/>
      <c r="J660" s="8"/>
      <c r="K660" s="9"/>
      <c r="L660" s="9"/>
      <c r="M660" s="10" t="s">
        <v>10</v>
      </c>
    </row>
    <row r="661" spans="2:13" x14ac:dyDescent="0.25">
      <c r="B661" s="8"/>
      <c r="C661" s="8"/>
      <c r="D661" s="8"/>
      <c r="E661" s="8"/>
      <c r="F661" s="8"/>
      <c r="G661" s="8"/>
      <c r="H661" s="46"/>
      <c r="I661" s="8"/>
      <c r="J661" s="8"/>
      <c r="K661" s="9"/>
      <c r="L661" s="9"/>
      <c r="M661" s="10" t="s">
        <v>10</v>
      </c>
    </row>
    <row r="662" spans="2:13" x14ac:dyDescent="0.25">
      <c r="B662" s="8"/>
      <c r="C662" s="8"/>
      <c r="D662" s="8"/>
      <c r="E662" s="8"/>
      <c r="F662" s="8"/>
      <c r="G662" s="8"/>
      <c r="H662" s="46"/>
      <c r="I662" s="8"/>
      <c r="J662" s="8"/>
      <c r="K662" s="9"/>
      <c r="L662" s="9"/>
      <c r="M662" s="10" t="s">
        <v>10</v>
      </c>
    </row>
    <row r="663" spans="2:13" x14ac:dyDescent="0.25">
      <c r="B663" s="8"/>
      <c r="C663" s="8"/>
      <c r="D663" s="8"/>
      <c r="E663" s="8"/>
      <c r="F663" s="8"/>
      <c r="G663" s="8"/>
      <c r="H663" s="46"/>
      <c r="I663" s="8"/>
      <c r="J663" s="8"/>
      <c r="K663" s="9"/>
      <c r="L663" s="9"/>
      <c r="M663" s="10" t="s">
        <v>10</v>
      </c>
    </row>
    <row r="664" spans="2:13" x14ac:dyDescent="0.25">
      <c r="B664" s="8"/>
      <c r="C664" s="8"/>
      <c r="D664" s="8"/>
      <c r="E664" s="8"/>
      <c r="F664" s="8"/>
      <c r="G664" s="8"/>
      <c r="H664" s="46"/>
      <c r="I664" s="8"/>
      <c r="J664" s="8"/>
      <c r="K664" s="9"/>
      <c r="L664" s="9"/>
      <c r="M664" s="10" t="s">
        <v>10</v>
      </c>
    </row>
    <row r="665" spans="2:13" x14ac:dyDescent="0.25">
      <c r="B665" s="8"/>
      <c r="C665" s="8"/>
      <c r="D665" s="8"/>
      <c r="E665" s="8"/>
      <c r="F665" s="8"/>
      <c r="G665" s="8"/>
      <c r="H665" s="46"/>
      <c r="I665" s="8"/>
      <c r="J665" s="8"/>
      <c r="K665" s="9"/>
      <c r="L665" s="9"/>
      <c r="M665" s="10" t="s">
        <v>10</v>
      </c>
    </row>
    <row r="666" spans="2:13" x14ac:dyDescent="0.25">
      <c r="B666" s="8"/>
      <c r="C666" s="8"/>
      <c r="D666" s="8"/>
      <c r="E666" s="8"/>
      <c r="F666" s="8"/>
      <c r="G666" s="8"/>
      <c r="H666" s="46"/>
      <c r="I666" s="8"/>
      <c r="J666" s="8"/>
      <c r="K666" s="9"/>
      <c r="L666" s="9"/>
      <c r="M666" s="10" t="s">
        <v>10</v>
      </c>
    </row>
    <row r="667" spans="2:13" x14ac:dyDescent="0.25">
      <c r="B667" s="8"/>
      <c r="C667" s="8"/>
      <c r="D667" s="8"/>
      <c r="E667" s="8"/>
      <c r="F667" s="8"/>
      <c r="G667" s="8"/>
      <c r="H667" s="46"/>
      <c r="I667" s="8"/>
      <c r="J667" s="8"/>
      <c r="K667" s="9"/>
      <c r="L667" s="9"/>
      <c r="M667" s="10" t="s">
        <v>10</v>
      </c>
    </row>
    <row r="668" spans="2:13" x14ac:dyDescent="0.25">
      <c r="B668" s="8"/>
      <c r="C668" s="8"/>
      <c r="D668" s="8"/>
      <c r="E668" s="8"/>
      <c r="F668" s="8"/>
      <c r="G668" s="8"/>
      <c r="H668" s="46"/>
      <c r="I668" s="8"/>
      <c r="J668" s="8"/>
      <c r="K668" s="9"/>
      <c r="L668" s="9"/>
      <c r="M668" s="10" t="s">
        <v>10</v>
      </c>
    </row>
    <row r="669" spans="2:13" x14ac:dyDescent="0.25">
      <c r="B669" s="8"/>
      <c r="C669" s="8"/>
      <c r="D669" s="8"/>
      <c r="E669" s="8"/>
      <c r="F669" s="8"/>
      <c r="G669" s="8"/>
      <c r="H669" s="46"/>
      <c r="I669" s="8"/>
      <c r="J669" s="8"/>
      <c r="K669" s="9"/>
      <c r="L669" s="9"/>
      <c r="M669" s="10" t="s">
        <v>10</v>
      </c>
    </row>
    <row r="670" spans="2:13" x14ac:dyDescent="0.25">
      <c r="B670" s="8"/>
      <c r="C670" s="8"/>
      <c r="D670" s="8"/>
      <c r="E670" s="8"/>
      <c r="F670" s="8"/>
      <c r="G670" s="8"/>
      <c r="H670" s="46"/>
      <c r="I670" s="8"/>
      <c r="J670" s="8"/>
      <c r="K670" s="9"/>
      <c r="L670" s="9"/>
      <c r="M670" s="10" t="s">
        <v>10</v>
      </c>
    </row>
    <row r="671" spans="2:13" x14ac:dyDescent="0.25">
      <c r="B671" s="8"/>
      <c r="C671" s="8"/>
      <c r="D671" s="8"/>
      <c r="E671" s="8"/>
      <c r="F671" s="8"/>
      <c r="G671" s="8"/>
      <c r="H671" s="46"/>
      <c r="I671" s="8"/>
      <c r="J671" s="8"/>
      <c r="K671" s="9"/>
      <c r="L671" s="9"/>
      <c r="M671" s="10" t="s">
        <v>10</v>
      </c>
    </row>
    <row r="672" spans="2:13" x14ac:dyDescent="0.25">
      <c r="B672" s="8"/>
      <c r="C672" s="8"/>
      <c r="D672" s="8"/>
      <c r="E672" s="8"/>
      <c r="F672" s="8"/>
      <c r="G672" s="8"/>
      <c r="H672" s="46"/>
      <c r="I672" s="8"/>
      <c r="J672" s="8"/>
      <c r="K672" s="9"/>
      <c r="L672" s="9"/>
      <c r="M672" s="10" t="s">
        <v>10</v>
      </c>
    </row>
    <row r="673" spans="2:13" x14ac:dyDescent="0.25">
      <c r="B673" s="8"/>
      <c r="C673" s="8"/>
      <c r="D673" s="8"/>
      <c r="E673" s="8"/>
      <c r="F673" s="8"/>
      <c r="G673" s="8"/>
      <c r="H673" s="46"/>
      <c r="I673" s="8"/>
      <c r="J673" s="8"/>
      <c r="K673" s="9"/>
      <c r="L673" s="9"/>
      <c r="M673" s="10" t="s">
        <v>10</v>
      </c>
    </row>
    <row r="674" spans="2:13" x14ac:dyDescent="0.25">
      <c r="B674" s="8"/>
      <c r="C674" s="8"/>
      <c r="D674" s="8"/>
      <c r="E674" s="8"/>
      <c r="F674" s="8"/>
      <c r="G674" s="8"/>
      <c r="H674" s="46"/>
      <c r="I674" s="8"/>
      <c r="J674" s="8"/>
      <c r="K674" s="9"/>
      <c r="L674" s="9"/>
      <c r="M674" s="10" t="s">
        <v>10</v>
      </c>
    </row>
    <row r="675" spans="2:13" x14ac:dyDescent="0.25">
      <c r="B675" s="8"/>
      <c r="C675" s="8"/>
      <c r="D675" s="8"/>
      <c r="E675" s="8"/>
      <c r="F675" s="8"/>
      <c r="G675" s="8"/>
      <c r="H675" s="46"/>
      <c r="I675" s="8"/>
      <c r="J675" s="8"/>
      <c r="K675" s="9"/>
      <c r="L675" s="9"/>
      <c r="M675" s="10" t="s">
        <v>10</v>
      </c>
    </row>
    <row r="676" spans="2:13" x14ac:dyDescent="0.25">
      <c r="B676" s="8"/>
      <c r="C676" s="8"/>
      <c r="D676" s="8"/>
      <c r="E676" s="8"/>
      <c r="F676" s="8"/>
      <c r="G676" s="8"/>
      <c r="H676" s="46"/>
      <c r="I676" s="8"/>
      <c r="J676" s="8"/>
      <c r="K676" s="9"/>
      <c r="L676" s="9"/>
      <c r="M676" s="10" t="s">
        <v>10</v>
      </c>
    </row>
    <row r="677" spans="2:13" x14ac:dyDescent="0.25">
      <c r="B677" s="8"/>
      <c r="C677" s="8"/>
      <c r="D677" s="8"/>
      <c r="E677" s="8"/>
      <c r="F677" s="8"/>
      <c r="G677" s="8"/>
      <c r="H677" s="46"/>
      <c r="I677" s="8"/>
      <c r="J677" s="8"/>
      <c r="K677" s="9"/>
      <c r="L677" s="9"/>
      <c r="M677" s="10" t="s">
        <v>10</v>
      </c>
    </row>
    <row r="678" spans="2:13" x14ac:dyDescent="0.25">
      <c r="B678" s="8"/>
      <c r="C678" s="8"/>
      <c r="D678" s="8"/>
      <c r="E678" s="8"/>
      <c r="F678" s="8"/>
      <c r="G678" s="8"/>
      <c r="H678" s="46"/>
      <c r="I678" s="8"/>
      <c r="J678" s="8"/>
      <c r="K678" s="9"/>
      <c r="L678" s="9"/>
      <c r="M678" s="10" t="s">
        <v>10</v>
      </c>
    </row>
    <row r="679" spans="2:13" x14ac:dyDescent="0.25">
      <c r="B679" s="8"/>
      <c r="C679" s="8"/>
      <c r="D679" s="8"/>
      <c r="E679" s="8"/>
      <c r="F679" s="8"/>
      <c r="G679" s="8"/>
      <c r="H679" s="46"/>
      <c r="I679" s="8"/>
      <c r="J679" s="8"/>
      <c r="K679" s="9"/>
      <c r="L679" s="9"/>
      <c r="M679" s="10" t="s">
        <v>10</v>
      </c>
    </row>
    <row r="680" spans="2:13" x14ac:dyDescent="0.25">
      <c r="B680" s="8"/>
      <c r="C680" s="8"/>
      <c r="D680" s="8"/>
      <c r="E680" s="8"/>
      <c r="F680" s="8"/>
      <c r="G680" s="8"/>
      <c r="H680" s="46"/>
      <c r="I680" s="8"/>
      <c r="J680" s="8"/>
      <c r="K680" s="9"/>
      <c r="L680" s="9"/>
      <c r="M680" s="10" t="s">
        <v>10</v>
      </c>
    </row>
    <row r="681" spans="2:13" x14ac:dyDescent="0.25">
      <c r="B681" s="8"/>
      <c r="C681" s="8"/>
      <c r="D681" s="8"/>
      <c r="E681" s="8"/>
      <c r="F681" s="8"/>
      <c r="G681" s="8"/>
      <c r="H681" s="46"/>
      <c r="I681" s="8"/>
      <c r="J681" s="8"/>
      <c r="K681" s="9"/>
      <c r="L681" s="9"/>
      <c r="M681" s="10" t="s">
        <v>10</v>
      </c>
    </row>
    <row r="682" spans="2:13" x14ac:dyDescent="0.25">
      <c r="B682" s="8"/>
      <c r="C682" s="8"/>
      <c r="D682" s="8"/>
      <c r="E682" s="8"/>
      <c r="F682" s="8"/>
      <c r="G682" s="8"/>
      <c r="H682" s="46"/>
      <c r="I682" s="8"/>
      <c r="J682" s="8"/>
      <c r="K682" s="9"/>
      <c r="L682" s="9"/>
      <c r="M682" s="10" t="s">
        <v>10</v>
      </c>
    </row>
    <row r="683" spans="2:13" x14ac:dyDescent="0.25">
      <c r="B683" s="8"/>
      <c r="C683" s="8"/>
      <c r="D683" s="8"/>
      <c r="E683" s="8"/>
      <c r="F683" s="8"/>
      <c r="G683" s="8"/>
      <c r="H683" s="46"/>
      <c r="I683" s="8"/>
      <c r="J683" s="8"/>
      <c r="K683" s="9"/>
      <c r="L683" s="9"/>
      <c r="M683" s="10" t="s">
        <v>10</v>
      </c>
    </row>
    <row r="684" spans="2:13" x14ac:dyDescent="0.25">
      <c r="B684" s="8"/>
      <c r="C684" s="8"/>
      <c r="D684" s="8"/>
      <c r="E684" s="8"/>
      <c r="F684" s="8"/>
      <c r="G684" s="8"/>
      <c r="H684" s="46"/>
      <c r="I684" s="8"/>
      <c r="J684" s="8"/>
      <c r="K684" s="9"/>
      <c r="L684" s="9"/>
      <c r="M684" s="10" t="s">
        <v>10</v>
      </c>
    </row>
    <row r="685" spans="2:13" x14ac:dyDescent="0.25">
      <c r="B685" s="8"/>
      <c r="C685" s="8"/>
      <c r="D685" s="8"/>
      <c r="E685" s="8"/>
      <c r="F685" s="8"/>
      <c r="G685" s="8"/>
      <c r="H685" s="46"/>
      <c r="I685" s="8"/>
      <c r="J685" s="8"/>
      <c r="K685" s="9"/>
      <c r="L685" s="9"/>
      <c r="M685" s="10" t="s">
        <v>10</v>
      </c>
    </row>
    <row r="686" spans="2:13" x14ac:dyDescent="0.25">
      <c r="B686" s="8"/>
      <c r="C686" s="8"/>
      <c r="D686" s="8"/>
      <c r="E686" s="8"/>
      <c r="F686" s="8"/>
      <c r="G686" s="8"/>
      <c r="H686" s="46"/>
      <c r="I686" s="8"/>
      <c r="J686" s="8"/>
      <c r="K686" s="9"/>
      <c r="L686" s="9"/>
      <c r="M686" s="10" t="s">
        <v>10</v>
      </c>
    </row>
    <row r="687" spans="2:13" x14ac:dyDescent="0.25">
      <c r="B687" s="8"/>
      <c r="C687" s="8"/>
      <c r="D687" s="8"/>
      <c r="E687" s="8"/>
      <c r="F687" s="8"/>
      <c r="G687" s="8"/>
      <c r="H687" s="46"/>
      <c r="I687" s="8"/>
      <c r="J687" s="8"/>
      <c r="K687" s="9"/>
      <c r="L687" s="9"/>
      <c r="M687" s="10" t="s">
        <v>10</v>
      </c>
    </row>
    <row r="688" spans="2:13" x14ac:dyDescent="0.25">
      <c r="B688" s="8"/>
      <c r="C688" s="8"/>
      <c r="D688" s="8"/>
      <c r="E688" s="8"/>
      <c r="F688" s="8"/>
      <c r="G688" s="8"/>
      <c r="H688" s="46"/>
      <c r="I688" s="8"/>
      <c r="J688" s="8"/>
      <c r="K688" s="9"/>
      <c r="L688" s="9"/>
      <c r="M688" s="10" t="s">
        <v>10</v>
      </c>
    </row>
    <row r="689" spans="2:13" x14ac:dyDescent="0.25">
      <c r="B689" s="8"/>
      <c r="C689" s="8"/>
      <c r="D689" s="8"/>
      <c r="E689" s="8"/>
      <c r="F689" s="8"/>
      <c r="G689" s="8"/>
      <c r="H689" s="46"/>
      <c r="I689" s="8"/>
      <c r="J689" s="8"/>
      <c r="K689" s="9"/>
      <c r="L689" s="9"/>
      <c r="M689" s="10" t="s">
        <v>10</v>
      </c>
    </row>
    <row r="690" spans="2:13" x14ac:dyDescent="0.25">
      <c r="B690" s="8"/>
      <c r="C690" s="8"/>
      <c r="D690" s="8"/>
      <c r="E690" s="8"/>
      <c r="F690" s="8"/>
      <c r="G690" s="8"/>
      <c r="H690" s="46"/>
      <c r="I690" s="8"/>
      <c r="J690" s="8"/>
      <c r="K690" s="9"/>
      <c r="L690" s="9"/>
      <c r="M690" s="10" t="s">
        <v>10</v>
      </c>
    </row>
    <row r="691" spans="2:13" x14ac:dyDescent="0.25">
      <c r="B691" s="8"/>
      <c r="C691" s="8"/>
      <c r="D691" s="8"/>
      <c r="E691" s="8"/>
      <c r="F691" s="8"/>
      <c r="G691" s="8"/>
      <c r="H691" s="46"/>
      <c r="I691" s="8"/>
      <c r="J691" s="8"/>
      <c r="K691" s="9"/>
      <c r="L691" s="9"/>
      <c r="M691" s="10" t="s">
        <v>10</v>
      </c>
    </row>
    <row r="692" spans="2:13" x14ac:dyDescent="0.25">
      <c r="B692" s="8"/>
      <c r="C692" s="8"/>
      <c r="D692" s="8"/>
      <c r="E692" s="8"/>
      <c r="F692" s="8"/>
      <c r="G692" s="8"/>
      <c r="H692" s="46"/>
      <c r="I692" s="8"/>
      <c r="J692" s="8"/>
      <c r="K692" s="9"/>
      <c r="L692" s="9"/>
      <c r="M692" s="10" t="s">
        <v>10</v>
      </c>
    </row>
    <row r="693" spans="2:13" x14ac:dyDescent="0.25">
      <c r="B693" s="8"/>
      <c r="C693" s="8"/>
      <c r="D693" s="8"/>
      <c r="E693" s="8"/>
      <c r="F693" s="8"/>
      <c r="G693" s="8"/>
      <c r="H693" s="46"/>
      <c r="I693" s="8"/>
      <c r="J693" s="8"/>
      <c r="K693" s="9"/>
      <c r="L693" s="9"/>
      <c r="M693" s="10" t="s">
        <v>10</v>
      </c>
    </row>
    <row r="694" spans="2:13" x14ac:dyDescent="0.25">
      <c r="B694" s="8"/>
      <c r="C694" s="8"/>
      <c r="D694" s="8"/>
      <c r="E694" s="8"/>
      <c r="F694" s="8"/>
      <c r="G694" s="8"/>
      <c r="H694" s="46"/>
      <c r="I694" s="8"/>
      <c r="J694" s="8"/>
      <c r="K694" s="9"/>
      <c r="L694" s="9"/>
      <c r="M694" s="10" t="s">
        <v>10</v>
      </c>
    </row>
    <row r="695" spans="2:13" x14ac:dyDescent="0.25">
      <c r="B695" s="8"/>
      <c r="C695" s="8"/>
      <c r="D695" s="8"/>
      <c r="E695" s="8"/>
      <c r="F695" s="8"/>
      <c r="G695" s="8"/>
      <c r="H695" s="46"/>
      <c r="I695" s="8"/>
      <c r="J695" s="8"/>
      <c r="K695" s="9"/>
      <c r="L695" s="9"/>
      <c r="M695" s="10" t="s">
        <v>10</v>
      </c>
    </row>
    <row r="696" spans="2:13" x14ac:dyDescent="0.25">
      <c r="B696" s="8"/>
      <c r="C696" s="8"/>
      <c r="D696" s="8"/>
      <c r="E696" s="8"/>
      <c r="F696" s="8"/>
      <c r="G696" s="8"/>
      <c r="H696" s="46"/>
      <c r="I696" s="8"/>
      <c r="J696" s="8"/>
      <c r="K696" s="9"/>
      <c r="L696" s="9"/>
      <c r="M696" s="10" t="s">
        <v>10</v>
      </c>
    </row>
    <row r="697" spans="2:13" x14ac:dyDescent="0.25">
      <c r="B697" s="8"/>
      <c r="C697" s="8"/>
      <c r="D697" s="8"/>
      <c r="E697" s="8"/>
      <c r="F697" s="8"/>
      <c r="G697" s="8"/>
      <c r="H697" s="46"/>
      <c r="I697" s="8"/>
      <c r="J697" s="8"/>
      <c r="K697" s="9"/>
      <c r="L697" s="9"/>
      <c r="M697" s="10" t="s">
        <v>10</v>
      </c>
    </row>
    <row r="698" spans="2:13" x14ac:dyDescent="0.25">
      <c r="B698" s="8"/>
      <c r="C698" s="8"/>
      <c r="D698" s="8"/>
      <c r="E698" s="8"/>
      <c r="F698" s="8"/>
      <c r="G698" s="8"/>
      <c r="H698" s="46"/>
      <c r="I698" s="8"/>
      <c r="J698" s="8"/>
      <c r="K698" s="9"/>
      <c r="L698" s="9"/>
      <c r="M698" s="10" t="s">
        <v>10</v>
      </c>
    </row>
    <row r="699" spans="2:13" x14ac:dyDescent="0.25">
      <c r="B699" s="8"/>
      <c r="C699" s="8"/>
      <c r="D699" s="8"/>
      <c r="E699" s="8"/>
      <c r="F699" s="8"/>
      <c r="G699" s="8"/>
      <c r="H699" s="46"/>
      <c r="I699" s="8"/>
      <c r="J699" s="8"/>
      <c r="K699" s="9"/>
      <c r="L699" s="9"/>
      <c r="M699" s="10" t="s">
        <v>10</v>
      </c>
    </row>
    <row r="700" spans="2:13" x14ac:dyDescent="0.25">
      <c r="B700" s="8"/>
      <c r="C700" s="8"/>
      <c r="D700" s="8"/>
      <c r="E700" s="8"/>
      <c r="F700" s="8"/>
      <c r="G700" s="8"/>
      <c r="H700" s="46"/>
      <c r="I700" s="8"/>
      <c r="J700" s="8"/>
      <c r="K700" s="9"/>
      <c r="L700" s="9"/>
      <c r="M700" s="10" t="s">
        <v>10</v>
      </c>
    </row>
    <row r="701" spans="2:13" x14ac:dyDescent="0.25">
      <c r="B701" s="8"/>
      <c r="C701" s="8"/>
      <c r="D701" s="8"/>
      <c r="E701" s="8"/>
      <c r="F701" s="8"/>
      <c r="G701" s="8"/>
      <c r="H701" s="46"/>
      <c r="I701" s="8"/>
      <c r="J701" s="8"/>
      <c r="K701" s="9"/>
      <c r="L701" s="9"/>
      <c r="M701" s="10" t="s">
        <v>10</v>
      </c>
    </row>
    <row r="702" spans="2:13" x14ac:dyDescent="0.25">
      <c r="B702" s="8"/>
      <c r="C702" s="8"/>
      <c r="D702" s="8"/>
      <c r="E702" s="8"/>
      <c r="F702" s="8"/>
      <c r="G702" s="8"/>
      <c r="H702" s="46"/>
      <c r="I702" s="8"/>
      <c r="J702" s="8"/>
      <c r="K702" s="9"/>
      <c r="L702" s="9"/>
      <c r="M702" s="10" t="s">
        <v>10</v>
      </c>
    </row>
    <row r="703" spans="2:13" x14ac:dyDescent="0.25">
      <c r="B703" s="8"/>
      <c r="C703" s="8"/>
      <c r="D703" s="8"/>
      <c r="E703" s="8"/>
      <c r="F703" s="8"/>
      <c r="G703" s="8"/>
      <c r="H703" s="46"/>
      <c r="I703" s="8"/>
      <c r="J703" s="8"/>
      <c r="K703" s="9"/>
      <c r="L703" s="9"/>
      <c r="M703" s="10" t="s">
        <v>10</v>
      </c>
    </row>
    <row r="704" spans="2:13" x14ac:dyDescent="0.25">
      <c r="B704" s="8"/>
      <c r="C704" s="8"/>
      <c r="D704" s="8"/>
      <c r="E704" s="8"/>
      <c r="F704" s="8"/>
      <c r="G704" s="8"/>
      <c r="H704" s="46"/>
      <c r="I704" s="8"/>
      <c r="J704" s="8"/>
      <c r="K704" s="9"/>
      <c r="L704" s="9"/>
      <c r="M704" s="10" t="s">
        <v>10</v>
      </c>
    </row>
    <row r="705" spans="2:13" x14ac:dyDescent="0.25">
      <c r="B705" s="8"/>
      <c r="C705" s="8"/>
      <c r="D705" s="8"/>
      <c r="E705" s="8"/>
      <c r="F705" s="8"/>
      <c r="G705" s="8"/>
      <c r="H705" s="46"/>
      <c r="I705" s="8"/>
      <c r="J705" s="8"/>
      <c r="K705" s="9"/>
      <c r="L705" s="9"/>
      <c r="M705" s="10" t="s">
        <v>10</v>
      </c>
    </row>
    <row r="706" spans="2:13" x14ac:dyDescent="0.25">
      <c r="B706" s="8"/>
      <c r="C706" s="8"/>
      <c r="D706" s="8"/>
      <c r="E706" s="8"/>
      <c r="F706" s="8"/>
      <c r="G706" s="8"/>
      <c r="H706" s="46"/>
      <c r="I706" s="8"/>
      <c r="J706" s="8"/>
      <c r="K706" s="9"/>
      <c r="L706" s="9"/>
      <c r="M706" s="10" t="s">
        <v>10</v>
      </c>
    </row>
    <row r="707" spans="2:13" x14ac:dyDescent="0.25">
      <c r="B707" s="8"/>
      <c r="C707" s="8"/>
      <c r="D707" s="8"/>
      <c r="E707" s="8"/>
      <c r="F707" s="8"/>
      <c r="G707" s="8"/>
      <c r="H707" s="46"/>
      <c r="I707" s="8"/>
      <c r="J707" s="8"/>
      <c r="K707" s="9"/>
      <c r="L707" s="9"/>
      <c r="M707" s="10" t="s">
        <v>10</v>
      </c>
    </row>
    <row r="708" spans="2:13" x14ac:dyDescent="0.25">
      <c r="B708" s="8"/>
      <c r="C708" s="8"/>
      <c r="D708" s="8"/>
      <c r="E708" s="8"/>
      <c r="F708" s="8"/>
      <c r="G708" s="8"/>
      <c r="H708" s="46"/>
      <c r="I708" s="8"/>
      <c r="J708" s="8"/>
      <c r="K708" s="9"/>
      <c r="L708" s="9"/>
      <c r="M708" s="10" t="s">
        <v>10</v>
      </c>
    </row>
    <row r="709" spans="2:13" x14ac:dyDescent="0.25">
      <c r="B709" s="8"/>
      <c r="C709" s="8"/>
      <c r="D709" s="8"/>
      <c r="E709" s="8"/>
      <c r="F709" s="8"/>
      <c r="G709" s="8"/>
      <c r="H709" s="46"/>
      <c r="I709" s="8"/>
      <c r="J709" s="8"/>
      <c r="K709" s="9"/>
      <c r="L709" s="9"/>
      <c r="M709" s="10" t="s">
        <v>10</v>
      </c>
    </row>
    <row r="710" spans="2:13" x14ac:dyDescent="0.25">
      <c r="B710" s="8"/>
      <c r="C710" s="8"/>
      <c r="D710" s="8"/>
      <c r="E710" s="8"/>
      <c r="F710" s="8"/>
      <c r="G710" s="8"/>
      <c r="H710" s="46"/>
      <c r="I710" s="8"/>
      <c r="J710" s="8"/>
      <c r="K710" s="9"/>
      <c r="L710" s="9"/>
      <c r="M710" s="10" t="s">
        <v>10</v>
      </c>
    </row>
    <row r="711" spans="2:13" x14ac:dyDescent="0.25">
      <c r="B711" s="8"/>
      <c r="C711" s="8"/>
      <c r="D711" s="8"/>
      <c r="E711" s="8"/>
      <c r="F711" s="8"/>
      <c r="G711" s="8"/>
      <c r="H711" s="46"/>
      <c r="I711" s="8"/>
      <c r="J711" s="8"/>
      <c r="K711" s="9"/>
      <c r="L711" s="9"/>
      <c r="M711" s="10" t="s">
        <v>10</v>
      </c>
    </row>
    <row r="712" spans="2:13" x14ac:dyDescent="0.25">
      <c r="B712" s="8"/>
      <c r="C712" s="8"/>
      <c r="D712" s="8"/>
      <c r="E712" s="8"/>
      <c r="F712" s="8"/>
      <c r="G712" s="8"/>
      <c r="H712" s="46"/>
      <c r="I712" s="8"/>
      <c r="J712" s="8"/>
      <c r="K712" s="9"/>
      <c r="L712" s="9"/>
      <c r="M712" s="10" t="s">
        <v>10</v>
      </c>
    </row>
    <row r="713" spans="2:13" x14ac:dyDescent="0.25">
      <c r="B713" s="8"/>
      <c r="C713" s="8"/>
      <c r="D713" s="8"/>
      <c r="E713" s="8"/>
      <c r="F713" s="8"/>
      <c r="G713" s="8"/>
      <c r="H713" s="46"/>
      <c r="I713" s="8"/>
      <c r="J713" s="8"/>
      <c r="K713" s="9"/>
      <c r="L713" s="9"/>
      <c r="M713" s="10" t="s">
        <v>10</v>
      </c>
    </row>
    <row r="714" spans="2:13" x14ac:dyDescent="0.25">
      <c r="B714" s="8"/>
      <c r="C714" s="8"/>
      <c r="D714" s="8"/>
      <c r="E714" s="8"/>
      <c r="F714" s="8"/>
      <c r="G714" s="8"/>
      <c r="H714" s="46"/>
      <c r="I714" s="8"/>
      <c r="J714" s="8"/>
      <c r="K714" s="9"/>
      <c r="L714" s="9"/>
      <c r="M714" s="10" t="s">
        <v>10</v>
      </c>
    </row>
    <row r="715" spans="2:13" x14ac:dyDescent="0.25">
      <c r="B715" s="8"/>
      <c r="C715" s="8"/>
      <c r="D715" s="8"/>
      <c r="E715" s="8"/>
      <c r="F715" s="8"/>
      <c r="G715" s="8"/>
      <c r="H715" s="46"/>
      <c r="I715" s="8"/>
      <c r="J715" s="8"/>
      <c r="K715" s="9"/>
      <c r="L715" s="9"/>
      <c r="M715" s="10" t="s">
        <v>10</v>
      </c>
    </row>
    <row r="716" spans="2:13" x14ac:dyDescent="0.25">
      <c r="B716" s="8"/>
      <c r="C716" s="8"/>
      <c r="D716" s="8"/>
      <c r="E716" s="8"/>
      <c r="F716" s="8"/>
      <c r="G716" s="8"/>
      <c r="H716" s="46"/>
      <c r="I716" s="8"/>
      <c r="J716" s="8"/>
      <c r="K716" s="9"/>
      <c r="L716" s="9"/>
      <c r="M716" s="10" t="s">
        <v>10</v>
      </c>
    </row>
    <row r="717" spans="2:13" x14ac:dyDescent="0.25">
      <c r="B717" s="8"/>
      <c r="C717" s="8"/>
      <c r="D717" s="8"/>
      <c r="E717" s="8"/>
      <c r="F717" s="8"/>
      <c r="G717" s="8"/>
      <c r="H717" s="46"/>
      <c r="I717" s="8"/>
      <c r="J717" s="8"/>
      <c r="K717" s="9"/>
      <c r="L717" s="9"/>
      <c r="M717" s="10" t="s">
        <v>10</v>
      </c>
    </row>
    <row r="718" spans="2:13" x14ac:dyDescent="0.25">
      <c r="B718" s="8"/>
      <c r="C718" s="8"/>
      <c r="D718" s="8"/>
      <c r="E718" s="8"/>
      <c r="F718" s="8"/>
      <c r="G718" s="8"/>
      <c r="H718" s="46"/>
      <c r="I718" s="8"/>
      <c r="J718" s="8"/>
      <c r="K718" s="9"/>
      <c r="L718" s="9"/>
      <c r="M718" s="10" t="s">
        <v>10</v>
      </c>
    </row>
    <row r="719" spans="2:13" x14ac:dyDescent="0.25">
      <c r="B719" s="8"/>
      <c r="C719" s="8"/>
      <c r="D719" s="8"/>
      <c r="E719" s="8"/>
      <c r="F719" s="8"/>
      <c r="G719" s="8"/>
      <c r="H719" s="46"/>
      <c r="I719" s="8"/>
      <c r="J719" s="8"/>
      <c r="K719" s="9"/>
      <c r="L719" s="9"/>
      <c r="M719" s="10" t="s">
        <v>10</v>
      </c>
    </row>
    <row r="720" spans="2:13" x14ac:dyDescent="0.25">
      <c r="B720" s="8"/>
      <c r="C720" s="8"/>
      <c r="D720" s="8"/>
      <c r="E720" s="8"/>
      <c r="F720" s="8"/>
      <c r="G720" s="8"/>
      <c r="H720" s="46"/>
      <c r="I720" s="8"/>
      <c r="J720" s="8"/>
      <c r="K720" s="9"/>
      <c r="L720" s="9"/>
      <c r="M720" s="10" t="s">
        <v>10</v>
      </c>
    </row>
    <row r="721" spans="2:13" x14ac:dyDescent="0.25">
      <c r="B721" s="8"/>
      <c r="C721" s="8"/>
      <c r="D721" s="8"/>
      <c r="E721" s="8"/>
      <c r="F721" s="8"/>
      <c r="G721" s="8"/>
      <c r="H721" s="46"/>
      <c r="I721" s="8"/>
      <c r="J721" s="8"/>
      <c r="K721" s="9"/>
      <c r="L721" s="9"/>
      <c r="M721" s="10" t="s">
        <v>10</v>
      </c>
    </row>
    <row r="722" spans="2:13" x14ac:dyDescent="0.25">
      <c r="B722" s="8"/>
      <c r="C722" s="8"/>
      <c r="D722" s="8"/>
      <c r="E722" s="8"/>
      <c r="F722" s="8"/>
      <c r="G722" s="8"/>
      <c r="H722" s="46"/>
      <c r="I722" s="8"/>
      <c r="J722" s="8"/>
      <c r="K722" s="9"/>
      <c r="L722" s="9"/>
      <c r="M722" s="10" t="s">
        <v>10</v>
      </c>
    </row>
    <row r="723" spans="2:13" x14ac:dyDescent="0.25">
      <c r="B723" s="8"/>
      <c r="C723" s="8"/>
      <c r="D723" s="8"/>
      <c r="E723" s="8"/>
      <c r="F723" s="8"/>
      <c r="G723" s="8"/>
      <c r="H723" s="46"/>
      <c r="I723" s="8"/>
      <c r="J723" s="8"/>
      <c r="K723" s="9"/>
      <c r="L723" s="9"/>
      <c r="M723" s="10" t="s">
        <v>10</v>
      </c>
    </row>
    <row r="724" spans="2:13" x14ac:dyDescent="0.25">
      <c r="B724" s="8"/>
      <c r="C724" s="8"/>
      <c r="D724" s="8"/>
      <c r="E724" s="8"/>
      <c r="F724" s="8"/>
      <c r="G724" s="8"/>
      <c r="H724" s="46"/>
      <c r="I724" s="8"/>
      <c r="J724" s="8"/>
      <c r="K724" s="9"/>
      <c r="L724" s="9"/>
      <c r="M724" s="10" t="s">
        <v>10</v>
      </c>
    </row>
    <row r="725" spans="2:13" x14ac:dyDescent="0.25">
      <c r="B725" s="8"/>
      <c r="C725" s="8"/>
      <c r="D725" s="8"/>
      <c r="E725" s="8"/>
      <c r="F725" s="8"/>
      <c r="G725" s="8"/>
      <c r="H725" s="46"/>
      <c r="I725" s="8"/>
      <c r="J725" s="8"/>
      <c r="K725" s="9"/>
      <c r="L725" s="9"/>
      <c r="M725" s="10" t="s">
        <v>10</v>
      </c>
    </row>
    <row r="726" spans="2:13" x14ac:dyDescent="0.25">
      <c r="B726" s="8"/>
      <c r="C726" s="8"/>
      <c r="D726" s="8"/>
      <c r="E726" s="8"/>
      <c r="F726" s="8"/>
      <c r="G726" s="8"/>
      <c r="H726" s="46"/>
      <c r="I726" s="8"/>
      <c r="J726" s="8"/>
      <c r="K726" s="9"/>
      <c r="L726" s="9"/>
      <c r="M726" s="10" t="s">
        <v>10</v>
      </c>
    </row>
    <row r="727" spans="2:13" x14ac:dyDescent="0.25">
      <c r="B727" s="8"/>
      <c r="C727" s="8"/>
      <c r="D727" s="8"/>
      <c r="E727" s="8"/>
      <c r="F727" s="8"/>
      <c r="G727" s="8"/>
      <c r="H727" s="46"/>
      <c r="I727" s="8"/>
      <c r="J727" s="8"/>
      <c r="K727" s="9"/>
      <c r="L727" s="9"/>
      <c r="M727" s="10" t="s">
        <v>10</v>
      </c>
    </row>
    <row r="728" spans="2:13" x14ac:dyDescent="0.25">
      <c r="B728" s="8"/>
      <c r="C728" s="8"/>
      <c r="D728" s="8"/>
      <c r="E728" s="8"/>
      <c r="F728" s="8"/>
      <c r="G728" s="8"/>
      <c r="H728" s="46"/>
      <c r="I728" s="8"/>
      <c r="J728" s="8"/>
      <c r="K728" s="9"/>
      <c r="L728" s="9"/>
      <c r="M728" s="10" t="s">
        <v>10</v>
      </c>
    </row>
    <row r="729" spans="2:13" x14ac:dyDescent="0.25">
      <c r="B729" s="8"/>
      <c r="C729" s="8"/>
      <c r="D729" s="8"/>
      <c r="E729" s="8"/>
      <c r="F729" s="8"/>
      <c r="G729" s="8"/>
      <c r="H729" s="46"/>
      <c r="I729" s="8"/>
      <c r="J729" s="8"/>
      <c r="K729" s="9"/>
      <c r="L729" s="9"/>
      <c r="M729" s="10" t="s">
        <v>10</v>
      </c>
    </row>
    <row r="730" spans="2:13" x14ac:dyDescent="0.25">
      <c r="B730" s="8"/>
      <c r="C730" s="8"/>
      <c r="D730" s="8"/>
      <c r="E730" s="8"/>
      <c r="F730" s="8"/>
      <c r="G730" s="8"/>
      <c r="H730" s="46"/>
      <c r="I730" s="8"/>
      <c r="J730" s="8"/>
      <c r="K730" s="9"/>
      <c r="L730" s="9"/>
      <c r="M730" s="10" t="s">
        <v>10</v>
      </c>
    </row>
    <row r="731" spans="2:13" x14ac:dyDescent="0.25">
      <c r="B731" s="8"/>
      <c r="C731" s="8"/>
      <c r="D731" s="8"/>
      <c r="E731" s="8"/>
      <c r="F731" s="8"/>
      <c r="G731" s="8"/>
      <c r="H731" s="46"/>
      <c r="I731" s="8"/>
      <c r="J731" s="8"/>
      <c r="K731" s="9"/>
      <c r="L731" s="9"/>
      <c r="M731" s="10" t="s">
        <v>10</v>
      </c>
    </row>
    <row r="732" spans="2:13" x14ac:dyDescent="0.25">
      <c r="B732" s="8"/>
      <c r="C732" s="8"/>
      <c r="D732" s="8"/>
      <c r="E732" s="8"/>
      <c r="F732" s="8"/>
      <c r="G732" s="8"/>
      <c r="H732" s="46"/>
      <c r="I732" s="8"/>
      <c r="J732" s="8"/>
      <c r="K732" s="9"/>
      <c r="L732" s="9"/>
      <c r="M732" s="10" t="s">
        <v>10</v>
      </c>
    </row>
    <row r="733" spans="2:13" x14ac:dyDescent="0.25">
      <c r="B733" s="8"/>
      <c r="C733" s="8"/>
      <c r="D733" s="8"/>
      <c r="E733" s="8"/>
      <c r="F733" s="8"/>
      <c r="G733" s="8"/>
      <c r="H733" s="46"/>
      <c r="I733" s="8"/>
      <c r="J733" s="8"/>
      <c r="K733" s="9"/>
      <c r="L733" s="9"/>
      <c r="M733" s="10" t="s">
        <v>10</v>
      </c>
    </row>
    <row r="734" spans="2:13" x14ac:dyDescent="0.25">
      <c r="B734" s="8"/>
      <c r="C734" s="8"/>
      <c r="D734" s="8"/>
      <c r="E734" s="8"/>
      <c r="F734" s="8"/>
      <c r="G734" s="8"/>
      <c r="H734" s="46"/>
      <c r="I734" s="8"/>
      <c r="J734" s="8"/>
      <c r="K734" s="9"/>
      <c r="L734" s="9"/>
      <c r="M734" s="10" t="s">
        <v>10</v>
      </c>
    </row>
    <row r="735" spans="2:13" x14ac:dyDescent="0.25">
      <c r="B735" s="8"/>
      <c r="C735" s="8"/>
      <c r="D735" s="8"/>
      <c r="E735" s="8"/>
      <c r="F735" s="8"/>
      <c r="G735" s="8"/>
      <c r="H735" s="46"/>
      <c r="I735" s="8"/>
      <c r="J735" s="8"/>
      <c r="K735" s="9"/>
      <c r="L735" s="9"/>
      <c r="M735" s="10" t="s">
        <v>10</v>
      </c>
    </row>
    <row r="736" spans="2:13" x14ac:dyDescent="0.25">
      <c r="B736" s="8"/>
      <c r="C736" s="8"/>
      <c r="D736" s="8"/>
      <c r="E736" s="8"/>
      <c r="F736" s="8"/>
      <c r="G736" s="8"/>
      <c r="H736" s="46"/>
      <c r="I736" s="8"/>
      <c r="J736" s="8"/>
      <c r="K736" s="9"/>
      <c r="L736" s="9"/>
      <c r="M736" s="10" t="s">
        <v>10</v>
      </c>
    </row>
    <row r="737" spans="2:13" x14ac:dyDescent="0.25">
      <c r="B737" s="8"/>
      <c r="C737" s="8"/>
      <c r="D737" s="8"/>
      <c r="E737" s="8"/>
      <c r="F737" s="8"/>
      <c r="G737" s="8"/>
      <c r="H737" s="46"/>
      <c r="I737" s="8"/>
      <c r="J737" s="8"/>
      <c r="K737" s="9"/>
      <c r="L737" s="9"/>
      <c r="M737" s="10" t="s">
        <v>10</v>
      </c>
    </row>
    <row r="738" spans="2:13" x14ac:dyDescent="0.25">
      <c r="B738" s="8"/>
      <c r="C738" s="8"/>
      <c r="D738" s="8"/>
      <c r="E738" s="8"/>
      <c r="F738" s="8"/>
      <c r="G738" s="8"/>
      <c r="H738" s="46"/>
      <c r="I738" s="8"/>
      <c r="J738" s="8"/>
      <c r="K738" s="9"/>
      <c r="L738" s="9"/>
      <c r="M738" s="10" t="s">
        <v>10</v>
      </c>
    </row>
    <row r="739" spans="2:13" x14ac:dyDescent="0.25">
      <c r="B739" s="8"/>
      <c r="C739" s="8"/>
      <c r="D739" s="8"/>
      <c r="E739" s="8"/>
      <c r="F739" s="8"/>
      <c r="G739" s="8"/>
      <c r="H739" s="46"/>
      <c r="I739" s="8"/>
      <c r="J739" s="8"/>
      <c r="K739" s="9"/>
      <c r="L739" s="9"/>
      <c r="M739" s="10" t="s">
        <v>10</v>
      </c>
    </row>
    <row r="740" spans="2:13" x14ac:dyDescent="0.25">
      <c r="B740" s="8"/>
      <c r="C740" s="8"/>
      <c r="D740" s="8"/>
      <c r="E740" s="8"/>
      <c r="F740" s="8"/>
      <c r="G740" s="8"/>
      <c r="H740" s="46"/>
      <c r="I740" s="8"/>
      <c r="J740" s="8"/>
      <c r="K740" s="9"/>
      <c r="L740" s="9"/>
      <c r="M740" s="10" t="s">
        <v>10</v>
      </c>
    </row>
    <row r="741" spans="2:13" x14ac:dyDescent="0.25">
      <c r="B741" s="8"/>
      <c r="C741" s="8"/>
      <c r="D741" s="8"/>
      <c r="E741" s="8"/>
      <c r="F741" s="8"/>
      <c r="G741" s="8"/>
      <c r="H741" s="46"/>
      <c r="I741" s="8"/>
      <c r="J741" s="8"/>
      <c r="K741" s="9"/>
      <c r="L741" s="9"/>
      <c r="M741" s="10" t="s">
        <v>10</v>
      </c>
    </row>
    <row r="742" spans="2:13" x14ac:dyDescent="0.25">
      <c r="B742" s="11"/>
      <c r="C742" s="8"/>
      <c r="D742" s="8"/>
      <c r="E742" s="8"/>
      <c r="F742" s="8"/>
      <c r="G742" s="8"/>
      <c r="H742" s="46"/>
      <c r="I742" s="8"/>
      <c r="J742" s="8"/>
      <c r="K742" s="9"/>
      <c r="L742" s="9"/>
      <c r="M742" s="10" t="s">
        <v>10</v>
      </c>
    </row>
    <row r="743" spans="2:13" x14ac:dyDescent="0.25">
      <c r="B743" s="8"/>
      <c r="C743" s="8"/>
      <c r="D743" s="8"/>
      <c r="E743" s="8"/>
      <c r="F743" s="8"/>
      <c r="G743" s="8"/>
      <c r="H743" s="46"/>
      <c r="I743" s="8"/>
      <c r="J743" s="8"/>
      <c r="K743" s="9"/>
      <c r="L743" s="9"/>
      <c r="M743" s="10" t="s">
        <v>10</v>
      </c>
    </row>
    <row r="744" spans="2:13" x14ac:dyDescent="0.25">
      <c r="B744" s="8"/>
      <c r="C744" s="8"/>
      <c r="D744" s="8"/>
      <c r="E744" s="8"/>
      <c r="F744" s="8"/>
      <c r="G744" s="8"/>
      <c r="H744" s="46"/>
      <c r="I744" s="8"/>
      <c r="J744" s="8"/>
      <c r="K744" s="9"/>
      <c r="L744" s="9"/>
      <c r="M744" s="10" t="s">
        <v>10</v>
      </c>
    </row>
    <row r="745" spans="2:13" x14ac:dyDescent="0.25">
      <c r="B745" s="8"/>
      <c r="C745" s="8"/>
      <c r="D745" s="8"/>
      <c r="E745" s="8"/>
      <c r="F745" s="8"/>
      <c r="G745" s="8"/>
      <c r="H745" s="46"/>
      <c r="I745" s="8"/>
      <c r="J745" s="8"/>
      <c r="K745" s="9"/>
      <c r="L745" s="9"/>
      <c r="M745" s="10" t="s">
        <v>10</v>
      </c>
    </row>
    <row r="746" spans="2:13" x14ac:dyDescent="0.25">
      <c r="B746" s="8"/>
      <c r="C746" s="8"/>
      <c r="D746" s="8"/>
      <c r="E746" s="8"/>
      <c r="F746" s="8"/>
      <c r="G746" s="8"/>
      <c r="H746" s="46"/>
      <c r="I746" s="8"/>
      <c r="J746" s="8"/>
      <c r="K746" s="9"/>
      <c r="L746" s="9"/>
      <c r="M746" s="10" t="s">
        <v>10</v>
      </c>
    </row>
    <row r="747" spans="2:13" x14ac:dyDescent="0.25">
      <c r="B747" s="8"/>
      <c r="C747" s="8"/>
      <c r="D747" s="8"/>
      <c r="E747" s="8"/>
      <c r="F747" s="8"/>
      <c r="G747" s="8"/>
      <c r="H747" s="46"/>
      <c r="I747" s="8"/>
      <c r="J747" s="8"/>
      <c r="K747" s="9"/>
      <c r="L747" s="9"/>
      <c r="M747" s="10" t="s">
        <v>10</v>
      </c>
    </row>
    <row r="748" spans="2:13" x14ac:dyDescent="0.25">
      <c r="B748" s="8"/>
      <c r="C748" s="8"/>
      <c r="D748" s="8"/>
      <c r="E748" s="8"/>
      <c r="F748" s="8"/>
      <c r="G748" s="8"/>
      <c r="H748" s="46"/>
      <c r="I748" s="8"/>
      <c r="J748" s="8"/>
      <c r="K748" s="9"/>
      <c r="L748" s="9"/>
      <c r="M748" s="10" t="s">
        <v>10</v>
      </c>
    </row>
    <row r="749" spans="2:13" x14ac:dyDescent="0.25">
      <c r="B749" s="8"/>
      <c r="C749" s="8"/>
      <c r="D749" s="8"/>
      <c r="E749" s="8"/>
      <c r="F749" s="8"/>
      <c r="G749" s="8"/>
      <c r="H749" s="46"/>
      <c r="I749" s="8"/>
      <c r="J749" s="8"/>
      <c r="K749" s="9"/>
      <c r="L749" s="9"/>
      <c r="M749" s="10" t="s">
        <v>10</v>
      </c>
    </row>
    <row r="750" spans="2:13" x14ac:dyDescent="0.25">
      <c r="B750" s="8"/>
      <c r="C750" s="8"/>
      <c r="D750" s="8"/>
      <c r="E750" s="8"/>
      <c r="F750" s="8"/>
      <c r="G750" s="8"/>
      <c r="H750" s="46"/>
      <c r="I750" s="8"/>
      <c r="J750" s="8"/>
      <c r="K750" s="9"/>
      <c r="L750" s="9"/>
      <c r="M750" s="10" t="s">
        <v>10</v>
      </c>
    </row>
    <row r="751" spans="2:13" x14ac:dyDescent="0.25">
      <c r="B751" s="8"/>
      <c r="C751" s="8"/>
      <c r="D751" s="8"/>
      <c r="E751" s="8"/>
      <c r="F751" s="8"/>
      <c r="G751" s="8"/>
      <c r="H751" s="46"/>
      <c r="I751" s="8"/>
      <c r="J751" s="8"/>
      <c r="K751" s="9"/>
      <c r="L751" s="9"/>
      <c r="M751" s="10" t="s">
        <v>10</v>
      </c>
    </row>
    <row r="752" spans="2:13" x14ac:dyDescent="0.25">
      <c r="B752" s="8"/>
      <c r="C752" s="8"/>
      <c r="D752" s="8"/>
      <c r="E752" s="8"/>
      <c r="F752" s="8"/>
      <c r="G752" s="8"/>
      <c r="H752" s="46"/>
      <c r="I752" s="8"/>
      <c r="J752" s="8"/>
      <c r="K752" s="9"/>
      <c r="L752" s="9"/>
      <c r="M752" s="10" t="s">
        <v>10</v>
      </c>
    </row>
    <row r="753" spans="2:13" x14ac:dyDescent="0.25">
      <c r="B753" s="8"/>
      <c r="C753" s="8"/>
      <c r="D753" s="8"/>
      <c r="E753" s="8"/>
      <c r="F753" s="8"/>
      <c r="G753" s="8"/>
      <c r="H753" s="46"/>
      <c r="I753" s="8"/>
      <c r="J753" s="8"/>
      <c r="K753" s="9"/>
      <c r="L753" s="9"/>
      <c r="M753" s="10" t="s">
        <v>10</v>
      </c>
    </row>
    <row r="754" spans="2:13" x14ac:dyDescent="0.25">
      <c r="B754" s="8"/>
      <c r="C754" s="8"/>
      <c r="D754" s="8"/>
      <c r="E754" s="8"/>
      <c r="F754" s="8"/>
      <c r="G754" s="8"/>
      <c r="H754" s="46"/>
      <c r="I754" s="8"/>
      <c r="J754" s="8"/>
      <c r="K754" s="9"/>
      <c r="L754" s="9"/>
      <c r="M754" s="10" t="s">
        <v>10</v>
      </c>
    </row>
    <row r="755" spans="2:13" x14ac:dyDescent="0.25">
      <c r="B755" s="8"/>
      <c r="C755" s="8"/>
      <c r="D755" s="8"/>
      <c r="E755" s="8"/>
      <c r="F755" s="8"/>
      <c r="G755" s="8"/>
      <c r="H755" s="46"/>
      <c r="I755" s="8"/>
      <c r="J755" s="8"/>
      <c r="K755" s="9"/>
      <c r="L755" s="9"/>
      <c r="M755" s="10" t="s">
        <v>10</v>
      </c>
    </row>
    <row r="756" spans="2:13" x14ac:dyDescent="0.25">
      <c r="B756" s="8"/>
      <c r="C756" s="8"/>
      <c r="D756" s="8"/>
      <c r="E756" s="8"/>
      <c r="F756" s="8"/>
      <c r="G756" s="8"/>
      <c r="H756" s="46"/>
      <c r="I756" s="8"/>
      <c r="J756" s="8"/>
      <c r="K756" s="9"/>
      <c r="L756" s="9"/>
      <c r="M756" s="10" t="s">
        <v>10</v>
      </c>
    </row>
    <row r="757" spans="2:13" x14ac:dyDescent="0.25">
      <c r="B757" s="8"/>
      <c r="C757" s="8"/>
      <c r="D757" s="8"/>
      <c r="E757" s="8"/>
      <c r="F757" s="8"/>
      <c r="G757" s="8"/>
      <c r="H757" s="46"/>
      <c r="I757" s="8"/>
      <c r="J757" s="8"/>
      <c r="K757" s="9"/>
      <c r="L757" s="9"/>
      <c r="M757" s="10" t="s">
        <v>10</v>
      </c>
    </row>
    <row r="758" spans="2:13" x14ac:dyDescent="0.25">
      <c r="B758" s="8"/>
      <c r="C758" s="8"/>
      <c r="D758" s="8"/>
      <c r="E758" s="8"/>
      <c r="F758" s="8"/>
      <c r="G758" s="8"/>
      <c r="H758" s="46"/>
      <c r="I758" s="8"/>
      <c r="J758" s="8"/>
      <c r="K758" s="9"/>
      <c r="L758" s="9"/>
      <c r="M758" s="10" t="s">
        <v>10</v>
      </c>
    </row>
    <row r="759" spans="2:13" x14ac:dyDescent="0.25">
      <c r="B759" s="8"/>
      <c r="C759" s="8"/>
      <c r="D759" s="8"/>
      <c r="E759" s="8"/>
      <c r="F759" s="8"/>
      <c r="G759" s="8"/>
      <c r="H759" s="46"/>
      <c r="I759" s="8"/>
      <c r="J759" s="8"/>
      <c r="K759" s="9"/>
      <c r="L759" s="9"/>
      <c r="M759" s="10" t="s">
        <v>10</v>
      </c>
    </row>
    <row r="760" spans="2:13" x14ac:dyDescent="0.25">
      <c r="B760" s="8"/>
      <c r="C760" s="8"/>
      <c r="D760" s="8"/>
      <c r="E760" s="8"/>
      <c r="F760" s="8"/>
      <c r="G760" s="8"/>
      <c r="H760" s="46"/>
      <c r="I760" s="8"/>
      <c r="J760" s="8"/>
      <c r="K760" s="9"/>
      <c r="L760" s="9"/>
      <c r="M760" s="10" t="s">
        <v>10</v>
      </c>
    </row>
    <row r="761" spans="2:13" x14ac:dyDescent="0.25">
      <c r="B761" s="8"/>
      <c r="C761" s="8"/>
      <c r="D761" s="8"/>
      <c r="E761" s="8"/>
      <c r="F761" s="8"/>
      <c r="G761" s="8"/>
      <c r="H761" s="46"/>
      <c r="I761" s="8"/>
      <c r="J761" s="8"/>
      <c r="K761" s="9"/>
      <c r="L761" s="9"/>
      <c r="M761" s="10" t="s">
        <v>10</v>
      </c>
    </row>
    <row r="762" spans="2:13" x14ac:dyDescent="0.25">
      <c r="B762" s="8"/>
      <c r="C762" s="8"/>
      <c r="D762" s="8"/>
      <c r="E762" s="8"/>
      <c r="F762" s="8"/>
      <c r="G762" s="8"/>
      <c r="H762" s="46"/>
      <c r="I762" s="8"/>
      <c r="J762" s="8"/>
      <c r="K762" s="9"/>
      <c r="L762" s="9"/>
      <c r="M762" s="10" t="s">
        <v>10</v>
      </c>
    </row>
    <row r="763" spans="2:13" x14ac:dyDescent="0.25">
      <c r="B763" s="8"/>
      <c r="C763" s="8"/>
      <c r="D763" s="8"/>
      <c r="E763" s="8"/>
      <c r="F763" s="8"/>
      <c r="G763" s="8"/>
      <c r="H763" s="46"/>
      <c r="I763" s="8"/>
      <c r="J763" s="8"/>
      <c r="K763" s="9"/>
      <c r="L763" s="9"/>
      <c r="M763" s="10" t="s">
        <v>10</v>
      </c>
    </row>
    <row r="764" spans="2:13" x14ac:dyDescent="0.25">
      <c r="B764" s="8"/>
      <c r="C764" s="8"/>
      <c r="D764" s="8"/>
      <c r="E764" s="8"/>
      <c r="F764" s="8"/>
      <c r="G764" s="8"/>
      <c r="H764" s="46"/>
      <c r="I764" s="8"/>
      <c r="J764" s="8"/>
      <c r="K764" s="9"/>
      <c r="L764" s="9"/>
      <c r="M764" s="10" t="s">
        <v>10</v>
      </c>
    </row>
    <row r="765" spans="2:13" x14ac:dyDescent="0.25">
      <c r="B765" s="8"/>
      <c r="C765" s="8"/>
      <c r="D765" s="8"/>
      <c r="E765" s="8"/>
      <c r="F765" s="8"/>
      <c r="G765" s="8"/>
      <c r="H765" s="46"/>
      <c r="I765" s="8"/>
      <c r="J765" s="8"/>
      <c r="K765" s="9"/>
      <c r="L765" s="9"/>
      <c r="M765" s="10" t="s">
        <v>10</v>
      </c>
    </row>
    <row r="766" spans="2:13" x14ac:dyDescent="0.25">
      <c r="B766" s="8"/>
      <c r="C766" s="8"/>
      <c r="D766" s="8"/>
      <c r="E766" s="8"/>
      <c r="F766" s="8"/>
      <c r="G766" s="8"/>
      <c r="H766" s="46"/>
      <c r="I766" s="8"/>
      <c r="J766" s="8"/>
      <c r="K766" s="9"/>
      <c r="L766" s="9"/>
      <c r="M766" s="10" t="s">
        <v>10</v>
      </c>
    </row>
    <row r="767" spans="2:13" x14ac:dyDescent="0.25">
      <c r="B767" s="8"/>
      <c r="C767" s="8"/>
      <c r="D767" s="8"/>
      <c r="E767" s="8"/>
      <c r="F767" s="8"/>
      <c r="G767" s="8"/>
      <c r="H767" s="46"/>
      <c r="I767" s="8"/>
      <c r="J767" s="8"/>
      <c r="K767" s="9"/>
      <c r="L767" s="9"/>
      <c r="M767" s="10" t="s">
        <v>10</v>
      </c>
    </row>
    <row r="768" spans="2:13" x14ac:dyDescent="0.25">
      <c r="B768" s="8"/>
      <c r="C768" s="8"/>
      <c r="D768" s="8"/>
      <c r="E768" s="8"/>
      <c r="F768" s="8"/>
      <c r="G768" s="8"/>
      <c r="H768" s="46"/>
      <c r="I768" s="8"/>
      <c r="J768" s="8"/>
      <c r="K768" s="9"/>
      <c r="L768" s="9"/>
      <c r="M768" s="10" t="s">
        <v>10</v>
      </c>
    </row>
    <row r="769" spans="2:13" x14ac:dyDescent="0.25">
      <c r="B769" s="8"/>
      <c r="C769" s="8"/>
      <c r="D769" s="8"/>
      <c r="E769" s="8"/>
      <c r="F769" s="8"/>
      <c r="G769" s="8"/>
      <c r="H769" s="46"/>
      <c r="I769" s="8"/>
      <c r="J769" s="8"/>
      <c r="K769" s="9"/>
      <c r="L769" s="9"/>
      <c r="M769" s="10" t="s">
        <v>10</v>
      </c>
    </row>
    <row r="770" spans="2:13" x14ac:dyDescent="0.25">
      <c r="B770" s="8"/>
      <c r="C770" s="8"/>
      <c r="D770" s="8"/>
      <c r="E770" s="8"/>
      <c r="F770" s="8"/>
      <c r="G770" s="8"/>
      <c r="H770" s="46"/>
      <c r="I770" s="8"/>
      <c r="J770" s="8"/>
      <c r="K770" s="9"/>
      <c r="L770" s="9"/>
      <c r="M770" s="10" t="s">
        <v>10</v>
      </c>
    </row>
    <row r="771" spans="2:13" x14ac:dyDescent="0.25">
      <c r="B771" s="8"/>
      <c r="C771" s="8"/>
      <c r="D771" s="8"/>
      <c r="E771" s="8"/>
      <c r="F771" s="8"/>
      <c r="G771" s="8"/>
      <c r="H771" s="46"/>
      <c r="I771" s="8"/>
      <c r="J771" s="8"/>
      <c r="K771" s="9"/>
      <c r="L771" s="9"/>
      <c r="M771" s="10" t="s">
        <v>10</v>
      </c>
    </row>
    <row r="772" spans="2:13" x14ac:dyDescent="0.25">
      <c r="B772" s="8"/>
      <c r="C772" s="8"/>
      <c r="D772" s="8"/>
      <c r="E772" s="8"/>
      <c r="F772" s="8"/>
      <c r="G772" s="8"/>
      <c r="H772" s="46"/>
      <c r="I772" s="8"/>
      <c r="J772" s="8"/>
      <c r="K772" s="9"/>
      <c r="L772" s="9"/>
      <c r="M772" s="10" t="s">
        <v>10</v>
      </c>
    </row>
    <row r="773" spans="2:13" x14ac:dyDescent="0.25">
      <c r="B773" s="8"/>
      <c r="C773" s="8"/>
      <c r="D773" s="8"/>
      <c r="E773" s="8"/>
      <c r="F773" s="8"/>
      <c r="G773" s="8"/>
      <c r="H773" s="46"/>
      <c r="I773" s="8"/>
      <c r="J773" s="8"/>
      <c r="K773" s="9"/>
      <c r="L773" s="9"/>
      <c r="M773" s="10" t="s">
        <v>10</v>
      </c>
    </row>
    <row r="774" spans="2:13" x14ac:dyDescent="0.25">
      <c r="B774" s="8"/>
      <c r="C774" s="8"/>
      <c r="D774" s="8"/>
      <c r="E774" s="8"/>
      <c r="F774" s="8"/>
      <c r="G774" s="8"/>
      <c r="H774" s="46"/>
      <c r="I774" s="8"/>
      <c r="J774" s="8"/>
      <c r="K774" s="9"/>
      <c r="L774" s="9"/>
      <c r="M774" s="10" t="s">
        <v>10</v>
      </c>
    </row>
    <row r="775" spans="2:13" x14ac:dyDescent="0.25">
      <c r="B775" s="8"/>
      <c r="C775" s="8"/>
      <c r="D775" s="8"/>
      <c r="E775" s="8"/>
      <c r="F775" s="8"/>
      <c r="G775" s="8"/>
      <c r="H775" s="46"/>
      <c r="I775" s="8"/>
      <c r="J775" s="8"/>
      <c r="K775" s="9"/>
      <c r="L775" s="9"/>
      <c r="M775" s="10" t="s">
        <v>10</v>
      </c>
    </row>
    <row r="776" spans="2:13" x14ac:dyDescent="0.25">
      <c r="B776" s="8"/>
      <c r="C776" s="8"/>
      <c r="D776" s="8"/>
      <c r="E776" s="8"/>
      <c r="F776" s="8"/>
      <c r="G776" s="8"/>
      <c r="H776" s="46"/>
      <c r="I776" s="8"/>
      <c r="J776" s="8"/>
      <c r="K776" s="9"/>
      <c r="L776" s="9"/>
      <c r="M776" s="10" t="s">
        <v>10</v>
      </c>
    </row>
    <row r="777" spans="2:13" x14ac:dyDescent="0.25">
      <c r="B777" s="8"/>
      <c r="C777" s="8"/>
      <c r="D777" s="8"/>
      <c r="E777" s="8"/>
      <c r="F777" s="8"/>
      <c r="G777" s="8"/>
      <c r="H777" s="46"/>
      <c r="I777" s="8"/>
      <c r="J777" s="8"/>
      <c r="K777" s="9"/>
      <c r="L777" s="9"/>
      <c r="M777" s="10" t="s">
        <v>10</v>
      </c>
    </row>
    <row r="778" spans="2:13" x14ac:dyDescent="0.25">
      <c r="B778" s="8"/>
      <c r="C778" s="8"/>
      <c r="D778" s="8"/>
      <c r="E778" s="8"/>
      <c r="F778" s="8"/>
      <c r="G778" s="8"/>
      <c r="H778" s="46"/>
      <c r="I778" s="8"/>
      <c r="J778" s="8"/>
      <c r="K778" s="9"/>
      <c r="L778" s="9"/>
      <c r="M778" s="10" t="s">
        <v>10</v>
      </c>
    </row>
    <row r="779" spans="2:13" x14ac:dyDescent="0.25">
      <c r="B779" s="8"/>
      <c r="C779" s="8"/>
      <c r="D779" s="8"/>
      <c r="E779" s="8"/>
      <c r="F779" s="8"/>
      <c r="G779" s="8"/>
      <c r="H779" s="46"/>
      <c r="I779" s="8"/>
      <c r="J779" s="8"/>
      <c r="K779" s="9"/>
      <c r="L779" s="9"/>
      <c r="M779" s="10" t="s">
        <v>10</v>
      </c>
    </row>
    <row r="780" spans="2:13" x14ac:dyDescent="0.25">
      <c r="B780" s="8"/>
      <c r="C780" s="8"/>
      <c r="D780" s="8"/>
      <c r="E780" s="8"/>
      <c r="F780" s="8"/>
      <c r="G780" s="8"/>
      <c r="H780" s="46"/>
      <c r="I780" s="8"/>
      <c r="J780" s="8"/>
      <c r="K780" s="9"/>
      <c r="L780" s="9"/>
      <c r="M780" s="10" t="s">
        <v>10</v>
      </c>
    </row>
    <row r="781" spans="2:13" x14ac:dyDescent="0.25">
      <c r="B781" s="8"/>
      <c r="C781" s="8"/>
      <c r="D781" s="8"/>
      <c r="E781" s="8"/>
      <c r="F781" s="8"/>
      <c r="G781" s="8"/>
      <c r="H781" s="46"/>
      <c r="I781" s="8"/>
      <c r="J781" s="8"/>
      <c r="K781" s="9"/>
      <c r="L781" s="9"/>
      <c r="M781" s="10" t="s">
        <v>10</v>
      </c>
    </row>
    <row r="782" spans="2:13" x14ac:dyDescent="0.25">
      <c r="B782" s="8"/>
      <c r="C782" s="8"/>
      <c r="D782" s="8"/>
      <c r="E782" s="8"/>
      <c r="F782" s="8"/>
      <c r="G782" s="8"/>
      <c r="H782" s="46"/>
      <c r="I782" s="8"/>
      <c r="J782" s="8"/>
      <c r="K782" s="9"/>
      <c r="L782" s="9"/>
      <c r="M782" s="10" t="s">
        <v>10</v>
      </c>
    </row>
    <row r="783" spans="2:13" x14ac:dyDescent="0.25">
      <c r="B783" s="8"/>
      <c r="C783" s="8"/>
      <c r="D783" s="8"/>
      <c r="E783" s="8"/>
      <c r="F783" s="8"/>
      <c r="G783" s="8"/>
      <c r="H783" s="46"/>
      <c r="I783" s="8"/>
      <c r="J783" s="8"/>
      <c r="K783" s="9"/>
      <c r="L783" s="9"/>
      <c r="M783" s="10" t="s">
        <v>10</v>
      </c>
    </row>
    <row r="784" spans="2:13" x14ac:dyDescent="0.25">
      <c r="B784" s="8"/>
      <c r="C784" s="8"/>
      <c r="D784" s="8"/>
      <c r="E784" s="8"/>
      <c r="F784" s="8"/>
      <c r="G784" s="8"/>
      <c r="H784" s="46"/>
      <c r="I784" s="8"/>
      <c r="J784" s="8"/>
      <c r="K784" s="9"/>
      <c r="L784" s="9"/>
      <c r="M784" s="10" t="s">
        <v>10</v>
      </c>
    </row>
    <row r="785" spans="2:13" x14ac:dyDescent="0.25">
      <c r="B785" s="8"/>
      <c r="C785" s="8"/>
      <c r="D785" s="8"/>
      <c r="E785" s="8"/>
      <c r="F785" s="8"/>
      <c r="G785" s="8"/>
      <c r="H785" s="46"/>
      <c r="I785" s="8"/>
      <c r="J785" s="8"/>
      <c r="K785" s="9"/>
      <c r="L785" s="9"/>
      <c r="M785" s="10" t="s">
        <v>10</v>
      </c>
    </row>
    <row r="786" spans="2:13" x14ac:dyDescent="0.25">
      <c r="B786" s="8"/>
      <c r="C786" s="8"/>
      <c r="D786" s="8"/>
      <c r="E786" s="8"/>
      <c r="F786" s="8"/>
      <c r="G786" s="8"/>
      <c r="H786" s="46"/>
      <c r="I786" s="8"/>
      <c r="J786" s="8"/>
      <c r="K786" s="9"/>
      <c r="L786" s="9"/>
      <c r="M786" s="10" t="s">
        <v>10</v>
      </c>
    </row>
    <row r="787" spans="2:13" x14ac:dyDescent="0.25">
      <c r="B787" s="8"/>
      <c r="C787" s="8"/>
      <c r="D787" s="8"/>
      <c r="E787" s="8"/>
      <c r="F787" s="8"/>
      <c r="G787" s="8"/>
      <c r="H787" s="46"/>
      <c r="I787" s="8"/>
      <c r="J787" s="8"/>
      <c r="K787" s="9"/>
      <c r="L787" s="9"/>
      <c r="M787" s="10" t="s">
        <v>10</v>
      </c>
    </row>
    <row r="788" spans="2:13" x14ac:dyDescent="0.25">
      <c r="B788" s="8"/>
      <c r="C788" s="8"/>
      <c r="D788" s="8"/>
      <c r="E788" s="8"/>
      <c r="F788" s="8"/>
      <c r="G788" s="8"/>
      <c r="H788" s="46"/>
      <c r="I788" s="8"/>
      <c r="J788" s="8"/>
      <c r="K788" s="9"/>
      <c r="L788" s="9"/>
      <c r="M788" s="10" t="s">
        <v>10</v>
      </c>
    </row>
    <row r="789" spans="2:13" x14ac:dyDescent="0.25">
      <c r="B789" s="8"/>
      <c r="C789" s="8"/>
      <c r="D789" s="8"/>
      <c r="E789" s="8"/>
      <c r="F789" s="8"/>
      <c r="G789" s="8"/>
      <c r="H789" s="46"/>
      <c r="I789" s="8"/>
      <c r="J789" s="8"/>
      <c r="K789" s="9"/>
      <c r="L789" s="9"/>
      <c r="M789" s="10" t="s">
        <v>10</v>
      </c>
    </row>
    <row r="790" spans="2:13" x14ac:dyDescent="0.25">
      <c r="B790" s="8"/>
      <c r="C790" s="8"/>
      <c r="D790" s="8"/>
      <c r="E790" s="8"/>
      <c r="F790" s="8"/>
      <c r="G790" s="8"/>
      <c r="H790" s="46"/>
      <c r="I790" s="8"/>
      <c r="J790" s="8"/>
      <c r="K790" s="9"/>
      <c r="L790" s="9"/>
      <c r="M790" s="10" t="s">
        <v>10</v>
      </c>
    </row>
    <row r="791" spans="2:13" x14ac:dyDescent="0.25">
      <c r="B791" s="8"/>
      <c r="C791" s="8"/>
      <c r="D791" s="8"/>
      <c r="E791" s="8"/>
      <c r="F791" s="8"/>
      <c r="G791" s="8"/>
      <c r="H791" s="46"/>
      <c r="I791" s="8"/>
      <c r="J791" s="8"/>
      <c r="K791" s="9"/>
      <c r="L791" s="9"/>
      <c r="M791" s="10" t="s">
        <v>10</v>
      </c>
    </row>
    <row r="792" spans="2:13" x14ac:dyDescent="0.25">
      <c r="B792" s="8"/>
      <c r="C792" s="8"/>
      <c r="D792" s="8"/>
      <c r="E792" s="8"/>
      <c r="F792" s="8"/>
      <c r="G792" s="8"/>
      <c r="H792" s="46"/>
      <c r="I792" s="8"/>
      <c r="J792" s="8"/>
      <c r="K792" s="9"/>
      <c r="L792" s="9"/>
      <c r="M792" s="10" t="s">
        <v>10</v>
      </c>
    </row>
    <row r="793" spans="2:13" x14ac:dyDescent="0.25">
      <c r="B793" s="8"/>
      <c r="C793" s="8"/>
      <c r="D793" s="8"/>
      <c r="E793" s="8"/>
      <c r="F793" s="8"/>
      <c r="G793" s="8"/>
      <c r="H793" s="46"/>
      <c r="I793" s="8"/>
      <c r="J793" s="8"/>
      <c r="K793" s="9"/>
      <c r="L793" s="9"/>
      <c r="M793" s="10" t="s">
        <v>10</v>
      </c>
    </row>
    <row r="794" spans="2:13" x14ac:dyDescent="0.25">
      <c r="B794" s="8"/>
      <c r="C794" s="8"/>
      <c r="D794" s="8"/>
      <c r="E794" s="8"/>
      <c r="F794" s="8"/>
      <c r="G794" s="8"/>
      <c r="H794" s="46"/>
      <c r="I794" s="8"/>
      <c r="J794" s="8"/>
      <c r="K794" s="9"/>
      <c r="L794" s="9"/>
      <c r="M794" s="10" t="s">
        <v>10</v>
      </c>
    </row>
    <row r="795" spans="2:13" x14ac:dyDescent="0.25">
      <c r="B795" s="8"/>
      <c r="C795" s="8"/>
      <c r="D795" s="8"/>
      <c r="E795" s="8"/>
      <c r="F795" s="8"/>
      <c r="G795" s="8"/>
      <c r="H795" s="46"/>
      <c r="I795" s="8"/>
      <c r="J795" s="8"/>
      <c r="K795" s="9"/>
      <c r="L795" s="9"/>
      <c r="M795" s="10" t="s">
        <v>10</v>
      </c>
    </row>
    <row r="796" spans="2:13" x14ac:dyDescent="0.25">
      <c r="B796" s="8"/>
      <c r="C796" s="8"/>
      <c r="D796" s="8"/>
      <c r="E796" s="8"/>
      <c r="F796" s="8"/>
      <c r="G796" s="8"/>
      <c r="H796" s="46"/>
      <c r="I796" s="8"/>
      <c r="J796" s="8"/>
      <c r="K796" s="9"/>
      <c r="L796" s="9"/>
      <c r="M796" s="10" t="s">
        <v>10</v>
      </c>
    </row>
    <row r="797" spans="2:13" x14ac:dyDescent="0.25">
      <c r="B797" s="8"/>
      <c r="C797" s="8"/>
      <c r="D797" s="8"/>
      <c r="E797" s="8"/>
      <c r="F797" s="8"/>
      <c r="G797" s="8"/>
      <c r="H797" s="46"/>
      <c r="I797" s="8"/>
      <c r="J797" s="8"/>
      <c r="K797" s="9"/>
      <c r="L797" s="9"/>
      <c r="M797" s="10" t="s">
        <v>10</v>
      </c>
    </row>
    <row r="798" spans="2:13" x14ac:dyDescent="0.25">
      <c r="B798" s="8"/>
      <c r="C798" s="8"/>
      <c r="D798" s="8"/>
      <c r="E798" s="8"/>
      <c r="F798" s="8"/>
      <c r="G798" s="8"/>
      <c r="H798" s="46"/>
      <c r="I798" s="8"/>
      <c r="J798" s="8"/>
      <c r="K798" s="9"/>
      <c r="L798" s="9"/>
      <c r="M798" s="10" t="s">
        <v>10</v>
      </c>
    </row>
    <row r="799" spans="2:13" x14ac:dyDescent="0.25">
      <c r="B799" s="8"/>
      <c r="C799" s="8"/>
      <c r="D799" s="8"/>
      <c r="E799" s="8"/>
      <c r="F799" s="8"/>
      <c r="G799" s="8"/>
      <c r="H799" s="46"/>
      <c r="I799" s="8"/>
      <c r="J799" s="8"/>
      <c r="K799" s="9"/>
      <c r="L799" s="9"/>
      <c r="M799" s="10" t="s">
        <v>10</v>
      </c>
    </row>
    <row r="800" spans="2:13" x14ac:dyDescent="0.25">
      <c r="B800" s="8"/>
      <c r="C800" s="8"/>
      <c r="D800" s="8"/>
      <c r="E800" s="8"/>
      <c r="F800" s="8"/>
      <c r="G800" s="8"/>
      <c r="H800" s="46"/>
      <c r="I800" s="8"/>
      <c r="J800" s="8"/>
      <c r="K800" s="9"/>
      <c r="L800" s="9"/>
      <c r="M800" s="10" t="s">
        <v>10</v>
      </c>
    </row>
    <row r="801" spans="2:13" x14ac:dyDescent="0.25">
      <c r="B801" s="8"/>
      <c r="C801" s="8"/>
      <c r="D801" s="8"/>
      <c r="E801" s="8"/>
      <c r="F801" s="8"/>
      <c r="G801" s="8"/>
      <c r="H801" s="46"/>
      <c r="I801" s="8"/>
      <c r="J801" s="8"/>
      <c r="K801" s="9"/>
      <c r="L801" s="9"/>
      <c r="M801" s="10" t="s">
        <v>10</v>
      </c>
    </row>
    <row r="802" spans="2:13" x14ac:dyDescent="0.25">
      <c r="B802" s="8"/>
      <c r="C802" s="8"/>
      <c r="D802" s="8"/>
      <c r="E802" s="8"/>
      <c r="F802" s="8"/>
      <c r="G802" s="8"/>
      <c r="H802" s="46"/>
      <c r="I802" s="8"/>
      <c r="J802" s="8"/>
      <c r="K802" s="9"/>
      <c r="L802" s="9"/>
      <c r="M802" s="10" t="s">
        <v>10</v>
      </c>
    </row>
    <row r="803" spans="2:13" x14ac:dyDescent="0.25">
      <c r="B803" s="8"/>
      <c r="C803" s="8"/>
      <c r="D803" s="8"/>
      <c r="E803" s="8"/>
      <c r="F803" s="8"/>
      <c r="G803" s="8"/>
      <c r="H803" s="46"/>
      <c r="I803" s="8"/>
      <c r="J803" s="8"/>
      <c r="K803" s="9"/>
      <c r="L803" s="9"/>
      <c r="M803" s="10" t="s">
        <v>10</v>
      </c>
    </row>
    <row r="804" spans="2:13" x14ac:dyDescent="0.25">
      <c r="B804" s="8"/>
      <c r="C804" s="8"/>
      <c r="D804" s="8"/>
      <c r="E804" s="8"/>
      <c r="F804" s="8"/>
      <c r="G804" s="8"/>
      <c r="H804" s="46"/>
      <c r="I804" s="8"/>
      <c r="J804" s="8"/>
      <c r="K804" s="9"/>
      <c r="L804" s="9"/>
      <c r="M804" s="10" t="s">
        <v>10</v>
      </c>
    </row>
    <row r="805" spans="2:13" x14ac:dyDescent="0.25">
      <c r="B805" s="8"/>
      <c r="C805" s="8"/>
      <c r="D805" s="8"/>
      <c r="E805" s="8"/>
      <c r="F805" s="8"/>
      <c r="G805" s="8"/>
      <c r="H805" s="46"/>
      <c r="I805" s="8"/>
      <c r="J805" s="8"/>
      <c r="K805" s="9"/>
      <c r="L805" s="9"/>
      <c r="M805" s="10" t="s">
        <v>10</v>
      </c>
    </row>
    <row r="806" spans="2:13" x14ac:dyDescent="0.25">
      <c r="B806" s="8"/>
      <c r="C806" s="8"/>
      <c r="D806" s="8"/>
      <c r="E806" s="8"/>
      <c r="F806" s="8"/>
      <c r="G806" s="8"/>
      <c r="H806" s="46"/>
      <c r="I806" s="8"/>
      <c r="J806" s="8"/>
      <c r="K806" s="9"/>
      <c r="L806" s="9"/>
      <c r="M806" s="10" t="s">
        <v>10</v>
      </c>
    </row>
    <row r="807" spans="2:13" x14ac:dyDescent="0.25">
      <c r="B807" s="8"/>
      <c r="C807" s="8"/>
      <c r="D807" s="8"/>
      <c r="E807" s="8"/>
      <c r="F807" s="8"/>
      <c r="G807" s="8"/>
      <c r="H807" s="46"/>
      <c r="I807" s="8"/>
      <c r="J807" s="8"/>
      <c r="K807" s="9"/>
      <c r="L807" s="9"/>
      <c r="M807" s="10" t="s">
        <v>10</v>
      </c>
    </row>
    <row r="808" spans="2:13" x14ac:dyDescent="0.25">
      <c r="B808" s="8"/>
      <c r="C808" s="8"/>
      <c r="D808" s="8"/>
      <c r="E808" s="8"/>
      <c r="F808" s="8"/>
      <c r="G808" s="8"/>
      <c r="H808" s="46"/>
      <c r="I808" s="8"/>
      <c r="J808" s="8"/>
      <c r="K808" s="9"/>
      <c r="L808" s="9"/>
      <c r="M808" s="10" t="s">
        <v>10</v>
      </c>
    </row>
    <row r="809" spans="2:13" x14ac:dyDescent="0.25">
      <c r="B809" s="8"/>
      <c r="C809" s="8"/>
      <c r="D809" s="8"/>
      <c r="E809" s="8"/>
      <c r="F809" s="8"/>
      <c r="G809" s="8"/>
      <c r="H809" s="46"/>
      <c r="I809" s="8"/>
      <c r="J809" s="8"/>
      <c r="K809" s="9"/>
      <c r="L809" s="9"/>
      <c r="M809" s="10" t="s">
        <v>10</v>
      </c>
    </row>
    <row r="810" spans="2:13" x14ac:dyDescent="0.25">
      <c r="B810" s="8"/>
      <c r="C810" s="8"/>
      <c r="D810" s="8"/>
      <c r="E810" s="8"/>
      <c r="F810" s="8"/>
      <c r="G810" s="8"/>
      <c r="H810" s="46"/>
      <c r="I810" s="8"/>
      <c r="J810" s="8"/>
      <c r="K810" s="9"/>
      <c r="L810" s="9"/>
      <c r="M810" s="10" t="s">
        <v>10</v>
      </c>
    </row>
    <row r="811" spans="2:13" x14ac:dyDescent="0.25">
      <c r="B811" s="8"/>
      <c r="C811" s="8"/>
      <c r="D811" s="8"/>
      <c r="E811" s="8"/>
      <c r="F811" s="8"/>
      <c r="G811" s="8"/>
      <c r="H811" s="46"/>
      <c r="I811" s="8"/>
      <c r="J811" s="8"/>
      <c r="K811" s="9"/>
      <c r="L811" s="9"/>
      <c r="M811" s="10" t="s">
        <v>10</v>
      </c>
    </row>
    <row r="812" spans="2:13" x14ac:dyDescent="0.25">
      <c r="B812" s="8"/>
      <c r="C812" s="8"/>
      <c r="D812" s="8"/>
      <c r="E812" s="8"/>
      <c r="F812" s="8"/>
      <c r="G812" s="8"/>
      <c r="H812" s="46"/>
      <c r="I812" s="8"/>
      <c r="J812" s="8"/>
      <c r="K812" s="9"/>
      <c r="L812" s="9"/>
      <c r="M812" s="10" t="s">
        <v>10</v>
      </c>
    </row>
    <row r="813" spans="2:13" x14ac:dyDescent="0.25">
      <c r="B813" s="8"/>
      <c r="C813" s="8"/>
      <c r="D813" s="8"/>
      <c r="E813" s="8"/>
      <c r="F813" s="8"/>
      <c r="G813" s="8"/>
      <c r="H813" s="46"/>
      <c r="I813" s="8"/>
      <c r="J813" s="8"/>
      <c r="K813" s="9"/>
      <c r="L813" s="9"/>
      <c r="M813" s="10" t="s">
        <v>10</v>
      </c>
    </row>
    <row r="814" spans="2:13" x14ac:dyDescent="0.25">
      <c r="B814" s="8"/>
      <c r="C814" s="8"/>
      <c r="D814" s="8"/>
      <c r="E814" s="8"/>
      <c r="F814" s="8"/>
      <c r="G814" s="8"/>
      <c r="H814" s="46"/>
      <c r="I814" s="8"/>
      <c r="J814" s="8"/>
      <c r="K814" s="9"/>
      <c r="L814" s="9"/>
      <c r="M814" s="10" t="s">
        <v>10</v>
      </c>
    </row>
    <row r="815" spans="2:13" x14ac:dyDescent="0.25">
      <c r="B815" s="8"/>
      <c r="C815" s="8"/>
      <c r="D815" s="8"/>
      <c r="E815" s="8"/>
      <c r="F815" s="8"/>
      <c r="G815" s="8"/>
      <c r="H815" s="46"/>
      <c r="I815" s="8"/>
      <c r="J815" s="8"/>
      <c r="K815" s="9"/>
      <c r="L815" s="9"/>
      <c r="M815" s="10" t="s">
        <v>10</v>
      </c>
    </row>
    <row r="816" spans="2:13" x14ac:dyDescent="0.25">
      <c r="B816" s="8"/>
      <c r="C816" s="8"/>
      <c r="D816" s="8"/>
      <c r="E816" s="8"/>
      <c r="F816" s="8"/>
      <c r="G816" s="8"/>
      <c r="H816" s="46"/>
      <c r="I816" s="8"/>
      <c r="J816" s="8"/>
      <c r="K816" s="9"/>
      <c r="L816" s="9"/>
      <c r="M816" s="10" t="s">
        <v>10</v>
      </c>
    </row>
    <row r="817" spans="2:13" x14ac:dyDescent="0.25">
      <c r="B817" s="8"/>
      <c r="C817" s="8"/>
      <c r="D817" s="8"/>
      <c r="E817" s="8"/>
      <c r="F817" s="8"/>
      <c r="G817" s="8"/>
      <c r="H817" s="46"/>
      <c r="I817" s="8"/>
      <c r="J817" s="8"/>
      <c r="K817" s="9"/>
      <c r="L817" s="9"/>
      <c r="M817" s="10" t="s">
        <v>10</v>
      </c>
    </row>
    <row r="818" spans="2:13" x14ac:dyDescent="0.25">
      <c r="B818" s="8"/>
      <c r="C818" s="8"/>
      <c r="D818" s="8"/>
      <c r="E818" s="8"/>
      <c r="F818" s="8"/>
      <c r="G818" s="8"/>
      <c r="H818" s="46"/>
      <c r="I818" s="8"/>
      <c r="J818" s="8"/>
      <c r="K818" s="9"/>
      <c r="L818" s="9"/>
      <c r="M818" s="10" t="s">
        <v>10</v>
      </c>
    </row>
    <row r="819" spans="2:13" x14ac:dyDescent="0.25">
      <c r="B819" s="8"/>
      <c r="C819" s="8"/>
      <c r="D819" s="8"/>
      <c r="E819" s="8"/>
      <c r="F819" s="8"/>
      <c r="G819" s="8"/>
      <c r="H819" s="46"/>
      <c r="I819" s="8"/>
      <c r="J819" s="8"/>
      <c r="K819" s="9"/>
      <c r="L819" s="9"/>
      <c r="M819" s="10" t="s">
        <v>10</v>
      </c>
    </row>
    <row r="820" spans="2:13" x14ac:dyDescent="0.25">
      <c r="B820" s="8"/>
      <c r="C820" s="8"/>
      <c r="D820" s="8"/>
      <c r="E820" s="8"/>
      <c r="F820" s="8"/>
      <c r="G820" s="8"/>
      <c r="H820" s="46"/>
      <c r="I820" s="8"/>
      <c r="J820" s="8"/>
      <c r="K820" s="9"/>
      <c r="L820" s="9"/>
      <c r="M820" s="10" t="s">
        <v>10</v>
      </c>
    </row>
    <row r="821" spans="2:13" x14ac:dyDescent="0.25">
      <c r="B821" s="8"/>
      <c r="C821" s="8"/>
      <c r="D821" s="8"/>
      <c r="E821" s="8"/>
      <c r="F821" s="8"/>
      <c r="G821" s="8"/>
      <c r="H821" s="46"/>
      <c r="I821" s="8"/>
      <c r="J821" s="8"/>
      <c r="K821" s="9"/>
      <c r="L821" s="9"/>
      <c r="M821" s="10" t="s">
        <v>10</v>
      </c>
    </row>
    <row r="822" spans="2:13" x14ac:dyDescent="0.25">
      <c r="B822" s="8"/>
      <c r="C822" s="8"/>
      <c r="D822" s="8"/>
      <c r="E822" s="8"/>
      <c r="F822" s="8"/>
      <c r="G822" s="8"/>
      <c r="H822" s="46"/>
      <c r="I822" s="8"/>
      <c r="J822" s="8"/>
      <c r="K822" s="9"/>
      <c r="L822" s="9"/>
      <c r="M822" s="10" t="s">
        <v>10</v>
      </c>
    </row>
    <row r="823" spans="2:13" x14ac:dyDescent="0.25">
      <c r="B823" s="8"/>
      <c r="C823" s="8"/>
      <c r="D823" s="8"/>
      <c r="E823" s="8"/>
      <c r="F823" s="8"/>
      <c r="G823" s="8"/>
      <c r="H823" s="46"/>
      <c r="I823" s="8"/>
      <c r="J823" s="8"/>
      <c r="K823" s="9"/>
      <c r="L823" s="9"/>
      <c r="M823" s="10" t="s">
        <v>10</v>
      </c>
    </row>
    <row r="824" spans="2:13" x14ac:dyDescent="0.25">
      <c r="B824" s="8"/>
      <c r="C824" s="8"/>
      <c r="D824" s="8"/>
      <c r="E824" s="8"/>
      <c r="F824" s="8"/>
      <c r="G824" s="8"/>
      <c r="H824" s="46"/>
      <c r="I824" s="8"/>
      <c r="J824" s="8"/>
      <c r="K824" s="9"/>
      <c r="L824" s="9"/>
      <c r="M824" s="10" t="s">
        <v>10</v>
      </c>
    </row>
    <row r="825" spans="2:13" x14ac:dyDescent="0.25">
      <c r="B825" s="8"/>
      <c r="C825" s="8"/>
      <c r="D825" s="8"/>
      <c r="E825" s="8"/>
      <c r="F825" s="8"/>
      <c r="G825" s="8"/>
      <c r="H825" s="46"/>
      <c r="I825" s="8"/>
      <c r="J825" s="8"/>
      <c r="K825" s="9"/>
      <c r="L825" s="9"/>
      <c r="M825" s="10" t="s">
        <v>10</v>
      </c>
    </row>
    <row r="826" spans="2:13" x14ac:dyDescent="0.25">
      <c r="B826" s="8"/>
      <c r="C826" s="8"/>
      <c r="D826" s="8"/>
      <c r="E826" s="8"/>
      <c r="F826" s="8"/>
      <c r="G826" s="8"/>
      <c r="H826" s="46"/>
      <c r="I826" s="8"/>
      <c r="J826" s="8"/>
      <c r="K826" s="9"/>
      <c r="L826" s="9"/>
      <c r="M826" s="10" t="s">
        <v>10</v>
      </c>
    </row>
    <row r="827" spans="2:13" x14ac:dyDescent="0.25">
      <c r="B827" s="8"/>
      <c r="C827" s="8"/>
      <c r="D827" s="8"/>
      <c r="E827" s="8"/>
      <c r="F827" s="8"/>
      <c r="G827" s="8"/>
      <c r="H827" s="46"/>
      <c r="I827" s="8"/>
      <c r="J827" s="8"/>
      <c r="K827" s="9"/>
      <c r="L827" s="9"/>
      <c r="M827" s="10" t="s">
        <v>10</v>
      </c>
    </row>
    <row r="828" spans="2:13" x14ac:dyDescent="0.25">
      <c r="B828" s="8"/>
      <c r="C828" s="8"/>
      <c r="D828" s="8"/>
      <c r="E828" s="8"/>
      <c r="F828" s="8"/>
      <c r="G828" s="8"/>
      <c r="H828" s="46"/>
      <c r="I828" s="8"/>
      <c r="J828" s="8"/>
      <c r="K828" s="9"/>
      <c r="L828" s="9"/>
      <c r="M828" s="10" t="s">
        <v>10</v>
      </c>
    </row>
    <row r="829" spans="2:13" x14ac:dyDescent="0.25">
      <c r="B829" s="8"/>
      <c r="C829" s="8"/>
      <c r="D829" s="8"/>
      <c r="E829" s="8"/>
      <c r="F829" s="8"/>
      <c r="G829" s="8"/>
      <c r="H829" s="46"/>
      <c r="I829" s="8"/>
      <c r="J829" s="8"/>
      <c r="K829" s="9"/>
      <c r="L829" s="9"/>
      <c r="M829" s="10" t="s">
        <v>10</v>
      </c>
    </row>
    <row r="830" spans="2:13" x14ac:dyDescent="0.25">
      <c r="B830" s="8"/>
      <c r="C830" s="8"/>
      <c r="D830" s="8"/>
      <c r="E830" s="8"/>
      <c r="F830" s="8"/>
      <c r="G830" s="8"/>
      <c r="H830" s="46"/>
      <c r="I830" s="8"/>
      <c r="J830" s="8"/>
      <c r="K830" s="9"/>
      <c r="L830" s="9"/>
      <c r="M830" s="10" t="s">
        <v>10</v>
      </c>
    </row>
    <row r="831" spans="2:13" x14ac:dyDescent="0.25">
      <c r="B831" s="8"/>
      <c r="C831" s="8"/>
      <c r="D831" s="8"/>
      <c r="E831" s="8"/>
      <c r="F831" s="8"/>
      <c r="G831" s="8"/>
      <c r="H831" s="46"/>
      <c r="I831" s="8"/>
      <c r="J831" s="8"/>
      <c r="K831" s="9"/>
      <c r="L831" s="9"/>
      <c r="M831" s="10" t="s">
        <v>10</v>
      </c>
    </row>
    <row r="832" spans="2:13" x14ac:dyDescent="0.25">
      <c r="B832" s="8"/>
      <c r="C832" s="8"/>
      <c r="D832" s="8"/>
      <c r="E832" s="8"/>
      <c r="F832" s="8"/>
      <c r="G832" s="8"/>
      <c r="H832" s="46"/>
      <c r="I832" s="8"/>
      <c r="J832" s="8"/>
      <c r="K832" s="9"/>
      <c r="L832" s="9"/>
      <c r="M832" s="10" t="s">
        <v>10</v>
      </c>
    </row>
    <row r="833" spans="2:13" x14ac:dyDescent="0.25">
      <c r="B833" s="8"/>
      <c r="C833" s="8"/>
      <c r="D833" s="8"/>
      <c r="E833" s="8"/>
      <c r="F833" s="8"/>
      <c r="G833" s="8"/>
      <c r="H833" s="46"/>
      <c r="I833" s="8"/>
      <c r="J833" s="8"/>
      <c r="K833" s="9"/>
      <c r="L833" s="9"/>
      <c r="M833" s="10" t="s">
        <v>10</v>
      </c>
    </row>
    <row r="834" spans="2:13" x14ac:dyDescent="0.25">
      <c r="B834" s="8"/>
      <c r="C834" s="8"/>
      <c r="D834" s="8"/>
      <c r="E834" s="8"/>
      <c r="F834" s="8"/>
      <c r="G834" s="8"/>
      <c r="H834" s="46"/>
      <c r="I834" s="8"/>
      <c r="J834" s="8"/>
      <c r="K834" s="9"/>
      <c r="L834" s="9"/>
      <c r="M834" s="10" t="s">
        <v>10</v>
      </c>
    </row>
    <row r="835" spans="2:13" x14ac:dyDescent="0.25">
      <c r="B835" s="8"/>
      <c r="C835" s="8"/>
      <c r="D835" s="8"/>
      <c r="E835" s="8"/>
      <c r="F835" s="8"/>
      <c r="G835" s="8"/>
      <c r="H835" s="46"/>
      <c r="I835" s="8"/>
      <c r="J835" s="8"/>
      <c r="K835" s="9"/>
      <c r="L835" s="9"/>
      <c r="M835" s="10" t="s">
        <v>10</v>
      </c>
    </row>
    <row r="836" spans="2:13" x14ac:dyDescent="0.25">
      <c r="B836" s="8"/>
      <c r="C836" s="8"/>
      <c r="D836" s="8"/>
      <c r="E836" s="8"/>
      <c r="F836" s="8"/>
      <c r="G836" s="8"/>
      <c r="H836" s="46"/>
      <c r="I836" s="8"/>
      <c r="J836" s="8"/>
      <c r="K836" s="9"/>
      <c r="L836" s="9"/>
      <c r="M836" s="10" t="s">
        <v>10</v>
      </c>
    </row>
    <row r="837" spans="2:13" x14ac:dyDescent="0.25">
      <c r="B837" s="8"/>
      <c r="C837" s="8"/>
      <c r="D837" s="8"/>
      <c r="E837" s="8"/>
      <c r="F837" s="8"/>
      <c r="G837" s="8"/>
      <c r="H837" s="46"/>
      <c r="I837" s="8"/>
      <c r="J837" s="8"/>
      <c r="K837" s="9"/>
      <c r="L837" s="9"/>
      <c r="M837" s="10" t="s">
        <v>10</v>
      </c>
    </row>
    <row r="838" spans="2:13" x14ac:dyDescent="0.25">
      <c r="B838" s="8"/>
      <c r="C838" s="8"/>
      <c r="D838" s="8"/>
      <c r="E838" s="8"/>
      <c r="F838" s="8"/>
      <c r="G838" s="8"/>
      <c r="H838" s="46"/>
      <c r="I838" s="8"/>
      <c r="J838" s="8"/>
      <c r="K838" s="9"/>
      <c r="L838" s="9"/>
      <c r="M838" s="10" t="s">
        <v>10</v>
      </c>
    </row>
    <row r="839" spans="2:13" x14ac:dyDescent="0.25">
      <c r="B839" s="8"/>
      <c r="C839" s="8"/>
      <c r="D839" s="8"/>
      <c r="E839" s="8"/>
      <c r="F839" s="8"/>
      <c r="G839" s="8"/>
      <c r="H839" s="46"/>
      <c r="I839" s="8"/>
      <c r="J839" s="8"/>
      <c r="K839" s="9"/>
      <c r="L839" s="9"/>
      <c r="M839" s="10" t="s">
        <v>10</v>
      </c>
    </row>
    <row r="840" spans="2:13" x14ac:dyDescent="0.25">
      <c r="B840" s="8"/>
      <c r="C840" s="8"/>
      <c r="D840" s="8"/>
      <c r="E840" s="8"/>
      <c r="F840" s="8"/>
      <c r="G840" s="8"/>
      <c r="H840" s="46"/>
      <c r="I840" s="8"/>
      <c r="J840" s="8"/>
      <c r="K840" s="9"/>
      <c r="L840" s="9"/>
      <c r="M840" s="10" t="s">
        <v>10</v>
      </c>
    </row>
    <row r="841" spans="2:13" x14ac:dyDescent="0.25">
      <c r="B841" s="8"/>
      <c r="C841" s="8"/>
      <c r="D841" s="8"/>
      <c r="E841" s="8"/>
      <c r="F841" s="8"/>
      <c r="G841" s="8"/>
      <c r="H841" s="46"/>
      <c r="I841" s="8"/>
      <c r="J841" s="8"/>
      <c r="K841" s="9"/>
      <c r="L841" s="9"/>
      <c r="M841" s="10" t="s">
        <v>10</v>
      </c>
    </row>
    <row r="842" spans="2:13" x14ac:dyDescent="0.25">
      <c r="B842" s="8"/>
      <c r="C842" s="8"/>
      <c r="D842" s="8"/>
      <c r="E842" s="8"/>
      <c r="F842" s="8"/>
      <c r="G842" s="8"/>
      <c r="H842" s="46"/>
      <c r="I842" s="8"/>
      <c r="J842" s="8"/>
      <c r="K842" s="9"/>
      <c r="L842" s="9"/>
      <c r="M842" s="10" t="s">
        <v>10</v>
      </c>
    </row>
    <row r="843" spans="2:13" x14ac:dyDescent="0.25">
      <c r="B843" s="8"/>
      <c r="C843" s="8"/>
      <c r="D843" s="8"/>
      <c r="E843" s="8"/>
      <c r="F843" s="8"/>
      <c r="G843" s="8"/>
      <c r="H843" s="46"/>
      <c r="I843" s="8"/>
      <c r="J843" s="8"/>
      <c r="K843" s="9"/>
      <c r="L843" s="9"/>
      <c r="M843" s="10" t="s">
        <v>10</v>
      </c>
    </row>
    <row r="844" spans="2:13" x14ac:dyDescent="0.25">
      <c r="B844" s="8"/>
      <c r="C844" s="8"/>
      <c r="D844" s="8"/>
      <c r="E844" s="8"/>
      <c r="F844" s="8"/>
      <c r="G844" s="8"/>
      <c r="H844" s="46"/>
      <c r="I844" s="8"/>
      <c r="J844" s="8"/>
      <c r="K844" s="9"/>
      <c r="L844" s="9"/>
      <c r="M844" s="10" t="s">
        <v>10</v>
      </c>
    </row>
    <row r="845" spans="2:13" x14ac:dyDescent="0.25">
      <c r="B845" s="8"/>
      <c r="C845" s="8"/>
      <c r="D845" s="8"/>
      <c r="E845" s="8"/>
      <c r="F845" s="8"/>
      <c r="G845" s="8"/>
      <c r="H845" s="46"/>
      <c r="I845" s="8"/>
      <c r="J845" s="8"/>
      <c r="K845" s="9"/>
      <c r="L845" s="9"/>
      <c r="M845" s="10" t="s">
        <v>10</v>
      </c>
    </row>
    <row r="846" spans="2:13" x14ac:dyDescent="0.25">
      <c r="B846" s="8"/>
      <c r="C846" s="8"/>
      <c r="D846" s="8"/>
      <c r="E846" s="8"/>
      <c r="F846" s="8"/>
      <c r="G846" s="8"/>
      <c r="H846" s="46"/>
      <c r="I846" s="8"/>
      <c r="J846" s="8"/>
      <c r="K846" s="9"/>
      <c r="L846" s="9"/>
      <c r="M846" s="10" t="s">
        <v>10</v>
      </c>
    </row>
    <row r="847" spans="2:13" x14ac:dyDescent="0.25">
      <c r="B847" s="8"/>
      <c r="C847" s="8"/>
      <c r="D847" s="8"/>
      <c r="E847" s="8"/>
      <c r="F847" s="8"/>
      <c r="G847" s="8"/>
      <c r="H847" s="46"/>
      <c r="I847" s="8"/>
      <c r="J847" s="8"/>
      <c r="K847" s="9"/>
      <c r="L847" s="9"/>
      <c r="M847" s="10" t="s">
        <v>10</v>
      </c>
    </row>
    <row r="848" spans="2:13" x14ac:dyDescent="0.25">
      <c r="B848" s="8"/>
      <c r="C848" s="8"/>
      <c r="D848" s="8"/>
      <c r="E848" s="8"/>
      <c r="F848" s="8"/>
      <c r="G848" s="8"/>
      <c r="H848" s="46"/>
      <c r="I848" s="8"/>
      <c r="J848" s="8"/>
      <c r="K848" s="9"/>
      <c r="L848" s="9"/>
      <c r="M848" s="10" t="s">
        <v>10</v>
      </c>
    </row>
    <row r="849" spans="2:13" x14ac:dyDescent="0.25">
      <c r="B849" s="8"/>
      <c r="C849" s="8"/>
      <c r="D849" s="8"/>
      <c r="E849" s="8"/>
      <c r="F849" s="8"/>
      <c r="G849" s="8"/>
      <c r="H849" s="46"/>
      <c r="I849" s="8"/>
      <c r="J849" s="8"/>
      <c r="K849" s="9"/>
      <c r="L849" s="9"/>
      <c r="M849" s="10" t="s">
        <v>10</v>
      </c>
    </row>
    <row r="850" spans="2:13" x14ac:dyDescent="0.25">
      <c r="B850" s="8"/>
      <c r="C850" s="8"/>
      <c r="D850" s="8"/>
      <c r="E850" s="8"/>
      <c r="F850" s="8"/>
      <c r="G850" s="8"/>
      <c r="H850" s="46"/>
      <c r="I850" s="8"/>
      <c r="J850" s="8"/>
      <c r="K850" s="9"/>
      <c r="L850" s="9"/>
      <c r="M850" s="10" t="s">
        <v>10</v>
      </c>
    </row>
    <row r="851" spans="2:13" x14ac:dyDescent="0.25">
      <c r="B851" s="8"/>
      <c r="C851" s="8"/>
      <c r="D851" s="8"/>
      <c r="E851" s="8"/>
      <c r="F851" s="8"/>
      <c r="G851" s="8"/>
      <c r="H851" s="46"/>
      <c r="I851" s="8"/>
      <c r="J851" s="8"/>
      <c r="K851" s="9"/>
      <c r="L851" s="9"/>
      <c r="M851" s="10" t="s">
        <v>10</v>
      </c>
    </row>
    <row r="852" spans="2:13" x14ac:dyDescent="0.25">
      <c r="B852" s="8"/>
      <c r="C852" s="8"/>
      <c r="D852" s="8"/>
      <c r="E852" s="8"/>
      <c r="F852" s="8"/>
      <c r="G852" s="8"/>
      <c r="H852" s="46"/>
      <c r="I852" s="8"/>
      <c r="J852" s="8"/>
      <c r="K852" s="9"/>
      <c r="L852" s="9"/>
      <c r="M852" s="10" t="s">
        <v>10</v>
      </c>
    </row>
    <row r="853" spans="2:13" x14ac:dyDescent="0.25">
      <c r="B853" s="8"/>
      <c r="C853" s="8"/>
      <c r="D853" s="8"/>
      <c r="E853" s="8"/>
      <c r="F853" s="8"/>
      <c r="G853" s="8"/>
      <c r="H853" s="46"/>
      <c r="I853" s="8"/>
      <c r="J853" s="8"/>
      <c r="K853" s="9"/>
      <c r="L853" s="9"/>
      <c r="M853" s="10" t="s">
        <v>10</v>
      </c>
    </row>
    <row r="854" spans="2:13" x14ac:dyDescent="0.25">
      <c r="B854" s="8"/>
      <c r="C854" s="8"/>
      <c r="D854" s="8"/>
      <c r="E854" s="8"/>
      <c r="F854" s="8"/>
      <c r="G854" s="8"/>
      <c r="H854" s="46"/>
      <c r="I854" s="8"/>
      <c r="J854" s="8"/>
      <c r="K854" s="9"/>
      <c r="L854" s="9"/>
      <c r="M854" s="10" t="s">
        <v>10</v>
      </c>
    </row>
    <row r="855" spans="2:13" x14ac:dyDescent="0.25">
      <c r="B855" s="8"/>
      <c r="C855" s="8"/>
      <c r="D855" s="8"/>
      <c r="E855" s="8"/>
      <c r="F855" s="8"/>
      <c r="G855" s="8"/>
      <c r="H855" s="46"/>
      <c r="I855" s="8"/>
      <c r="J855" s="8"/>
      <c r="K855" s="9"/>
      <c r="L855" s="9"/>
      <c r="M855" s="10" t="s">
        <v>10</v>
      </c>
    </row>
    <row r="856" spans="2:13" x14ac:dyDescent="0.25">
      <c r="B856" s="8"/>
      <c r="C856" s="8"/>
      <c r="D856" s="8"/>
      <c r="E856" s="8"/>
      <c r="F856" s="8"/>
      <c r="G856" s="8"/>
      <c r="H856" s="46"/>
      <c r="I856" s="8"/>
      <c r="J856" s="8"/>
      <c r="K856" s="9"/>
      <c r="L856" s="9"/>
      <c r="M856" s="10" t="s">
        <v>10</v>
      </c>
    </row>
    <row r="857" spans="2:13" x14ac:dyDescent="0.25">
      <c r="B857" s="8"/>
      <c r="C857" s="8"/>
      <c r="D857" s="8"/>
      <c r="E857" s="8"/>
      <c r="F857" s="8"/>
      <c r="G857" s="8"/>
      <c r="H857" s="46"/>
      <c r="I857" s="8"/>
      <c r="J857" s="8"/>
      <c r="K857" s="9"/>
      <c r="L857" s="9"/>
      <c r="M857" s="10" t="s">
        <v>10</v>
      </c>
    </row>
    <row r="858" spans="2:13" x14ac:dyDescent="0.25">
      <c r="B858" s="8"/>
      <c r="C858" s="8"/>
      <c r="D858" s="8"/>
      <c r="E858" s="8"/>
      <c r="F858" s="8"/>
      <c r="G858" s="8"/>
      <c r="H858" s="46"/>
      <c r="I858" s="8"/>
      <c r="J858" s="8"/>
      <c r="K858" s="9"/>
      <c r="L858" s="9"/>
      <c r="M858" s="10" t="s">
        <v>10</v>
      </c>
    </row>
    <row r="859" spans="2:13" x14ac:dyDescent="0.25">
      <c r="B859" s="8"/>
      <c r="C859" s="8"/>
      <c r="D859" s="8"/>
      <c r="E859" s="8"/>
      <c r="F859" s="8"/>
      <c r="G859" s="8"/>
      <c r="H859" s="46"/>
      <c r="I859" s="8"/>
      <c r="J859" s="8"/>
      <c r="K859" s="9"/>
      <c r="L859" s="9"/>
      <c r="M859" s="10" t="s">
        <v>10</v>
      </c>
    </row>
    <row r="860" spans="2:13" x14ac:dyDescent="0.25">
      <c r="B860" s="8"/>
      <c r="C860" s="8"/>
      <c r="D860" s="8"/>
      <c r="E860" s="8"/>
      <c r="F860" s="8"/>
      <c r="G860" s="8"/>
      <c r="H860" s="46"/>
      <c r="I860" s="8"/>
      <c r="J860" s="8"/>
      <c r="K860" s="9"/>
      <c r="L860" s="9"/>
      <c r="M860" s="10" t="s">
        <v>10</v>
      </c>
    </row>
    <row r="861" spans="2:13" x14ac:dyDescent="0.25">
      <c r="B861" s="8"/>
      <c r="C861" s="8"/>
      <c r="D861" s="8"/>
      <c r="E861" s="8"/>
      <c r="F861" s="8"/>
      <c r="G861" s="8"/>
      <c r="H861" s="46"/>
      <c r="I861" s="8"/>
      <c r="J861" s="8"/>
      <c r="K861" s="9"/>
      <c r="L861" s="9"/>
      <c r="M861" s="10" t="s">
        <v>10</v>
      </c>
    </row>
    <row r="862" spans="2:13" x14ac:dyDescent="0.25">
      <c r="B862" s="8"/>
      <c r="C862" s="8"/>
      <c r="D862" s="8"/>
      <c r="E862" s="8"/>
      <c r="F862" s="8"/>
      <c r="G862" s="8"/>
      <c r="H862" s="46"/>
      <c r="I862" s="8"/>
      <c r="J862" s="8"/>
      <c r="K862" s="9"/>
      <c r="L862" s="9"/>
      <c r="M862" s="10" t="s">
        <v>10</v>
      </c>
    </row>
    <row r="863" spans="2:13" x14ac:dyDescent="0.25">
      <c r="B863" s="8"/>
      <c r="C863" s="8"/>
      <c r="D863" s="8"/>
      <c r="E863" s="8"/>
      <c r="F863" s="8"/>
      <c r="G863" s="8"/>
      <c r="H863" s="46"/>
      <c r="I863" s="8"/>
      <c r="J863" s="8"/>
      <c r="K863" s="9"/>
      <c r="L863" s="9"/>
      <c r="M863" s="10" t="s">
        <v>10</v>
      </c>
    </row>
    <row r="864" spans="2:13" x14ac:dyDescent="0.25">
      <c r="B864" s="8"/>
      <c r="C864" s="8"/>
      <c r="D864" s="8"/>
      <c r="E864" s="8"/>
      <c r="F864" s="8"/>
      <c r="G864" s="8"/>
      <c r="H864" s="46"/>
      <c r="I864" s="8"/>
      <c r="J864" s="8"/>
      <c r="K864" s="9"/>
      <c r="L864" s="9"/>
      <c r="M864" s="10" t="s">
        <v>10</v>
      </c>
    </row>
    <row r="865" spans="2:13" x14ac:dyDescent="0.25">
      <c r="B865" s="8"/>
      <c r="C865" s="8"/>
      <c r="D865" s="8"/>
      <c r="E865" s="8"/>
      <c r="F865" s="8"/>
      <c r="G865" s="8"/>
      <c r="H865" s="46"/>
      <c r="I865" s="8"/>
      <c r="J865" s="8"/>
      <c r="K865" s="9"/>
      <c r="L865" s="9"/>
      <c r="M865" s="10" t="s">
        <v>10</v>
      </c>
    </row>
    <row r="866" spans="2:13" x14ac:dyDescent="0.25">
      <c r="B866" s="8"/>
      <c r="C866" s="8"/>
      <c r="D866" s="8"/>
      <c r="E866" s="8"/>
      <c r="F866" s="8"/>
      <c r="G866" s="8"/>
      <c r="H866" s="46"/>
      <c r="I866" s="8"/>
      <c r="J866" s="8"/>
      <c r="K866" s="9"/>
      <c r="L866" s="9"/>
      <c r="M866" s="10" t="s">
        <v>10</v>
      </c>
    </row>
    <row r="867" spans="2:13" x14ac:dyDescent="0.25">
      <c r="B867" s="8"/>
      <c r="C867" s="8"/>
      <c r="D867" s="8"/>
      <c r="E867" s="8"/>
      <c r="F867" s="8"/>
      <c r="G867" s="8"/>
      <c r="H867" s="46"/>
      <c r="I867" s="8"/>
      <c r="J867" s="8"/>
      <c r="K867" s="9"/>
      <c r="L867" s="9"/>
      <c r="M867" s="10" t="s">
        <v>10</v>
      </c>
    </row>
    <row r="868" spans="2:13" x14ac:dyDescent="0.25">
      <c r="B868" s="8"/>
      <c r="C868" s="8"/>
      <c r="D868" s="8"/>
      <c r="E868" s="8"/>
      <c r="F868" s="8"/>
      <c r="G868" s="8"/>
      <c r="H868" s="46"/>
      <c r="I868" s="8"/>
      <c r="J868" s="8"/>
      <c r="K868" s="9"/>
      <c r="L868" s="9"/>
      <c r="M868" s="10" t="s">
        <v>10</v>
      </c>
    </row>
    <row r="869" spans="2:13" x14ac:dyDescent="0.25">
      <c r="B869" s="8"/>
      <c r="C869" s="8"/>
      <c r="D869" s="8"/>
      <c r="E869" s="8"/>
      <c r="F869" s="8"/>
      <c r="G869" s="8"/>
      <c r="H869" s="46"/>
      <c r="I869" s="8"/>
      <c r="J869" s="8"/>
      <c r="K869" s="9"/>
      <c r="L869" s="9"/>
      <c r="M869" s="10" t="s">
        <v>10</v>
      </c>
    </row>
    <row r="870" spans="2:13" x14ac:dyDescent="0.25">
      <c r="B870" s="8"/>
      <c r="C870" s="8"/>
      <c r="D870" s="8"/>
      <c r="E870" s="8"/>
      <c r="F870" s="8"/>
      <c r="G870" s="8"/>
      <c r="H870" s="46"/>
      <c r="I870" s="8"/>
      <c r="J870" s="8"/>
      <c r="K870" s="9"/>
      <c r="L870" s="9"/>
      <c r="M870" s="10" t="s">
        <v>10</v>
      </c>
    </row>
    <row r="871" spans="2:13" x14ac:dyDescent="0.25">
      <c r="B871" s="8"/>
      <c r="C871" s="8"/>
      <c r="D871" s="8"/>
      <c r="E871" s="8"/>
      <c r="F871" s="8"/>
      <c r="G871" s="8"/>
      <c r="H871" s="46"/>
      <c r="I871" s="8"/>
      <c r="J871" s="8"/>
      <c r="K871" s="9"/>
      <c r="L871" s="9"/>
      <c r="M871" s="10" t="s">
        <v>10</v>
      </c>
    </row>
    <row r="872" spans="2:13" x14ac:dyDescent="0.25">
      <c r="B872" s="8"/>
      <c r="C872" s="8"/>
      <c r="D872" s="8"/>
      <c r="E872" s="8"/>
      <c r="F872" s="8"/>
      <c r="G872" s="8"/>
      <c r="H872" s="46"/>
      <c r="I872" s="8"/>
      <c r="J872" s="8"/>
      <c r="K872" s="9"/>
      <c r="L872" s="9"/>
      <c r="M872" s="10" t="s">
        <v>10</v>
      </c>
    </row>
    <row r="873" spans="2:13" x14ac:dyDescent="0.25">
      <c r="B873" s="8"/>
      <c r="C873" s="8"/>
      <c r="D873" s="8"/>
      <c r="E873" s="8"/>
      <c r="F873" s="8"/>
      <c r="G873" s="8"/>
      <c r="H873" s="46"/>
      <c r="I873" s="8"/>
      <c r="J873" s="8"/>
      <c r="K873" s="9"/>
      <c r="L873" s="9"/>
      <c r="M873" s="10" t="s">
        <v>10</v>
      </c>
    </row>
    <row r="874" spans="2:13" x14ac:dyDescent="0.25">
      <c r="B874" s="8"/>
      <c r="C874" s="8"/>
      <c r="D874" s="8"/>
      <c r="E874" s="8"/>
      <c r="F874" s="8"/>
      <c r="G874" s="8"/>
      <c r="H874" s="46"/>
      <c r="I874" s="8"/>
      <c r="J874" s="8"/>
      <c r="K874" s="9"/>
      <c r="L874" s="9"/>
      <c r="M874" s="10" t="s">
        <v>10</v>
      </c>
    </row>
    <row r="875" spans="2:13" x14ac:dyDescent="0.25">
      <c r="B875" s="8"/>
      <c r="C875" s="8"/>
      <c r="D875" s="8"/>
      <c r="E875" s="8"/>
      <c r="F875" s="8"/>
      <c r="G875" s="8"/>
      <c r="H875" s="46"/>
      <c r="I875" s="8"/>
      <c r="J875" s="8"/>
      <c r="K875" s="9"/>
      <c r="L875" s="9"/>
      <c r="M875" s="10" t="s">
        <v>10</v>
      </c>
    </row>
    <row r="876" spans="2:13" x14ac:dyDescent="0.25">
      <c r="B876" s="8"/>
      <c r="C876" s="8"/>
      <c r="D876" s="8"/>
      <c r="E876" s="8"/>
      <c r="F876" s="8"/>
      <c r="G876" s="8"/>
      <c r="H876" s="46"/>
      <c r="I876" s="8"/>
      <c r="J876" s="8"/>
      <c r="K876" s="9"/>
      <c r="L876" s="9"/>
      <c r="M876" s="10" t="s">
        <v>10</v>
      </c>
    </row>
    <row r="877" spans="2:13" x14ac:dyDescent="0.25">
      <c r="B877" s="8"/>
      <c r="C877" s="8"/>
      <c r="D877" s="8"/>
      <c r="E877" s="8"/>
      <c r="F877" s="8"/>
      <c r="G877" s="8"/>
      <c r="H877" s="46"/>
      <c r="I877" s="8"/>
      <c r="J877" s="8"/>
      <c r="K877" s="9"/>
      <c r="L877" s="9"/>
      <c r="M877" s="10" t="s">
        <v>10</v>
      </c>
    </row>
    <row r="878" spans="2:13" x14ac:dyDescent="0.25">
      <c r="B878" s="8"/>
      <c r="C878" s="8"/>
      <c r="D878" s="8"/>
      <c r="E878" s="8"/>
      <c r="F878" s="8"/>
      <c r="G878" s="8"/>
      <c r="H878" s="46"/>
      <c r="I878" s="8"/>
      <c r="J878" s="8"/>
      <c r="K878" s="9"/>
      <c r="L878" s="9"/>
      <c r="M878" s="10" t="s">
        <v>10</v>
      </c>
    </row>
    <row r="879" spans="2:13" x14ac:dyDescent="0.25">
      <c r="B879" s="8"/>
      <c r="C879" s="8"/>
      <c r="D879" s="8"/>
      <c r="E879" s="8"/>
      <c r="F879" s="8"/>
      <c r="G879" s="8"/>
      <c r="H879" s="46"/>
      <c r="I879" s="8"/>
      <c r="J879" s="8"/>
      <c r="K879" s="9"/>
      <c r="L879" s="9"/>
      <c r="M879" s="10" t="s">
        <v>10</v>
      </c>
    </row>
    <row r="880" spans="2:13" x14ac:dyDescent="0.25">
      <c r="B880" s="8"/>
      <c r="C880" s="8"/>
      <c r="D880" s="8"/>
      <c r="E880" s="8"/>
      <c r="F880" s="8"/>
      <c r="G880" s="8"/>
      <c r="H880" s="46"/>
      <c r="I880" s="8"/>
      <c r="J880" s="8"/>
      <c r="K880" s="9"/>
      <c r="L880" s="9"/>
      <c r="M880" s="10" t="s">
        <v>10</v>
      </c>
    </row>
    <row r="881" spans="2:13" x14ac:dyDescent="0.25">
      <c r="B881" s="8"/>
      <c r="C881" s="8"/>
      <c r="D881" s="8"/>
      <c r="E881" s="8"/>
      <c r="F881" s="8"/>
      <c r="G881" s="8"/>
      <c r="H881" s="46"/>
      <c r="I881" s="8"/>
      <c r="J881" s="8"/>
      <c r="K881" s="9"/>
      <c r="L881" s="9"/>
      <c r="M881" s="10" t="s">
        <v>10</v>
      </c>
    </row>
    <row r="882" spans="2:13" x14ac:dyDescent="0.25">
      <c r="B882" s="8"/>
      <c r="C882" s="8"/>
      <c r="D882" s="8"/>
      <c r="E882" s="8"/>
      <c r="F882" s="8"/>
      <c r="G882" s="8"/>
      <c r="H882" s="46"/>
      <c r="I882" s="8"/>
      <c r="J882" s="8"/>
      <c r="K882" s="9"/>
      <c r="L882" s="9"/>
      <c r="M882" s="10" t="s">
        <v>10</v>
      </c>
    </row>
    <row r="883" spans="2:13" x14ac:dyDescent="0.25">
      <c r="B883" s="8"/>
      <c r="C883" s="8"/>
      <c r="D883" s="8"/>
      <c r="E883" s="8"/>
      <c r="F883" s="8"/>
      <c r="G883" s="8"/>
      <c r="H883" s="46"/>
      <c r="I883" s="8"/>
      <c r="J883" s="8"/>
      <c r="K883" s="9"/>
      <c r="L883" s="9"/>
      <c r="M883" s="10" t="s">
        <v>10</v>
      </c>
    </row>
    <row r="884" spans="2:13" x14ac:dyDescent="0.25">
      <c r="B884" s="8"/>
      <c r="C884" s="8"/>
      <c r="D884" s="8"/>
      <c r="E884" s="8"/>
      <c r="F884" s="8"/>
      <c r="G884" s="8"/>
      <c r="H884" s="46"/>
      <c r="I884" s="8"/>
      <c r="J884" s="8"/>
      <c r="K884" s="9"/>
      <c r="L884" s="9"/>
      <c r="M884" s="10" t="s">
        <v>10</v>
      </c>
    </row>
    <row r="885" spans="2:13" x14ac:dyDescent="0.25">
      <c r="B885" s="8"/>
      <c r="C885" s="8"/>
      <c r="D885" s="8"/>
      <c r="E885" s="8"/>
      <c r="F885" s="8"/>
      <c r="G885" s="8"/>
      <c r="H885" s="46"/>
      <c r="I885" s="8"/>
      <c r="J885" s="8"/>
      <c r="K885" s="9"/>
      <c r="L885" s="9"/>
      <c r="M885" s="10" t="s">
        <v>10</v>
      </c>
    </row>
    <row r="886" spans="2:13" x14ac:dyDescent="0.25">
      <c r="B886" s="8"/>
      <c r="C886" s="8"/>
      <c r="D886" s="8"/>
      <c r="E886" s="8"/>
      <c r="F886" s="8"/>
      <c r="G886" s="8"/>
      <c r="H886" s="46"/>
      <c r="I886" s="8"/>
      <c r="J886" s="8"/>
      <c r="K886" s="9"/>
      <c r="L886" s="9"/>
      <c r="M886" s="10" t="s">
        <v>10</v>
      </c>
    </row>
    <row r="887" spans="2:13" x14ac:dyDescent="0.25">
      <c r="B887" s="8"/>
      <c r="C887" s="8"/>
      <c r="D887" s="8"/>
      <c r="E887" s="8"/>
      <c r="F887" s="8"/>
      <c r="G887" s="8"/>
      <c r="H887" s="46"/>
      <c r="I887" s="8"/>
      <c r="J887" s="8"/>
      <c r="K887" s="9"/>
      <c r="L887" s="9"/>
      <c r="M887" s="10" t="s">
        <v>10</v>
      </c>
    </row>
    <row r="888" spans="2:13" x14ac:dyDescent="0.25">
      <c r="B888" s="8"/>
      <c r="C888" s="8"/>
      <c r="D888" s="8"/>
      <c r="E888" s="8"/>
      <c r="F888" s="8"/>
      <c r="G888" s="8"/>
      <c r="H888" s="46"/>
      <c r="I888" s="8"/>
      <c r="J888" s="8"/>
      <c r="K888" s="9"/>
      <c r="L888" s="9"/>
      <c r="M888" s="10" t="s">
        <v>10</v>
      </c>
    </row>
    <row r="889" spans="2:13" x14ac:dyDescent="0.25">
      <c r="B889" s="8"/>
      <c r="C889" s="8"/>
      <c r="D889" s="8"/>
      <c r="E889" s="8"/>
      <c r="F889" s="8"/>
      <c r="G889" s="8"/>
      <c r="H889" s="46"/>
      <c r="I889" s="8"/>
      <c r="J889" s="8"/>
      <c r="K889" s="9"/>
      <c r="L889" s="9"/>
      <c r="M889" s="10" t="s">
        <v>10</v>
      </c>
    </row>
    <row r="890" spans="2:13" x14ac:dyDescent="0.25">
      <c r="B890" s="8"/>
      <c r="C890" s="8"/>
      <c r="D890" s="8"/>
      <c r="E890" s="8"/>
      <c r="F890" s="8"/>
      <c r="G890" s="8"/>
      <c r="H890" s="46"/>
      <c r="I890" s="8"/>
      <c r="J890" s="8"/>
      <c r="K890" s="9"/>
      <c r="L890" s="9"/>
      <c r="M890" s="10" t="s">
        <v>10</v>
      </c>
    </row>
    <row r="891" spans="2:13" x14ac:dyDescent="0.25">
      <c r="B891" s="8"/>
      <c r="C891" s="8"/>
      <c r="D891" s="8"/>
      <c r="E891" s="8"/>
      <c r="F891" s="8"/>
      <c r="G891" s="8"/>
      <c r="H891" s="46"/>
      <c r="I891" s="8"/>
      <c r="J891" s="8"/>
      <c r="K891" s="9"/>
      <c r="L891" s="9"/>
      <c r="M891" s="10" t="s">
        <v>10</v>
      </c>
    </row>
    <row r="892" spans="2:13" x14ac:dyDescent="0.25">
      <c r="B892" s="8"/>
      <c r="C892" s="8"/>
      <c r="D892" s="8"/>
      <c r="E892" s="8"/>
      <c r="F892" s="8"/>
      <c r="G892" s="8"/>
      <c r="H892" s="46"/>
      <c r="I892" s="8"/>
      <c r="J892" s="8"/>
      <c r="K892" s="9"/>
      <c r="L892" s="9"/>
      <c r="M892" s="10" t="s">
        <v>10</v>
      </c>
    </row>
    <row r="893" spans="2:13" x14ac:dyDescent="0.25">
      <c r="B893" s="8"/>
      <c r="C893" s="8"/>
      <c r="D893" s="8"/>
      <c r="E893" s="8"/>
      <c r="F893" s="8"/>
      <c r="G893" s="8"/>
      <c r="H893" s="46"/>
      <c r="I893" s="8"/>
      <c r="J893" s="8"/>
      <c r="K893" s="9"/>
      <c r="L893" s="9"/>
      <c r="M893" s="10" t="s">
        <v>10</v>
      </c>
    </row>
    <row r="894" spans="2:13" x14ac:dyDescent="0.25">
      <c r="B894" s="8"/>
      <c r="C894" s="8"/>
      <c r="D894" s="8"/>
      <c r="E894" s="8"/>
      <c r="F894" s="8"/>
      <c r="G894" s="8"/>
      <c r="H894" s="46"/>
      <c r="I894" s="8"/>
      <c r="J894" s="8"/>
      <c r="K894" s="9"/>
      <c r="L894" s="9"/>
      <c r="M894" s="10" t="s">
        <v>10</v>
      </c>
    </row>
    <row r="895" spans="2:13" x14ac:dyDescent="0.25">
      <c r="B895" s="8"/>
      <c r="C895" s="8"/>
      <c r="D895" s="8"/>
      <c r="E895" s="8"/>
      <c r="F895" s="8"/>
      <c r="G895" s="8"/>
      <c r="H895" s="46"/>
      <c r="I895" s="8"/>
      <c r="J895" s="8"/>
      <c r="K895" s="9"/>
      <c r="L895" s="9"/>
      <c r="M895" s="10" t="s">
        <v>10</v>
      </c>
    </row>
    <row r="896" spans="2:13" x14ac:dyDescent="0.25">
      <c r="B896" s="8"/>
      <c r="C896" s="8"/>
      <c r="D896" s="8"/>
      <c r="E896" s="8"/>
      <c r="F896" s="8"/>
      <c r="G896" s="8"/>
      <c r="H896" s="46"/>
      <c r="I896" s="8"/>
      <c r="J896" s="8"/>
      <c r="K896" s="9"/>
      <c r="L896" s="9"/>
      <c r="M896" s="10" t="s">
        <v>10</v>
      </c>
    </row>
    <row r="897" spans="2:13" x14ac:dyDescent="0.25">
      <c r="B897" s="8"/>
      <c r="C897" s="8"/>
      <c r="D897" s="8"/>
      <c r="E897" s="8"/>
      <c r="F897" s="8"/>
      <c r="G897" s="8"/>
      <c r="H897" s="46"/>
      <c r="I897" s="8"/>
      <c r="J897" s="8"/>
      <c r="K897" s="9"/>
      <c r="L897" s="9"/>
      <c r="M897" s="10" t="s">
        <v>10</v>
      </c>
    </row>
    <row r="898" spans="2:13" x14ac:dyDescent="0.25">
      <c r="B898" s="8"/>
      <c r="C898" s="8"/>
      <c r="D898" s="8"/>
      <c r="E898" s="8"/>
      <c r="F898" s="8"/>
      <c r="G898" s="8"/>
      <c r="H898" s="46"/>
      <c r="I898" s="8"/>
      <c r="J898" s="8"/>
      <c r="K898" s="9"/>
      <c r="L898" s="9"/>
      <c r="M898" s="10" t="s">
        <v>10</v>
      </c>
    </row>
    <row r="899" spans="2:13" x14ac:dyDescent="0.25">
      <c r="B899" s="8"/>
      <c r="C899" s="8"/>
      <c r="D899" s="8"/>
      <c r="E899" s="8"/>
      <c r="F899" s="8"/>
      <c r="G899" s="8"/>
      <c r="H899" s="46"/>
      <c r="I899" s="8"/>
      <c r="J899" s="8"/>
      <c r="K899" s="9"/>
      <c r="L899" s="9"/>
      <c r="M899" s="10" t="s">
        <v>10</v>
      </c>
    </row>
    <row r="900" spans="2:13" x14ac:dyDescent="0.25">
      <c r="B900" s="8"/>
      <c r="C900" s="8"/>
      <c r="D900" s="8"/>
      <c r="E900" s="8"/>
      <c r="F900" s="8"/>
      <c r="G900" s="8"/>
      <c r="H900" s="46"/>
      <c r="I900" s="8"/>
      <c r="J900" s="8"/>
      <c r="K900" s="9"/>
      <c r="L900" s="9"/>
      <c r="M900" s="10" t="s">
        <v>10</v>
      </c>
    </row>
    <row r="901" spans="2:13" x14ac:dyDescent="0.25">
      <c r="B901" s="8"/>
      <c r="C901" s="8"/>
      <c r="D901" s="8"/>
      <c r="E901" s="8"/>
      <c r="F901" s="8"/>
      <c r="G901" s="8"/>
      <c r="H901" s="46"/>
      <c r="I901" s="8"/>
      <c r="J901" s="8"/>
      <c r="K901" s="9"/>
      <c r="L901" s="9"/>
      <c r="M901" s="10" t="s">
        <v>10</v>
      </c>
    </row>
    <row r="902" spans="2:13" x14ac:dyDescent="0.25">
      <c r="B902" s="8"/>
      <c r="C902" s="8"/>
      <c r="D902" s="8"/>
      <c r="E902" s="8"/>
      <c r="F902" s="8"/>
      <c r="G902" s="8"/>
      <c r="H902" s="46"/>
      <c r="I902" s="8"/>
      <c r="J902" s="8"/>
      <c r="K902" s="9"/>
      <c r="L902" s="9"/>
      <c r="M902" s="10" t="s">
        <v>10</v>
      </c>
    </row>
    <row r="903" spans="2:13" x14ac:dyDescent="0.25">
      <c r="B903" s="8"/>
      <c r="C903" s="8"/>
      <c r="D903" s="8"/>
      <c r="E903" s="8"/>
      <c r="F903" s="8"/>
      <c r="G903" s="8"/>
      <c r="H903" s="46"/>
      <c r="I903" s="8"/>
      <c r="J903" s="8"/>
      <c r="K903" s="9"/>
      <c r="L903" s="9"/>
      <c r="M903" s="10" t="s">
        <v>10</v>
      </c>
    </row>
    <row r="904" spans="2:13" x14ac:dyDescent="0.25">
      <c r="B904" s="8"/>
      <c r="C904" s="8"/>
      <c r="D904" s="8"/>
      <c r="E904" s="8"/>
      <c r="F904" s="8"/>
      <c r="G904" s="8"/>
      <c r="H904" s="46"/>
      <c r="I904" s="8"/>
      <c r="J904" s="8"/>
      <c r="K904" s="9"/>
      <c r="L904" s="9"/>
      <c r="M904" s="10" t="s">
        <v>10</v>
      </c>
    </row>
    <row r="905" spans="2:13" x14ac:dyDescent="0.25">
      <c r="B905" s="8"/>
      <c r="C905" s="8"/>
      <c r="D905" s="8"/>
      <c r="E905" s="8"/>
      <c r="F905" s="8"/>
      <c r="G905" s="8"/>
      <c r="H905" s="46"/>
      <c r="I905" s="8"/>
      <c r="J905" s="8"/>
      <c r="K905" s="9"/>
      <c r="L905" s="9"/>
      <c r="M905" s="10" t="s">
        <v>10</v>
      </c>
    </row>
    <row r="906" spans="2:13" x14ac:dyDescent="0.25">
      <c r="B906" s="8"/>
      <c r="C906" s="8"/>
      <c r="D906" s="8"/>
      <c r="E906" s="8"/>
      <c r="F906" s="8"/>
      <c r="G906" s="8"/>
      <c r="H906" s="46"/>
      <c r="I906" s="8"/>
      <c r="J906" s="8"/>
      <c r="K906" s="9"/>
      <c r="L906" s="9"/>
      <c r="M906" s="10" t="s">
        <v>10</v>
      </c>
    </row>
    <row r="907" spans="2:13" x14ac:dyDescent="0.25">
      <c r="B907" s="8"/>
      <c r="C907" s="8"/>
      <c r="D907" s="8"/>
      <c r="E907" s="8"/>
      <c r="F907" s="8"/>
      <c r="G907" s="8"/>
      <c r="H907" s="46"/>
      <c r="I907" s="8"/>
      <c r="J907" s="8"/>
      <c r="K907" s="9"/>
      <c r="L907" s="9"/>
      <c r="M907" s="10" t="s">
        <v>10</v>
      </c>
    </row>
    <row r="908" spans="2:13" x14ac:dyDescent="0.25">
      <c r="B908" s="8"/>
      <c r="C908" s="8"/>
      <c r="D908" s="8"/>
      <c r="E908" s="8"/>
      <c r="F908" s="8"/>
      <c r="G908" s="8"/>
      <c r="H908" s="46"/>
      <c r="I908" s="8"/>
      <c r="J908" s="8"/>
      <c r="K908" s="9"/>
      <c r="L908" s="9"/>
      <c r="M908" s="10" t="s">
        <v>10</v>
      </c>
    </row>
    <row r="909" spans="2:13" x14ac:dyDescent="0.25">
      <c r="B909" s="8"/>
      <c r="C909" s="8"/>
      <c r="D909" s="8"/>
      <c r="E909" s="8"/>
      <c r="F909" s="8"/>
      <c r="G909" s="8"/>
      <c r="H909" s="46"/>
      <c r="I909" s="8"/>
      <c r="J909" s="8"/>
      <c r="K909" s="9"/>
      <c r="L909" s="9"/>
      <c r="M909" s="10" t="s">
        <v>10</v>
      </c>
    </row>
    <row r="910" spans="2:13" x14ac:dyDescent="0.25">
      <c r="B910" s="8"/>
      <c r="C910" s="8"/>
      <c r="D910" s="8"/>
      <c r="E910" s="8"/>
      <c r="F910" s="8"/>
      <c r="G910" s="8"/>
      <c r="H910" s="46"/>
      <c r="I910" s="8"/>
      <c r="J910" s="8"/>
      <c r="K910" s="9"/>
      <c r="L910" s="9"/>
      <c r="M910" s="10" t="s">
        <v>10</v>
      </c>
    </row>
    <row r="911" spans="2:13" x14ac:dyDescent="0.25">
      <c r="B911" s="8"/>
      <c r="C911" s="8"/>
      <c r="D911" s="8"/>
      <c r="E911" s="8"/>
      <c r="F911" s="8"/>
      <c r="G911" s="8"/>
      <c r="H911" s="46"/>
      <c r="I911" s="8"/>
      <c r="J911" s="8"/>
      <c r="K911" s="9"/>
      <c r="L911" s="9"/>
      <c r="M911" s="10" t="s">
        <v>10</v>
      </c>
    </row>
    <row r="912" spans="2:13" x14ac:dyDescent="0.25">
      <c r="B912" s="8"/>
      <c r="C912" s="8"/>
      <c r="D912" s="8"/>
      <c r="E912" s="8"/>
      <c r="F912" s="8"/>
      <c r="G912" s="8"/>
      <c r="H912" s="46"/>
      <c r="I912" s="8"/>
      <c r="J912" s="8"/>
      <c r="K912" s="9"/>
      <c r="L912" s="9"/>
      <c r="M912" s="10" t="s">
        <v>10</v>
      </c>
    </row>
    <row r="913" spans="2:13" x14ac:dyDescent="0.25">
      <c r="B913" s="8"/>
      <c r="C913" s="8"/>
      <c r="D913" s="8"/>
      <c r="E913" s="8"/>
      <c r="F913" s="8"/>
      <c r="G913" s="8"/>
      <c r="H913" s="46"/>
      <c r="I913" s="8"/>
      <c r="J913" s="8"/>
      <c r="K913" s="9"/>
      <c r="L913" s="9"/>
      <c r="M913" s="10" t="s">
        <v>10</v>
      </c>
    </row>
    <row r="914" spans="2:13" x14ac:dyDescent="0.25">
      <c r="B914" s="8"/>
      <c r="C914" s="8"/>
      <c r="D914" s="8"/>
      <c r="E914" s="8"/>
      <c r="F914" s="8"/>
      <c r="G914" s="8"/>
      <c r="H914" s="46"/>
      <c r="I914" s="8"/>
      <c r="J914" s="8"/>
      <c r="K914" s="9"/>
      <c r="L914" s="9"/>
      <c r="M914" s="10" t="s">
        <v>10</v>
      </c>
    </row>
    <row r="915" spans="2:13" x14ac:dyDescent="0.25">
      <c r="B915" s="8"/>
      <c r="C915" s="8"/>
      <c r="D915" s="8"/>
      <c r="E915" s="8"/>
      <c r="F915" s="8"/>
      <c r="G915" s="8"/>
      <c r="H915" s="46"/>
      <c r="I915" s="8"/>
      <c r="J915" s="8"/>
      <c r="K915" s="9"/>
      <c r="L915" s="9"/>
      <c r="M915" s="10" t="s">
        <v>10</v>
      </c>
    </row>
    <row r="916" spans="2:13" x14ac:dyDescent="0.25">
      <c r="B916" s="8"/>
      <c r="C916" s="8"/>
      <c r="D916" s="8"/>
      <c r="E916" s="8"/>
      <c r="F916" s="8"/>
      <c r="G916" s="8"/>
      <c r="H916" s="46"/>
      <c r="I916" s="8"/>
      <c r="J916" s="8"/>
      <c r="K916" s="9"/>
      <c r="L916" s="9"/>
      <c r="M916" s="10" t="s">
        <v>10</v>
      </c>
    </row>
    <row r="917" spans="2:13" x14ac:dyDescent="0.25">
      <c r="B917" s="8"/>
      <c r="C917" s="8"/>
      <c r="D917" s="8"/>
      <c r="E917" s="8"/>
      <c r="F917" s="8"/>
      <c r="G917" s="8"/>
      <c r="H917" s="46"/>
      <c r="I917" s="8"/>
      <c r="J917" s="8"/>
      <c r="K917" s="9"/>
      <c r="L917" s="9"/>
      <c r="M917" s="10" t="s">
        <v>10</v>
      </c>
    </row>
    <row r="918" spans="2:13" x14ac:dyDescent="0.25">
      <c r="B918" s="8"/>
      <c r="C918" s="8"/>
      <c r="D918" s="8"/>
      <c r="E918" s="8"/>
      <c r="F918" s="8"/>
      <c r="G918" s="8"/>
      <c r="H918" s="46"/>
      <c r="I918" s="8"/>
      <c r="J918" s="8"/>
      <c r="K918" s="9"/>
      <c r="L918" s="9"/>
      <c r="M918" s="10" t="s">
        <v>10</v>
      </c>
    </row>
    <row r="919" spans="2:13" x14ac:dyDescent="0.25">
      <c r="B919" s="8"/>
      <c r="C919" s="8"/>
      <c r="D919" s="8"/>
      <c r="E919" s="8"/>
      <c r="F919" s="8"/>
      <c r="G919" s="8"/>
      <c r="H919" s="46"/>
      <c r="I919" s="8"/>
      <c r="J919" s="8"/>
      <c r="K919" s="9"/>
      <c r="L919" s="9"/>
      <c r="M919" s="10" t="s">
        <v>10</v>
      </c>
    </row>
    <row r="920" spans="2:13" x14ac:dyDescent="0.25">
      <c r="B920" s="8"/>
      <c r="C920" s="8"/>
      <c r="D920" s="8"/>
      <c r="E920" s="8"/>
      <c r="F920" s="8"/>
      <c r="G920" s="8"/>
      <c r="H920" s="46"/>
      <c r="I920" s="8"/>
      <c r="J920" s="8"/>
      <c r="K920" s="9"/>
      <c r="L920" s="9"/>
      <c r="M920" s="10" t="s">
        <v>10</v>
      </c>
    </row>
    <row r="921" spans="2:13" x14ac:dyDescent="0.25">
      <c r="B921" s="8"/>
      <c r="C921" s="8"/>
      <c r="D921" s="8"/>
      <c r="E921" s="8"/>
      <c r="F921" s="8"/>
      <c r="G921" s="8"/>
      <c r="H921" s="46"/>
      <c r="I921" s="8"/>
      <c r="J921" s="8"/>
      <c r="K921" s="9"/>
      <c r="L921" s="9"/>
      <c r="M921" s="10" t="s">
        <v>10</v>
      </c>
    </row>
    <row r="922" spans="2:13" x14ac:dyDescent="0.25">
      <c r="B922" s="8"/>
      <c r="C922" s="8"/>
      <c r="D922" s="8"/>
      <c r="E922" s="8"/>
      <c r="F922" s="8"/>
      <c r="G922" s="8"/>
      <c r="H922" s="46"/>
      <c r="I922" s="8"/>
      <c r="J922" s="8"/>
      <c r="K922" s="9"/>
      <c r="L922" s="9"/>
      <c r="M922" s="10" t="s">
        <v>10</v>
      </c>
    </row>
    <row r="923" spans="2:13" x14ac:dyDescent="0.25">
      <c r="B923" s="8"/>
      <c r="C923" s="8"/>
      <c r="D923" s="8"/>
      <c r="E923" s="8"/>
      <c r="F923" s="8"/>
      <c r="G923" s="8"/>
      <c r="H923" s="46"/>
      <c r="I923" s="8"/>
      <c r="J923" s="8"/>
      <c r="K923" s="9"/>
      <c r="L923" s="9"/>
      <c r="M923" s="10" t="s">
        <v>10</v>
      </c>
    </row>
    <row r="924" spans="2:13" x14ac:dyDescent="0.25">
      <c r="B924" s="8"/>
      <c r="C924" s="8"/>
      <c r="D924" s="8"/>
      <c r="E924" s="8"/>
      <c r="F924" s="8"/>
      <c r="G924" s="8"/>
      <c r="H924" s="46"/>
      <c r="I924" s="8"/>
      <c r="J924" s="8"/>
      <c r="K924" s="9"/>
      <c r="L924" s="9"/>
      <c r="M924" s="10" t="s">
        <v>10</v>
      </c>
    </row>
    <row r="925" spans="2:13" x14ac:dyDescent="0.25">
      <c r="B925" s="8"/>
      <c r="C925" s="8"/>
      <c r="D925" s="8"/>
      <c r="E925" s="8"/>
      <c r="F925" s="8"/>
      <c r="G925" s="8"/>
      <c r="H925" s="46"/>
      <c r="I925" s="8"/>
      <c r="J925" s="8"/>
      <c r="K925" s="9"/>
      <c r="L925" s="9"/>
      <c r="M925" s="10" t="s">
        <v>10</v>
      </c>
    </row>
    <row r="926" spans="2:13" x14ac:dyDescent="0.25">
      <c r="B926" s="8"/>
      <c r="C926" s="8"/>
      <c r="D926" s="8"/>
      <c r="E926" s="8"/>
      <c r="F926" s="8"/>
      <c r="G926" s="8"/>
      <c r="H926" s="46"/>
      <c r="I926" s="8"/>
      <c r="J926" s="8"/>
      <c r="K926" s="9"/>
      <c r="L926" s="9"/>
      <c r="M926" s="10" t="s">
        <v>10</v>
      </c>
    </row>
    <row r="927" spans="2:13" x14ac:dyDescent="0.25">
      <c r="B927" s="8"/>
      <c r="C927" s="8"/>
      <c r="D927" s="8"/>
      <c r="E927" s="8"/>
      <c r="F927" s="8"/>
      <c r="G927" s="8"/>
      <c r="H927" s="46"/>
      <c r="I927" s="8"/>
      <c r="J927" s="8"/>
      <c r="K927" s="9"/>
      <c r="L927" s="9"/>
      <c r="M927" s="10" t="s">
        <v>10</v>
      </c>
    </row>
    <row r="928" spans="2:13" x14ac:dyDescent="0.25">
      <c r="B928" s="8"/>
      <c r="C928" s="8"/>
      <c r="D928" s="8"/>
      <c r="E928" s="8"/>
      <c r="F928" s="8"/>
      <c r="G928" s="8"/>
      <c r="H928" s="46"/>
      <c r="I928" s="8"/>
      <c r="J928" s="8"/>
      <c r="K928" s="9"/>
      <c r="L928" s="9"/>
      <c r="M928" s="10" t="s">
        <v>10</v>
      </c>
    </row>
    <row r="929" spans="2:13" x14ac:dyDescent="0.25">
      <c r="B929" s="8"/>
      <c r="C929" s="8"/>
      <c r="D929" s="8"/>
      <c r="E929" s="8"/>
      <c r="F929" s="8"/>
      <c r="G929" s="8"/>
      <c r="H929" s="46"/>
      <c r="I929" s="8"/>
      <c r="J929" s="8"/>
      <c r="K929" s="9"/>
      <c r="L929" s="9"/>
      <c r="M929" s="10" t="s">
        <v>10</v>
      </c>
    </row>
    <row r="930" spans="2:13" x14ac:dyDescent="0.25">
      <c r="B930" s="8"/>
      <c r="C930" s="8"/>
      <c r="D930" s="8"/>
      <c r="E930" s="8"/>
      <c r="F930" s="8"/>
      <c r="G930" s="8"/>
      <c r="H930" s="46"/>
      <c r="I930" s="8"/>
      <c r="J930" s="8"/>
      <c r="K930" s="9"/>
      <c r="L930" s="9"/>
      <c r="M930" s="10" t="s">
        <v>10</v>
      </c>
    </row>
    <row r="931" spans="2:13" x14ac:dyDescent="0.25">
      <c r="B931" s="8"/>
      <c r="C931" s="8"/>
      <c r="D931" s="8"/>
      <c r="E931" s="8"/>
      <c r="F931" s="8"/>
      <c r="G931" s="8"/>
      <c r="H931" s="46"/>
      <c r="I931" s="8"/>
      <c r="J931" s="8"/>
      <c r="K931" s="9"/>
      <c r="L931" s="9"/>
      <c r="M931" s="10" t="s">
        <v>10</v>
      </c>
    </row>
    <row r="932" spans="2:13" x14ac:dyDescent="0.25">
      <c r="B932" s="8"/>
      <c r="C932" s="8"/>
      <c r="D932" s="8"/>
      <c r="E932" s="8"/>
      <c r="F932" s="8"/>
      <c r="G932" s="8"/>
      <c r="H932" s="46"/>
      <c r="I932" s="8"/>
      <c r="J932" s="8"/>
      <c r="K932" s="9"/>
      <c r="L932" s="9"/>
      <c r="M932" s="10" t="s">
        <v>10</v>
      </c>
    </row>
    <row r="933" spans="2:13" x14ac:dyDescent="0.25">
      <c r="B933" s="8"/>
      <c r="C933" s="8"/>
      <c r="D933" s="8"/>
      <c r="E933" s="8"/>
      <c r="F933" s="8"/>
      <c r="G933" s="8"/>
      <c r="H933" s="46"/>
      <c r="I933" s="8"/>
      <c r="J933" s="8"/>
      <c r="K933" s="9"/>
      <c r="L933" s="9"/>
      <c r="M933" s="10" t="s">
        <v>10</v>
      </c>
    </row>
    <row r="934" spans="2:13" x14ac:dyDescent="0.25">
      <c r="B934" s="8"/>
      <c r="C934" s="8"/>
      <c r="D934" s="8"/>
      <c r="E934" s="8"/>
      <c r="F934" s="8"/>
      <c r="G934" s="8"/>
      <c r="H934" s="46"/>
      <c r="I934" s="8"/>
      <c r="J934" s="8"/>
      <c r="K934" s="9"/>
      <c r="L934" s="9"/>
      <c r="M934" s="10" t="s">
        <v>10</v>
      </c>
    </row>
    <row r="935" spans="2:13" x14ac:dyDescent="0.25">
      <c r="B935" s="8"/>
      <c r="C935" s="8"/>
      <c r="D935" s="8"/>
      <c r="E935" s="8"/>
      <c r="F935" s="8"/>
      <c r="G935" s="8"/>
      <c r="H935" s="46"/>
      <c r="I935" s="8"/>
      <c r="J935" s="8"/>
      <c r="K935" s="9"/>
      <c r="L935" s="9"/>
      <c r="M935" s="10" t="s">
        <v>10</v>
      </c>
    </row>
    <row r="936" spans="2:13" x14ac:dyDescent="0.25">
      <c r="B936" s="8"/>
      <c r="C936" s="8"/>
      <c r="D936" s="8"/>
      <c r="E936" s="8"/>
      <c r="F936" s="8"/>
      <c r="G936" s="8"/>
      <c r="H936" s="46"/>
      <c r="I936" s="8"/>
      <c r="J936" s="8"/>
      <c r="K936" s="9"/>
      <c r="L936" s="9"/>
      <c r="M936" s="10" t="s">
        <v>10</v>
      </c>
    </row>
    <row r="937" spans="2:13" x14ac:dyDescent="0.25">
      <c r="B937" s="8"/>
      <c r="C937" s="8"/>
      <c r="D937" s="8"/>
      <c r="E937" s="8"/>
      <c r="F937" s="8"/>
      <c r="G937" s="8"/>
      <c r="H937" s="46"/>
      <c r="I937" s="8"/>
      <c r="J937" s="8"/>
      <c r="K937" s="9"/>
      <c r="L937" s="9"/>
      <c r="M937" s="10" t="s">
        <v>10</v>
      </c>
    </row>
    <row r="938" spans="2:13" x14ac:dyDescent="0.25">
      <c r="B938" s="8"/>
      <c r="C938" s="8"/>
      <c r="D938" s="8"/>
      <c r="E938" s="8"/>
      <c r="F938" s="8"/>
      <c r="G938" s="8"/>
      <c r="H938" s="46"/>
      <c r="I938" s="8"/>
      <c r="J938" s="8"/>
      <c r="K938" s="9"/>
      <c r="L938" s="9"/>
      <c r="M938" s="10" t="s">
        <v>10</v>
      </c>
    </row>
    <row r="939" spans="2:13" x14ac:dyDescent="0.25">
      <c r="B939" s="8"/>
      <c r="C939" s="8"/>
      <c r="D939" s="8"/>
      <c r="E939" s="8"/>
      <c r="F939" s="8"/>
      <c r="G939" s="8"/>
      <c r="H939" s="46"/>
      <c r="I939" s="8"/>
      <c r="J939" s="8"/>
      <c r="K939" s="9"/>
      <c r="L939" s="9"/>
      <c r="M939" s="10" t="s">
        <v>10</v>
      </c>
    </row>
    <row r="940" spans="2:13" x14ac:dyDescent="0.25">
      <c r="B940" s="8"/>
      <c r="C940" s="8"/>
      <c r="D940" s="8"/>
      <c r="E940" s="8"/>
      <c r="F940" s="8"/>
      <c r="G940" s="8"/>
      <c r="H940" s="46"/>
      <c r="I940" s="8"/>
      <c r="J940" s="8"/>
      <c r="K940" s="9"/>
      <c r="L940" s="9"/>
      <c r="M940" s="10" t="s">
        <v>10</v>
      </c>
    </row>
    <row r="941" spans="2:13" x14ac:dyDescent="0.25">
      <c r="B941" s="8"/>
      <c r="C941" s="8"/>
      <c r="D941" s="8"/>
      <c r="E941" s="8"/>
      <c r="F941" s="8"/>
      <c r="G941" s="8"/>
      <c r="H941" s="46"/>
      <c r="I941" s="8"/>
      <c r="J941" s="8"/>
      <c r="K941" s="9"/>
      <c r="L941" s="9"/>
      <c r="M941" s="10" t="s">
        <v>10</v>
      </c>
    </row>
    <row r="942" spans="2:13" x14ac:dyDescent="0.25">
      <c r="B942" s="8"/>
      <c r="C942" s="8"/>
      <c r="D942" s="8"/>
      <c r="E942" s="8"/>
      <c r="F942" s="8"/>
      <c r="G942" s="8"/>
      <c r="H942" s="46"/>
      <c r="I942" s="8"/>
      <c r="J942" s="8"/>
      <c r="K942" s="9"/>
      <c r="L942" s="9"/>
      <c r="M942" s="10" t="s">
        <v>10</v>
      </c>
    </row>
    <row r="943" spans="2:13" x14ac:dyDescent="0.25">
      <c r="B943" s="8"/>
      <c r="C943" s="8"/>
      <c r="D943" s="8"/>
      <c r="E943" s="8"/>
      <c r="F943" s="8"/>
      <c r="G943" s="8"/>
      <c r="H943" s="46"/>
      <c r="I943" s="8"/>
      <c r="J943" s="8"/>
      <c r="K943" s="9"/>
      <c r="L943" s="9"/>
      <c r="M943" s="10" t="s">
        <v>10</v>
      </c>
    </row>
    <row r="944" spans="2:13" x14ac:dyDescent="0.25">
      <c r="B944" s="8"/>
      <c r="C944" s="8"/>
      <c r="D944" s="8"/>
      <c r="E944" s="8"/>
      <c r="F944" s="8"/>
      <c r="G944" s="8"/>
      <c r="H944" s="46"/>
      <c r="I944" s="8"/>
      <c r="J944" s="8"/>
      <c r="K944" s="9"/>
      <c r="L944" s="9"/>
      <c r="M944" s="10" t="s">
        <v>10</v>
      </c>
    </row>
    <row r="945" spans="2:13" x14ac:dyDescent="0.25">
      <c r="B945" s="8"/>
      <c r="C945" s="8"/>
      <c r="D945" s="8"/>
      <c r="E945" s="8"/>
      <c r="F945" s="8"/>
      <c r="G945" s="8"/>
      <c r="H945" s="46"/>
      <c r="I945" s="8"/>
      <c r="J945" s="8"/>
      <c r="K945" s="9"/>
      <c r="L945" s="9"/>
      <c r="M945" s="10" t="s">
        <v>10</v>
      </c>
    </row>
    <row r="946" spans="2:13" x14ac:dyDescent="0.25">
      <c r="B946" s="8"/>
      <c r="C946" s="8"/>
      <c r="D946" s="8"/>
      <c r="E946" s="8"/>
      <c r="F946" s="8"/>
      <c r="G946" s="8"/>
      <c r="H946" s="46"/>
      <c r="I946" s="8"/>
      <c r="J946" s="8"/>
      <c r="K946" s="9"/>
      <c r="L946" s="9"/>
      <c r="M946" s="10" t="s">
        <v>10</v>
      </c>
    </row>
    <row r="947" spans="2:13" x14ac:dyDescent="0.25">
      <c r="B947" s="8"/>
      <c r="C947" s="8"/>
      <c r="D947" s="8"/>
      <c r="E947" s="8"/>
      <c r="F947" s="8"/>
      <c r="G947" s="8"/>
      <c r="H947" s="46"/>
      <c r="I947" s="8"/>
      <c r="J947" s="8"/>
      <c r="K947" s="9"/>
      <c r="L947" s="9"/>
      <c r="M947" s="10" t="s">
        <v>10</v>
      </c>
    </row>
    <row r="948" spans="2:13" x14ac:dyDescent="0.25">
      <c r="B948" s="8"/>
      <c r="C948" s="8"/>
      <c r="D948" s="8"/>
      <c r="E948" s="8"/>
      <c r="F948" s="8"/>
      <c r="G948" s="8"/>
      <c r="H948" s="46"/>
      <c r="I948" s="8"/>
      <c r="J948" s="8"/>
      <c r="K948" s="9"/>
      <c r="L948" s="9"/>
      <c r="M948" s="10" t="s">
        <v>10</v>
      </c>
    </row>
    <row r="949" spans="2:13" x14ac:dyDescent="0.25">
      <c r="B949" s="8"/>
      <c r="C949" s="8"/>
      <c r="D949" s="8"/>
      <c r="E949" s="8"/>
      <c r="F949" s="8"/>
      <c r="G949" s="8"/>
      <c r="H949" s="46"/>
      <c r="I949" s="8"/>
      <c r="J949" s="8"/>
      <c r="K949" s="9"/>
      <c r="L949" s="9"/>
      <c r="M949" s="10" t="s">
        <v>10</v>
      </c>
    </row>
    <row r="950" spans="2:13" x14ac:dyDescent="0.25">
      <c r="B950" s="8"/>
      <c r="C950" s="8"/>
      <c r="D950" s="8"/>
      <c r="E950" s="8"/>
      <c r="F950" s="8"/>
      <c r="G950" s="8"/>
      <c r="H950" s="46"/>
      <c r="I950" s="8"/>
      <c r="J950" s="8"/>
      <c r="K950" s="9"/>
      <c r="L950" s="9"/>
      <c r="M950" s="10" t="s">
        <v>10</v>
      </c>
    </row>
    <row r="951" spans="2:13" x14ac:dyDescent="0.25">
      <c r="B951" s="8"/>
      <c r="C951" s="8"/>
      <c r="D951" s="8"/>
      <c r="E951" s="8"/>
      <c r="F951" s="8"/>
      <c r="G951" s="8"/>
      <c r="H951" s="46"/>
      <c r="I951" s="8"/>
      <c r="J951" s="8"/>
      <c r="K951" s="9"/>
      <c r="L951" s="9"/>
      <c r="M951" s="10" t="s">
        <v>10</v>
      </c>
    </row>
    <row r="952" spans="2:13" x14ac:dyDescent="0.25">
      <c r="B952" s="8"/>
      <c r="C952" s="8"/>
      <c r="D952" s="8"/>
      <c r="E952" s="8"/>
      <c r="F952" s="8"/>
      <c r="G952" s="8"/>
      <c r="H952" s="46"/>
      <c r="I952" s="8"/>
      <c r="J952" s="8"/>
      <c r="K952" s="9"/>
      <c r="L952" s="9"/>
      <c r="M952" s="10" t="s">
        <v>10</v>
      </c>
    </row>
    <row r="953" spans="2:13" x14ac:dyDescent="0.25">
      <c r="B953" s="8"/>
      <c r="C953" s="8"/>
      <c r="D953" s="8"/>
      <c r="E953" s="8"/>
      <c r="F953" s="8"/>
      <c r="G953" s="8"/>
      <c r="H953" s="46"/>
      <c r="I953" s="8"/>
      <c r="J953" s="8"/>
      <c r="K953" s="9"/>
      <c r="L953" s="9"/>
      <c r="M953" s="10" t="s">
        <v>10</v>
      </c>
    </row>
    <row r="954" spans="2:13" x14ac:dyDescent="0.25">
      <c r="B954" s="8"/>
      <c r="C954" s="8"/>
      <c r="D954" s="8"/>
      <c r="E954" s="8"/>
      <c r="F954" s="8"/>
      <c r="G954" s="8"/>
      <c r="H954" s="46"/>
      <c r="I954" s="8"/>
      <c r="J954" s="8"/>
      <c r="K954" s="9"/>
      <c r="L954" s="9"/>
      <c r="M954" s="10" t="s">
        <v>10</v>
      </c>
    </row>
    <row r="955" spans="2:13" x14ac:dyDescent="0.25">
      <c r="B955" s="8"/>
      <c r="C955" s="8"/>
      <c r="D955" s="8"/>
      <c r="E955" s="8"/>
      <c r="F955" s="8"/>
      <c r="G955" s="8"/>
      <c r="H955" s="46"/>
      <c r="I955" s="8"/>
      <c r="J955" s="8"/>
      <c r="K955" s="9"/>
      <c r="L955" s="9"/>
      <c r="M955" s="10" t="s">
        <v>10</v>
      </c>
    </row>
    <row r="956" spans="2:13" x14ac:dyDescent="0.25">
      <c r="B956" s="8"/>
      <c r="C956" s="8"/>
      <c r="D956" s="8"/>
      <c r="E956" s="8"/>
      <c r="F956" s="8"/>
      <c r="G956" s="8"/>
      <c r="H956" s="46"/>
      <c r="I956" s="8"/>
      <c r="J956" s="8"/>
      <c r="K956" s="9"/>
      <c r="L956" s="9"/>
      <c r="M956" s="10" t="s">
        <v>10</v>
      </c>
    </row>
    <row r="957" spans="2:13" x14ac:dyDescent="0.25">
      <c r="B957" s="8"/>
      <c r="C957" s="8"/>
      <c r="D957" s="8"/>
      <c r="E957" s="8"/>
      <c r="F957" s="8"/>
      <c r="G957" s="8"/>
      <c r="H957" s="46"/>
      <c r="I957" s="8"/>
      <c r="J957" s="8"/>
      <c r="K957" s="9"/>
      <c r="L957" s="9"/>
      <c r="M957" s="10" t="s">
        <v>10</v>
      </c>
    </row>
    <row r="958" spans="2:13" x14ac:dyDescent="0.25">
      <c r="B958" s="8"/>
      <c r="C958" s="8"/>
      <c r="D958" s="8"/>
      <c r="E958" s="8"/>
      <c r="F958" s="8"/>
      <c r="G958" s="8"/>
      <c r="H958" s="46"/>
      <c r="I958" s="8"/>
      <c r="J958" s="8"/>
      <c r="K958" s="9"/>
      <c r="L958" s="9"/>
      <c r="M958" s="10" t="s">
        <v>10</v>
      </c>
    </row>
    <row r="959" spans="2:13" x14ac:dyDescent="0.25">
      <c r="B959" s="8"/>
      <c r="C959" s="8"/>
      <c r="D959" s="8"/>
      <c r="E959" s="8"/>
      <c r="F959" s="8"/>
      <c r="G959" s="8"/>
      <c r="H959" s="46"/>
      <c r="I959" s="8"/>
      <c r="J959" s="8"/>
      <c r="K959" s="9"/>
      <c r="L959" s="9"/>
      <c r="M959" s="10" t="s">
        <v>10</v>
      </c>
    </row>
    <row r="960" spans="2:13" x14ac:dyDescent="0.25">
      <c r="B960" s="8"/>
      <c r="C960" s="8"/>
      <c r="D960" s="8"/>
      <c r="E960" s="8"/>
      <c r="F960" s="8"/>
      <c r="G960" s="8"/>
      <c r="H960" s="46"/>
      <c r="I960" s="8"/>
      <c r="J960" s="8"/>
      <c r="K960" s="9"/>
      <c r="L960" s="9"/>
      <c r="M960" s="10" t="s">
        <v>10</v>
      </c>
    </row>
    <row r="961" spans="2:13" x14ac:dyDescent="0.25">
      <c r="B961" s="8"/>
      <c r="C961" s="8"/>
      <c r="D961" s="8"/>
      <c r="E961" s="8"/>
      <c r="F961" s="8"/>
      <c r="G961" s="8"/>
      <c r="H961" s="46"/>
      <c r="I961" s="8"/>
      <c r="J961" s="8"/>
      <c r="K961" s="9"/>
      <c r="L961" s="9"/>
      <c r="M961" s="10" t="s">
        <v>10</v>
      </c>
    </row>
    <row r="962" spans="2:13" x14ac:dyDescent="0.25">
      <c r="B962" s="8"/>
      <c r="C962" s="8"/>
      <c r="D962" s="8"/>
      <c r="E962" s="8"/>
      <c r="F962" s="8"/>
      <c r="G962" s="8"/>
      <c r="H962" s="46"/>
      <c r="I962" s="8"/>
      <c r="J962" s="8"/>
      <c r="K962" s="9"/>
      <c r="L962" s="9"/>
      <c r="M962" s="10" t="s">
        <v>10</v>
      </c>
    </row>
    <row r="963" spans="2:13" x14ac:dyDescent="0.25">
      <c r="B963" s="8"/>
      <c r="C963" s="8"/>
      <c r="D963" s="8"/>
      <c r="E963" s="8"/>
      <c r="F963" s="8"/>
      <c r="G963" s="8"/>
      <c r="H963" s="46"/>
      <c r="I963" s="8"/>
      <c r="J963" s="8"/>
      <c r="K963" s="9"/>
      <c r="L963" s="9"/>
      <c r="M963" s="10" t="s">
        <v>10</v>
      </c>
    </row>
    <row r="964" spans="2:13" x14ac:dyDescent="0.25">
      <c r="B964" s="8"/>
      <c r="C964" s="8"/>
      <c r="D964" s="8"/>
      <c r="E964" s="8"/>
      <c r="F964" s="8"/>
      <c r="G964" s="8"/>
      <c r="H964" s="46"/>
      <c r="I964" s="8"/>
      <c r="J964" s="8"/>
      <c r="K964" s="9"/>
      <c r="L964" s="9"/>
      <c r="M964" s="10" t="s">
        <v>10</v>
      </c>
    </row>
    <row r="965" spans="2:13" x14ac:dyDescent="0.25">
      <c r="B965" s="8"/>
      <c r="C965" s="8"/>
      <c r="D965" s="8"/>
      <c r="E965" s="8"/>
      <c r="F965" s="8"/>
      <c r="G965" s="8"/>
      <c r="H965" s="46"/>
      <c r="I965" s="8"/>
      <c r="J965" s="8"/>
      <c r="K965" s="9"/>
      <c r="L965" s="9"/>
      <c r="M965" s="10" t="s">
        <v>10</v>
      </c>
    </row>
    <row r="966" spans="2:13" x14ac:dyDescent="0.25">
      <c r="B966" s="8"/>
      <c r="C966" s="8"/>
      <c r="D966" s="8"/>
      <c r="E966" s="8"/>
      <c r="F966" s="8"/>
      <c r="G966" s="8"/>
      <c r="H966" s="46"/>
      <c r="I966" s="8"/>
      <c r="J966" s="8"/>
      <c r="K966" s="9"/>
      <c r="L966" s="9"/>
      <c r="M966" s="10" t="s">
        <v>10</v>
      </c>
    </row>
    <row r="967" spans="2:13" x14ac:dyDescent="0.25">
      <c r="B967" s="8"/>
      <c r="C967" s="8"/>
      <c r="D967" s="8"/>
      <c r="E967" s="8"/>
      <c r="F967" s="8"/>
      <c r="G967" s="8"/>
      <c r="H967" s="46"/>
      <c r="I967" s="8"/>
      <c r="J967" s="8"/>
      <c r="K967" s="9"/>
      <c r="L967" s="9"/>
      <c r="M967" s="10" t="s">
        <v>10</v>
      </c>
    </row>
    <row r="968" spans="2:13" x14ac:dyDescent="0.25">
      <c r="B968" s="8"/>
      <c r="C968" s="8"/>
      <c r="D968" s="8"/>
      <c r="E968" s="8"/>
      <c r="F968" s="8"/>
      <c r="G968" s="8"/>
      <c r="H968" s="46"/>
      <c r="I968" s="8"/>
      <c r="J968" s="8"/>
      <c r="K968" s="9"/>
      <c r="L968" s="9"/>
      <c r="M968" s="10" t="s">
        <v>10</v>
      </c>
    </row>
    <row r="969" spans="2:13" x14ac:dyDescent="0.25">
      <c r="B969" s="8"/>
      <c r="C969" s="8"/>
      <c r="D969" s="8"/>
      <c r="E969" s="8"/>
      <c r="F969" s="8"/>
      <c r="G969" s="8"/>
      <c r="H969" s="46"/>
      <c r="I969" s="8"/>
      <c r="J969" s="8"/>
      <c r="K969" s="9"/>
      <c r="L969" s="9"/>
      <c r="M969" s="10" t="s">
        <v>10</v>
      </c>
    </row>
    <row r="970" spans="2:13" x14ac:dyDescent="0.25">
      <c r="B970" s="8"/>
      <c r="C970" s="8"/>
      <c r="D970" s="8"/>
      <c r="E970" s="8"/>
      <c r="F970" s="8"/>
      <c r="G970" s="8"/>
      <c r="H970" s="46"/>
      <c r="I970" s="8"/>
      <c r="J970" s="8"/>
      <c r="K970" s="9"/>
      <c r="L970" s="9"/>
      <c r="M970" s="10" t="s">
        <v>10</v>
      </c>
    </row>
    <row r="971" spans="2:13" x14ac:dyDescent="0.25">
      <c r="B971" s="8"/>
      <c r="C971" s="8"/>
      <c r="D971" s="8"/>
      <c r="E971" s="8"/>
      <c r="F971" s="8"/>
      <c r="G971" s="8"/>
      <c r="H971" s="46"/>
      <c r="I971" s="8"/>
      <c r="J971" s="8"/>
      <c r="K971" s="9"/>
      <c r="L971" s="9"/>
      <c r="M971" s="10" t="s">
        <v>10</v>
      </c>
    </row>
    <row r="972" spans="2:13" x14ac:dyDescent="0.25">
      <c r="B972" s="8"/>
      <c r="C972" s="8"/>
      <c r="D972" s="8"/>
      <c r="E972" s="8"/>
      <c r="F972" s="8"/>
      <c r="G972" s="8"/>
      <c r="H972" s="46"/>
      <c r="I972" s="8"/>
      <c r="J972" s="8"/>
      <c r="K972" s="9"/>
      <c r="L972" s="9"/>
      <c r="M972" s="10" t="s">
        <v>10</v>
      </c>
    </row>
    <row r="973" spans="2:13" x14ac:dyDescent="0.25">
      <c r="B973" s="8"/>
      <c r="C973" s="8"/>
      <c r="D973" s="8"/>
      <c r="E973" s="8"/>
      <c r="F973" s="8"/>
      <c r="G973" s="8"/>
      <c r="H973" s="46"/>
      <c r="I973" s="8"/>
      <c r="J973" s="8"/>
      <c r="K973" s="9"/>
      <c r="L973" s="9"/>
      <c r="M973" s="10" t="s">
        <v>10</v>
      </c>
    </row>
    <row r="974" spans="2:13" x14ac:dyDescent="0.25">
      <c r="B974" s="8"/>
      <c r="C974" s="8"/>
      <c r="D974" s="8"/>
      <c r="E974" s="8"/>
      <c r="F974" s="8"/>
      <c r="G974" s="8"/>
      <c r="H974" s="46"/>
      <c r="I974" s="8"/>
      <c r="J974" s="8"/>
      <c r="K974" s="9"/>
      <c r="L974" s="9"/>
      <c r="M974" s="10" t="s">
        <v>10</v>
      </c>
    </row>
    <row r="975" spans="2:13" x14ac:dyDescent="0.25">
      <c r="B975" s="8"/>
      <c r="C975" s="8"/>
      <c r="D975" s="8"/>
      <c r="E975" s="8"/>
      <c r="F975" s="8"/>
      <c r="G975" s="8"/>
      <c r="H975" s="46"/>
      <c r="I975" s="8"/>
      <c r="J975" s="8"/>
      <c r="K975" s="9"/>
      <c r="L975" s="9"/>
      <c r="M975" s="10" t="s">
        <v>10</v>
      </c>
    </row>
    <row r="976" spans="2:13" x14ac:dyDescent="0.25">
      <c r="B976" s="8"/>
      <c r="C976" s="8"/>
      <c r="D976" s="8"/>
      <c r="E976" s="8"/>
      <c r="F976" s="8"/>
      <c r="G976" s="8"/>
      <c r="H976" s="46"/>
      <c r="I976" s="8"/>
      <c r="J976" s="8"/>
      <c r="K976" s="9"/>
      <c r="L976" s="9"/>
      <c r="M976" s="10" t="s">
        <v>10</v>
      </c>
    </row>
    <row r="977" spans="2:13" x14ac:dyDescent="0.25">
      <c r="B977" s="8"/>
      <c r="C977" s="8"/>
      <c r="D977" s="8"/>
      <c r="E977" s="8"/>
      <c r="F977" s="8"/>
      <c r="G977" s="8"/>
      <c r="H977" s="46"/>
      <c r="I977" s="8"/>
      <c r="J977" s="8"/>
      <c r="K977" s="9"/>
      <c r="L977" s="9"/>
      <c r="M977" s="10" t="s">
        <v>10</v>
      </c>
    </row>
    <row r="978" spans="2:13" x14ac:dyDescent="0.25">
      <c r="B978" s="8"/>
      <c r="C978" s="8"/>
      <c r="D978" s="8"/>
      <c r="E978" s="8"/>
      <c r="F978" s="8"/>
      <c r="G978" s="8"/>
      <c r="H978" s="46"/>
      <c r="I978" s="8"/>
      <c r="J978" s="8"/>
      <c r="K978" s="9"/>
      <c r="L978" s="9"/>
      <c r="M978" s="10" t="s">
        <v>10</v>
      </c>
    </row>
    <row r="979" spans="2:13" x14ac:dyDescent="0.25">
      <c r="B979" s="8"/>
      <c r="C979" s="8"/>
      <c r="D979" s="8"/>
      <c r="E979" s="8"/>
      <c r="F979" s="8"/>
      <c r="G979" s="8"/>
      <c r="H979" s="46"/>
      <c r="I979" s="8"/>
      <c r="J979" s="8"/>
      <c r="K979" s="9"/>
      <c r="L979" s="9"/>
      <c r="M979" s="10" t="s">
        <v>10</v>
      </c>
    </row>
    <row r="980" spans="2:13" x14ac:dyDescent="0.25">
      <c r="B980" s="8"/>
      <c r="C980" s="8"/>
      <c r="D980" s="8"/>
      <c r="E980" s="8"/>
      <c r="F980" s="8"/>
      <c r="G980" s="8"/>
      <c r="H980" s="46"/>
      <c r="I980" s="8"/>
      <c r="J980" s="8"/>
      <c r="K980" s="9"/>
      <c r="L980" s="9"/>
      <c r="M980" s="10" t="s">
        <v>10</v>
      </c>
    </row>
    <row r="981" spans="2:13" x14ac:dyDescent="0.25">
      <c r="B981" s="8"/>
      <c r="C981" s="8"/>
      <c r="D981" s="8"/>
      <c r="E981" s="8"/>
      <c r="F981" s="8"/>
      <c r="G981" s="8"/>
      <c r="H981" s="46"/>
      <c r="I981" s="8"/>
      <c r="J981" s="8"/>
      <c r="K981" s="9"/>
      <c r="L981" s="9"/>
      <c r="M981" s="10" t="s">
        <v>10</v>
      </c>
    </row>
    <row r="982" spans="2:13" x14ac:dyDescent="0.25">
      <c r="B982" s="8"/>
      <c r="C982" s="8"/>
      <c r="D982" s="8"/>
      <c r="E982" s="8"/>
      <c r="F982" s="8"/>
      <c r="G982" s="8"/>
      <c r="H982" s="46"/>
      <c r="I982" s="8"/>
      <c r="J982" s="8"/>
      <c r="K982" s="9"/>
      <c r="L982" s="9"/>
      <c r="M982" s="10" t="s">
        <v>10</v>
      </c>
    </row>
    <row r="983" spans="2:13" x14ac:dyDescent="0.25">
      <c r="B983" s="8"/>
      <c r="C983" s="8"/>
      <c r="D983" s="8"/>
      <c r="E983" s="8"/>
      <c r="F983" s="8"/>
      <c r="G983" s="8"/>
      <c r="H983" s="46"/>
      <c r="I983" s="8"/>
      <c r="J983" s="8"/>
      <c r="K983" s="9"/>
      <c r="L983" s="9"/>
      <c r="M983" s="10" t="s">
        <v>10</v>
      </c>
    </row>
    <row r="984" spans="2:13" x14ac:dyDescent="0.25">
      <c r="B984" s="8"/>
      <c r="C984" s="8"/>
      <c r="D984" s="8"/>
      <c r="E984" s="8"/>
      <c r="F984" s="8"/>
      <c r="G984" s="8"/>
      <c r="H984" s="46"/>
      <c r="I984" s="8"/>
      <c r="J984" s="8"/>
      <c r="K984" s="9"/>
      <c r="L984" s="9"/>
      <c r="M984" s="10" t="s">
        <v>10</v>
      </c>
    </row>
    <row r="985" spans="2:13" x14ac:dyDescent="0.25">
      <c r="B985" s="8"/>
      <c r="C985" s="8"/>
      <c r="D985" s="8"/>
      <c r="E985" s="8"/>
      <c r="F985" s="8"/>
      <c r="G985" s="8"/>
      <c r="H985" s="46"/>
      <c r="I985" s="8"/>
      <c r="J985" s="8"/>
      <c r="K985" s="9"/>
      <c r="L985" s="9"/>
      <c r="M985" s="10" t="s">
        <v>10</v>
      </c>
    </row>
    <row r="986" spans="2:13" x14ac:dyDescent="0.25">
      <c r="B986" s="8"/>
      <c r="C986" s="8"/>
      <c r="D986" s="8"/>
      <c r="E986" s="8"/>
      <c r="F986" s="8"/>
      <c r="G986" s="8"/>
      <c r="H986" s="46"/>
      <c r="I986" s="8"/>
      <c r="J986" s="8"/>
      <c r="K986" s="9"/>
      <c r="L986" s="9"/>
      <c r="M986" s="10" t="s">
        <v>10</v>
      </c>
    </row>
    <row r="987" spans="2:13" x14ac:dyDescent="0.25">
      <c r="B987" s="8"/>
      <c r="C987" s="8"/>
      <c r="D987" s="8"/>
      <c r="E987" s="8"/>
      <c r="F987" s="8"/>
      <c r="G987" s="8"/>
      <c r="H987" s="46"/>
      <c r="I987" s="8"/>
      <c r="J987" s="8"/>
      <c r="K987" s="9"/>
      <c r="L987" s="9"/>
      <c r="M987" s="10" t="s">
        <v>10</v>
      </c>
    </row>
    <row r="988" spans="2:13" x14ac:dyDescent="0.25">
      <c r="B988" s="8"/>
      <c r="C988" s="8"/>
      <c r="D988" s="8"/>
      <c r="E988" s="8"/>
      <c r="F988" s="8"/>
      <c r="G988" s="8"/>
      <c r="H988" s="46"/>
      <c r="I988" s="8"/>
      <c r="J988" s="8"/>
      <c r="K988" s="9"/>
      <c r="L988" s="9"/>
      <c r="M988" s="10" t="s">
        <v>10</v>
      </c>
    </row>
    <row r="989" spans="2:13" x14ac:dyDescent="0.25">
      <c r="B989" s="8"/>
      <c r="C989" s="8"/>
      <c r="D989" s="8"/>
      <c r="E989" s="8"/>
      <c r="F989" s="8"/>
      <c r="G989" s="8"/>
      <c r="H989" s="46"/>
      <c r="I989" s="8"/>
      <c r="J989" s="8"/>
      <c r="K989" s="9"/>
      <c r="L989" s="9"/>
      <c r="M989" s="10" t="s">
        <v>10</v>
      </c>
    </row>
    <row r="990" spans="2:13" x14ac:dyDescent="0.25">
      <c r="B990" s="8"/>
      <c r="C990" s="8"/>
      <c r="D990" s="8"/>
      <c r="E990" s="8"/>
      <c r="F990" s="8"/>
      <c r="G990" s="8"/>
      <c r="H990" s="46"/>
      <c r="I990" s="8"/>
      <c r="J990" s="8"/>
      <c r="K990" s="9"/>
      <c r="L990" s="9"/>
      <c r="M990" s="10" t="s">
        <v>10</v>
      </c>
    </row>
    <row r="991" spans="2:13" x14ac:dyDescent="0.25">
      <c r="B991" s="8"/>
      <c r="C991" s="8"/>
      <c r="D991" s="8"/>
      <c r="E991" s="8"/>
      <c r="F991" s="8"/>
      <c r="G991" s="8"/>
      <c r="H991" s="46"/>
      <c r="I991" s="8"/>
      <c r="J991" s="8"/>
      <c r="K991" s="9"/>
      <c r="L991" s="9"/>
      <c r="M991" s="10" t="s">
        <v>10</v>
      </c>
    </row>
    <row r="992" spans="2:13" x14ac:dyDescent="0.25">
      <c r="B992" s="8"/>
      <c r="C992" s="8"/>
      <c r="D992" s="8"/>
      <c r="E992" s="8"/>
      <c r="F992" s="8"/>
      <c r="G992" s="8"/>
      <c r="H992" s="46"/>
      <c r="I992" s="8"/>
      <c r="J992" s="8"/>
      <c r="K992" s="9"/>
      <c r="L992" s="9"/>
      <c r="M992" s="10" t="s">
        <v>10</v>
      </c>
    </row>
    <row r="993" spans="2:13" x14ac:dyDescent="0.25">
      <c r="B993" s="8"/>
      <c r="C993" s="8"/>
      <c r="D993" s="8"/>
      <c r="E993" s="8"/>
      <c r="F993" s="8"/>
      <c r="G993" s="8"/>
      <c r="H993" s="46"/>
      <c r="I993" s="8"/>
      <c r="J993" s="8"/>
      <c r="K993" s="9"/>
      <c r="L993" s="9"/>
      <c r="M993" s="10" t="s">
        <v>10</v>
      </c>
    </row>
    <row r="994" spans="2:13" x14ac:dyDescent="0.25">
      <c r="B994" s="8"/>
      <c r="C994" s="8"/>
      <c r="D994" s="8"/>
      <c r="E994" s="8"/>
      <c r="F994" s="8"/>
      <c r="G994" s="8"/>
      <c r="H994" s="46"/>
      <c r="I994" s="8"/>
      <c r="J994" s="8"/>
      <c r="K994" s="9"/>
      <c r="L994" s="9"/>
      <c r="M994" s="10" t="s">
        <v>10</v>
      </c>
    </row>
    <row r="995" spans="2:13" x14ac:dyDescent="0.25">
      <c r="B995" s="8"/>
      <c r="C995" s="8"/>
      <c r="D995" s="8"/>
      <c r="E995" s="8"/>
      <c r="F995" s="8"/>
      <c r="G995" s="8"/>
      <c r="H995" s="46"/>
      <c r="I995" s="8"/>
      <c r="J995" s="8"/>
      <c r="K995" s="9"/>
      <c r="L995" s="9"/>
      <c r="M995" s="10" t="s">
        <v>10</v>
      </c>
    </row>
    <row r="996" spans="2:13" x14ac:dyDescent="0.25">
      <c r="B996" s="8"/>
      <c r="C996" s="8"/>
      <c r="D996" s="8"/>
      <c r="E996" s="8"/>
      <c r="F996" s="8"/>
      <c r="G996" s="8"/>
      <c r="H996" s="46"/>
      <c r="I996" s="8"/>
      <c r="J996" s="8"/>
      <c r="K996" s="9"/>
      <c r="L996" s="9"/>
      <c r="M996" s="10" t="s">
        <v>10</v>
      </c>
    </row>
    <row r="997" spans="2:13" x14ac:dyDescent="0.25">
      <c r="B997" s="8"/>
      <c r="C997" s="8"/>
      <c r="D997" s="8"/>
      <c r="E997" s="8"/>
      <c r="F997" s="8"/>
      <c r="G997" s="8"/>
      <c r="H997" s="46"/>
      <c r="I997" s="8"/>
      <c r="J997" s="8"/>
      <c r="K997" s="9"/>
      <c r="L997" s="9"/>
      <c r="M997" s="10" t="s">
        <v>10</v>
      </c>
    </row>
    <row r="998" spans="2:13" x14ac:dyDescent="0.25">
      <c r="B998" s="8"/>
      <c r="C998" s="8"/>
      <c r="D998" s="8"/>
      <c r="E998" s="8"/>
      <c r="F998" s="8"/>
      <c r="G998" s="8"/>
      <c r="H998" s="46"/>
      <c r="I998" s="8"/>
      <c r="J998" s="8"/>
      <c r="K998" s="9"/>
      <c r="L998" s="9"/>
      <c r="M998" s="10" t="s">
        <v>10</v>
      </c>
    </row>
    <row r="999" spans="2:13" x14ac:dyDescent="0.25">
      <c r="B999" s="8"/>
      <c r="C999" s="8"/>
      <c r="D999" s="8"/>
      <c r="E999" s="8"/>
      <c r="F999" s="8"/>
      <c r="G999" s="8"/>
      <c r="H999" s="46"/>
      <c r="I999" s="8"/>
      <c r="J999" s="8"/>
      <c r="K999" s="9"/>
      <c r="L999" s="9"/>
      <c r="M999" s="10" t="s">
        <v>10</v>
      </c>
    </row>
    <row r="1000" spans="2:13" x14ac:dyDescent="0.25">
      <c r="B1000" s="8"/>
      <c r="C1000" s="8"/>
      <c r="D1000" s="8"/>
      <c r="E1000" s="8"/>
      <c r="F1000" s="8"/>
      <c r="G1000" s="8"/>
      <c r="H1000" s="46"/>
      <c r="I1000" s="8"/>
      <c r="J1000" s="8"/>
      <c r="K1000" s="9"/>
      <c r="L1000" s="9"/>
      <c r="M1000" s="10" t="s">
        <v>10</v>
      </c>
    </row>
    <row r="1001" spans="2:13" x14ac:dyDescent="0.25">
      <c r="B1001" s="8"/>
      <c r="C1001" s="8"/>
      <c r="D1001" s="8"/>
      <c r="E1001" s="8"/>
      <c r="F1001" s="8"/>
      <c r="G1001" s="8"/>
      <c r="H1001" s="46"/>
      <c r="I1001" s="8"/>
      <c r="J1001" s="8"/>
      <c r="K1001" s="9"/>
      <c r="L1001" s="9"/>
      <c r="M1001" s="10" t="s">
        <v>10</v>
      </c>
    </row>
    <row r="1002" spans="2:13" x14ac:dyDescent="0.25">
      <c r="B1002" s="8"/>
      <c r="C1002" s="8"/>
      <c r="D1002" s="8"/>
      <c r="E1002" s="8"/>
      <c r="F1002" s="8"/>
      <c r="G1002" s="8"/>
      <c r="H1002" s="46"/>
      <c r="I1002" s="8"/>
      <c r="J1002" s="8"/>
      <c r="K1002" s="9"/>
      <c r="L1002" s="9"/>
      <c r="M1002" s="10" t="s">
        <v>10</v>
      </c>
    </row>
    <row r="1003" spans="2:13" x14ac:dyDescent="0.25">
      <c r="B1003" s="8"/>
      <c r="C1003" s="8"/>
      <c r="D1003" s="8"/>
      <c r="E1003" s="8"/>
      <c r="F1003" s="8"/>
      <c r="G1003" s="8"/>
      <c r="H1003" s="46"/>
      <c r="I1003" s="8"/>
      <c r="J1003" s="8"/>
      <c r="K1003" s="9"/>
      <c r="L1003" s="9"/>
      <c r="M1003" s="10" t="s">
        <v>10</v>
      </c>
    </row>
  </sheetData>
  <protectedRanges>
    <protectedRange sqref="B15:C36" name="DetailLine_2"/>
    <protectedRange sqref="B53:C62 B37:D52 G37:H62 D53:D98" name="DetailLine_3"/>
    <protectedRange sqref="J9:L98" name="DetailLine_2_1"/>
    <protectedRange sqref="B9:B14 G10:H14 F9:H9 F10:F39 E9:E39 E81:F96 E40:F79" name="DetailLine_3_1"/>
    <protectedRange sqref="B80:C80 G80:H80" name="DetailLine_3_1_1"/>
  </protectedRanges>
  <mergeCells count="12">
    <mergeCell ref="L7:L8"/>
    <mergeCell ref="M7:M8"/>
    <mergeCell ref="C2:F2"/>
    <mergeCell ref="C3:K3"/>
    <mergeCell ref="B7:C7"/>
    <mergeCell ref="D7:D8"/>
    <mergeCell ref="G7:G8"/>
    <mergeCell ref="F7:F8"/>
    <mergeCell ref="E7:E8"/>
    <mergeCell ref="I7:I8"/>
    <mergeCell ref="H7:H8"/>
    <mergeCell ref="J7:K7"/>
  </mergeCells>
  <phoneticPr fontId="4" type="noConversion"/>
  <dataValidations count="1">
    <dataValidation allowBlank="1" showInputMessage="1" showErrorMessage="1" errorTitle="INVALID FIRST NAME" error="First Name too long." sqref="C1 C9:C1003" xr:uid="{AB669407-1336-4291-ABAC-AE54195A11B5}"/>
  </dataValidations>
  <hyperlinks>
    <hyperlink ref="C5" r:id="rId1" xr:uid="{AB4646B9-6C02-4047-BB73-39FB13E02C88}"/>
  </hyperlinks>
  <pageMargins left="0.70866141732283472" right="0.70866141732283472" top="0.74803149606299213" bottom="0.74803149606299213" header="0.31496062992125984" footer="0.31496062992125984"/>
  <pageSetup scale="65" fitToHeight="0" orientation="landscape" r:id="rId2"/>
  <rowBreaks count="2" manualBreakCount="2">
    <brk id="47" min="1" max="12" man="1"/>
    <brk id="86" min="1" max="12" man="1"/>
  </rowBrea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AC52-8DF6-45F4-B399-CC97C2D5546F}">
  <dimension ref="A1:M1007"/>
  <sheetViews>
    <sheetView tabSelected="1" topLeftCell="E47" zoomScaleNormal="100" zoomScaleSheetLayoutView="85" workbookViewId="0">
      <selection activeCell="L62" sqref="L62:L63"/>
    </sheetView>
  </sheetViews>
  <sheetFormatPr defaultRowHeight="15" x14ac:dyDescent="0.25"/>
  <cols>
    <col min="1" max="1" width="5.5703125" customWidth="1"/>
    <col min="2" max="2" width="16.7109375" bestFit="1" customWidth="1"/>
    <col min="3" max="3" width="18.42578125" bestFit="1" customWidth="1"/>
    <col min="4" max="4" width="23.140625" customWidth="1"/>
    <col min="5" max="5" width="15.42578125" bestFit="1" customWidth="1"/>
    <col min="6" max="6" width="17.85546875" bestFit="1" customWidth="1"/>
    <col min="7" max="7" width="17.28515625" bestFit="1" customWidth="1"/>
    <col min="8" max="8" width="14" bestFit="1" customWidth="1"/>
    <col min="10" max="10" width="15.5703125" customWidth="1"/>
    <col min="11" max="11" width="11.42578125" customWidth="1"/>
    <col min="12" max="12" width="10" customWidth="1"/>
    <col min="13" max="13" width="16.140625" customWidth="1"/>
  </cols>
  <sheetData>
    <row r="1" spans="1:13" x14ac:dyDescent="0.25">
      <c r="B1" s="3" t="s">
        <v>12</v>
      </c>
      <c r="C1" s="3" t="s">
        <v>47</v>
      </c>
      <c r="D1" s="3"/>
      <c r="E1" s="2"/>
      <c r="F1" s="2"/>
      <c r="G1" s="2"/>
      <c r="H1" s="1"/>
      <c r="I1" s="4"/>
      <c r="J1" s="4"/>
      <c r="K1" s="4"/>
      <c r="L1" s="5"/>
      <c r="M1" s="7"/>
    </row>
    <row r="2" spans="1:13" x14ac:dyDescent="0.25">
      <c r="B2" s="3" t="s">
        <v>13</v>
      </c>
      <c r="C2" s="150" t="s">
        <v>46</v>
      </c>
      <c r="D2" s="150"/>
      <c r="E2" s="151"/>
      <c r="F2" s="151"/>
      <c r="G2" s="2"/>
      <c r="H2" s="1"/>
      <c r="I2" s="4"/>
      <c r="J2" s="4"/>
      <c r="K2" s="4"/>
      <c r="L2" s="5"/>
    </row>
    <row r="3" spans="1:13" x14ac:dyDescent="0.25">
      <c r="B3" s="3" t="s">
        <v>14</v>
      </c>
      <c r="C3" s="150" t="s">
        <v>45</v>
      </c>
      <c r="D3" s="150"/>
      <c r="E3" s="151"/>
      <c r="F3" s="151"/>
      <c r="G3" s="151"/>
      <c r="H3" s="151"/>
      <c r="I3" s="151"/>
      <c r="J3" s="151"/>
      <c r="K3" s="151"/>
      <c r="L3" s="5"/>
    </row>
    <row r="4" spans="1:13" x14ac:dyDescent="0.25">
      <c r="B4" s="3" t="s">
        <v>16</v>
      </c>
      <c r="C4" s="2" t="s">
        <v>44</v>
      </c>
      <c r="D4" s="2"/>
      <c r="L4" s="5"/>
    </row>
    <row r="5" spans="1:13" x14ac:dyDescent="0.25">
      <c r="B5" s="3" t="s">
        <v>15</v>
      </c>
      <c r="C5" s="20" t="s">
        <v>43</v>
      </c>
      <c r="D5" s="2"/>
      <c r="L5" s="5"/>
    </row>
    <row r="6" spans="1:13" ht="15.75" thickBot="1" x14ac:dyDescent="0.3">
      <c r="B6" s="3" t="s">
        <v>17</v>
      </c>
      <c r="C6" s="53">
        <f>L100</f>
        <v>33700</v>
      </c>
      <c r="D6" s="2"/>
      <c r="L6" s="5"/>
    </row>
    <row r="7" spans="1:13" ht="18" customHeight="1" thickBot="1" x14ac:dyDescent="0.3">
      <c r="B7" s="152" t="s">
        <v>18</v>
      </c>
      <c r="C7" s="153"/>
      <c r="D7" s="154" t="s">
        <v>8</v>
      </c>
      <c r="E7" s="156" t="s">
        <v>0</v>
      </c>
      <c r="F7" s="156" t="s">
        <v>1</v>
      </c>
      <c r="G7" s="156" t="s">
        <v>2</v>
      </c>
      <c r="H7" s="156" t="s">
        <v>3</v>
      </c>
      <c r="I7" s="156" t="s">
        <v>6</v>
      </c>
      <c r="J7" s="158" t="s">
        <v>731</v>
      </c>
      <c r="K7" s="153"/>
      <c r="L7" s="146" t="s">
        <v>4</v>
      </c>
      <c r="M7" s="148" t="s">
        <v>7</v>
      </c>
    </row>
    <row r="8" spans="1:13" ht="30" customHeight="1" thickBot="1" x14ac:dyDescent="0.3">
      <c r="B8" s="64" t="s">
        <v>20</v>
      </c>
      <c r="C8" s="65" t="s">
        <v>9</v>
      </c>
      <c r="D8" s="155"/>
      <c r="E8" s="157"/>
      <c r="F8" s="157"/>
      <c r="G8" s="157"/>
      <c r="H8" s="157"/>
      <c r="I8" s="157"/>
      <c r="J8" s="66" t="s">
        <v>11</v>
      </c>
      <c r="K8" s="67" t="s">
        <v>5</v>
      </c>
      <c r="L8" s="147"/>
      <c r="M8" s="149"/>
    </row>
    <row r="9" spans="1:13" x14ac:dyDescent="0.25">
      <c r="A9">
        <v>1</v>
      </c>
      <c r="B9" s="55" t="s">
        <v>608</v>
      </c>
      <c r="C9" s="56" t="s">
        <v>693</v>
      </c>
      <c r="D9" s="57" t="s">
        <v>34</v>
      </c>
      <c r="E9" s="58" t="s">
        <v>360</v>
      </c>
      <c r="F9" s="58" t="s">
        <v>361</v>
      </c>
      <c r="G9" s="59"/>
      <c r="H9" s="60" t="s">
        <v>362</v>
      </c>
      <c r="I9" s="145" t="s">
        <v>830</v>
      </c>
      <c r="J9" s="61">
        <f>SUMIF(PAYOUT!$A:$A,'MP2'!$A9,PAYOUT!$L:$L)</f>
        <v>31705</v>
      </c>
      <c r="K9" s="62"/>
      <c r="L9" s="62">
        <f>SUMIF(PAYOUT!$A:$A,'MP2'!$A9,PAYOUT!$AD:$AD)</f>
        <v>1000</v>
      </c>
      <c r="M9" s="63" t="s">
        <v>10</v>
      </c>
    </row>
    <row r="10" spans="1:13" x14ac:dyDescent="0.25">
      <c r="A10">
        <v>2</v>
      </c>
      <c r="B10" s="46" t="s">
        <v>609</v>
      </c>
      <c r="C10" s="46"/>
      <c r="D10" s="14" t="s">
        <v>34</v>
      </c>
      <c r="E10" s="33" t="s">
        <v>363</v>
      </c>
      <c r="F10" s="33" t="s">
        <v>364</v>
      </c>
      <c r="G10" s="34"/>
      <c r="H10" s="44" t="s">
        <v>365</v>
      </c>
      <c r="I10" s="145" t="s">
        <v>830</v>
      </c>
      <c r="J10" s="61">
        <f>SUMIF(PAYOUT!$A:$A,'MP2'!$A10,PAYOUT!$L:$L)</f>
        <v>31705</v>
      </c>
      <c r="K10" s="15"/>
      <c r="L10" s="62">
        <f>SUMIF(PAYOUT!$A:$A,'MP2'!$A10,PAYOUT!$AD:$AD)</f>
        <v>0</v>
      </c>
      <c r="M10" s="16" t="s">
        <v>10</v>
      </c>
    </row>
    <row r="11" spans="1:13" x14ac:dyDescent="0.25">
      <c r="A11">
        <v>3</v>
      </c>
      <c r="B11" s="46" t="s">
        <v>610</v>
      </c>
      <c r="C11" s="51" t="s">
        <v>694</v>
      </c>
      <c r="D11" s="14" t="s">
        <v>34</v>
      </c>
      <c r="E11" s="33" t="s">
        <v>366</v>
      </c>
      <c r="F11" s="33" t="s">
        <v>367</v>
      </c>
      <c r="G11" s="34"/>
      <c r="H11" s="44" t="s">
        <v>368</v>
      </c>
      <c r="I11" s="145" t="s">
        <v>830</v>
      </c>
      <c r="J11" s="61">
        <f>SUMIF(PAYOUT!$A:$A,'MP2'!$A11,PAYOUT!$L:$L)</f>
        <v>32401</v>
      </c>
      <c r="K11" s="15"/>
      <c r="L11" s="62">
        <f>SUMIF(PAYOUT!$A:$A,'MP2'!$A11,PAYOUT!$AD:$AD)</f>
        <v>500</v>
      </c>
      <c r="M11" s="16" t="s">
        <v>10</v>
      </c>
    </row>
    <row r="12" spans="1:13" x14ac:dyDescent="0.25">
      <c r="A12">
        <v>4</v>
      </c>
      <c r="B12" s="46" t="s">
        <v>691</v>
      </c>
      <c r="C12" s="46"/>
      <c r="D12" s="14" t="s">
        <v>34</v>
      </c>
      <c r="E12" s="33" t="s">
        <v>369</v>
      </c>
      <c r="F12" s="33" t="s">
        <v>370</v>
      </c>
      <c r="G12" s="34"/>
      <c r="H12" s="44" t="s">
        <v>371</v>
      </c>
      <c r="I12" s="145" t="s">
        <v>830</v>
      </c>
      <c r="J12" s="61">
        <f>SUMIF(PAYOUT!$A:$A,'MP2'!$A12,PAYOUT!$L:$L)</f>
        <v>31705</v>
      </c>
      <c r="K12" s="15"/>
      <c r="L12" s="62">
        <f>SUMIF(PAYOUT!$A:$A,'MP2'!$A12,PAYOUT!$AD:$AD)</f>
        <v>0</v>
      </c>
      <c r="M12" s="16" t="s">
        <v>10</v>
      </c>
    </row>
    <row r="13" spans="1:13" x14ac:dyDescent="0.25">
      <c r="A13">
        <v>5</v>
      </c>
      <c r="B13" s="46" t="s">
        <v>611</v>
      </c>
      <c r="C13" s="46"/>
      <c r="D13" s="14" t="s">
        <v>34</v>
      </c>
      <c r="E13" s="33" t="s">
        <v>372</v>
      </c>
      <c r="F13" s="33" t="s">
        <v>373</v>
      </c>
      <c r="G13" s="34"/>
      <c r="H13" s="44" t="s">
        <v>374</v>
      </c>
      <c r="I13" s="145" t="s">
        <v>830</v>
      </c>
      <c r="J13" s="61">
        <f>SUMIF(PAYOUT!$A:$A,'MP2'!$A13,PAYOUT!$L:$L)</f>
        <v>53818</v>
      </c>
      <c r="K13" s="15"/>
      <c r="L13" s="62">
        <f>SUMIF(PAYOUT!$A:$A,'MP2'!$A13,PAYOUT!$AD:$AD)</f>
        <v>0</v>
      </c>
      <c r="M13" s="16" t="s">
        <v>10</v>
      </c>
    </row>
    <row r="14" spans="1:13" x14ac:dyDescent="0.25">
      <c r="A14">
        <v>6</v>
      </c>
      <c r="B14" s="46" t="s">
        <v>612</v>
      </c>
      <c r="C14" s="51" t="s">
        <v>695</v>
      </c>
      <c r="D14" s="14" t="s">
        <v>34</v>
      </c>
      <c r="E14" s="33" t="s">
        <v>375</v>
      </c>
      <c r="F14" s="33" t="s">
        <v>376</v>
      </c>
      <c r="G14" s="34"/>
      <c r="H14" s="44" t="s">
        <v>377</v>
      </c>
      <c r="I14" s="145" t="s">
        <v>830</v>
      </c>
      <c r="J14" s="61">
        <f>SUMIF(PAYOUT!$A:$A,'MP2'!$A14,PAYOUT!$L:$L)</f>
        <v>42594</v>
      </c>
      <c r="K14" s="15"/>
      <c r="L14" s="62">
        <f>SUMIF(PAYOUT!$A:$A,'MP2'!$A14,PAYOUT!$AD:$AD)</f>
        <v>3000</v>
      </c>
      <c r="M14" s="16" t="s">
        <v>10</v>
      </c>
    </row>
    <row r="15" spans="1:13" x14ac:dyDescent="0.25">
      <c r="A15">
        <v>7</v>
      </c>
      <c r="B15" s="46" t="s">
        <v>692</v>
      </c>
      <c r="C15" s="46"/>
      <c r="D15" s="14" t="s">
        <v>34</v>
      </c>
      <c r="E15" s="33" t="s">
        <v>378</v>
      </c>
      <c r="F15" s="33" t="s">
        <v>379</v>
      </c>
      <c r="G15" s="34"/>
      <c r="H15" s="43" t="s">
        <v>380</v>
      </c>
      <c r="I15" s="145" t="s">
        <v>830</v>
      </c>
      <c r="J15" s="61">
        <f>SUMIF(PAYOUT!$A:$A,'MP2'!$A15,PAYOUT!$L:$L)</f>
        <v>24329</v>
      </c>
      <c r="K15" s="15"/>
      <c r="L15" s="62">
        <f>SUMIF(PAYOUT!$A:$A,'MP2'!$A15,PAYOUT!$AD:$AD)</f>
        <v>0</v>
      </c>
      <c r="M15" s="16" t="s">
        <v>10</v>
      </c>
    </row>
    <row r="16" spans="1:13" x14ac:dyDescent="0.25">
      <c r="A16">
        <v>8</v>
      </c>
      <c r="B16" s="46" t="s">
        <v>613</v>
      </c>
      <c r="C16" s="51" t="s">
        <v>696</v>
      </c>
      <c r="D16" s="14" t="s">
        <v>34</v>
      </c>
      <c r="E16" s="33" t="s">
        <v>378</v>
      </c>
      <c r="F16" s="33" t="s">
        <v>381</v>
      </c>
      <c r="G16" s="34"/>
      <c r="H16" s="44" t="s">
        <v>382</v>
      </c>
      <c r="I16" s="145" t="s">
        <v>830</v>
      </c>
      <c r="J16" s="61">
        <f>SUMIF(PAYOUT!$A:$A,'MP2'!$A16,PAYOUT!$L:$L)</f>
        <v>42178</v>
      </c>
      <c r="K16" s="15"/>
      <c r="L16" s="62">
        <f>SUMIF(PAYOUT!$A:$A,'MP2'!$A16,PAYOUT!$AD:$AD)</f>
        <v>2000</v>
      </c>
      <c r="M16" s="16" t="s">
        <v>10</v>
      </c>
    </row>
    <row r="17" spans="1:13" x14ac:dyDescent="0.25">
      <c r="A17">
        <v>9</v>
      </c>
      <c r="B17" s="46" t="s">
        <v>614</v>
      </c>
      <c r="C17" s="46"/>
      <c r="D17" s="14" t="s">
        <v>34</v>
      </c>
      <c r="E17" s="33" t="s">
        <v>383</v>
      </c>
      <c r="F17" s="33" t="s">
        <v>384</v>
      </c>
      <c r="G17" s="34"/>
      <c r="H17" s="44" t="s">
        <v>385</v>
      </c>
      <c r="I17" s="145" t="s">
        <v>830</v>
      </c>
      <c r="J17" s="61">
        <f>SUMIF(PAYOUT!$A:$A,'MP2'!$A17,PAYOUT!$L:$L)</f>
        <v>42594</v>
      </c>
      <c r="K17" s="15"/>
      <c r="L17" s="62">
        <f>SUMIF(PAYOUT!$A:$A,'MP2'!$A17,PAYOUT!$AD:$AD)</f>
        <v>0</v>
      </c>
      <c r="M17" s="16" t="s">
        <v>10</v>
      </c>
    </row>
    <row r="18" spans="1:13" x14ac:dyDescent="0.25">
      <c r="A18">
        <v>10</v>
      </c>
      <c r="B18" s="46" t="s">
        <v>615</v>
      </c>
      <c r="C18" s="51" t="s">
        <v>697</v>
      </c>
      <c r="D18" s="14" t="s">
        <v>34</v>
      </c>
      <c r="E18" s="33" t="s">
        <v>386</v>
      </c>
      <c r="F18" s="33" t="s">
        <v>387</v>
      </c>
      <c r="G18" s="34"/>
      <c r="H18" s="44" t="s">
        <v>388</v>
      </c>
      <c r="I18" s="145" t="s">
        <v>830</v>
      </c>
      <c r="J18" s="61">
        <f>SUMIF(PAYOUT!$A:$A,'MP2'!$A18,PAYOUT!$L:$L)</f>
        <v>20914</v>
      </c>
      <c r="K18" s="15"/>
      <c r="L18" s="62">
        <f>SUMIF(PAYOUT!$A:$A,'MP2'!$A18,PAYOUT!$AD:$AD)</f>
        <v>1000</v>
      </c>
      <c r="M18" s="16" t="s">
        <v>10</v>
      </c>
    </row>
    <row r="19" spans="1:13" x14ac:dyDescent="0.25">
      <c r="A19">
        <v>11</v>
      </c>
      <c r="B19" s="46" t="s">
        <v>616</v>
      </c>
      <c r="C19" s="46"/>
      <c r="D19" s="14" t="s">
        <v>34</v>
      </c>
      <c r="E19" s="33" t="s">
        <v>389</v>
      </c>
      <c r="F19" s="33" t="s">
        <v>390</v>
      </c>
      <c r="G19" s="34"/>
      <c r="H19" s="44" t="s">
        <v>391</v>
      </c>
      <c r="I19" s="145" t="s">
        <v>830</v>
      </c>
      <c r="J19" s="61">
        <f>SUMIF(PAYOUT!$A:$A,'MP2'!$A19,PAYOUT!$L:$L)</f>
        <v>148940</v>
      </c>
      <c r="K19" s="15"/>
      <c r="L19" s="62">
        <f>SUMIF(PAYOUT!$A:$A,'MP2'!$A19,PAYOUT!$AD:$AD)</f>
        <v>0</v>
      </c>
      <c r="M19" s="16" t="s">
        <v>10</v>
      </c>
    </row>
    <row r="20" spans="1:13" x14ac:dyDescent="0.25">
      <c r="A20">
        <v>12</v>
      </c>
      <c r="B20" s="46" t="s">
        <v>617</v>
      </c>
      <c r="C20" s="46"/>
      <c r="D20" s="14" t="s">
        <v>34</v>
      </c>
      <c r="E20" s="33" t="s">
        <v>392</v>
      </c>
      <c r="F20" s="33" t="s">
        <v>393</v>
      </c>
      <c r="G20" s="34"/>
      <c r="H20" s="44" t="s">
        <v>394</v>
      </c>
      <c r="I20" s="145" t="s">
        <v>830</v>
      </c>
      <c r="J20" s="61">
        <f>SUMIF(PAYOUT!$A:$A,'MP2'!$A20,PAYOUT!$L:$L)</f>
        <v>23668</v>
      </c>
      <c r="K20" s="15"/>
      <c r="L20" s="62">
        <f>SUMIF(PAYOUT!$A:$A,'MP2'!$A20,PAYOUT!$AD:$AD)</f>
        <v>0</v>
      </c>
      <c r="M20" s="16" t="s">
        <v>10</v>
      </c>
    </row>
    <row r="21" spans="1:13" x14ac:dyDescent="0.25">
      <c r="A21">
        <v>13</v>
      </c>
      <c r="B21" s="46" t="s">
        <v>618</v>
      </c>
      <c r="C21" s="46"/>
      <c r="D21" s="14" t="s">
        <v>34</v>
      </c>
      <c r="E21" s="33" t="s">
        <v>395</v>
      </c>
      <c r="F21" s="33" t="s">
        <v>396</v>
      </c>
      <c r="G21" s="34"/>
      <c r="H21" s="44" t="s">
        <v>397</v>
      </c>
      <c r="I21" s="145" t="s">
        <v>830</v>
      </c>
      <c r="J21" s="61">
        <f>SUMIF(PAYOUT!$A:$A,'MP2'!$A21,PAYOUT!$L:$L)</f>
        <v>31705</v>
      </c>
      <c r="K21" s="15"/>
      <c r="L21" s="62">
        <f>SUMIF(PAYOUT!$A:$A,'MP2'!$A21,PAYOUT!$AD:$AD)</f>
        <v>0</v>
      </c>
      <c r="M21" s="16" t="s">
        <v>10</v>
      </c>
    </row>
    <row r="22" spans="1:13" x14ac:dyDescent="0.25">
      <c r="A22">
        <v>14</v>
      </c>
      <c r="B22" s="46" t="s">
        <v>619</v>
      </c>
      <c r="C22" s="51"/>
      <c r="D22" s="14" t="s">
        <v>34</v>
      </c>
      <c r="E22" s="33" t="s">
        <v>398</v>
      </c>
      <c r="F22" s="33" t="s">
        <v>399</v>
      </c>
      <c r="G22" s="34"/>
      <c r="H22" s="44" t="s">
        <v>400</v>
      </c>
      <c r="I22" s="145" t="s">
        <v>830</v>
      </c>
      <c r="J22" s="61">
        <f>SUMIF(PAYOUT!$A:$A,'MP2'!$A22,PAYOUT!$L:$L)</f>
        <v>17360</v>
      </c>
      <c r="K22" s="15"/>
      <c r="L22" s="62">
        <f>SUMIF(PAYOUT!$A:$A,'MP2'!$A22,PAYOUT!$AD:$AD)</f>
        <v>0</v>
      </c>
      <c r="M22" s="16" t="s">
        <v>10</v>
      </c>
    </row>
    <row r="23" spans="1:13" x14ac:dyDescent="0.25">
      <c r="A23">
        <v>16</v>
      </c>
      <c r="B23" s="46" t="s">
        <v>620</v>
      </c>
      <c r="C23" s="46"/>
      <c r="D23" s="14" t="s">
        <v>34</v>
      </c>
      <c r="E23" s="33" t="s">
        <v>401</v>
      </c>
      <c r="F23" s="33" t="s">
        <v>402</v>
      </c>
      <c r="G23" s="34"/>
      <c r="H23" s="44" t="s">
        <v>403</v>
      </c>
      <c r="I23" s="145" t="s">
        <v>830</v>
      </c>
      <c r="J23" s="61">
        <f>SUMIF(PAYOUT!$A:$A,'MP2'!$A23,PAYOUT!$L:$L)</f>
        <v>23883</v>
      </c>
      <c r="K23" s="15"/>
      <c r="L23" s="62">
        <f>SUMIF(PAYOUT!$A:$A,'MP2'!$A23,PAYOUT!$AD:$AD)</f>
        <v>0</v>
      </c>
      <c r="M23" s="16" t="s">
        <v>10</v>
      </c>
    </row>
    <row r="24" spans="1:13" x14ac:dyDescent="0.25">
      <c r="A24">
        <v>17</v>
      </c>
      <c r="B24" s="46" t="s">
        <v>621</v>
      </c>
      <c r="C24" s="46"/>
      <c r="D24" s="14" t="s">
        <v>34</v>
      </c>
      <c r="E24" s="33" t="s">
        <v>404</v>
      </c>
      <c r="F24" s="33" t="s">
        <v>405</v>
      </c>
      <c r="G24" s="34"/>
      <c r="H24" s="44" t="s">
        <v>406</v>
      </c>
      <c r="I24" s="145" t="s">
        <v>830</v>
      </c>
      <c r="J24" s="61">
        <f>SUMIF(PAYOUT!$A:$A,'MP2'!$A24,PAYOUT!$L:$L)</f>
        <v>19565</v>
      </c>
      <c r="K24" s="15"/>
      <c r="L24" s="62">
        <f>SUMIF(PAYOUT!$A:$A,'MP2'!$A24,PAYOUT!$AD:$AD)</f>
        <v>0</v>
      </c>
      <c r="M24" s="16" t="s">
        <v>10</v>
      </c>
    </row>
    <row r="25" spans="1:13" x14ac:dyDescent="0.25">
      <c r="A25">
        <v>18</v>
      </c>
      <c r="B25" s="46" t="s">
        <v>622</v>
      </c>
      <c r="C25" s="46"/>
      <c r="D25" s="14" t="s">
        <v>34</v>
      </c>
      <c r="E25" s="33" t="s">
        <v>407</v>
      </c>
      <c r="F25" s="33" t="s">
        <v>408</v>
      </c>
      <c r="G25" s="34"/>
      <c r="H25" s="44" t="s">
        <v>409</v>
      </c>
      <c r="I25" s="145" t="s">
        <v>830</v>
      </c>
      <c r="J25" s="61">
        <f>SUMIF(PAYOUT!$A:$A,'MP2'!$A25,PAYOUT!$L:$L)</f>
        <v>42178</v>
      </c>
      <c r="K25" s="15"/>
      <c r="L25" s="62">
        <f>SUMIF(PAYOUT!$A:$A,'MP2'!$A25,PAYOUT!$AD:$AD)</f>
        <v>0</v>
      </c>
      <c r="M25" s="16" t="s">
        <v>10</v>
      </c>
    </row>
    <row r="26" spans="1:13" x14ac:dyDescent="0.25">
      <c r="A26">
        <v>19</v>
      </c>
      <c r="B26" s="46" t="s">
        <v>623</v>
      </c>
      <c r="C26" s="52" t="s">
        <v>698</v>
      </c>
      <c r="D26" s="14" t="s">
        <v>34</v>
      </c>
      <c r="E26" s="33" t="s">
        <v>410</v>
      </c>
      <c r="F26" s="33" t="s">
        <v>411</v>
      </c>
      <c r="G26" s="34"/>
      <c r="H26" s="44" t="s">
        <v>412</v>
      </c>
      <c r="I26" s="145" t="s">
        <v>830</v>
      </c>
      <c r="J26" s="61">
        <f>SUMIF(PAYOUT!$A:$A,'MP2'!$A26,PAYOUT!$L:$L)</f>
        <v>50066</v>
      </c>
      <c r="K26" s="15"/>
      <c r="L26" s="62">
        <f>SUMIF(PAYOUT!$A:$A,'MP2'!$A26,PAYOUT!$AD:$AD)</f>
        <v>1000</v>
      </c>
      <c r="M26" s="16" t="s">
        <v>10</v>
      </c>
    </row>
    <row r="27" spans="1:13" x14ac:dyDescent="0.25">
      <c r="A27">
        <v>20</v>
      </c>
      <c r="B27" s="46" t="s">
        <v>624</v>
      </c>
      <c r="C27" s="46"/>
      <c r="D27" s="14" t="s">
        <v>34</v>
      </c>
      <c r="E27" s="33" t="s">
        <v>413</v>
      </c>
      <c r="F27" s="33" t="s">
        <v>414</v>
      </c>
      <c r="G27" s="34"/>
      <c r="H27" s="44" t="s">
        <v>415</v>
      </c>
      <c r="I27" s="145" t="s">
        <v>830</v>
      </c>
      <c r="J27" s="61">
        <f>SUMIF(PAYOUT!$A:$A,'MP2'!$A27,PAYOUT!$L:$L)</f>
        <v>53818</v>
      </c>
      <c r="K27" s="15"/>
      <c r="L27" s="62">
        <f>SUMIF(PAYOUT!$A:$A,'MP2'!$A27,PAYOUT!$AD:$AD)</f>
        <v>0</v>
      </c>
      <c r="M27" s="16" t="s">
        <v>10</v>
      </c>
    </row>
    <row r="28" spans="1:13" x14ac:dyDescent="0.25">
      <c r="A28">
        <v>21</v>
      </c>
      <c r="B28" s="46" t="s">
        <v>625</v>
      </c>
      <c r="C28" s="46"/>
      <c r="D28" s="14" t="s">
        <v>34</v>
      </c>
      <c r="E28" s="33" t="s">
        <v>416</v>
      </c>
      <c r="F28" s="33" t="s">
        <v>417</v>
      </c>
      <c r="G28" s="37"/>
      <c r="H28" s="45" t="s">
        <v>418</v>
      </c>
      <c r="I28" s="145" t="s">
        <v>830</v>
      </c>
      <c r="J28" s="61">
        <f>SUMIF(PAYOUT!$A:$A,'MP2'!$A28,PAYOUT!$L:$L)</f>
        <v>32401</v>
      </c>
      <c r="K28" s="15"/>
      <c r="L28" s="62">
        <f>SUMIF(PAYOUT!$A:$A,'MP2'!$A28,PAYOUT!$AD:$AD)</f>
        <v>0</v>
      </c>
      <c r="M28" s="16" t="s">
        <v>10</v>
      </c>
    </row>
    <row r="29" spans="1:13" x14ac:dyDescent="0.25">
      <c r="A29">
        <v>22</v>
      </c>
      <c r="B29" s="46" t="s">
        <v>626</v>
      </c>
      <c r="C29" s="46"/>
      <c r="D29" s="14" t="s">
        <v>34</v>
      </c>
      <c r="E29" s="33" t="s">
        <v>419</v>
      </c>
      <c r="F29" s="33" t="s">
        <v>420</v>
      </c>
      <c r="G29" s="37"/>
      <c r="H29" s="45" t="s">
        <v>421</v>
      </c>
      <c r="I29" s="145" t="s">
        <v>830</v>
      </c>
      <c r="J29" s="61">
        <f>SUMIF(PAYOUT!$A:$A,'MP2'!$A29,PAYOUT!$L:$L)</f>
        <v>81796</v>
      </c>
      <c r="K29" s="15"/>
      <c r="L29" s="62">
        <f>SUMIF(PAYOUT!$A:$A,'MP2'!$A29,PAYOUT!$AD:$AD)</f>
        <v>0</v>
      </c>
      <c r="M29" s="16" t="s">
        <v>10</v>
      </c>
    </row>
    <row r="30" spans="1:13" x14ac:dyDescent="0.25">
      <c r="A30">
        <v>23</v>
      </c>
      <c r="B30" s="46" t="s">
        <v>627</v>
      </c>
      <c r="C30" s="46" t="s">
        <v>699</v>
      </c>
      <c r="D30" s="14" t="s">
        <v>34</v>
      </c>
      <c r="E30" s="33" t="s">
        <v>422</v>
      </c>
      <c r="F30" s="33" t="s">
        <v>423</v>
      </c>
      <c r="G30" s="37"/>
      <c r="H30" s="45" t="s">
        <v>424</v>
      </c>
      <c r="I30" s="145" t="s">
        <v>830</v>
      </c>
      <c r="J30" s="61">
        <f>SUMIF(PAYOUT!$A:$A,'MP2'!$A30,PAYOUT!$L:$L)</f>
        <v>42178</v>
      </c>
      <c r="K30" s="15"/>
      <c r="L30" s="62">
        <f>SUMIF(PAYOUT!$A:$A,'MP2'!$A30,PAYOUT!$AD:$AD)</f>
        <v>1000</v>
      </c>
      <c r="M30" s="16" t="s">
        <v>10</v>
      </c>
    </row>
    <row r="31" spans="1:13" x14ac:dyDescent="0.25">
      <c r="A31">
        <v>24</v>
      </c>
      <c r="B31" s="46" t="s">
        <v>628</v>
      </c>
      <c r="C31" s="46"/>
      <c r="D31" s="14" t="s">
        <v>34</v>
      </c>
      <c r="E31" s="33" t="s">
        <v>425</v>
      </c>
      <c r="F31" s="33" t="s">
        <v>426</v>
      </c>
      <c r="G31" s="37"/>
      <c r="H31" s="46" t="s">
        <v>427</v>
      </c>
      <c r="I31" s="145" t="s">
        <v>830</v>
      </c>
      <c r="J31" s="61">
        <f>SUMIF(PAYOUT!$A:$A,'MP2'!$A31,PAYOUT!$L:$L)</f>
        <v>55499</v>
      </c>
      <c r="K31" s="15"/>
      <c r="L31" s="62">
        <f>SUMIF(PAYOUT!$A:$A,'MP2'!$A31,PAYOUT!$AD:$AD)</f>
        <v>0</v>
      </c>
      <c r="M31" s="16" t="s">
        <v>10</v>
      </c>
    </row>
    <row r="32" spans="1:13" x14ac:dyDescent="0.25">
      <c r="A32">
        <v>25</v>
      </c>
      <c r="B32" s="46" t="s">
        <v>629</v>
      </c>
      <c r="C32" s="46"/>
      <c r="D32" s="14" t="s">
        <v>34</v>
      </c>
      <c r="E32" s="33" t="s">
        <v>428</v>
      </c>
      <c r="F32" s="33" t="s">
        <v>429</v>
      </c>
      <c r="G32" s="37"/>
      <c r="H32" s="46" t="s">
        <v>398</v>
      </c>
      <c r="I32" s="145" t="s">
        <v>830</v>
      </c>
      <c r="J32" s="61">
        <f>SUMIF(PAYOUT!$A:$A,'MP2'!$A32,PAYOUT!$L:$L)</f>
        <v>42178</v>
      </c>
      <c r="K32" s="15"/>
      <c r="L32" s="62">
        <f>SUMIF(PAYOUT!$A:$A,'MP2'!$A32,PAYOUT!$AD:$AD)</f>
        <v>0</v>
      </c>
      <c r="M32" s="16" t="s">
        <v>10</v>
      </c>
    </row>
    <row r="33" spans="1:13" x14ac:dyDescent="0.25">
      <c r="A33">
        <v>27</v>
      </c>
      <c r="B33" s="46" t="s">
        <v>630</v>
      </c>
      <c r="C33" s="46"/>
      <c r="D33" s="14" t="s">
        <v>34</v>
      </c>
      <c r="E33" s="33" t="s">
        <v>430</v>
      </c>
      <c r="F33" s="33" t="s">
        <v>431</v>
      </c>
      <c r="G33" s="37"/>
      <c r="H33" s="46" t="s">
        <v>432</v>
      </c>
      <c r="I33" s="145" t="s">
        <v>830</v>
      </c>
      <c r="J33" s="61">
        <f>SUMIF(PAYOUT!$A:$A,'MP2'!$A33,PAYOUT!$L:$L)</f>
        <v>53818</v>
      </c>
      <c r="K33" s="15"/>
      <c r="L33" s="62">
        <f>SUMIF(PAYOUT!$A:$A,'MP2'!$A33,PAYOUT!$AD:$AD)</f>
        <v>0</v>
      </c>
      <c r="M33" s="16" t="s">
        <v>10</v>
      </c>
    </row>
    <row r="34" spans="1:13" x14ac:dyDescent="0.25">
      <c r="A34">
        <v>29</v>
      </c>
      <c r="B34" s="46" t="s">
        <v>631</v>
      </c>
      <c r="C34" s="46" t="s">
        <v>700</v>
      </c>
      <c r="D34" s="14" t="s">
        <v>34</v>
      </c>
      <c r="E34" s="33" t="s">
        <v>433</v>
      </c>
      <c r="F34" s="33" t="s">
        <v>434</v>
      </c>
      <c r="G34" s="37"/>
      <c r="H34" s="46" t="s">
        <v>435</v>
      </c>
      <c r="I34" s="145" t="s">
        <v>830</v>
      </c>
      <c r="J34" s="61">
        <f>SUMIF(PAYOUT!$A:$A,'MP2'!$A34,PAYOUT!$L:$L)</f>
        <v>43442</v>
      </c>
      <c r="K34" s="15"/>
      <c r="L34" s="62">
        <f>SUMIF(PAYOUT!$A:$A,'MP2'!$A34,PAYOUT!$AD:$AD)</f>
        <v>1000</v>
      </c>
      <c r="M34" s="16" t="s">
        <v>10</v>
      </c>
    </row>
    <row r="35" spans="1:13" x14ac:dyDescent="0.25">
      <c r="A35">
        <v>30</v>
      </c>
      <c r="B35" s="46" t="s">
        <v>632</v>
      </c>
      <c r="C35" s="46"/>
      <c r="D35" s="14" t="s">
        <v>34</v>
      </c>
      <c r="E35" s="33" t="s">
        <v>436</v>
      </c>
      <c r="F35" s="33" t="s">
        <v>437</v>
      </c>
      <c r="G35" s="37"/>
      <c r="H35" s="46" t="s">
        <v>438</v>
      </c>
      <c r="I35" s="145" t="s">
        <v>830</v>
      </c>
      <c r="J35" s="61">
        <f>SUMIF(PAYOUT!$A:$A,'MP2'!$A35,PAYOUT!$L:$L)</f>
        <v>42178</v>
      </c>
      <c r="K35" s="15"/>
      <c r="L35" s="62">
        <f>SUMIF(PAYOUT!$A:$A,'MP2'!$A35,PAYOUT!$AD:$AD)</f>
        <v>0</v>
      </c>
      <c r="M35" s="16" t="s">
        <v>10</v>
      </c>
    </row>
    <row r="36" spans="1:13" x14ac:dyDescent="0.25">
      <c r="A36">
        <v>31</v>
      </c>
      <c r="B36" s="46" t="s">
        <v>633</v>
      </c>
      <c r="C36" s="46" t="s">
        <v>701</v>
      </c>
      <c r="D36" s="14" t="s">
        <v>34</v>
      </c>
      <c r="E36" s="33" t="s">
        <v>439</v>
      </c>
      <c r="F36" s="33" t="s">
        <v>440</v>
      </c>
      <c r="G36" s="37"/>
      <c r="H36" s="46" t="s">
        <v>441</v>
      </c>
      <c r="I36" s="145" t="s">
        <v>830</v>
      </c>
      <c r="J36" s="61">
        <f>SUMIF(PAYOUT!$A:$A,'MP2'!$A36,PAYOUT!$L:$L)</f>
        <v>17360</v>
      </c>
      <c r="K36" s="15"/>
      <c r="L36" s="62">
        <f>SUMIF(PAYOUT!$A:$A,'MP2'!$A36,PAYOUT!$AD:$AD)</f>
        <v>500</v>
      </c>
      <c r="M36" s="16" t="s">
        <v>10</v>
      </c>
    </row>
    <row r="37" spans="1:13" x14ac:dyDescent="0.25">
      <c r="A37">
        <v>32</v>
      </c>
      <c r="B37" s="46" t="s">
        <v>634</v>
      </c>
      <c r="C37" s="46"/>
      <c r="D37" s="14" t="s">
        <v>34</v>
      </c>
      <c r="E37" s="33" t="s">
        <v>442</v>
      </c>
      <c r="F37" s="33" t="s">
        <v>443</v>
      </c>
      <c r="G37" s="37"/>
      <c r="H37" s="46" t="s">
        <v>444</v>
      </c>
      <c r="I37" s="145" t="s">
        <v>830</v>
      </c>
      <c r="J37" s="61">
        <f>SUMIF(PAYOUT!$A:$A,'MP2'!$A37,PAYOUT!$L:$L)</f>
        <v>26917</v>
      </c>
      <c r="K37" s="15"/>
      <c r="L37" s="62">
        <f>SUMIF(PAYOUT!$A:$A,'MP2'!$A37,PAYOUT!$AD:$AD)</f>
        <v>0</v>
      </c>
      <c r="M37" s="16" t="s">
        <v>10</v>
      </c>
    </row>
    <row r="38" spans="1:13" x14ac:dyDescent="0.25">
      <c r="A38">
        <v>28</v>
      </c>
      <c r="B38" s="46" t="s">
        <v>635</v>
      </c>
      <c r="C38" s="46"/>
      <c r="D38" s="14" t="s">
        <v>34</v>
      </c>
      <c r="E38" s="33" t="s">
        <v>445</v>
      </c>
      <c r="F38" s="33" t="s">
        <v>446</v>
      </c>
      <c r="G38" s="37"/>
      <c r="H38" s="46" t="s">
        <v>447</v>
      </c>
      <c r="I38" s="145" t="s">
        <v>830</v>
      </c>
      <c r="J38" s="61">
        <f>SUMIF(PAYOUT!$A:$A,'MP2'!$A38,PAYOUT!$L:$L)</f>
        <v>32109</v>
      </c>
      <c r="K38" s="15"/>
      <c r="L38" s="62">
        <f>SUMIF(PAYOUT!$A:$A,'MP2'!$A38,PAYOUT!$AD:$AD)</f>
        <v>0</v>
      </c>
      <c r="M38" s="16" t="s">
        <v>10</v>
      </c>
    </row>
    <row r="39" spans="1:13" x14ac:dyDescent="0.25">
      <c r="A39">
        <v>33</v>
      </c>
      <c r="B39" s="46" t="s">
        <v>636</v>
      </c>
      <c r="C39" s="46" t="s">
        <v>702</v>
      </c>
      <c r="D39" s="14" t="s">
        <v>34</v>
      </c>
      <c r="E39" s="33" t="s">
        <v>448</v>
      </c>
      <c r="F39" s="33" t="s">
        <v>449</v>
      </c>
      <c r="G39" s="37"/>
      <c r="H39" s="46" t="s">
        <v>450</v>
      </c>
      <c r="I39" s="145" t="s">
        <v>830</v>
      </c>
      <c r="J39" s="61">
        <f>SUMIF(PAYOUT!$A:$A,'MP2'!$A39,PAYOUT!$L:$L)</f>
        <v>43015</v>
      </c>
      <c r="K39" s="15"/>
      <c r="L39" s="62">
        <f>SUMIF(PAYOUT!$A:$A,'MP2'!$A39,PAYOUT!$AD:$AD)</f>
        <v>1000</v>
      </c>
      <c r="M39" s="16" t="s">
        <v>10</v>
      </c>
    </row>
    <row r="40" spans="1:13" x14ac:dyDescent="0.25">
      <c r="A40">
        <v>34</v>
      </c>
      <c r="B40" s="46" t="s">
        <v>637</v>
      </c>
      <c r="C40" s="46"/>
      <c r="D40" s="14" t="s">
        <v>34</v>
      </c>
      <c r="E40" s="33" t="s">
        <v>451</v>
      </c>
      <c r="F40" s="33" t="s">
        <v>452</v>
      </c>
      <c r="G40" s="37"/>
      <c r="H40" s="46" t="s">
        <v>453</v>
      </c>
      <c r="I40" s="145" t="s">
        <v>830</v>
      </c>
      <c r="J40" s="61">
        <f>SUMIF(PAYOUT!$A:$A,'MP2'!$A40,PAYOUT!$L:$L)</f>
        <v>54371</v>
      </c>
      <c r="K40" s="15"/>
      <c r="L40" s="62">
        <f>SUMIF(PAYOUT!$A:$A,'MP2'!$A40,PAYOUT!$AD:$AD)</f>
        <v>0</v>
      </c>
      <c r="M40" s="16" t="s">
        <v>10</v>
      </c>
    </row>
    <row r="41" spans="1:13" x14ac:dyDescent="0.25">
      <c r="A41">
        <v>35</v>
      </c>
      <c r="B41" s="46" t="s">
        <v>638</v>
      </c>
      <c r="C41" s="46"/>
      <c r="D41" s="14" t="s">
        <v>34</v>
      </c>
      <c r="E41" s="33" t="s">
        <v>454</v>
      </c>
      <c r="F41" s="33" t="s">
        <v>455</v>
      </c>
      <c r="G41" s="37"/>
      <c r="H41" s="46" t="s">
        <v>456</v>
      </c>
      <c r="I41" s="145" t="s">
        <v>830</v>
      </c>
      <c r="J41" s="61">
        <f>SUMIF(PAYOUT!$A:$A,'MP2'!$A41,PAYOUT!$L:$L)</f>
        <v>43442</v>
      </c>
      <c r="K41" s="15"/>
      <c r="L41" s="62">
        <f>SUMIF(PAYOUT!$A:$A,'MP2'!$A41,PAYOUT!$AD:$AD)</f>
        <v>0</v>
      </c>
      <c r="M41" s="16" t="s">
        <v>10</v>
      </c>
    </row>
    <row r="42" spans="1:13" x14ac:dyDescent="0.25">
      <c r="A42">
        <v>36</v>
      </c>
      <c r="B42" s="46" t="s">
        <v>639</v>
      </c>
      <c r="C42" s="46"/>
      <c r="D42" s="14" t="s">
        <v>34</v>
      </c>
      <c r="E42" s="33" t="s">
        <v>457</v>
      </c>
      <c r="F42" s="33" t="s">
        <v>458</v>
      </c>
      <c r="G42" s="37"/>
      <c r="H42" s="46" t="s">
        <v>459</v>
      </c>
      <c r="I42" s="145" t="s">
        <v>830</v>
      </c>
      <c r="J42" s="61">
        <f>SUMIF(PAYOUT!$A:$A,'MP2'!$A42,PAYOUT!$L:$L)</f>
        <v>31820</v>
      </c>
      <c r="K42" s="15"/>
      <c r="L42" s="62">
        <f>SUMIF(PAYOUT!$A:$A,'MP2'!$A42,PAYOUT!$AD:$AD)</f>
        <v>0</v>
      </c>
      <c r="M42" s="16" t="s">
        <v>10</v>
      </c>
    </row>
    <row r="43" spans="1:13" x14ac:dyDescent="0.25">
      <c r="A43">
        <v>37</v>
      </c>
      <c r="B43" s="46" t="s">
        <v>640</v>
      </c>
      <c r="C43" s="46"/>
      <c r="D43" s="14" t="s">
        <v>34</v>
      </c>
      <c r="E43" s="33" t="s">
        <v>460</v>
      </c>
      <c r="F43" s="33" t="s">
        <v>461</v>
      </c>
      <c r="G43" s="37"/>
      <c r="H43" s="46" t="s">
        <v>462</v>
      </c>
      <c r="I43" s="145" t="s">
        <v>830</v>
      </c>
      <c r="J43" s="61">
        <f>SUMIF(PAYOUT!$A:$A,'MP2'!$A43,PAYOUT!$L:$L)</f>
        <v>18433</v>
      </c>
      <c r="K43" s="15"/>
      <c r="L43" s="62">
        <f>SUMIF(PAYOUT!$A:$A,'MP2'!$A43,PAYOUT!$AD:$AD)</f>
        <v>0</v>
      </c>
      <c r="M43" s="16" t="s">
        <v>10</v>
      </c>
    </row>
    <row r="44" spans="1:13" x14ac:dyDescent="0.25">
      <c r="A44">
        <v>39</v>
      </c>
      <c r="B44" s="46" t="s">
        <v>641</v>
      </c>
      <c r="C44" s="51" t="s">
        <v>704</v>
      </c>
      <c r="D44" s="14" t="s">
        <v>34</v>
      </c>
      <c r="E44" s="33" t="s">
        <v>463</v>
      </c>
      <c r="F44" s="33" t="s">
        <v>464</v>
      </c>
      <c r="G44" s="37"/>
      <c r="H44" s="46" t="s">
        <v>465</v>
      </c>
      <c r="I44" s="145" t="s">
        <v>830</v>
      </c>
      <c r="J44" s="61">
        <f>SUMIF(PAYOUT!$A:$A,'MP2'!$A44,PAYOUT!$L:$L)</f>
        <v>31705</v>
      </c>
      <c r="K44" s="15"/>
      <c r="L44" s="62">
        <f>SUMIF(PAYOUT!$A:$A,'MP2'!$A44,PAYOUT!$AD:$AD)</f>
        <v>1000</v>
      </c>
      <c r="M44" s="16" t="s">
        <v>10</v>
      </c>
    </row>
    <row r="45" spans="1:13" x14ac:dyDescent="0.25">
      <c r="A45">
        <v>40</v>
      </c>
      <c r="B45" s="46" t="s">
        <v>642</v>
      </c>
      <c r="C45" s="46" t="s">
        <v>703</v>
      </c>
      <c r="D45" s="14" t="s">
        <v>34</v>
      </c>
      <c r="E45" s="33" t="s">
        <v>466</v>
      </c>
      <c r="F45" s="33" t="s">
        <v>467</v>
      </c>
      <c r="G45" s="37"/>
      <c r="H45" s="46" t="s">
        <v>468</v>
      </c>
      <c r="I45" s="145" t="s">
        <v>830</v>
      </c>
      <c r="J45" s="61">
        <f>SUMIF(PAYOUT!$A:$A,'MP2'!$A45,PAYOUT!$L:$L)</f>
        <v>25725</v>
      </c>
      <c r="K45" s="15"/>
      <c r="L45" s="62">
        <f>SUMIF(PAYOUT!$A:$A,'MP2'!$A45,PAYOUT!$AD:$AD)</f>
        <v>700</v>
      </c>
      <c r="M45" s="16" t="s">
        <v>10</v>
      </c>
    </row>
    <row r="46" spans="1:13" x14ac:dyDescent="0.25">
      <c r="A46">
        <v>41</v>
      </c>
      <c r="B46" s="68" t="s">
        <v>723</v>
      </c>
      <c r="C46" s="46"/>
      <c r="D46" s="14" t="s">
        <v>34</v>
      </c>
      <c r="E46" s="33" t="s">
        <v>720</v>
      </c>
      <c r="F46" s="33" t="s">
        <v>721</v>
      </c>
      <c r="G46" s="37"/>
      <c r="H46" s="46" t="s">
        <v>722</v>
      </c>
      <c r="I46" s="145" t="s">
        <v>830</v>
      </c>
      <c r="J46" s="61">
        <f>SUMIF(PAYOUT!$A:$A,'MP2'!$A46,PAYOUT!$L:$L)</f>
        <v>31705</v>
      </c>
      <c r="K46" s="15"/>
      <c r="L46" s="62">
        <f>SUMIF(PAYOUT!$A:$A,'MP2'!$A46,PAYOUT!$AD:$AD)</f>
        <v>0</v>
      </c>
      <c r="M46" s="16" t="s">
        <v>10</v>
      </c>
    </row>
    <row r="47" spans="1:13" x14ac:dyDescent="0.25">
      <c r="A47">
        <v>42</v>
      </c>
      <c r="B47" s="46" t="s">
        <v>643</v>
      </c>
      <c r="C47" s="46"/>
      <c r="D47" s="14" t="s">
        <v>34</v>
      </c>
      <c r="E47" s="33" t="s">
        <v>469</v>
      </c>
      <c r="F47" s="33" t="s">
        <v>470</v>
      </c>
      <c r="G47" s="37"/>
      <c r="H47" s="46" t="s">
        <v>471</v>
      </c>
      <c r="I47" s="145" t="s">
        <v>830</v>
      </c>
      <c r="J47" s="61">
        <f>SUMIF(PAYOUT!$A:$A,'MP2'!$A47,PAYOUT!$L:$L)</f>
        <v>55499</v>
      </c>
      <c r="K47" s="15"/>
      <c r="L47" s="62">
        <f>SUMIF(PAYOUT!$A:$A,'MP2'!$A47,PAYOUT!$AD:$AD)</f>
        <v>0</v>
      </c>
      <c r="M47" s="16" t="s">
        <v>10</v>
      </c>
    </row>
    <row r="48" spans="1:13" x14ac:dyDescent="0.25">
      <c r="A48">
        <v>43</v>
      </c>
      <c r="B48" s="46" t="s">
        <v>48</v>
      </c>
      <c r="C48" s="46"/>
      <c r="D48" s="14" t="s">
        <v>34</v>
      </c>
      <c r="E48" s="33" t="s">
        <v>49</v>
      </c>
      <c r="F48" s="33" t="s">
        <v>472</v>
      </c>
      <c r="G48" s="37"/>
      <c r="H48" s="46" t="s">
        <v>50</v>
      </c>
      <c r="I48" s="145" t="s">
        <v>830</v>
      </c>
      <c r="J48" s="61">
        <f>SUMIF(PAYOUT!$A:$A,'MP2'!$A48,PAYOUT!$L:$L)</f>
        <v>42178</v>
      </c>
      <c r="K48" s="15"/>
      <c r="L48" s="62">
        <f>SUMIF(PAYOUT!$A:$A,'MP2'!$A48,PAYOUT!$AD:$AD)</f>
        <v>0</v>
      </c>
      <c r="M48" s="16" t="s">
        <v>10</v>
      </c>
    </row>
    <row r="49" spans="1:13" x14ac:dyDescent="0.25">
      <c r="A49">
        <v>44</v>
      </c>
      <c r="B49" s="46" t="s">
        <v>644</v>
      </c>
      <c r="C49" s="46"/>
      <c r="D49" s="14" t="s">
        <v>34</v>
      </c>
      <c r="E49" s="33" t="s">
        <v>473</v>
      </c>
      <c r="F49" s="33" t="s">
        <v>474</v>
      </c>
      <c r="G49" s="37"/>
      <c r="H49" s="46" t="s">
        <v>475</v>
      </c>
      <c r="I49" s="145" t="s">
        <v>830</v>
      </c>
      <c r="J49" s="61">
        <f>SUMIF(PAYOUT!$A:$A,'MP2'!$A49,PAYOUT!$L:$L)</f>
        <v>23883</v>
      </c>
      <c r="K49" s="15"/>
      <c r="L49" s="62">
        <f>SUMIF(PAYOUT!$A:$A,'MP2'!$A49,PAYOUT!$AD:$AD)</f>
        <v>0</v>
      </c>
      <c r="M49" s="16" t="s">
        <v>10</v>
      </c>
    </row>
    <row r="50" spans="1:13" x14ac:dyDescent="0.25">
      <c r="A50">
        <v>45</v>
      </c>
      <c r="B50" s="46" t="s">
        <v>645</v>
      </c>
      <c r="C50" s="46"/>
      <c r="D50" s="14" t="s">
        <v>34</v>
      </c>
      <c r="E50" s="33" t="s">
        <v>476</v>
      </c>
      <c r="F50" s="33" t="s">
        <v>477</v>
      </c>
      <c r="G50" s="37"/>
      <c r="H50" s="46" t="s">
        <v>478</v>
      </c>
      <c r="I50" s="145" t="s">
        <v>830</v>
      </c>
      <c r="J50" s="61">
        <f>SUMIF(PAYOUT!$A:$A,'MP2'!$A50,PAYOUT!$L:$L)</f>
        <v>32109</v>
      </c>
      <c r="K50" s="15"/>
      <c r="L50" s="62">
        <f>SUMIF(PAYOUT!$A:$A,'MP2'!$A50,PAYOUT!$AD:$AD)</f>
        <v>0</v>
      </c>
      <c r="M50" s="16" t="s">
        <v>10</v>
      </c>
    </row>
    <row r="51" spans="1:13" x14ac:dyDescent="0.25">
      <c r="A51">
        <v>46</v>
      </c>
      <c r="B51" s="46" t="s">
        <v>35</v>
      </c>
      <c r="C51" s="51" t="s">
        <v>829</v>
      </c>
      <c r="D51" s="14" t="s">
        <v>34</v>
      </c>
      <c r="E51" s="33" t="s">
        <v>37</v>
      </c>
      <c r="F51" s="33" t="s">
        <v>38</v>
      </c>
      <c r="G51" s="37"/>
      <c r="H51" s="46" t="s">
        <v>39</v>
      </c>
      <c r="I51" s="145" t="s">
        <v>830</v>
      </c>
      <c r="J51" s="61">
        <f>SUMIF(PAYOUT!$A:$A,'MP2'!$A51,PAYOUT!$L:$L)</f>
        <v>42178</v>
      </c>
      <c r="K51" s="15"/>
      <c r="L51" s="62">
        <f>SUMIF(PAYOUT!$A:$A,'MP2'!$A51,PAYOUT!$AD:$AD)</f>
        <v>500</v>
      </c>
      <c r="M51" s="16" t="s">
        <v>10</v>
      </c>
    </row>
    <row r="52" spans="1:13" x14ac:dyDescent="0.25">
      <c r="A52">
        <v>47</v>
      </c>
      <c r="B52" s="46" t="s">
        <v>646</v>
      </c>
      <c r="C52" s="46"/>
      <c r="D52" s="14" t="s">
        <v>34</v>
      </c>
      <c r="E52" s="33" t="s">
        <v>479</v>
      </c>
      <c r="F52" s="33" t="s">
        <v>480</v>
      </c>
      <c r="G52" s="37"/>
      <c r="H52" s="46" t="s">
        <v>481</v>
      </c>
      <c r="I52" s="145" t="s">
        <v>830</v>
      </c>
      <c r="J52" s="61">
        <f>SUMIF(PAYOUT!$A:$A,'MP2'!$A52,PAYOUT!$L:$L)</f>
        <v>38764</v>
      </c>
      <c r="K52" s="15"/>
      <c r="L52" s="62">
        <f>SUMIF(PAYOUT!$A:$A,'MP2'!$A52,PAYOUT!$AD:$AD)</f>
        <v>0</v>
      </c>
      <c r="M52" s="16" t="s">
        <v>10</v>
      </c>
    </row>
    <row r="53" spans="1:13" x14ac:dyDescent="0.25">
      <c r="A53">
        <v>48</v>
      </c>
      <c r="B53" s="46" t="s">
        <v>647</v>
      </c>
      <c r="C53" s="46"/>
      <c r="D53" s="14" t="s">
        <v>34</v>
      </c>
      <c r="E53" s="33" t="s">
        <v>482</v>
      </c>
      <c r="F53" s="33" t="s">
        <v>483</v>
      </c>
      <c r="G53" s="14"/>
      <c r="H53" s="46" t="s">
        <v>484</v>
      </c>
      <c r="I53" s="145" t="s">
        <v>830</v>
      </c>
      <c r="J53" s="61">
        <f>SUMIF(PAYOUT!$A:$A,'MP2'!$A53,PAYOUT!$L:$L)</f>
        <v>31705</v>
      </c>
      <c r="K53" s="15"/>
      <c r="L53" s="62">
        <f>SUMIF(PAYOUT!$A:$A,'MP2'!$A53,PAYOUT!$AD:$AD)</f>
        <v>0</v>
      </c>
      <c r="M53" s="16" t="s">
        <v>10</v>
      </c>
    </row>
    <row r="54" spans="1:13" x14ac:dyDescent="0.25">
      <c r="A54">
        <v>49</v>
      </c>
      <c r="B54" s="46" t="s">
        <v>648</v>
      </c>
      <c r="C54" s="46"/>
      <c r="D54" s="14" t="s">
        <v>34</v>
      </c>
      <c r="E54" s="33" t="s">
        <v>485</v>
      </c>
      <c r="F54" s="33" t="s">
        <v>486</v>
      </c>
      <c r="G54" s="14"/>
      <c r="H54" s="46" t="s">
        <v>487</v>
      </c>
      <c r="I54" s="145" t="s">
        <v>830</v>
      </c>
      <c r="J54" s="61">
        <f>SUMIF(PAYOUT!$A:$A,'MP2'!$A54,PAYOUT!$L:$L)</f>
        <v>42178</v>
      </c>
      <c r="K54" s="15"/>
      <c r="L54" s="62">
        <f>SUMIF(PAYOUT!$A:$A,'MP2'!$A54,PAYOUT!$AD:$AD)</f>
        <v>0</v>
      </c>
      <c r="M54" s="16" t="s">
        <v>10</v>
      </c>
    </row>
    <row r="55" spans="1:13" x14ac:dyDescent="0.25">
      <c r="A55">
        <v>50</v>
      </c>
      <c r="B55" s="46" t="s">
        <v>649</v>
      </c>
      <c r="C55" s="51" t="s">
        <v>705</v>
      </c>
      <c r="D55" s="14" t="s">
        <v>34</v>
      </c>
      <c r="E55" s="33" t="s">
        <v>488</v>
      </c>
      <c r="F55" s="33" t="s">
        <v>489</v>
      </c>
      <c r="G55" s="14"/>
      <c r="H55" s="46" t="s">
        <v>490</v>
      </c>
      <c r="I55" s="145" t="s">
        <v>830</v>
      </c>
      <c r="J55" s="61">
        <f>SUMIF(PAYOUT!$A:$A,'MP2'!$A55,PAYOUT!$L:$L)</f>
        <v>42178</v>
      </c>
      <c r="K55" s="15"/>
      <c r="L55" s="62">
        <f>SUMIF(PAYOUT!$A:$A,'MP2'!$A55,PAYOUT!$AD:$AD)</f>
        <v>1000</v>
      </c>
      <c r="M55" s="16" t="s">
        <v>10</v>
      </c>
    </row>
    <row r="56" spans="1:13" x14ac:dyDescent="0.25">
      <c r="A56">
        <v>51</v>
      </c>
      <c r="B56" s="46" t="s">
        <v>650</v>
      </c>
      <c r="C56" s="51" t="s">
        <v>733</v>
      </c>
      <c r="D56" s="14" t="s">
        <v>34</v>
      </c>
      <c r="E56" s="33" t="s">
        <v>491</v>
      </c>
      <c r="F56" s="33" t="s">
        <v>492</v>
      </c>
      <c r="G56" s="14"/>
      <c r="H56" s="46" t="s">
        <v>493</v>
      </c>
      <c r="I56" s="145" t="s">
        <v>830</v>
      </c>
      <c r="J56" s="61">
        <f>SUMIF(PAYOUT!$A:$A,'MP2'!$A56,PAYOUT!$L:$L)</f>
        <v>31820</v>
      </c>
      <c r="K56" s="15"/>
      <c r="L56" s="62">
        <f>SUMIF(PAYOUT!$A:$A,'MP2'!$A56,PAYOUT!$AD:$AD)</f>
        <v>500</v>
      </c>
      <c r="M56" s="16" t="s">
        <v>10</v>
      </c>
    </row>
    <row r="57" spans="1:13" x14ac:dyDescent="0.25">
      <c r="A57">
        <v>79</v>
      </c>
      <c r="B57" s="46" t="s">
        <v>651</v>
      </c>
      <c r="C57" s="51" t="s">
        <v>706</v>
      </c>
      <c r="D57" s="14" t="s">
        <v>34</v>
      </c>
      <c r="E57" s="33" t="s">
        <v>494</v>
      </c>
      <c r="F57" s="33" t="s">
        <v>495</v>
      </c>
      <c r="G57" s="14"/>
      <c r="H57" s="46" t="s">
        <v>496</v>
      </c>
      <c r="I57" s="145" t="s">
        <v>830</v>
      </c>
      <c r="J57" s="61">
        <f>SUMIF(PAYOUT!$A:$A,'MP2'!$A57,PAYOUT!$L:$L)</f>
        <v>59153</v>
      </c>
      <c r="K57" s="15"/>
      <c r="L57" s="62">
        <f>SUMIF(PAYOUT!$A:$A,'MP2'!$A57,PAYOUT!$AD:$AD)</f>
        <v>500</v>
      </c>
      <c r="M57" s="16" t="s">
        <v>10</v>
      </c>
    </row>
    <row r="58" spans="1:13" x14ac:dyDescent="0.25">
      <c r="A58">
        <v>52</v>
      </c>
      <c r="B58" s="46" t="s">
        <v>652</v>
      </c>
      <c r="C58" s="51" t="s">
        <v>707</v>
      </c>
      <c r="D58" s="14" t="s">
        <v>34</v>
      </c>
      <c r="E58" s="33" t="s">
        <v>497</v>
      </c>
      <c r="F58" s="33" t="s">
        <v>498</v>
      </c>
      <c r="G58" s="14"/>
      <c r="H58" s="46" t="s">
        <v>499</v>
      </c>
      <c r="I58" s="145" t="s">
        <v>830</v>
      </c>
      <c r="J58" s="61">
        <f>SUMIF(PAYOUT!$A:$A,'MP2'!$A58,PAYOUT!$L:$L)</f>
        <v>38764</v>
      </c>
      <c r="K58" s="15"/>
      <c r="L58" s="62">
        <f>SUMIF(PAYOUT!$A:$A,'MP2'!$A58,PAYOUT!$AD:$AD)</f>
        <v>2000</v>
      </c>
      <c r="M58" s="16" t="s">
        <v>10</v>
      </c>
    </row>
    <row r="59" spans="1:13" x14ac:dyDescent="0.25">
      <c r="A59">
        <v>53</v>
      </c>
      <c r="B59" s="46" t="s">
        <v>653</v>
      </c>
      <c r="C59" s="46"/>
      <c r="D59" s="14" t="s">
        <v>34</v>
      </c>
      <c r="E59" s="33" t="s">
        <v>500</v>
      </c>
      <c r="F59" s="33" t="s">
        <v>501</v>
      </c>
      <c r="G59" s="14"/>
      <c r="H59" s="46" t="s">
        <v>502</v>
      </c>
      <c r="I59" s="145" t="s">
        <v>830</v>
      </c>
      <c r="J59" s="61">
        <f>SUMIF(PAYOUT!$A:$A,'MP2'!$A59,PAYOUT!$L:$L)</f>
        <v>81796</v>
      </c>
      <c r="K59" s="15"/>
      <c r="L59" s="62">
        <f>SUMIF(PAYOUT!$A:$A,'MP2'!$A59,PAYOUT!$AD:$AD)</f>
        <v>0</v>
      </c>
      <c r="M59" s="16" t="s">
        <v>10</v>
      </c>
    </row>
    <row r="60" spans="1:13" x14ac:dyDescent="0.25">
      <c r="A60">
        <v>54</v>
      </c>
      <c r="B60" s="46" t="s">
        <v>654</v>
      </c>
      <c r="C60" s="51" t="s">
        <v>708</v>
      </c>
      <c r="D60" s="14" t="s">
        <v>34</v>
      </c>
      <c r="E60" s="33" t="s">
        <v>503</v>
      </c>
      <c r="F60" s="33" t="s">
        <v>504</v>
      </c>
      <c r="G60" s="14"/>
      <c r="H60" s="46" t="s">
        <v>505</v>
      </c>
      <c r="I60" s="145" t="s">
        <v>830</v>
      </c>
      <c r="J60" s="61">
        <f>SUMIF(PAYOUT!$A:$A,'MP2'!$A60,PAYOUT!$L:$L)</f>
        <v>32109</v>
      </c>
      <c r="K60" s="15"/>
      <c r="L60" s="62">
        <f>SUMIF(PAYOUT!$A:$A,'MP2'!$A60,PAYOUT!$AD:$AD)</f>
        <v>1500</v>
      </c>
      <c r="M60" s="16" t="s">
        <v>10</v>
      </c>
    </row>
    <row r="61" spans="1:13" x14ac:dyDescent="0.25">
      <c r="A61">
        <v>55</v>
      </c>
      <c r="B61" s="46" t="s">
        <v>655</v>
      </c>
      <c r="C61" s="51"/>
      <c r="D61" s="14" t="s">
        <v>34</v>
      </c>
      <c r="E61" s="33" t="s">
        <v>506</v>
      </c>
      <c r="F61" s="33" t="s">
        <v>507</v>
      </c>
      <c r="G61" s="14"/>
      <c r="H61" s="46" t="s">
        <v>112</v>
      </c>
      <c r="I61" s="145" t="s">
        <v>830</v>
      </c>
      <c r="J61" s="61">
        <f>SUMIF(PAYOUT!$A:$A,'MP2'!$A61,PAYOUT!$L:$L)</f>
        <v>18433</v>
      </c>
      <c r="K61" s="15"/>
      <c r="L61" s="62">
        <f>SUMIF(PAYOUT!$A:$A,'MP2'!$A61,PAYOUT!$AD:$AD)</f>
        <v>0</v>
      </c>
      <c r="M61" s="16" t="s">
        <v>10</v>
      </c>
    </row>
    <row r="62" spans="1:13" x14ac:dyDescent="0.25">
      <c r="A62">
        <v>56</v>
      </c>
      <c r="B62" s="46" t="s">
        <v>656</v>
      </c>
      <c r="C62" s="51" t="s">
        <v>709</v>
      </c>
      <c r="D62" s="14" t="s">
        <v>34</v>
      </c>
      <c r="E62" s="33" t="s">
        <v>508</v>
      </c>
      <c r="F62" s="33" t="s">
        <v>509</v>
      </c>
      <c r="G62" s="14"/>
      <c r="H62" s="46" t="s">
        <v>510</v>
      </c>
      <c r="I62" s="145" t="s">
        <v>830</v>
      </c>
      <c r="J62" s="61">
        <f>SUMIF(PAYOUT!$A:$A,'MP2'!$A62,PAYOUT!$L:$L)</f>
        <v>43442</v>
      </c>
      <c r="K62" s="15"/>
      <c r="L62" s="172">
        <v>1000</v>
      </c>
      <c r="M62" s="16" t="s">
        <v>10</v>
      </c>
    </row>
    <row r="63" spans="1:13" x14ac:dyDescent="0.25">
      <c r="B63" s="46" t="s">
        <v>656</v>
      </c>
      <c r="C63" s="51" t="s">
        <v>732</v>
      </c>
      <c r="D63" s="14" t="s">
        <v>34</v>
      </c>
      <c r="E63" s="33" t="s">
        <v>508</v>
      </c>
      <c r="F63" s="33" t="s">
        <v>509</v>
      </c>
      <c r="G63" s="14"/>
      <c r="H63" s="46" t="s">
        <v>510</v>
      </c>
      <c r="I63" s="145" t="s">
        <v>830</v>
      </c>
      <c r="J63" s="61">
        <v>43442</v>
      </c>
      <c r="K63" s="15"/>
      <c r="L63" s="172">
        <v>1000</v>
      </c>
      <c r="M63" s="16" t="s">
        <v>10</v>
      </c>
    </row>
    <row r="64" spans="1:13" x14ac:dyDescent="0.25">
      <c r="A64">
        <v>15</v>
      </c>
      <c r="B64" s="46" t="s">
        <v>657</v>
      </c>
      <c r="C64" s="46"/>
      <c r="D64" s="14" t="s">
        <v>34</v>
      </c>
      <c r="E64" s="33" t="s">
        <v>511</v>
      </c>
      <c r="F64" s="33" t="s">
        <v>512</v>
      </c>
      <c r="G64" s="14"/>
      <c r="H64" s="46" t="s">
        <v>513</v>
      </c>
      <c r="I64" s="145" t="s">
        <v>830</v>
      </c>
      <c r="J64" s="61">
        <f>SUMIF(PAYOUT!$A:$A,'MP2'!$A64,PAYOUT!$L:$L)</f>
        <v>53818</v>
      </c>
      <c r="K64" s="15"/>
      <c r="L64" s="62">
        <f>SUMIF(PAYOUT!$A:$A,'MP2'!$A64,PAYOUT!$AD:$AD)</f>
        <v>0</v>
      </c>
      <c r="M64" s="16" t="s">
        <v>10</v>
      </c>
    </row>
    <row r="65" spans="1:13" x14ac:dyDescent="0.25">
      <c r="A65">
        <v>57</v>
      </c>
      <c r="B65" s="46" t="s">
        <v>658</v>
      </c>
      <c r="C65" s="51" t="s">
        <v>710</v>
      </c>
      <c r="D65" s="14" t="s">
        <v>34</v>
      </c>
      <c r="E65" s="33" t="s">
        <v>514</v>
      </c>
      <c r="F65" s="33" t="s">
        <v>515</v>
      </c>
      <c r="G65" s="14"/>
      <c r="H65" s="46" t="s">
        <v>516</v>
      </c>
      <c r="I65" s="145" t="s">
        <v>830</v>
      </c>
      <c r="J65" s="61">
        <f>SUMIF(PAYOUT!$A:$A,'MP2'!$A65,PAYOUT!$L:$L)</f>
        <v>85356</v>
      </c>
      <c r="K65" s="15"/>
      <c r="L65" s="62">
        <f>SUMIF(PAYOUT!$A:$A,'MP2'!$A65,PAYOUT!$AD:$AD)</f>
        <v>1000</v>
      </c>
      <c r="M65" s="16" t="s">
        <v>10</v>
      </c>
    </row>
    <row r="66" spans="1:13" x14ac:dyDescent="0.25">
      <c r="A66">
        <v>58</v>
      </c>
      <c r="B66" s="46" t="s">
        <v>659</v>
      </c>
      <c r="C66" s="46"/>
      <c r="D66" s="14" t="s">
        <v>34</v>
      </c>
      <c r="E66" s="33" t="s">
        <v>517</v>
      </c>
      <c r="F66" s="33" t="s">
        <v>518</v>
      </c>
      <c r="G66" s="14"/>
      <c r="H66" s="46" t="s">
        <v>519</v>
      </c>
      <c r="I66" s="145" t="s">
        <v>830</v>
      </c>
      <c r="J66" s="61">
        <f>SUMIF(PAYOUT!$A:$A,'MP2'!$A66,PAYOUT!$L:$L)</f>
        <v>42594</v>
      </c>
      <c r="K66" s="15"/>
      <c r="L66" s="62">
        <f>SUMIF(PAYOUT!$A:$A,'MP2'!$A66,PAYOUT!$AD:$AD)</f>
        <v>0</v>
      </c>
      <c r="M66" s="16" t="s">
        <v>10</v>
      </c>
    </row>
    <row r="67" spans="1:13" x14ac:dyDescent="0.25">
      <c r="A67">
        <v>59</v>
      </c>
      <c r="B67" s="46" t="s">
        <v>660</v>
      </c>
      <c r="C67" s="51" t="s">
        <v>711</v>
      </c>
      <c r="D67" s="14" t="s">
        <v>34</v>
      </c>
      <c r="E67" s="33" t="s">
        <v>444</v>
      </c>
      <c r="F67" s="33" t="s">
        <v>520</v>
      </c>
      <c r="G67" s="14"/>
      <c r="H67" s="46" t="s">
        <v>521</v>
      </c>
      <c r="I67" s="145" t="s">
        <v>830</v>
      </c>
      <c r="J67" s="61">
        <f>SUMIF(PAYOUT!$A:$A,'MP2'!$A67,PAYOUT!$L:$L)</f>
        <v>31820</v>
      </c>
      <c r="K67" s="15"/>
      <c r="L67" s="62">
        <f>SUMIF(PAYOUT!$A:$A,'MP2'!$A67,PAYOUT!$AD:$AD)</f>
        <v>1000</v>
      </c>
      <c r="M67" s="16" t="s">
        <v>10</v>
      </c>
    </row>
    <row r="68" spans="1:13" x14ac:dyDescent="0.25">
      <c r="A68">
        <v>60</v>
      </c>
      <c r="B68" s="46" t="s">
        <v>661</v>
      </c>
      <c r="C68" s="46"/>
      <c r="D68" s="14" t="s">
        <v>34</v>
      </c>
      <c r="E68" s="33" t="s">
        <v>444</v>
      </c>
      <c r="F68" s="33" t="s">
        <v>522</v>
      </c>
      <c r="G68" s="14"/>
      <c r="H68" s="46" t="s">
        <v>523</v>
      </c>
      <c r="I68" s="145" t="s">
        <v>830</v>
      </c>
      <c r="J68" s="61">
        <f>SUMIF(PAYOUT!$A:$A,'MP2'!$A68,PAYOUT!$L:$L)</f>
        <v>20761</v>
      </c>
      <c r="K68" s="15"/>
      <c r="L68" s="62">
        <f>SUMIF(PAYOUT!$A:$A,'MP2'!$A68,PAYOUT!$AD:$AD)</f>
        <v>0</v>
      </c>
      <c r="M68" s="16" t="s">
        <v>10</v>
      </c>
    </row>
    <row r="69" spans="1:13" x14ac:dyDescent="0.25">
      <c r="A69">
        <v>61</v>
      </c>
      <c r="B69" s="46" t="s">
        <v>662</v>
      </c>
      <c r="C69" s="46"/>
      <c r="D69" s="14" t="s">
        <v>34</v>
      </c>
      <c r="E69" s="33" t="s">
        <v>524</v>
      </c>
      <c r="F69" s="33" t="s">
        <v>525</v>
      </c>
      <c r="G69" s="14"/>
      <c r="H69" s="46" t="s">
        <v>526</v>
      </c>
      <c r="I69" s="145" t="s">
        <v>830</v>
      </c>
      <c r="J69" s="61">
        <f>SUMIF(PAYOUT!$A:$A,'MP2'!$A69,PAYOUT!$L:$L)</f>
        <v>31820</v>
      </c>
      <c r="K69" s="15"/>
      <c r="L69" s="62">
        <f>SUMIF(PAYOUT!$A:$A,'MP2'!$A69,PAYOUT!$AD:$AD)</f>
        <v>0</v>
      </c>
      <c r="M69" s="16" t="s">
        <v>10</v>
      </c>
    </row>
    <row r="70" spans="1:13" x14ac:dyDescent="0.25">
      <c r="A70">
        <v>62</v>
      </c>
      <c r="B70" s="46" t="s">
        <v>663</v>
      </c>
      <c r="C70" s="51" t="s">
        <v>712</v>
      </c>
      <c r="D70" s="14" t="s">
        <v>34</v>
      </c>
      <c r="E70" s="33" t="s">
        <v>527</v>
      </c>
      <c r="F70" s="33" t="s">
        <v>528</v>
      </c>
      <c r="G70" s="14"/>
      <c r="H70" s="46" t="s">
        <v>529</v>
      </c>
      <c r="I70" s="145" t="s">
        <v>830</v>
      </c>
      <c r="J70" s="61">
        <f>SUMIF(PAYOUT!$A:$A,'MP2'!$A70,PAYOUT!$L:$L)</f>
        <v>57842</v>
      </c>
      <c r="K70" s="15"/>
      <c r="L70" s="62">
        <f>SUMIF(PAYOUT!$A:$A,'MP2'!$A70,PAYOUT!$AD:$AD)</f>
        <v>1500</v>
      </c>
      <c r="M70" s="16" t="s">
        <v>10</v>
      </c>
    </row>
    <row r="71" spans="1:13" x14ac:dyDescent="0.25">
      <c r="A71">
        <v>63</v>
      </c>
      <c r="B71" s="46" t="s">
        <v>664</v>
      </c>
      <c r="C71" s="51" t="s">
        <v>713</v>
      </c>
      <c r="D71" s="14" t="s">
        <v>34</v>
      </c>
      <c r="E71" s="33" t="s">
        <v>527</v>
      </c>
      <c r="F71" s="33" t="s">
        <v>530</v>
      </c>
      <c r="G71" s="14"/>
      <c r="H71" s="46" t="s">
        <v>531</v>
      </c>
      <c r="I71" s="145" t="s">
        <v>830</v>
      </c>
      <c r="J71" s="61">
        <f>SUMIF(PAYOUT!$A:$A,'MP2'!$A71,PAYOUT!$L:$L)</f>
        <v>22022</v>
      </c>
      <c r="K71" s="15"/>
      <c r="L71" s="62">
        <f>SUMIF(PAYOUT!$A:$A,'MP2'!$A71,PAYOUT!$AD:$AD)</f>
        <v>1000</v>
      </c>
      <c r="M71" s="16" t="s">
        <v>10</v>
      </c>
    </row>
    <row r="72" spans="1:13" x14ac:dyDescent="0.25">
      <c r="A72">
        <v>64</v>
      </c>
      <c r="B72" s="46" t="s">
        <v>665</v>
      </c>
      <c r="C72" s="46"/>
      <c r="D72" s="14" t="s">
        <v>34</v>
      </c>
      <c r="E72" s="33" t="s">
        <v>532</v>
      </c>
      <c r="F72" s="33" t="s">
        <v>533</v>
      </c>
      <c r="G72" s="14"/>
      <c r="H72" s="46" t="s">
        <v>534</v>
      </c>
      <c r="I72" s="145" t="s">
        <v>830</v>
      </c>
      <c r="J72" s="61">
        <f>SUMIF(PAYOUT!$A:$A,'MP2'!$A72,PAYOUT!$L:$L)</f>
        <v>17898</v>
      </c>
      <c r="K72" s="15"/>
      <c r="L72" s="62">
        <f>SUMIF(PAYOUT!$A:$A,'MP2'!$A72,PAYOUT!$AD:$AD)</f>
        <v>0</v>
      </c>
      <c r="M72" s="16" t="s">
        <v>10</v>
      </c>
    </row>
    <row r="73" spans="1:13" x14ac:dyDescent="0.25">
      <c r="A73">
        <v>38</v>
      </c>
      <c r="B73" s="46" t="s">
        <v>666</v>
      </c>
      <c r="C73" s="46"/>
      <c r="D73" s="14" t="s">
        <v>34</v>
      </c>
      <c r="E73" s="33" t="s">
        <v>535</v>
      </c>
      <c r="F73" s="33" t="s">
        <v>536</v>
      </c>
      <c r="G73" s="14"/>
      <c r="H73" s="46" t="s">
        <v>537</v>
      </c>
      <c r="I73" s="145" t="s">
        <v>830</v>
      </c>
      <c r="J73" s="61">
        <f>SUMIF(PAYOUT!$A:$A,'MP2'!$A73,PAYOUT!$L:$L)</f>
        <v>38764</v>
      </c>
      <c r="K73" s="15"/>
      <c r="L73" s="62">
        <f>SUMIF(PAYOUT!$A:$A,'MP2'!$A73,PAYOUT!$AD:$AD)</f>
        <v>0</v>
      </c>
      <c r="M73" s="16" t="s">
        <v>10</v>
      </c>
    </row>
    <row r="74" spans="1:13" x14ac:dyDescent="0.25">
      <c r="A74">
        <v>65</v>
      </c>
      <c r="B74" s="46" t="s">
        <v>667</v>
      </c>
      <c r="C74" s="51" t="s">
        <v>714</v>
      </c>
      <c r="D74" s="14" t="s">
        <v>34</v>
      </c>
      <c r="E74" s="33" t="s">
        <v>539</v>
      </c>
      <c r="F74" s="33" t="s">
        <v>540</v>
      </c>
      <c r="G74" s="14"/>
      <c r="H74" s="46" t="s">
        <v>541</v>
      </c>
      <c r="I74" s="145" t="s">
        <v>830</v>
      </c>
      <c r="J74" s="61">
        <f>SUMIF(PAYOUT!$A:$A,'MP2'!$A74,PAYOUT!$L:$L)</f>
        <v>55499</v>
      </c>
      <c r="K74" s="15"/>
      <c r="L74" s="62">
        <f>SUMIF(PAYOUT!$A:$A,'MP2'!$A74,PAYOUT!$AD:$AD)</f>
        <v>2000</v>
      </c>
      <c r="M74" s="16" t="s">
        <v>10</v>
      </c>
    </row>
    <row r="75" spans="1:13" x14ac:dyDescent="0.25">
      <c r="A75">
        <v>66</v>
      </c>
      <c r="B75" s="46" t="s">
        <v>668</v>
      </c>
      <c r="C75" s="46"/>
      <c r="D75" s="14" t="s">
        <v>34</v>
      </c>
      <c r="E75" s="33" t="s">
        <v>542</v>
      </c>
      <c r="F75" s="33" t="s">
        <v>543</v>
      </c>
      <c r="G75" s="14"/>
      <c r="H75" s="46" t="s">
        <v>544</v>
      </c>
      <c r="I75" s="145" t="s">
        <v>830</v>
      </c>
      <c r="J75" s="61">
        <f>SUMIF(PAYOUT!$A:$A,'MP2'!$A75,PAYOUT!$L:$L)</f>
        <v>42178</v>
      </c>
      <c r="K75" s="15"/>
      <c r="L75" s="62">
        <f>SUMIF(PAYOUT!$A:$A,'MP2'!$A75,PAYOUT!$AD:$AD)</f>
        <v>0</v>
      </c>
      <c r="M75" s="16" t="s">
        <v>10</v>
      </c>
    </row>
    <row r="76" spans="1:13" x14ac:dyDescent="0.25">
      <c r="A76">
        <v>67</v>
      </c>
      <c r="B76" s="46" t="s">
        <v>36</v>
      </c>
      <c r="C76" s="46"/>
      <c r="D76" s="14" t="s">
        <v>34</v>
      </c>
      <c r="E76" s="33" t="s">
        <v>40</v>
      </c>
      <c r="F76" s="33" t="s">
        <v>41</v>
      </c>
      <c r="G76" s="14"/>
      <c r="H76" s="46" t="s">
        <v>42</v>
      </c>
      <c r="I76" s="145" t="s">
        <v>830</v>
      </c>
      <c r="J76" s="61">
        <f>SUMIF(PAYOUT!$A:$A,'MP2'!$A76,PAYOUT!$L:$L)</f>
        <v>31705</v>
      </c>
      <c r="K76" s="15"/>
      <c r="L76" s="62">
        <f>SUMIF(PAYOUT!$A:$A,'MP2'!$A76,PAYOUT!$AD:$AD)</f>
        <v>0</v>
      </c>
      <c r="M76" s="16" t="s">
        <v>10</v>
      </c>
    </row>
    <row r="77" spans="1:13" x14ac:dyDescent="0.25">
      <c r="A77">
        <v>68</v>
      </c>
      <c r="B77" s="46" t="s">
        <v>669</v>
      </c>
      <c r="C77" s="51" t="s">
        <v>715</v>
      </c>
      <c r="D77" s="14" t="s">
        <v>34</v>
      </c>
      <c r="E77" s="33" t="s">
        <v>545</v>
      </c>
      <c r="F77" s="33" t="s">
        <v>546</v>
      </c>
      <c r="G77" s="14"/>
      <c r="H77" s="46" t="s">
        <v>547</v>
      </c>
      <c r="I77" s="145" t="s">
        <v>830</v>
      </c>
      <c r="J77" s="61">
        <f>SUMIF(PAYOUT!$A:$A,'MP2'!$A77,PAYOUT!$L:$L)</f>
        <v>55499</v>
      </c>
      <c r="K77" s="15"/>
      <c r="L77" s="62">
        <f>SUMIF(PAYOUT!$A:$A,'MP2'!$A77,PAYOUT!$AD:$AD)</f>
        <v>3500</v>
      </c>
      <c r="M77" s="16" t="s">
        <v>10</v>
      </c>
    </row>
    <row r="78" spans="1:13" x14ac:dyDescent="0.25">
      <c r="A78">
        <v>69</v>
      </c>
      <c r="B78" s="46" t="s">
        <v>670</v>
      </c>
      <c r="C78" s="46"/>
      <c r="D78" s="14" t="s">
        <v>34</v>
      </c>
      <c r="E78" s="33" t="s">
        <v>548</v>
      </c>
      <c r="F78" s="33" t="s">
        <v>549</v>
      </c>
      <c r="G78" s="14"/>
      <c r="H78" s="46" t="s">
        <v>550</v>
      </c>
      <c r="I78" s="145" t="s">
        <v>830</v>
      </c>
      <c r="J78" s="61">
        <f>SUMIF(PAYOUT!$A:$A,'MP2'!$A78,PAYOUT!$L:$L)</f>
        <v>43442</v>
      </c>
      <c r="K78" s="15"/>
      <c r="L78" s="62">
        <f>SUMIF(PAYOUT!$A:$A,'MP2'!$A78,PAYOUT!$AD:$AD)</f>
        <v>0</v>
      </c>
      <c r="M78" s="16" t="s">
        <v>10</v>
      </c>
    </row>
    <row r="79" spans="1:13" x14ac:dyDescent="0.25">
      <c r="A79">
        <v>70</v>
      </c>
      <c r="B79" s="46" t="s">
        <v>671</v>
      </c>
      <c r="C79" s="46"/>
      <c r="D79" s="14" t="s">
        <v>34</v>
      </c>
      <c r="E79" s="33" t="s">
        <v>551</v>
      </c>
      <c r="F79" s="33" t="s">
        <v>552</v>
      </c>
      <c r="G79" s="14"/>
      <c r="H79" s="46" t="s">
        <v>553</v>
      </c>
      <c r="I79" s="145" t="s">
        <v>830</v>
      </c>
      <c r="J79" s="61">
        <f>SUMIF(PAYOUT!$A:$A,'MP2'!$A79,PAYOUT!$L:$L)</f>
        <v>31705</v>
      </c>
      <c r="K79" s="15"/>
      <c r="L79" s="62">
        <f>SUMIF(PAYOUT!$A:$A,'MP2'!$A79,PAYOUT!$AD:$AD)</f>
        <v>0</v>
      </c>
      <c r="M79" s="16" t="s">
        <v>10</v>
      </c>
    </row>
    <row r="80" spans="1:13" x14ac:dyDescent="0.25">
      <c r="A80">
        <v>71</v>
      </c>
      <c r="B80" s="46" t="s">
        <v>672</v>
      </c>
      <c r="C80" s="46"/>
      <c r="D80" s="14" t="s">
        <v>34</v>
      </c>
      <c r="E80" s="33" t="s">
        <v>554</v>
      </c>
      <c r="F80" s="33" t="s">
        <v>555</v>
      </c>
      <c r="G80" s="14"/>
      <c r="H80" s="46" t="s">
        <v>556</v>
      </c>
      <c r="I80" s="145" t="s">
        <v>830</v>
      </c>
      <c r="J80" s="61">
        <f>SUMIF(PAYOUT!$A:$A,'MP2'!$A80,PAYOUT!$L:$L)</f>
        <v>53818</v>
      </c>
      <c r="K80" s="15"/>
      <c r="L80" s="62">
        <f>SUMIF(PAYOUT!$A:$A,'MP2'!$A80,PAYOUT!$AD:$AD)</f>
        <v>0</v>
      </c>
      <c r="M80" s="16" t="s">
        <v>10</v>
      </c>
    </row>
    <row r="81" spans="1:13" x14ac:dyDescent="0.25">
      <c r="A81">
        <v>72</v>
      </c>
      <c r="B81" s="68" t="s">
        <v>727</v>
      </c>
      <c r="C81" s="40"/>
      <c r="D81" s="14" t="s">
        <v>34</v>
      </c>
      <c r="E81" s="33" t="s">
        <v>728</v>
      </c>
      <c r="F81" s="33" t="s">
        <v>729</v>
      </c>
      <c r="G81" s="37"/>
      <c r="H81" s="46" t="s">
        <v>730</v>
      </c>
      <c r="I81" s="145" t="s">
        <v>830</v>
      </c>
      <c r="J81" s="61">
        <f>SUMIF(PAYOUT!$A:$A,'MP2'!$A81,PAYOUT!$L:$L)</f>
        <v>31705</v>
      </c>
      <c r="K81" s="15"/>
      <c r="L81" s="62">
        <f>SUMIF(PAYOUT!$A:$A,'MP2'!$A81,PAYOUT!$AD:$AD)</f>
        <v>0</v>
      </c>
      <c r="M81" s="16"/>
    </row>
    <row r="82" spans="1:13" x14ac:dyDescent="0.25">
      <c r="A82">
        <v>73</v>
      </c>
      <c r="B82" s="46" t="s">
        <v>673</v>
      </c>
      <c r="C82" s="46"/>
      <c r="D82" s="14" t="s">
        <v>34</v>
      </c>
      <c r="E82" s="33" t="s">
        <v>557</v>
      </c>
      <c r="F82" s="33" t="s">
        <v>558</v>
      </c>
      <c r="G82" s="14"/>
      <c r="H82" s="46" t="s">
        <v>559</v>
      </c>
      <c r="I82" s="145" t="s">
        <v>830</v>
      </c>
      <c r="J82" s="61">
        <f>SUMIF(PAYOUT!$A:$A,'MP2'!$A82,PAYOUT!$L:$L)</f>
        <v>43442</v>
      </c>
      <c r="K82" s="15"/>
      <c r="L82" s="62">
        <f>SUMIF(PAYOUT!$A:$A,'MP2'!$A82,PAYOUT!$AD:$AD)</f>
        <v>0</v>
      </c>
      <c r="M82" s="16" t="s">
        <v>10</v>
      </c>
    </row>
    <row r="83" spans="1:13" x14ac:dyDescent="0.25">
      <c r="A83">
        <v>26</v>
      </c>
      <c r="B83" s="46" t="s">
        <v>674</v>
      </c>
      <c r="C83" s="46"/>
      <c r="D83" s="14" t="s">
        <v>34</v>
      </c>
      <c r="E83" s="33" t="s">
        <v>560</v>
      </c>
      <c r="F83" s="33" t="s">
        <v>561</v>
      </c>
      <c r="G83" s="14"/>
      <c r="H83" s="46" t="s">
        <v>562</v>
      </c>
      <c r="I83" s="145" t="s">
        <v>830</v>
      </c>
      <c r="J83" s="61">
        <f>SUMIF(PAYOUT!$A:$A,'MP2'!$A83,PAYOUT!$L:$L)</f>
        <v>43015</v>
      </c>
      <c r="K83" s="15"/>
      <c r="L83" s="62">
        <f>SUMIF(PAYOUT!$A:$A,'MP2'!$A83,PAYOUT!$AD:$AD)</f>
        <v>0</v>
      </c>
      <c r="M83" s="16" t="s">
        <v>10</v>
      </c>
    </row>
    <row r="84" spans="1:13" x14ac:dyDescent="0.25">
      <c r="A84">
        <v>74</v>
      </c>
      <c r="B84" s="46" t="s">
        <v>675</v>
      </c>
      <c r="C84" s="51" t="s">
        <v>716</v>
      </c>
      <c r="D84" s="14" t="s">
        <v>34</v>
      </c>
      <c r="E84" s="33" t="s">
        <v>563</v>
      </c>
      <c r="F84" s="33" t="s">
        <v>564</v>
      </c>
      <c r="G84" s="14"/>
      <c r="H84" s="46" t="s">
        <v>565</v>
      </c>
      <c r="I84" s="145" t="s">
        <v>830</v>
      </c>
      <c r="J84" s="61">
        <f>SUMIF(PAYOUT!$A:$A,'MP2'!$A84,PAYOUT!$L:$L)</f>
        <v>26917</v>
      </c>
      <c r="K84" s="15"/>
      <c r="L84" s="62">
        <f>SUMIF(PAYOUT!$A:$A,'MP2'!$A84,PAYOUT!$AD:$AD)</f>
        <v>1000</v>
      </c>
      <c r="M84" s="16" t="s">
        <v>10</v>
      </c>
    </row>
    <row r="85" spans="1:13" x14ac:dyDescent="0.25">
      <c r="A85">
        <v>75</v>
      </c>
      <c r="B85" s="46" t="s">
        <v>676</v>
      </c>
      <c r="C85" s="46"/>
      <c r="D85" s="14" t="s">
        <v>34</v>
      </c>
      <c r="E85" s="33" t="s">
        <v>566</v>
      </c>
      <c r="F85" s="33" t="s">
        <v>567</v>
      </c>
      <c r="G85" s="14"/>
      <c r="H85" s="46" t="s">
        <v>568</v>
      </c>
      <c r="I85" s="145" t="s">
        <v>830</v>
      </c>
      <c r="J85" s="61">
        <f>SUMIF(PAYOUT!$A:$A,'MP2'!$A85,PAYOUT!$L:$L)</f>
        <v>24523</v>
      </c>
      <c r="K85" s="15"/>
      <c r="L85" s="62">
        <f>SUMIF(PAYOUT!$A:$A,'MP2'!$A85,PAYOUT!$AD:$AD)</f>
        <v>0</v>
      </c>
      <c r="M85" s="16" t="s">
        <v>10</v>
      </c>
    </row>
    <row r="86" spans="1:13" x14ac:dyDescent="0.25">
      <c r="A86">
        <v>76</v>
      </c>
      <c r="B86" s="46" t="s">
        <v>677</v>
      </c>
      <c r="C86" s="46"/>
      <c r="D86" s="14" t="s">
        <v>34</v>
      </c>
      <c r="E86" s="33" t="s">
        <v>569</v>
      </c>
      <c r="F86" s="33" t="s">
        <v>570</v>
      </c>
      <c r="G86" s="14"/>
      <c r="H86" s="46" t="s">
        <v>571</v>
      </c>
      <c r="I86" s="145" t="s">
        <v>830</v>
      </c>
      <c r="J86" s="61">
        <f>SUMIF(PAYOUT!$A:$A,'MP2'!$A86,PAYOUT!$L:$L)</f>
        <v>177545</v>
      </c>
      <c r="K86" s="15"/>
      <c r="L86" s="62">
        <f>SUMIF(PAYOUT!$A:$A,'MP2'!$A86,PAYOUT!$AD:$AD)</f>
        <v>0</v>
      </c>
      <c r="M86" s="16" t="s">
        <v>10</v>
      </c>
    </row>
    <row r="87" spans="1:13" x14ac:dyDescent="0.25">
      <c r="A87">
        <v>77</v>
      </c>
      <c r="B87" s="46" t="s">
        <v>678</v>
      </c>
      <c r="C87" s="46"/>
      <c r="D87" s="14" t="s">
        <v>34</v>
      </c>
      <c r="E87" s="33" t="s">
        <v>572</v>
      </c>
      <c r="F87" s="33" t="s">
        <v>573</v>
      </c>
      <c r="G87" s="14"/>
      <c r="H87" s="46" t="s">
        <v>574</v>
      </c>
      <c r="I87" s="145" t="s">
        <v>830</v>
      </c>
      <c r="J87" s="61">
        <f>SUMIF(PAYOUT!$A:$A,'MP2'!$A87,PAYOUT!$L:$L)</f>
        <v>42178</v>
      </c>
      <c r="K87" s="15"/>
      <c r="L87" s="62">
        <f>SUMIF(PAYOUT!$A:$A,'MP2'!$A87,PAYOUT!$AD:$AD)</f>
        <v>0</v>
      </c>
      <c r="M87" s="16" t="s">
        <v>10</v>
      </c>
    </row>
    <row r="88" spans="1:13" x14ac:dyDescent="0.25">
      <c r="A88">
        <v>78</v>
      </c>
      <c r="B88" s="46" t="s">
        <v>679</v>
      </c>
      <c r="C88" s="46"/>
      <c r="D88" s="14" t="s">
        <v>34</v>
      </c>
      <c r="E88" s="33" t="s">
        <v>575</v>
      </c>
      <c r="F88" s="33" t="s">
        <v>576</v>
      </c>
      <c r="G88" s="14"/>
      <c r="H88" s="46" t="s">
        <v>577</v>
      </c>
      <c r="I88" s="145" t="s">
        <v>830</v>
      </c>
      <c r="J88" s="61">
        <f>SUMIF(PAYOUT!$A:$A,'MP2'!$A88,PAYOUT!$L:$L)</f>
        <v>54933</v>
      </c>
      <c r="K88" s="15"/>
      <c r="L88" s="62">
        <f>SUMIF(PAYOUT!$A:$A,'MP2'!$A88,PAYOUT!$AD:$AD)</f>
        <v>0</v>
      </c>
      <c r="M88" s="16" t="s">
        <v>10</v>
      </c>
    </row>
    <row r="89" spans="1:13" x14ac:dyDescent="0.25">
      <c r="A89">
        <v>80</v>
      </c>
      <c r="B89" s="46" t="s">
        <v>680</v>
      </c>
      <c r="C89" s="46"/>
      <c r="D89" s="14" t="s">
        <v>34</v>
      </c>
      <c r="E89" s="33" t="s">
        <v>578</v>
      </c>
      <c r="F89" s="33" t="s">
        <v>579</v>
      </c>
      <c r="G89" s="14"/>
      <c r="H89" s="46" t="s">
        <v>580</v>
      </c>
      <c r="I89" s="145" t="s">
        <v>830</v>
      </c>
      <c r="J89" s="61">
        <f>SUMIF(PAYOUT!$A:$A,'MP2'!$A89,PAYOUT!$L:$L)</f>
        <v>31705</v>
      </c>
      <c r="K89" s="15"/>
      <c r="L89" s="62">
        <f>SUMIF(PAYOUT!$A:$A,'MP2'!$A89,PAYOUT!$AD:$AD)</f>
        <v>0</v>
      </c>
      <c r="M89" s="16" t="s">
        <v>10</v>
      </c>
    </row>
    <row r="90" spans="1:13" x14ac:dyDescent="0.25">
      <c r="A90">
        <v>81</v>
      </c>
      <c r="B90" s="46" t="s">
        <v>690</v>
      </c>
      <c r="C90" s="46"/>
      <c r="D90" s="14" t="s">
        <v>34</v>
      </c>
      <c r="E90" s="33" t="s">
        <v>581</v>
      </c>
      <c r="F90" s="33" t="s">
        <v>582</v>
      </c>
      <c r="G90" s="14"/>
      <c r="H90" s="46" t="s">
        <v>583</v>
      </c>
      <c r="I90" s="145" t="s">
        <v>830</v>
      </c>
      <c r="J90" s="61">
        <f>SUMIF(PAYOUT!$A:$A,'MP2'!$A90,PAYOUT!$L:$L)</f>
        <v>31705</v>
      </c>
      <c r="K90" s="15"/>
      <c r="L90" s="62">
        <f>SUMIF(PAYOUT!$A:$A,'MP2'!$A90,PAYOUT!$AD:$AD)</f>
        <v>0</v>
      </c>
      <c r="M90" s="16" t="s">
        <v>10</v>
      </c>
    </row>
    <row r="91" spans="1:13" x14ac:dyDescent="0.25">
      <c r="A91">
        <v>82</v>
      </c>
      <c r="B91" s="46" t="s">
        <v>681</v>
      </c>
      <c r="C91" s="46"/>
      <c r="D91" s="14" t="s">
        <v>34</v>
      </c>
      <c r="E91" s="33" t="s">
        <v>584</v>
      </c>
      <c r="F91" s="33" t="s">
        <v>585</v>
      </c>
      <c r="G91" s="14"/>
      <c r="H91" s="46" t="s">
        <v>586</v>
      </c>
      <c r="I91" s="145" t="s">
        <v>830</v>
      </c>
      <c r="J91" s="61">
        <f>SUMIF(PAYOUT!$A:$A,'MP2'!$A91,PAYOUT!$L:$L)</f>
        <v>42178</v>
      </c>
      <c r="K91" s="15"/>
      <c r="L91" s="62">
        <f>SUMIF(PAYOUT!$A:$A,'MP2'!$A91,PAYOUT!$AD:$AD)</f>
        <v>0</v>
      </c>
      <c r="M91" s="16" t="s">
        <v>10</v>
      </c>
    </row>
    <row r="92" spans="1:13" x14ac:dyDescent="0.25">
      <c r="A92">
        <v>83</v>
      </c>
      <c r="B92" s="46" t="s">
        <v>682</v>
      </c>
      <c r="C92" s="46"/>
      <c r="D92" s="14" t="s">
        <v>34</v>
      </c>
      <c r="E92" s="33" t="s">
        <v>587</v>
      </c>
      <c r="F92" s="33" t="s">
        <v>588</v>
      </c>
      <c r="G92" s="14"/>
      <c r="H92" s="46" t="s">
        <v>589</v>
      </c>
      <c r="I92" s="145" t="s">
        <v>830</v>
      </c>
      <c r="J92" s="61">
        <f>SUMIF(PAYOUT!$A:$A,'MP2'!$A92,PAYOUT!$L:$L)</f>
        <v>54933</v>
      </c>
      <c r="K92" s="15"/>
      <c r="L92" s="62">
        <f>SUMIF(PAYOUT!$A:$A,'MP2'!$A92,PAYOUT!$AD:$AD)</f>
        <v>0</v>
      </c>
      <c r="M92" s="16" t="s">
        <v>10</v>
      </c>
    </row>
    <row r="93" spans="1:13" x14ac:dyDescent="0.25">
      <c r="A93">
        <v>84</v>
      </c>
      <c r="B93" s="46" t="s">
        <v>683</v>
      </c>
      <c r="C93" s="46"/>
      <c r="D93" s="14" t="s">
        <v>34</v>
      </c>
      <c r="E93" s="33" t="s">
        <v>590</v>
      </c>
      <c r="F93" s="33" t="s">
        <v>591</v>
      </c>
      <c r="G93" s="14"/>
      <c r="H93" s="46" t="s">
        <v>592</v>
      </c>
      <c r="I93" s="145" t="s">
        <v>830</v>
      </c>
      <c r="J93" s="61">
        <f>SUMIF(PAYOUT!$A:$A,'MP2'!$A93,PAYOUT!$L:$L)</f>
        <v>42594</v>
      </c>
      <c r="K93" s="15"/>
      <c r="L93" s="62">
        <f>SUMIF(PAYOUT!$A:$A,'MP2'!$A93,PAYOUT!$AD:$AD)</f>
        <v>0</v>
      </c>
      <c r="M93" s="16" t="s">
        <v>10</v>
      </c>
    </row>
    <row r="94" spans="1:13" x14ac:dyDescent="0.25">
      <c r="A94">
        <v>85</v>
      </c>
      <c r="B94" s="46" t="s">
        <v>684</v>
      </c>
      <c r="C94" s="51" t="s">
        <v>717</v>
      </c>
      <c r="D94" s="14" t="s">
        <v>34</v>
      </c>
      <c r="E94" s="33" t="s">
        <v>593</v>
      </c>
      <c r="F94" s="33" t="s">
        <v>594</v>
      </c>
      <c r="G94" s="14"/>
      <c r="H94" s="46" t="s">
        <v>595</v>
      </c>
      <c r="I94" s="145" t="s">
        <v>830</v>
      </c>
      <c r="J94" s="61">
        <f>SUMIF(PAYOUT!$A:$A,'MP2'!$A94,PAYOUT!$L:$L)</f>
        <v>24329</v>
      </c>
      <c r="K94" s="15"/>
      <c r="L94" s="62">
        <f>SUMIF(PAYOUT!$A:$A,'MP2'!$A94,PAYOUT!$AD:$AD)</f>
        <v>1000</v>
      </c>
      <c r="M94" s="16" t="s">
        <v>10</v>
      </c>
    </row>
    <row r="95" spans="1:13" x14ac:dyDescent="0.25">
      <c r="A95">
        <v>86</v>
      </c>
      <c r="B95" s="46" t="s">
        <v>685</v>
      </c>
      <c r="C95" s="46"/>
      <c r="D95" s="14" t="s">
        <v>34</v>
      </c>
      <c r="E95" s="33" t="s">
        <v>596</v>
      </c>
      <c r="F95" s="33" t="s">
        <v>597</v>
      </c>
      <c r="G95" s="14"/>
      <c r="H95" s="46" t="s">
        <v>598</v>
      </c>
      <c r="I95" s="145" t="s">
        <v>830</v>
      </c>
      <c r="J95" s="61">
        <f>SUMIF(PAYOUT!$A:$A,'MP2'!$A95,PAYOUT!$L:$L)</f>
        <v>31705</v>
      </c>
      <c r="K95" s="15"/>
      <c r="L95" s="62">
        <f>SUMIF(PAYOUT!$A:$A,'MP2'!$A95,PAYOUT!$AD:$AD)</f>
        <v>0</v>
      </c>
      <c r="M95" s="16" t="s">
        <v>10</v>
      </c>
    </row>
    <row r="96" spans="1:13" x14ac:dyDescent="0.25">
      <c r="A96">
        <v>87</v>
      </c>
      <c r="B96" s="46" t="s">
        <v>686</v>
      </c>
      <c r="C96" s="46"/>
      <c r="D96" s="14" t="s">
        <v>34</v>
      </c>
      <c r="E96" s="33" t="s">
        <v>538</v>
      </c>
      <c r="F96" s="33" t="s">
        <v>599</v>
      </c>
      <c r="G96" s="14"/>
      <c r="H96" s="46" t="s">
        <v>600</v>
      </c>
      <c r="I96" s="145" t="s">
        <v>830</v>
      </c>
      <c r="J96" s="61">
        <f>SUMIF(PAYOUT!$A:$A,'MP2'!$A96,PAYOUT!$L:$L)</f>
        <v>107500</v>
      </c>
      <c r="K96" s="15"/>
      <c r="L96" s="62">
        <f>SUMIF(PAYOUT!$A:$A,'MP2'!$A96,PAYOUT!$AD:$AD)</f>
        <v>0</v>
      </c>
      <c r="M96" s="16" t="s">
        <v>10</v>
      </c>
    </row>
    <row r="97" spans="1:13" x14ac:dyDescent="0.25">
      <c r="A97">
        <v>88</v>
      </c>
      <c r="B97" s="46" t="s">
        <v>687</v>
      </c>
      <c r="C97" s="46"/>
      <c r="D97" s="14" t="s">
        <v>34</v>
      </c>
      <c r="E97" s="33" t="s">
        <v>601</v>
      </c>
      <c r="F97" s="33" t="s">
        <v>602</v>
      </c>
      <c r="G97" s="14"/>
      <c r="H97" s="46" t="s">
        <v>565</v>
      </c>
      <c r="I97" s="145" t="s">
        <v>830</v>
      </c>
      <c r="J97" s="61">
        <f>SUMIF(PAYOUT!$A:$A,'MP2'!$A97,PAYOUT!$L:$L)</f>
        <v>32109</v>
      </c>
      <c r="K97" s="15"/>
      <c r="L97" s="62">
        <f>SUMIF(PAYOUT!$A:$A,'MP2'!$A97,PAYOUT!$AD:$AD)</f>
        <v>0</v>
      </c>
      <c r="M97" s="16" t="s">
        <v>10</v>
      </c>
    </row>
    <row r="98" spans="1:13" x14ac:dyDescent="0.25">
      <c r="A98">
        <v>89</v>
      </c>
      <c r="B98" s="46" t="s">
        <v>688</v>
      </c>
      <c r="C98" s="46"/>
      <c r="D98" s="14" t="s">
        <v>34</v>
      </c>
      <c r="E98" s="46" t="s">
        <v>603</v>
      </c>
      <c r="F98" s="46" t="s">
        <v>604</v>
      </c>
      <c r="G98" s="14"/>
      <c r="H98" s="46" t="s">
        <v>513</v>
      </c>
      <c r="I98" s="145" t="s">
        <v>830</v>
      </c>
      <c r="J98" s="61">
        <f>SUMIF(PAYOUT!$A:$A,'MP2'!$A98,PAYOUT!$L:$L)</f>
        <v>107500</v>
      </c>
      <c r="K98" s="15"/>
      <c r="L98" s="62">
        <f>SUMIF(PAYOUT!$A:$A,'MP2'!$A98,PAYOUT!$AD:$AD)</f>
        <v>0</v>
      </c>
      <c r="M98" s="16" t="s">
        <v>10</v>
      </c>
    </row>
    <row r="99" spans="1:13" x14ac:dyDescent="0.25">
      <c r="A99">
        <v>90</v>
      </c>
      <c r="B99" s="46" t="s">
        <v>689</v>
      </c>
      <c r="C99" s="46"/>
      <c r="D99" s="14" t="s">
        <v>34</v>
      </c>
      <c r="E99" s="46" t="s">
        <v>605</v>
      </c>
      <c r="F99" s="46" t="s">
        <v>606</v>
      </c>
      <c r="G99" s="14"/>
      <c r="H99" s="46" t="s">
        <v>607</v>
      </c>
      <c r="I99" s="145" t="s">
        <v>830</v>
      </c>
      <c r="J99" s="61">
        <f>SUMIF(PAYOUT!$A:$A,'MP2'!$A99,PAYOUT!$L:$L)</f>
        <v>82963</v>
      </c>
      <c r="K99" s="15"/>
      <c r="L99" s="62">
        <f>SUMIF(PAYOUT!$A:$A,'MP2'!$A99,PAYOUT!$AD:$AD)</f>
        <v>0</v>
      </c>
      <c r="M99" s="16" t="s">
        <v>10</v>
      </c>
    </row>
    <row r="100" spans="1:13" x14ac:dyDescent="0.25">
      <c r="B100" s="14"/>
      <c r="C100" s="14"/>
      <c r="D100" s="14"/>
      <c r="E100" s="14"/>
      <c r="F100" s="14"/>
      <c r="G100" s="14"/>
      <c r="H100" s="14"/>
      <c r="I100" s="14"/>
      <c r="J100" s="14"/>
      <c r="K100" s="15"/>
      <c r="L100" s="54">
        <f>SUM(L9:L99)</f>
        <v>33700</v>
      </c>
      <c r="M100" s="16" t="s">
        <v>10</v>
      </c>
    </row>
    <row r="101" spans="1:13" x14ac:dyDescent="0.25">
      <c r="B101" s="14"/>
      <c r="C101" s="14"/>
      <c r="D101" s="14"/>
      <c r="E101" s="14"/>
      <c r="F101" s="14"/>
      <c r="G101" s="14"/>
      <c r="H101" s="14"/>
      <c r="I101" s="14"/>
      <c r="J101" s="14"/>
      <c r="K101" s="15"/>
      <c r="L101" s="15"/>
      <c r="M101" s="16" t="s">
        <v>10</v>
      </c>
    </row>
    <row r="102" spans="1:13" x14ac:dyDescent="0.25">
      <c r="B102" s="14"/>
      <c r="C102" s="14"/>
      <c r="D102" s="14"/>
      <c r="E102" s="14"/>
      <c r="F102" s="14"/>
      <c r="G102" s="14"/>
      <c r="H102" s="14"/>
      <c r="I102" s="14"/>
      <c r="J102" s="14"/>
      <c r="K102" s="15"/>
      <c r="L102" s="15"/>
      <c r="M102" s="16" t="s">
        <v>10</v>
      </c>
    </row>
    <row r="103" spans="1:13" x14ac:dyDescent="0.25">
      <c r="B103" s="14"/>
      <c r="C103" s="14"/>
      <c r="D103" s="14"/>
      <c r="E103" s="14"/>
      <c r="F103" s="14"/>
      <c r="G103" s="14"/>
      <c r="H103" s="14"/>
      <c r="I103" s="14"/>
      <c r="J103" s="14"/>
      <c r="K103" s="15"/>
      <c r="L103" s="15"/>
      <c r="M103" s="16" t="s">
        <v>10</v>
      </c>
    </row>
    <row r="104" spans="1:13" x14ac:dyDescent="0.25">
      <c r="B104" s="14"/>
      <c r="C104" s="14"/>
      <c r="D104" s="14"/>
      <c r="E104" s="14"/>
      <c r="F104" s="14"/>
      <c r="G104" s="14"/>
      <c r="H104" s="14"/>
      <c r="I104" s="14"/>
      <c r="J104" s="14"/>
      <c r="K104" s="15"/>
      <c r="L104" s="15"/>
      <c r="M104" s="16" t="s">
        <v>10</v>
      </c>
    </row>
    <row r="105" spans="1:13" x14ac:dyDescent="0.25">
      <c r="B105" s="14"/>
      <c r="C105" s="14"/>
      <c r="D105" s="14"/>
      <c r="E105" s="14"/>
      <c r="F105" s="14"/>
      <c r="G105" s="14"/>
      <c r="H105" s="14"/>
      <c r="I105" s="14"/>
      <c r="J105" s="14"/>
      <c r="K105" s="15"/>
      <c r="L105" s="15"/>
      <c r="M105" s="16" t="s">
        <v>10</v>
      </c>
    </row>
    <row r="106" spans="1:13" x14ac:dyDescent="0.25">
      <c r="B106" s="14"/>
      <c r="C106" s="14"/>
      <c r="D106" s="14"/>
      <c r="E106" s="14"/>
      <c r="F106" s="14"/>
      <c r="G106" s="14"/>
      <c r="H106" s="14"/>
      <c r="I106" s="14"/>
      <c r="J106" s="14"/>
      <c r="K106" s="15"/>
      <c r="L106" s="15"/>
      <c r="M106" s="16" t="s">
        <v>10</v>
      </c>
    </row>
    <row r="107" spans="1:13" x14ac:dyDescent="0.25">
      <c r="B107" s="14"/>
      <c r="C107" s="14"/>
      <c r="D107" s="14"/>
      <c r="E107" s="14"/>
      <c r="F107" s="14"/>
      <c r="G107" s="14"/>
      <c r="H107" s="14"/>
      <c r="I107" s="14"/>
      <c r="J107" s="14"/>
      <c r="K107" s="15"/>
      <c r="L107" s="15"/>
      <c r="M107" s="16" t="s">
        <v>10</v>
      </c>
    </row>
    <row r="108" spans="1:13" x14ac:dyDescent="0.25">
      <c r="B108" s="14"/>
      <c r="C108" s="14"/>
      <c r="D108" s="14"/>
      <c r="E108" s="14"/>
      <c r="F108" s="14"/>
      <c r="G108" s="14"/>
      <c r="H108" s="14"/>
      <c r="I108" s="14"/>
      <c r="J108" s="14"/>
      <c r="K108" s="15"/>
      <c r="L108" s="15"/>
      <c r="M108" s="16" t="s">
        <v>10</v>
      </c>
    </row>
    <row r="109" spans="1:13" x14ac:dyDescent="0.25">
      <c r="B109" s="14"/>
      <c r="C109" s="14"/>
      <c r="D109" s="14"/>
      <c r="E109" s="14"/>
      <c r="F109" s="14"/>
      <c r="G109" s="14"/>
      <c r="H109" s="14"/>
      <c r="I109" s="14"/>
      <c r="J109" s="14"/>
      <c r="K109" s="15"/>
      <c r="L109" s="15"/>
      <c r="M109" s="16" t="s">
        <v>10</v>
      </c>
    </row>
    <row r="110" spans="1:13" x14ac:dyDescent="0.25">
      <c r="B110" s="14"/>
      <c r="C110" s="14"/>
      <c r="D110" s="14"/>
      <c r="E110" s="14"/>
      <c r="F110" s="14"/>
      <c r="G110" s="14"/>
      <c r="H110" s="14"/>
      <c r="I110" s="14"/>
      <c r="J110" s="14"/>
      <c r="K110" s="15"/>
      <c r="L110" s="15"/>
      <c r="M110" s="16" t="s">
        <v>10</v>
      </c>
    </row>
    <row r="111" spans="1:13" x14ac:dyDescent="0.25">
      <c r="B111" s="14"/>
      <c r="C111" s="14"/>
      <c r="D111" s="14"/>
      <c r="E111" s="14"/>
      <c r="F111" s="14"/>
      <c r="G111" s="14"/>
      <c r="H111" s="14"/>
      <c r="I111" s="14"/>
      <c r="J111" s="14"/>
      <c r="K111" s="15"/>
      <c r="L111" s="15"/>
      <c r="M111" s="16" t="s">
        <v>10</v>
      </c>
    </row>
    <row r="112" spans="1:13" x14ac:dyDescent="0.25">
      <c r="B112" s="14"/>
      <c r="C112" s="14"/>
      <c r="D112" s="14"/>
      <c r="E112" s="14"/>
      <c r="F112" s="14"/>
      <c r="G112" s="14"/>
      <c r="H112" s="14"/>
      <c r="I112" s="14"/>
      <c r="J112" s="14"/>
      <c r="K112" s="15"/>
      <c r="L112" s="15"/>
      <c r="M112" s="16" t="s">
        <v>10</v>
      </c>
    </row>
    <row r="113" spans="2:13" x14ac:dyDescent="0.25">
      <c r="B113" s="14"/>
      <c r="C113" s="14"/>
      <c r="D113" s="14"/>
      <c r="E113" s="14"/>
      <c r="F113" s="14"/>
      <c r="G113" s="14"/>
      <c r="H113" s="14"/>
      <c r="I113" s="14"/>
      <c r="J113" s="14"/>
      <c r="K113" s="15"/>
      <c r="L113" s="15"/>
      <c r="M113" s="16" t="s">
        <v>10</v>
      </c>
    </row>
    <row r="114" spans="2:13" x14ac:dyDescent="0.25">
      <c r="B114" s="14"/>
      <c r="C114" s="14"/>
      <c r="D114" s="14"/>
      <c r="E114" s="14"/>
      <c r="F114" s="14"/>
      <c r="G114" s="14"/>
      <c r="H114" s="14"/>
      <c r="I114" s="14"/>
      <c r="J114" s="14"/>
      <c r="K114" s="15"/>
      <c r="L114" s="15"/>
      <c r="M114" s="16" t="s">
        <v>10</v>
      </c>
    </row>
    <row r="115" spans="2:13" x14ac:dyDescent="0.25">
      <c r="B115" s="14"/>
      <c r="C115" s="14"/>
      <c r="D115" s="14"/>
      <c r="E115" s="14"/>
      <c r="F115" s="14"/>
      <c r="G115" s="14"/>
      <c r="H115" s="14"/>
      <c r="I115" s="14"/>
      <c r="J115" s="14"/>
      <c r="K115" s="15"/>
      <c r="L115" s="15"/>
      <c r="M115" s="16" t="s">
        <v>10</v>
      </c>
    </row>
    <row r="116" spans="2:13" x14ac:dyDescent="0.25">
      <c r="B116" s="14"/>
      <c r="C116" s="14"/>
      <c r="D116" s="14"/>
      <c r="E116" s="14"/>
      <c r="F116" s="14"/>
      <c r="G116" s="14"/>
      <c r="H116" s="14"/>
      <c r="I116" s="14"/>
      <c r="J116" s="14"/>
      <c r="K116" s="15"/>
      <c r="L116" s="15"/>
      <c r="M116" s="16" t="s">
        <v>10</v>
      </c>
    </row>
    <row r="117" spans="2:13" x14ac:dyDescent="0.25">
      <c r="B117" s="14"/>
      <c r="C117" s="14"/>
      <c r="D117" s="14"/>
      <c r="E117" s="14"/>
      <c r="F117" s="14"/>
      <c r="G117" s="14"/>
      <c r="H117" s="14"/>
      <c r="I117" s="14"/>
      <c r="J117" s="14"/>
      <c r="K117" s="15"/>
      <c r="L117" s="15"/>
      <c r="M117" s="16" t="s">
        <v>10</v>
      </c>
    </row>
    <row r="118" spans="2:13" x14ac:dyDescent="0.25">
      <c r="B118" s="14"/>
      <c r="C118" s="14"/>
      <c r="D118" s="14"/>
      <c r="E118" s="14"/>
      <c r="F118" s="14"/>
      <c r="G118" s="14"/>
      <c r="H118" s="14"/>
      <c r="I118" s="14"/>
      <c r="J118" s="14"/>
      <c r="K118" s="15"/>
      <c r="L118" s="15"/>
      <c r="M118" s="16" t="s">
        <v>10</v>
      </c>
    </row>
    <row r="119" spans="2:13" x14ac:dyDescent="0.25">
      <c r="B119" s="14"/>
      <c r="C119" s="14"/>
      <c r="D119" s="14"/>
      <c r="E119" s="14"/>
      <c r="F119" s="14"/>
      <c r="G119" s="14"/>
      <c r="H119" s="14"/>
      <c r="I119" s="14"/>
      <c r="J119" s="14"/>
      <c r="K119" s="15"/>
      <c r="L119" s="15"/>
      <c r="M119" s="16" t="s">
        <v>10</v>
      </c>
    </row>
    <row r="120" spans="2:13" x14ac:dyDescent="0.25">
      <c r="B120" s="14"/>
      <c r="C120" s="14"/>
      <c r="D120" s="14"/>
      <c r="E120" s="14"/>
      <c r="F120" s="14"/>
      <c r="G120" s="14"/>
      <c r="H120" s="14"/>
      <c r="I120" s="14"/>
      <c r="J120" s="14"/>
      <c r="K120" s="15"/>
      <c r="L120" s="15"/>
      <c r="M120" s="16" t="s">
        <v>10</v>
      </c>
    </row>
    <row r="121" spans="2:13" x14ac:dyDescent="0.25">
      <c r="B121" s="14"/>
      <c r="C121" s="14"/>
      <c r="D121" s="14"/>
      <c r="E121" s="14"/>
      <c r="F121" s="14"/>
      <c r="G121" s="14"/>
      <c r="H121" s="14"/>
      <c r="I121" s="14"/>
      <c r="J121" s="14"/>
      <c r="K121" s="15"/>
      <c r="L121" s="15"/>
      <c r="M121" s="16" t="s">
        <v>10</v>
      </c>
    </row>
    <row r="122" spans="2:13" x14ac:dyDescent="0.25">
      <c r="B122" s="14"/>
      <c r="C122" s="14"/>
      <c r="D122" s="14"/>
      <c r="E122" s="14"/>
      <c r="F122" s="14"/>
      <c r="G122" s="14"/>
      <c r="H122" s="14"/>
      <c r="I122" s="14"/>
      <c r="J122" s="14"/>
      <c r="K122" s="15"/>
      <c r="L122" s="15"/>
      <c r="M122" s="16" t="s">
        <v>10</v>
      </c>
    </row>
    <row r="123" spans="2:13" x14ac:dyDescent="0.25">
      <c r="B123" s="14"/>
      <c r="C123" s="14"/>
      <c r="D123" s="14"/>
      <c r="E123" s="14"/>
      <c r="F123" s="14"/>
      <c r="G123" s="14"/>
      <c r="H123" s="14"/>
      <c r="I123" s="14"/>
      <c r="J123" s="14"/>
      <c r="K123" s="15"/>
      <c r="L123" s="15"/>
      <c r="M123" s="16" t="s">
        <v>10</v>
      </c>
    </row>
    <row r="124" spans="2:13" x14ac:dyDescent="0.25">
      <c r="B124" s="14"/>
      <c r="C124" s="14"/>
      <c r="D124" s="14"/>
      <c r="E124" s="14"/>
      <c r="F124" s="14"/>
      <c r="G124" s="14"/>
      <c r="H124" s="14"/>
      <c r="I124" s="14"/>
      <c r="J124" s="14"/>
      <c r="K124" s="15"/>
      <c r="L124" s="15"/>
      <c r="M124" s="16" t="s">
        <v>10</v>
      </c>
    </row>
    <row r="125" spans="2:13" x14ac:dyDescent="0.25">
      <c r="B125" s="14"/>
      <c r="C125" s="14"/>
      <c r="D125" s="14"/>
      <c r="E125" s="14"/>
      <c r="F125" s="14"/>
      <c r="G125" s="14"/>
      <c r="H125" s="14"/>
      <c r="I125" s="14"/>
      <c r="J125" s="14"/>
      <c r="K125" s="15"/>
      <c r="L125" s="15"/>
      <c r="M125" s="16" t="s">
        <v>10</v>
      </c>
    </row>
    <row r="126" spans="2:13" x14ac:dyDescent="0.25">
      <c r="B126" s="14"/>
      <c r="C126" s="14"/>
      <c r="D126" s="14"/>
      <c r="E126" s="14"/>
      <c r="F126" s="14"/>
      <c r="G126" s="14"/>
      <c r="H126" s="14"/>
      <c r="I126" s="14"/>
      <c r="J126" s="14"/>
      <c r="K126" s="15"/>
      <c r="L126" s="15"/>
      <c r="M126" s="16" t="s">
        <v>10</v>
      </c>
    </row>
    <row r="127" spans="2:13" x14ac:dyDescent="0.25">
      <c r="B127" s="14"/>
      <c r="C127" s="14"/>
      <c r="D127" s="14"/>
      <c r="E127" s="14"/>
      <c r="F127" s="14"/>
      <c r="G127" s="14"/>
      <c r="H127" s="14"/>
      <c r="I127" s="14"/>
      <c r="J127" s="14"/>
      <c r="K127" s="15"/>
      <c r="L127" s="15"/>
      <c r="M127" s="16" t="s">
        <v>10</v>
      </c>
    </row>
    <row r="128" spans="2:13" x14ac:dyDescent="0.25">
      <c r="B128" s="14"/>
      <c r="C128" s="14"/>
      <c r="D128" s="14"/>
      <c r="E128" s="14"/>
      <c r="F128" s="14"/>
      <c r="G128" s="14"/>
      <c r="H128" s="14"/>
      <c r="I128" s="14"/>
      <c r="J128" s="14"/>
      <c r="K128" s="15"/>
      <c r="L128" s="15"/>
      <c r="M128" s="16" t="s">
        <v>10</v>
      </c>
    </row>
    <row r="129" spans="2:13" x14ac:dyDescent="0.25">
      <c r="B129" s="14"/>
      <c r="C129" s="14"/>
      <c r="D129" s="14"/>
      <c r="E129" s="14"/>
      <c r="F129" s="14"/>
      <c r="G129" s="14"/>
      <c r="H129" s="14"/>
      <c r="I129" s="14"/>
      <c r="J129" s="14"/>
      <c r="K129" s="15"/>
      <c r="L129" s="15"/>
      <c r="M129" s="16" t="s">
        <v>10</v>
      </c>
    </row>
    <row r="130" spans="2:13" x14ac:dyDescent="0.25">
      <c r="B130" s="14"/>
      <c r="C130" s="14"/>
      <c r="D130" s="14"/>
      <c r="E130" s="14"/>
      <c r="F130" s="14"/>
      <c r="G130" s="14"/>
      <c r="H130" s="14"/>
      <c r="I130" s="14"/>
      <c r="J130" s="14"/>
      <c r="K130" s="15"/>
      <c r="L130" s="15"/>
      <c r="M130" s="16" t="s">
        <v>10</v>
      </c>
    </row>
    <row r="131" spans="2:13" x14ac:dyDescent="0.25">
      <c r="B131" s="14"/>
      <c r="C131" s="14"/>
      <c r="D131" s="14"/>
      <c r="E131" s="14"/>
      <c r="F131" s="14"/>
      <c r="G131" s="14"/>
      <c r="H131" s="14"/>
      <c r="I131" s="14"/>
      <c r="J131" s="14"/>
      <c r="K131" s="15"/>
      <c r="L131" s="15"/>
      <c r="M131" s="16" t="s">
        <v>10</v>
      </c>
    </row>
    <row r="132" spans="2:13" x14ac:dyDescent="0.25">
      <c r="B132" s="14"/>
      <c r="C132" s="14"/>
      <c r="D132" s="14"/>
      <c r="E132" s="14"/>
      <c r="F132" s="14"/>
      <c r="G132" s="14"/>
      <c r="H132" s="14"/>
      <c r="I132" s="14"/>
      <c r="J132" s="14"/>
      <c r="K132" s="15"/>
      <c r="L132" s="15"/>
      <c r="M132" s="16" t="s">
        <v>10</v>
      </c>
    </row>
    <row r="133" spans="2:13" x14ac:dyDescent="0.25">
      <c r="B133" s="14"/>
      <c r="C133" s="14"/>
      <c r="D133" s="14"/>
      <c r="E133" s="14"/>
      <c r="F133" s="14"/>
      <c r="G133" s="14"/>
      <c r="H133" s="14"/>
      <c r="I133" s="14"/>
      <c r="J133" s="14"/>
      <c r="K133" s="15"/>
      <c r="L133" s="15"/>
      <c r="M133" s="16" t="s">
        <v>10</v>
      </c>
    </row>
    <row r="134" spans="2:13" x14ac:dyDescent="0.25">
      <c r="B134" s="14"/>
      <c r="C134" s="14"/>
      <c r="D134" s="14"/>
      <c r="E134" s="14"/>
      <c r="F134" s="14"/>
      <c r="G134" s="14"/>
      <c r="H134" s="14"/>
      <c r="I134" s="14"/>
      <c r="J134" s="14"/>
      <c r="K134" s="15"/>
      <c r="L134" s="15"/>
      <c r="M134" s="16" t="s">
        <v>10</v>
      </c>
    </row>
    <row r="135" spans="2:13" x14ac:dyDescent="0.25">
      <c r="B135" s="14"/>
      <c r="C135" s="14"/>
      <c r="D135" s="14"/>
      <c r="E135" s="14"/>
      <c r="F135" s="14"/>
      <c r="G135" s="14"/>
      <c r="H135" s="14"/>
      <c r="I135" s="14"/>
      <c r="J135" s="14"/>
      <c r="K135" s="15"/>
      <c r="L135" s="15"/>
      <c r="M135" s="16" t="s">
        <v>10</v>
      </c>
    </row>
    <row r="136" spans="2:13" x14ac:dyDescent="0.25">
      <c r="B136" s="14"/>
      <c r="C136" s="14"/>
      <c r="D136" s="14"/>
      <c r="E136" s="14"/>
      <c r="F136" s="14"/>
      <c r="G136" s="14"/>
      <c r="H136" s="14"/>
      <c r="I136" s="14"/>
      <c r="J136" s="14"/>
      <c r="K136" s="15"/>
      <c r="L136" s="15"/>
      <c r="M136" s="16" t="s">
        <v>10</v>
      </c>
    </row>
    <row r="137" spans="2:13" x14ac:dyDescent="0.25">
      <c r="B137" s="14"/>
      <c r="C137" s="14"/>
      <c r="D137" s="14"/>
      <c r="E137" s="14"/>
      <c r="F137" s="14"/>
      <c r="G137" s="14"/>
      <c r="H137" s="14"/>
      <c r="I137" s="14"/>
      <c r="J137" s="14"/>
      <c r="K137" s="15"/>
      <c r="L137" s="15"/>
      <c r="M137" s="16" t="s">
        <v>10</v>
      </c>
    </row>
    <row r="138" spans="2:13" x14ac:dyDescent="0.25">
      <c r="B138" s="14"/>
      <c r="C138" s="14"/>
      <c r="D138" s="14"/>
      <c r="E138" s="14"/>
      <c r="F138" s="14"/>
      <c r="G138" s="14"/>
      <c r="H138" s="14"/>
      <c r="I138" s="14"/>
      <c r="J138" s="14"/>
      <c r="K138" s="15"/>
      <c r="L138" s="15"/>
      <c r="M138" s="16" t="s">
        <v>10</v>
      </c>
    </row>
    <row r="139" spans="2:13" x14ac:dyDescent="0.25">
      <c r="B139" s="14"/>
      <c r="C139" s="14"/>
      <c r="D139" s="14"/>
      <c r="E139" s="14"/>
      <c r="F139" s="14"/>
      <c r="G139" s="14"/>
      <c r="H139" s="14"/>
      <c r="I139" s="14"/>
      <c r="J139" s="14"/>
      <c r="K139" s="15"/>
      <c r="L139" s="15"/>
      <c r="M139" s="16" t="s">
        <v>10</v>
      </c>
    </row>
    <row r="140" spans="2:13" x14ac:dyDescent="0.25">
      <c r="B140" s="14"/>
      <c r="C140" s="14"/>
      <c r="D140" s="14"/>
      <c r="E140" s="14"/>
      <c r="F140" s="14"/>
      <c r="G140" s="14"/>
      <c r="H140" s="14"/>
      <c r="I140" s="14"/>
      <c r="J140" s="14"/>
      <c r="K140" s="15"/>
      <c r="L140" s="15"/>
      <c r="M140" s="16" t="s">
        <v>10</v>
      </c>
    </row>
    <row r="141" spans="2:13" x14ac:dyDescent="0.25"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15"/>
      <c r="M141" s="16" t="s">
        <v>10</v>
      </c>
    </row>
    <row r="142" spans="2:13" x14ac:dyDescent="0.25">
      <c r="B142" s="14"/>
      <c r="C142" s="14"/>
      <c r="D142" s="14"/>
      <c r="E142" s="14"/>
      <c r="F142" s="14"/>
      <c r="G142" s="14"/>
      <c r="H142" s="14"/>
      <c r="I142" s="14"/>
      <c r="J142" s="14"/>
      <c r="K142" s="15"/>
      <c r="L142" s="15"/>
      <c r="M142" s="16" t="s">
        <v>10</v>
      </c>
    </row>
    <row r="143" spans="2:13" x14ac:dyDescent="0.25">
      <c r="B143" s="14"/>
      <c r="C143" s="14"/>
      <c r="D143" s="14"/>
      <c r="E143" s="14"/>
      <c r="F143" s="14"/>
      <c r="G143" s="14"/>
      <c r="H143" s="14"/>
      <c r="I143" s="14"/>
      <c r="J143" s="14"/>
      <c r="K143" s="15"/>
      <c r="L143" s="15"/>
      <c r="M143" s="16" t="s">
        <v>10</v>
      </c>
    </row>
    <row r="144" spans="2:13" x14ac:dyDescent="0.25">
      <c r="B144" s="14"/>
      <c r="C144" s="14"/>
      <c r="D144" s="14"/>
      <c r="E144" s="14"/>
      <c r="F144" s="14"/>
      <c r="G144" s="14"/>
      <c r="H144" s="14"/>
      <c r="I144" s="14"/>
      <c r="J144" s="14"/>
      <c r="K144" s="15"/>
      <c r="L144" s="15"/>
      <c r="M144" s="16" t="s">
        <v>10</v>
      </c>
    </row>
    <row r="145" spans="2:13" x14ac:dyDescent="0.25">
      <c r="B145" s="14"/>
      <c r="C145" s="14"/>
      <c r="D145" s="14"/>
      <c r="E145" s="14"/>
      <c r="F145" s="14"/>
      <c r="G145" s="14"/>
      <c r="H145" s="14"/>
      <c r="I145" s="14"/>
      <c r="J145" s="14"/>
      <c r="K145" s="15"/>
      <c r="L145" s="15"/>
      <c r="M145" s="16" t="s">
        <v>10</v>
      </c>
    </row>
    <row r="146" spans="2:13" x14ac:dyDescent="0.25">
      <c r="B146" s="14"/>
      <c r="C146" s="14"/>
      <c r="D146" s="14"/>
      <c r="E146" s="14"/>
      <c r="F146" s="14"/>
      <c r="G146" s="14"/>
      <c r="H146" s="14"/>
      <c r="I146" s="14"/>
      <c r="J146" s="14"/>
      <c r="K146" s="15"/>
      <c r="L146" s="15"/>
      <c r="M146" s="16" t="s">
        <v>10</v>
      </c>
    </row>
    <row r="147" spans="2:13" x14ac:dyDescent="0.25">
      <c r="B147" s="14"/>
      <c r="C147" s="14"/>
      <c r="D147" s="14"/>
      <c r="E147" s="14"/>
      <c r="F147" s="14"/>
      <c r="G147" s="14"/>
      <c r="H147" s="14"/>
      <c r="I147" s="14"/>
      <c r="J147" s="14"/>
      <c r="K147" s="15"/>
      <c r="L147" s="15"/>
      <c r="M147" s="16" t="s">
        <v>10</v>
      </c>
    </row>
    <row r="148" spans="2:13" x14ac:dyDescent="0.25">
      <c r="B148" s="14"/>
      <c r="C148" s="14"/>
      <c r="D148" s="14"/>
      <c r="E148" s="14"/>
      <c r="F148" s="14"/>
      <c r="G148" s="14"/>
      <c r="H148" s="14"/>
      <c r="I148" s="14"/>
      <c r="J148" s="14"/>
      <c r="K148" s="15"/>
      <c r="L148" s="15"/>
      <c r="M148" s="16" t="s">
        <v>10</v>
      </c>
    </row>
    <row r="149" spans="2:13" x14ac:dyDescent="0.25">
      <c r="B149" s="14"/>
      <c r="C149" s="14"/>
      <c r="D149" s="14"/>
      <c r="E149" s="14"/>
      <c r="F149" s="14"/>
      <c r="G149" s="14"/>
      <c r="H149" s="14"/>
      <c r="I149" s="14"/>
      <c r="J149" s="14"/>
      <c r="K149" s="15"/>
      <c r="L149" s="15"/>
      <c r="M149" s="16" t="s">
        <v>10</v>
      </c>
    </row>
    <row r="150" spans="2:13" x14ac:dyDescent="0.25">
      <c r="B150" s="14"/>
      <c r="C150" s="14"/>
      <c r="D150" s="14"/>
      <c r="E150" s="14"/>
      <c r="F150" s="14"/>
      <c r="G150" s="14"/>
      <c r="H150" s="14"/>
      <c r="I150" s="14"/>
      <c r="J150" s="14"/>
      <c r="K150" s="15"/>
      <c r="L150" s="15"/>
      <c r="M150" s="16" t="s">
        <v>10</v>
      </c>
    </row>
    <row r="151" spans="2:13" x14ac:dyDescent="0.25">
      <c r="B151" s="14"/>
      <c r="C151" s="14"/>
      <c r="D151" s="14"/>
      <c r="E151" s="14"/>
      <c r="F151" s="14"/>
      <c r="G151" s="14"/>
      <c r="H151" s="14"/>
      <c r="I151" s="14"/>
      <c r="J151" s="14"/>
      <c r="K151" s="15"/>
      <c r="L151" s="15"/>
      <c r="M151" s="16" t="s">
        <v>10</v>
      </c>
    </row>
    <row r="152" spans="2:13" x14ac:dyDescent="0.25">
      <c r="B152" s="14"/>
      <c r="C152" s="14"/>
      <c r="D152" s="14"/>
      <c r="E152" s="14"/>
      <c r="F152" s="14"/>
      <c r="G152" s="14"/>
      <c r="H152" s="14"/>
      <c r="I152" s="14"/>
      <c r="J152" s="14"/>
      <c r="K152" s="15"/>
      <c r="L152" s="15"/>
      <c r="M152" s="16" t="s">
        <v>10</v>
      </c>
    </row>
    <row r="153" spans="2:13" x14ac:dyDescent="0.25">
      <c r="B153" s="14"/>
      <c r="C153" s="14"/>
      <c r="D153" s="14"/>
      <c r="E153" s="14"/>
      <c r="F153" s="14"/>
      <c r="G153" s="14"/>
      <c r="H153" s="14"/>
      <c r="I153" s="14"/>
      <c r="J153" s="14"/>
      <c r="K153" s="15"/>
      <c r="L153" s="15"/>
      <c r="M153" s="16" t="s">
        <v>10</v>
      </c>
    </row>
    <row r="154" spans="2:13" x14ac:dyDescent="0.25">
      <c r="B154" s="14"/>
      <c r="C154" s="14"/>
      <c r="D154" s="14"/>
      <c r="E154" s="14"/>
      <c r="F154" s="14"/>
      <c r="G154" s="14"/>
      <c r="H154" s="14"/>
      <c r="I154" s="14"/>
      <c r="J154" s="14"/>
      <c r="K154" s="15"/>
      <c r="L154" s="15"/>
      <c r="M154" s="16" t="s">
        <v>10</v>
      </c>
    </row>
    <row r="155" spans="2:13" x14ac:dyDescent="0.25">
      <c r="B155" s="14"/>
      <c r="C155" s="14"/>
      <c r="D155" s="14"/>
      <c r="E155" s="14"/>
      <c r="F155" s="14"/>
      <c r="G155" s="14"/>
      <c r="H155" s="14"/>
      <c r="I155" s="14"/>
      <c r="J155" s="14"/>
      <c r="K155" s="15"/>
      <c r="L155" s="15"/>
      <c r="M155" s="16" t="s">
        <v>10</v>
      </c>
    </row>
    <row r="156" spans="2:13" x14ac:dyDescent="0.25">
      <c r="B156" s="14"/>
      <c r="C156" s="14"/>
      <c r="D156" s="14"/>
      <c r="E156" s="14"/>
      <c r="F156" s="14"/>
      <c r="G156" s="14"/>
      <c r="H156" s="14"/>
      <c r="I156" s="14"/>
      <c r="J156" s="14"/>
      <c r="K156" s="15"/>
      <c r="L156" s="15"/>
      <c r="M156" s="16" t="s">
        <v>10</v>
      </c>
    </row>
    <row r="157" spans="2:13" x14ac:dyDescent="0.25">
      <c r="B157" s="14"/>
      <c r="C157" s="14"/>
      <c r="D157" s="14"/>
      <c r="E157" s="14"/>
      <c r="F157" s="14"/>
      <c r="G157" s="14"/>
      <c r="H157" s="14"/>
      <c r="I157" s="14"/>
      <c r="J157" s="14"/>
      <c r="K157" s="15"/>
      <c r="L157" s="15"/>
      <c r="M157" s="16" t="s">
        <v>10</v>
      </c>
    </row>
    <row r="158" spans="2:13" x14ac:dyDescent="0.25">
      <c r="B158" s="14"/>
      <c r="C158" s="14"/>
      <c r="D158" s="14"/>
      <c r="E158" s="14"/>
      <c r="F158" s="14"/>
      <c r="G158" s="14"/>
      <c r="H158" s="14"/>
      <c r="I158" s="14"/>
      <c r="J158" s="14"/>
      <c r="K158" s="15"/>
      <c r="L158" s="15"/>
      <c r="M158" s="16" t="s">
        <v>10</v>
      </c>
    </row>
    <row r="159" spans="2:13" x14ac:dyDescent="0.25">
      <c r="B159" s="14"/>
      <c r="C159" s="14"/>
      <c r="D159" s="14"/>
      <c r="E159" s="14"/>
      <c r="F159" s="14"/>
      <c r="G159" s="14"/>
      <c r="H159" s="14"/>
      <c r="I159" s="14"/>
      <c r="J159" s="14"/>
      <c r="K159" s="15"/>
      <c r="L159" s="15"/>
      <c r="M159" s="16" t="s">
        <v>10</v>
      </c>
    </row>
    <row r="160" spans="2:13" x14ac:dyDescent="0.25">
      <c r="B160" s="14"/>
      <c r="C160" s="14"/>
      <c r="D160" s="14"/>
      <c r="E160" s="14"/>
      <c r="F160" s="14"/>
      <c r="G160" s="14"/>
      <c r="H160" s="14"/>
      <c r="I160" s="14"/>
      <c r="J160" s="14"/>
      <c r="K160" s="15"/>
      <c r="L160" s="15"/>
      <c r="M160" s="16" t="s">
        <v>10</v>
      </c>
    </row>
    <row r="161" spans="2:13" x14ac:dyDescent="0.25">
      <c r="B161" s="14"/>
      <c r="C161" s="14"/>
      <c r="D161" s="14"/>
      <c r="E161" s="14"/>
      <c r="F161" s="14"/>
      <c r="G161" s="14"/>
      <c r="H161" s="14"/>
      <c r="I161" s="14"/>
      <c r="J161" s="14"/>
      <c r="K161" s="15"/>
      <c r="L161" s="15"/>
      <c r="M161" s="16" t="s">
        <v>10</v>
      </c>
    </row>
    <row r="162" spans="2:13" x14ac:dyDescent="0.25">
      <c r="B162" s="14"/>
      <c r="C162" s="14"/>
      <c r="D162" s="14"/>
      <c r="E162" s="14"/>
      <c r="F162" s="14"/>
      <c r="G162" s="14"/>
      <c r="H162" s="14"/>
      <c r="I162" s="14"/>
      <c r="J162" s="14"/>
      <c r="K162" s="15"/>
      <c r="L162" s="15"/>
      <c r="M162" s="16" t="s">
        <v>10</v>
      </c>
    </row>
    <row r="163" spans="2:13" x14ac:dyDescent="0.25">
      <c r="B163" s="14"/>
      <c r="C163" s="14"/>
      <c r="D163" s="14"/>
      <c r="E163" s="14"/>
      <c r="F163" s="14"/>
      <c r="G163" s="14"/>
      <c r="H163" s="14"/>
      <c r="I163" s="14"/>
      <c r="J163" s="14"/>
      <c r="K163" s="15"/>
      <c r="L163" s="15"/>
      <c r="M163" s="16" t="s">
        <v>10</v>
      </c>
    </row>
    <row r="164" spans="2:13" x14ac:dyDescent="0.25">
      <c r="B164" s="14"/>
      <c r="C164" s="14"/>
      <c r="D164" s="14"/>
      <c r="E164" s="14"/>
      <c r="F164" s="14"/>
      <c r="G164" s="14"/>
      <c r="H164" s="14"/>
      <c r="I164" s="14"/>
      <c r="J164" s="14"/>
      <c r="K164" s="15"/>
      <c r="L164" s="15"/>
      <c r="M164" s="16" t="s">
        <v>10</v>
      </c>
    </row>
    <row r="165" spans="2:13" x14ac:dyDescent="0.25">
      <c r="B165" s="14"/>
      <c r="C165" s="14"/>
      <c r="D165" s="14"/>
      <c r="E165" s="14"/>
      <c r="F165" s="14"/>
      <c r="G165" s="14"/>
      <c r="H165" s="14"/>
      <c r="I165" s="14"/>
      <c r="J165" s="14"/>
      <c r="K165" s="15"/>
      <c r="L165" s="15"/>
      <c r="M165" s="16" t="s">
        <v>10</v>
      </c>
    </row>
    <row r="166" spans="2:13" x14ac:dyDescent="0.25">
      <c r="B166" s="14"/>
      <c r="C166" s="14"/>
      <c r="D166" s="14"/>
      <c r="E166" s="14"/>
      <c r="F166" s="14"/>
      <c r="G166" s="14"/>
      <c r="H166" s="14"/>
      <c r="I166" s="14"/>
      <c r="J166" s="14"/>
      <c r="K166" s="15"/>
      <c r="L166" s="15"/>
      <c r="M166" s="16" t="s">
        <v>10</v>
      </c>
    </row>
    <row r="167" spans="2:13" x14ac:dyDescent="0.25">
      <c r="B167" s="14"/>
      <c r="C167" s="14"/>
      <c r="D167" s="14"/>
      <c r="E167" s="14"/>
      <c r="F167" s="14"/>
      <c r="G167" s="14"/>
      <c r="H167" s="14"/>
      <c r="I167" s="14"/>
      <c r="J167" s="14"/>
      <c r="K167" s="15"/>
      <c r="L167" s="15"/>
      <c r="M167" s="16" t="s">
        <v>10</v>
      </c>
    </row>
    <row r="168" spans="2:13" x14ac:dyDescent="0.25">
      <c r="B168" s="14"/>
      <c r="C168" s="14"/>
      <c r="D168" s="14"/>
      <c r="E168" s="14"/>
      <c r="F168" s="14"/>
      <c r="G168" s="14"/>
      <c r="H168" s="14"/>
      <c r="I168" s="14"/>
      <c r="J168" s="14"/>
      <c r="K168" s="15"/>
      <c r="L168" s="15"/>
      <c r="M168" s="16" t="s">
        <v>10</v>
      </c>
    </row>
    <row r="169" spans="2:13" x14ac:dyDescent="0.25">
      <c r="B169" s="14"/>
      <c r="C169" s="14"/>
      <c r="D169" s="14"/>
      <c r="E169" s="14"/>
      <c r="F169" s="14"/>
      <c r="G169" s="14"/>
      <c r="H169" s="14"/>
      <c r="I169" s="14"/>
      <c r="J169" s="14"/>
      <c r="K169" s="15"/>
      <c r="L169" s="15"/>
      <c r="M169" s="16" t="s">
        <v>10</v>
      </c>
    </row>
    <row r="170" spans="2:13" x14ac:dyDescent="0.25">
      <c r="B170" s="14"/>
      <c r="C170" s="14"/>
      <c r="D170" s="14"/>
      <c r="E170" s="14"/>
      <c r="F170" s="14"/>
      <c r="G170" s="14"/>
      <c r="H170" s="14"/>
      <c r="I170" s="14"/>
      <c r="J170" s="14"/>
      <c r="K170" s="15"/>
      <c r="L170" s="15"/>
      <c r="M170" s="16" t="s">
        <v>10</v>
      </c>
    </row>
    <row r="171" spans="2:13" x14ac:dyDescent="0.25">
      <c r="B171" s="14"/>
      <c r="C171" s="14"/>
      <c r="D171" s="14"/>
      <c r="E171" s="14"/>
      <c r="F171" s="14"/>
      <c r="G171" s="14"/>
      <c r="H171" s="14"/>
      <c r="I171" s="14"/>
      <c r="J171" s="14"/>
      <c r="K171" s="15"/>
      <c r="L171" s="15"/>
      <c r="M171" s="16" t="s">
        <v>10</v>
      </c>
    </row>
    <row r="172" spans="2:13" x14ac:dyDescent="0.25">
      <c r="B172" s="14"/>
      <c r="C172" s="14"/>
      <c r="D172" s="14"/>
      <c r="E172" s="14"/>
      <c r="F172" s="14"/>
      <c r="G172" s="14"/>
      <c r="H172" s="14"/>
      <c r="I172" s="14"/>
      <c r="J172" s="14"/>
      <c r="K172" s="15"/>
      <c r="L172" s="15"/>
      <c r="M172" s="16" t="s">
        <v>10</v>
      </c>
    </row>
    <row r="173" spans="2:13" x14ac:dyDescent="0.25">
      <c r="B173" s="14"/>
      <c r="C173" s="14"/>
      <c r="D173" s="14"/>
      <c r="E173" s="14"/>
      <c r="F173" s="14"/>
      <c r="G173" s="14"/>
      <c r="H173" s="14"/>
      <c r="I173" s="14"/>
      <c r="J173" s="14"/>
      <c r="K173" s="15"/>
      <c r="L173" s="15"/>
      <c r="M173" s="16" t="s">
        <v>10</v>
      </c>
    </row>
    <row r="174" spans="2:13" x14ac:dyDescent="0.25">
      <c r="B174" s="14"/>
      <c r="C174" s="14"/>
      <c r="D174" s="14"/>
      <c r="E174" s="14"/>
      <c r="F174" s="14"/>
      <c r="G174" s="14"/>
      <c r="H174" s="14"/>
      <c r="I174" s="14"/>
      <c r="J174" s="14"/>
      <c r="K174" s="15"/>
      <c r="L174" s="15"/>
      <c r="M174" s="16" t="s">
        <v>10</v>
      </c>
    </row>
    <row r="175" spans="2:13" x14ac:dyDescent="0.25">
      <c r="B175" s="14"/>
      <c r="C175" s="14"/>
      <c r="D175" s="14"/>
      <c r="E175" s="14"/>
      <c r="F175" s="14"/>
      <c r="G175" s="14"/>
      <c r="H175" s="14"/>
      <c r="I175" s="14"/>
      <c r="J175" s="14"/>
      <c r="K175" s="15"/>
      <c r="L175" s="15"/>
      <c r="M175" s="16" t="s">
        <v>10</v>
      </c>
    </row>
    <row r="176" spans="2:13" x14ac:dyDescent="0.25">
      <c r="B176" s="14"/>
      <c r="C176" s="14"/>
      <c r="D176" s="14"/>
      <c r="E176" s="14"/>
      <c r="F176" s="14"/>
      <c r="G176" s="14"/>
      <c r="H176" s="14"/>
      <c r="I176" s="14"/>
      <c r="J176" s="14"/>
      <c r="K176" s="15"/>
      <c r="L176" s="15"/>
      <c r="M176" s="16" t="s">
        <v>10</v>
      </c>
    </row>
    <row r="177" spans="2:13" x14ac:dyDescent="0.25">
      <c r="B177" s="14"/>
      <c r="C177" s="14"/>
      <c r="D177" s="14"/>
      <c r="E177" s="14"/>
      <c r="F177" s="14"/>
      <c r="G177" s="14"/>
      <c r="H177" s="14"/>
      <c r="I177" s="14"/>
      <c r="J177" s="14"/>
      <c r="K177" s="15"/>
      <c r="L177" s="15"/>
      <c r="M177" s="16" t="s">
        <v>10</v>
      </c>
    </row>
    <row r="178" spans="2:13" x14ac:dyDescent="0.25">
      <c r="B178" s="14"/>
      <c r="C178" s="14"/>
      <c r="D178" s="14"/>
      <c r="E178" s="14"/>
      <c r="F178" s="14"/>
      <c r="G178" s="14"/>
      <c r="H178" s="14"/>
      <c r="I178" s="14"/>
      <c r="J178" s="14"/>
      <c r="K178" s="15"/>
      <c r="L178" s="15"/>
      <c r="M178" s="16" t="s">
        <v>10</v>
      </c>
    </row>
    <row r="179" spans="2:13" x14ac:dyDescent="0.25">
      <c r="B179" s="14"/>
      <c r="C179" s="14"/>
      <c r="D179" s="14"/>
      <c r="E179" s="14"/>
      <c r="F179" s="14"/>
      <c r="G179" s="14"/>
      <c r="H179" s="14"/>
      <c r="I179" s="14"/>
      <c r="J179" s="14"/>
      <c r="K179" s="15"/>
      <c r="L179" s="15"/>
      <c r="M179" s="16" t="s">
        <v>10</v>
      </c>
    </row>
    <row r="180" spans="2:13" x14ac:dyDescent="0.25">
      <c r="B180" s="14"/>
      <c r="C180" s="14"/>
      <c r="D180" s="14"/>
      <c r="E180" s="14"/>
      <c r="F180" s="14"/>
      <c r="G180" s="14"/>
      <c r="H180" s="14"/>
      <c r="I180" s="14"/>
      <c r="J180" s="14"/>
      <c r="K180" s="15"/>
      <c r="L180" s="15"/>
      <c r="M180" s="16" t="s">
        <v>10</v>
      </c>
    </row>
    <row r="181" spans="2:13" x14ac:dyDescent="0.25">
      <c r="B181" s="14"/>
      <c r="C181" s="14"/>
      <c r="D181" s="14"/>
      <c r="E181" s="14"/>
      <c r="F181" s="14"/>
      <c r="G181" s="14"/>
      <c r="H181" s="14"/>
      <c r="I181" s="14"/>
      <c r="J181" s="14"/>
      <c r="K181" s="15"/>
      <c r="L181" s="15"/>
      <c r="M181" s="16" t="s">
        <v>10</v>
      </c>
    </row>
    <row r="182" spans="2:13" x14ac:dyDescent="0.25">
      <c r="B182" s="14"/>
      <c r="C182" s="14"/>
      <c r="D182" s="14"/>
      <c r="E182" s="14"/>
      <c r="F182" s="14"/>
      <c r="G182" s="14"/>
      <c r="H182" s="14"/>
      <c r="I182" s="14"/>
      <c r="J182" s="14"/>
      <c r="K182" s="15"/>
      <c r="L182" s="15"/>
      <c r="M182" s="16" t="s">
        <v>10</v>
      </c>
    </row>
    <row r="183" spans="2:13" x14ac:dyDescent="0.25">
      <c r="B183" s="14"/>
      <c r="C183" s="14"/>
      <c r="D183" s="14"/>
      <c r="E183" s="14"/>
      <c r="F183" s="14"/>
      <c r="G183" s="14"/>
      <c r="H183" s="14"/>
      <c r="I183" s="14"/>
      <c r="J183" s="14"/>
      <c r="K183" s="15"/>
      <c r="L183" s="15"/>
      <c r="M183" s="16" t="s">
        <v>10</v>
      </c>
    </row>
    <row r="184" spans="2:13" x14ac:dyDescent="0.25">
      <c r="B184" s="14"/>
      <c r="C184" s="14"/>
      <c r="D184" s="14"/>
      <c r="E184" s="14"/>
      <c r="F184" s="14"/>
      <c r="G184" s="14"/>
      <c r="H184" s="14"/>
      <c r="I184" s="14"/>
      <c r="J184" s="14"/>
      <c r="K184" s="15"/>
      <c r="L184" s="15"/>
      <c r="M184" s="16" t="s">
        <v>10</v>
      </c>
    </row>
    <row r="185" spans="2:13" x14ac:dyDescent="0.25">
      <c r="B185" s="14"/>
      <c r="C185" s="14"/>
      <c r="D185" s="14"/>
      <c r="E185" s="14"/>
      <c r="F185" s="14"/>
      <c r="G185" s="14"/>
      <c r="H185" s="14"/>
      <c r="I185" s="14"/>
      <c r="J185" s="14"/>
      <c r="K185" s="15"/>
      <c r="L185" s="15"/>
      <c r="M185" s="16" t="s">
        <v>10</v>
      </c>
    </row>
    <row r="186" spans="2:13" x14ac:dyDescent="0.25"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15"/>
      <c r="M186" s="16" t="s">
        <v>10</v>
      </c>
    </row>
    <row r="187" spans="2:13" x14ac:dyDescent="0.25">
      <c r="B187" s="14"/>
      <c r="C187" s="14"/>
      <c r="D187" s="14"/>
      <c r="E187" s="14"/>
      <c r="F187" s="14"/>
      <c r="G187" s="14"/>
      <c r="H187" s="14"/>
      <c r="I187" s="14"/>
      <c r="J187" s="14"/>
      <c r="K187" s="15"/>
      <c r="L187" s="15"/>
      <c r="M187" s="16" t="s">
        <v>10</v>
      </c>
    </row>
    <row r="188" spans="2:13" x14ac:dyDescent="0.25">
      <c r="B188" s="14"/>
      <c r="C188" s="14"/>
      <c r="D188" s="14"/>
      <c r="E188" s="14"/>
      <c r="F188" s="14"/>
      <c r="G188" s="14"/>
      <c r="H188" s="14"/>
      <c r="I188" s="14"/>
      <c r="J188" s="14"/>
      <c r="K188" s="15"/>
      <c r="L188" s="15"/>
      <c r="M188" s="16" t="s">
        <v>10</v>
      </c>
    </row>
    <row r="189" spans="2:13" x14ac:dyDescent="0.25">
      <c r="B189" s="14"/>
      <c r="C189" s="14"/>
      <c r="D189" s="14"/>
      <c r="E189" s="14"/>
      <c r="F189" s="14"/>
      <c r="G189" s="14"/>
      <c r="H189" s="14"/>
      <c r="I189" s="14"/>
      <c r="J189" s="14"/>
      <c r="K189" s="15"/>
      <c r="L189" s="15"/>
      <c r="M189" s="16" t="s">
        <v>10</v>
      </c>
    </row>
    <row r="190" spans="2:13" x14ac:dyDescent="0.25">
      <c r="B190" s="14"/>
      <c r="C190" s="14"/>
      <c r="D190" s="14"/>
      <c r="E190" s="14"/>
      <c r="F190" s="14"/>
      <c r="G190" s="14"/>
      <c r="H190" s="14"/>
      <c r="I190" s="14"/>
      <c r="J190" s="14"/>
      <c r="K190" s="15"/>
      <c r="L190" s="15"/>
      <c r="M190" s="16" t="s">
        <v>10</v>
      </c>
    </row>
    <row r="191" spans="2:13" x14ac:dyDescent="0.25"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15"/>
      <c r="M191" s="16" t="s">
        <v>10</v>
      </c>
    </row>
    <row r="192" spans="2:13" x14ac:dyDescent="0.25">
      <c r="B192" s="14"/>
      <c r="C192" s="14"/>
      <c r="D192" s="14"/>
      <c r="E192" s="14"/>
      <c r="F192" s="14"/>
      <c r="G192" s="14"/>
      <c r="H192" s="14"/>
      <c r="I192" s="14"/>
      <c r="J192" s="14"/>
      <c r="K192" s="15"/>
      <c r="L192" s="15"/>
      <c r="M192" s="16" t="s">
        <v>10</v>
      </c>
    </row>
    <row r="193" spans="2:13" x14ac:dyDescent="0.25">
      <c r="B193" s="14"/>
      <c r="C193" s="14"/>
      <c r="D193" s="14"/>
      <c r="E193" s="14"/>
      <c r="F193" s="14"/>
      <c r="G193" s="14"/>
      <c r="H193" s="14"/>
      <c r="I193" s="14"/>
      <c r="J193" s="14"/>
      <c r="K193" s="15"/>
      <c r="L193" s="15"/>
      <c r="M193" s="16" t="s">
        <v>10</v>
      </c>
    </row>
    <row r="194" spans="2:13" x14ac:dyDescent="0.25">
      <c r="B194" s="14"/>
      <c r="C194" s="14"/>
      <c r="D194" s="14"/>
      <c r="E194" s="14"/>
      <c r="F194" s="14"/>
      <c r="G194" s="14"/>
      <c r="H194" s="14"/>
      <c r="I194" s="14"/>
      <c r="J194" s="14"/>
      <c r="K194" s="15"/>
      <c r="L194" s="15"/>
      <c r="M194" s="16" t="s">
        <v>10</v>
      </c>
    </row>
    <row r="195" spans="2:13" x14ac:dyDescent="0.25">
      <c r="B195" s="14"/>
      <c r="C195" s="14"/>
      <c r="D195" s="14"/>
      <c r="E195" s="14"/>
      <c r="F195" s="14"/>
      <c r="G195" s="14"/>
      <c r="H195" s="14"/>
      <c r="I195" s="14"/>
      <c r="J195" s="14"/>
      <c r="K195" s="15"/>
      <c r="L195" s="15"/>
      <c r="M195" s="16" t="s">
        <v>10</v>
      </c>
    </row>
    <row r="196" spans="2:13" x14ac:dyDescent="0.25">
      <c r="B196" s="14"/>
      <c r="C196" s="14"/>
      <c r="D196" s="14"/>
      <c r="E196" s="14"/>
      <c r="F196" s="14"/>
      <c r="G196" s="14"/>
      <c r="H196" s="14"/>
      <c r="I196" s="14"/>
      <c r="J196" s="14"/>
      <c r="K196" s="15"/>
      <c r="L196" s="15"/>
      <c r="M196" s="16" t="s">
        <v>10</v>
      </c>
    </row>
    <row r="197" spans="2:13" x14ac:dyDescent="0.25">
      <c r="B197" s="14"/>
      <c r="C197" s="14"/>
      <c r="D197" s="14"/>
      <c r="E197" s="14"/>
      <c r="F197" s="14"/>
      <c r="G197" s="14"/>
      <c r="H197" s="14"/>
      <c r="I197" s="14"/>
      <c r="J197" s="14"/>
      <c r="K197" s="15"/>
      <c r="L197" s="15"/>
      <c r="M197" s="16" t="s">
        <v>10</v>
      </c>
    </row>
    <row r="198" spans="2:13" x14ac:dyDescent="0.25">
      <c r="B198" s="14"/>
      <c r="C198" s="14"/>
      <c r="D198" s="14"/>
      <c r="E198" s="14"/>
      <c r="F198" s="14"/>
      <c r="G198" s="14"/>
      <c r="H198" s="14"/>
      <c r="I198" s="14"/>
      <c r="J198" s="14"/>
      <c r="K198" s="15"/>
      <c r="L198" s="15"/>
      <c r="M198" s="16" t="s">
        <v>10</v>
      </c>
    </row>
    <row r="199" spans="2:13" x14ac:dyDescent="0.25">
      <c r="B199" s="14"/>
      <c r="C199" s="14"/>
      <c r="D199" s="14"/>
      <c r="E199" s="14"/>
      <c r="F199" s="14"/>
      <c r="G199" s="14"/>
      <c r="H199" s="14"/>
      <c r="I199" s="14"/>
      <c r="J199" s="14"/>
      <c r="K199" s="15"/>
      <c r="L199" s="15"/>
      <c r="M199" s="16" t="s">
        <v>10</v>
      </c>
    </row>
    <row r="200" spans="2:13" x14ac:dyDescent="0.25">
      <c r="B200" s="14"/>
      <c r="C200" s="14"/>
      <c r="D200" s="14"/>
      <c r="E200" s="14"/>
      <c r="F200" s="14"/>
      <c r="G200" s="14"/>
      <c r="H200" s="14"/>
      <c r="I200" s="14"/>
      <c r="J200" s="14"/>
      <c r="K200" s="15"/>
      <c r="L200" s="15"/>
      <c r="M200" s="16" t="s">
        <v>10</v>
      </c>
    </row>
    <row r="201" spans="2:13" x14ac:dyDescent="0.25">
      <c r="B201" s="14"/>
      <c r="C201" s="14"/>
      <c r="D201" s="14"/>
      <c r="E201" s="14"/>
      <c r="F201" s="14"/>
      <c r="G201" s="14"/>
      <c r="H201" s="14"/>
      <c r="I201" s="14"/>
      <c r="J201" s="14"/>
      <c r="K201" s="15"/>
      <c r="L201" s="15"/>
      <c r="M201" s="16" t="s">
        <v>10</v>
      </c>
    </row>
    <row r="202" spans="2:13" x14ac:dyDescent="0.25">
      <c r="B202" s="14"/>
      <c r="C202" s="14"/>
      <c r="D202" s="14"/>
      <c r="E202" s="14"/>
      <c r="F202" s="14"/>
      <c r="G202" s="14"/>
      <c r="H202" s="14"/>
      <c r="I202" s="14"/>
      <c r="J202" s="14"/>
      <c r="K202" s="15"/>
      <c r="L202" s="15"/>
      <c r="M202" s="16" t="s">
        <v>10</v>
      </c>
    </row>
    <row r="203" spans="2:13" x14ac:dyDescent="0.25">
      <c r="B203" s="14"/>
      <c r="C203" s="14"/>
      <c r="D203" s="14"/>
      <c r="E203" s="14"/>
      <c r="F203" s="14"/>
      <c r="G203" s="14"/>
      <c r="H203" s="14"/>
      <c r="I203" s="14"/>
      <c r="J203" s="14"/>
      <c r="K203" s="15"/>
      <c r="L203" s="15"/>
      <c r="M203" s="16" t="s">
        <v>10</v>
      </c>
    </row>
    <row r="204" spans="2:13" x14ac:dyDescent="0.25">
      <c r="B204" s="14"/>
      <c r="C204" s="14"/>
      <c r="D204" s="14"/>
      <c r="E204" s="14"/>
      <c r="F204" s="14"/>
      <c r="G204" s="14"/>
      <c r="H204" s="14"/>
      <c r="I204" s="14"/>
      <c r="J204" s="14"/>
      <c r="K204" s="15"/>
      <c r="L204" s="15"/>
      <c r="M204" s="16" t="s">
        <v>10</v>
      </c>
    </row>
    <row r="205" spans="2:13" x14ac:dyDescent="0.25">
      <c r="B205" s="14"/>
      <c r="C205" s="14"/>
      <c r="D205" s="14"/>
      <c r="E205" s="14"/>
      <c r="F205" s="14"/>
      <c r="G205" s="14"/>
      <c r="H205" s="14"/>
      <c r="I205" s="14"/>
      <c r="J205" s="14"/>
      <c r="K205" s="15"/>
      <c r="L205" s="15"/>
      <c r="M205" s="16" t="s">
        <v>10</v>
      </c>
    </row>
    <row r="206" spans="2:13" x14ac:dyDescent="0.25">
      <c r="B206" s="14"/>
      <c r="C206" s="14"/>
      <c r="D206" s="14"/>
      <c r="E206" s="14"/>
      <c r="F206" s="14"/>
      <c r="G206" s="14"/>
      <c r="H206" s="14"/>
      <c r="I206" s="14"/>
      <c r="J206" s="14"/>
      <c r="K206" s="15"/>
      <c r="L206" s="15"/>
      <c r="M206" s="16" t="s">
        <v>10</v>
      </c>
    </row>
    <row r="207" spans="2:13" x14ac:dyDescent="0.25">
      <c r="B207" s="14"/>
      <c r="C207" s="14"/>
      <c r="D207" s="14"/>
      <c r="E207" s="14"/>
      <c r="F207" s="14"/>
      <c r="G207" s="14"/>
      <c r="H207" s="14"/>
      <c r="I207" s="14"/>
      <c r="J207" s="14"/>
      <c r="K207" s="15"/>
      <c r="L207" s="15"/>
      <c r="M207" s="16" t="s">
        <v>10</v>
      </c>
    </row>
    <row r="208" spans="2:13" x14ac:dyDescent="0.25">
      <c r="B208" s="14"/>
      <c r="C208" s="14"/>
      <c r="D208" s="14"/>
      <c r="E208" s="14"/>
      <c r="F208" s="14"/>
      <c r="G208" s="14"/>
      <c r="H208" s="14"/>
      <c r="I208" s="14"/>
      <c r="J208" s="14"/>
      <c r="K208" s="15"/>
      <c r="L208" s="15"/>
      <c r="M208" s="16" t="s">
        <v>10</v>
      </c>
    </row>
    <row r="209" spans="2:13" x14ac:dyDescent="0.25">
      <c r="B209" s="14"/>
      <c r="C209" s="14"/>
      <c r="D209" s="14"/>
      <c r="E209" s="14"/>
      <c r="F209" s="14"/>
      <c r="G209" s="14"/>
      <c r="H209" s="14"/>
      <c r="I209" s="14"/>
      <c r="J209" s="14"/>
      <c r="K209" s="15"/>
      <c r="L209" s="15"/>
      <c r="M209" s="16" t="s">
        <v>10</v>
      </c>
    </row>
    <row r="210" spans="2:13" x14ac:dyDescent="0.25">
      <c r="B210" s="14"/>
      <c r="C210" s="14"/>
      <c r="D210" s="14"/>
      <c r="E210" s="14"/>
      <c r="F210" s="14"/>
      <c r="G210" s="14"/>
      <c r="H210" s="14"/>
      <c r="I210" s="14"/>
      <c r="J210" s="14"/>
      <c r="K210" s="15"/>
      <c r="L210" s="15"/>
      <c r="M210" s="16" t="s">
        <v>10</v>
      </c>
    </row>
    <row r="211" spans="2:13" x14ac:dyDescent="0.25">
      <c r="B211" s="14"/>
      <c r="C211" s="14"/>
      <c r="D211" s="14"/>
      <c r="E211" s="14"/>
      <c r="F211" s="14"/>
      <c r="G211" s="14"/>
      <c r="H211" s="14"/>
      <c r="I211" s="14"/>
      <c r="J211" s="14"/>
      <c r="K211" s="15"/>
      <c r="L211" s="15"/>
      <c r="M211" s="16" t="s">
        <v>10</v>
      </c>
    </row>
    <row r="212" spans="2:13" x14ac:dyDescent="0.25">
      <c r="B212" s="14"/>
      <c r="C212" s="14"/>
      <c r="D212" s="14"/>
      <c r="E212" s="14"/>
      <c r="F212" s="14"/>
      <c r="G212" s="14"/>
      <c r="H212" s="14"/>
      <c r="I212" s="14"/>
      <c r="J212" s="14"/>
      <c r="K212" s="15"/>
      <c r="L212" s="15"/>
      <c r="M212" s="16" t="s">
        <v>10</v>
      </c>
    </row>
    <row r="213" spans="2:13" x14ac:dyDescent="0.25">
      <c r="B213" s="14"/>
      <c r="C213" s="14"/>
      <c r="D213" s="14"/>
      <c r="E213" s="14"/>
      <c r="F213" s="14"/>
      <c r="G213" s="14"/>
      <c r="H213" s="14"/>
      <c r="I213" s="14"/>
      <c r="J213" s="14"/>
      <c r="K213" s="15"/>
      <c r="L213" s="15"/>
      <c r="M213" s="16" t="s">
        <v>10</v>
      </c>
    </row>
    <row r="214" spans="2:13" x14ac:dyDescent="0.25">
      <c r="B214" s="14"/>
      <c r="C214" s="14"/>
      <c r="D214" s="14"/>
      <c r="E214" s="14"/>
      <c r="F214" s="14"/>
      <c r="G214" s="14"/>
      <c r="H214" s="14"/>
      <c r="I214" s="14"/>
      <c r="J214" s="14"/>
      <c r="K214" s="15"/>
      <c r="L214" s="15"/>
      <c r="M214" s="16" t="s">
        <v>10</v>
      </c>
    </row>
    <row r="215" spans="2:13" x14ac:dyDescent="0.25">
      <c r="B215" s="14"/>
      <c r="C215" s="14"/>
      <c r="D215" s="14"/>
      <c r="E215" s="14"/>
      <c r="F215" s="14"/>
      <c r="G215" s="14"/>
      <c r="H215" s="14"/>
      <c r="I215" s="14"/>
      <c r="J215" s="14"/>
      <c r="K215" s="15"/>
      <c r="L215" s="15"/>
      <c r="M215" s="16" t="s">
        <v>10</v>
      </c>
    </row>
    <row r="216" spans="2:13" x14ac:dyDescent="0.25">
      <c r="B216" s="14"/>
      <c r="C216" s="14"/>
      <c r="D216" s="14"/>
      <c r="E216" s="14"/>
      <c r="F216" s="14"/>
      <c r="G216" s="14"/>
      <c r="H216" s="14"/>
      <c r="I216" s="14"/>
      <c r="J216" s="14"/>
      <c r="K216" s="15"/>
      <c r="L216" s="15"/>
      <c r="M216" s="16" t="s">
        <v>10</v>
      </c>
    </row>
    <row r="217" spans="2:13" x14ac:dyDescent="0.25">
      <c r="B217" s="14"/>
      <c r="C217" s="14"/>
      <c r="D217" s="14"/>
      <c r="E217" s="14"/>
      <c r="F217" s="14"/>
      <c r="G217" s="14"/>
      <c r="H217" s="14"/>
      <c r="I217" s="14"/>
      <c r="J217" s="14"/>
      <c r="K217" s="15"/>
      <c r="L217" s="15"/>
      <c r="M217" s="16" t="s">
        <v>10</v>
      </c>
    </row>
    <row r="218" spans="2:13" x14ac:dyDescent="0.25">
      <c r="B218" s="14"/>
      <c r="C218" s="14"/>
      <c r="D218" s="14"/>
      <c r="E218" s="14"/>
      <c r="F218" s="14"/>
      <c r="G218" s="14"/>
      <c r="H218" s="14"/>
      <c r="I218" s="14"/>
      <c r="J218" s="14"/>
      <c r="K218" s="15"/>
      <c r="L218" s="15"/>
      <c r="M218" s="16" t="s">
        <v>10</v>
      </c>
    </row>
    <row r="219" spans="2:13" x14ac:dyDescent="0.25">
      <c r="B219" s="14"/>
      <c r="C219" s="14"/>
      <c r="D219" s="14"/>
      <c r="E219" s="14"/>
      <c r="F219" s="14"/>
      <c r="G219" s="14"/>
      <c r="H219" s="14"/>
      <c r="I219" s="14"/>
      <c r="J219" s="14"/>
      <c r="K219" s="15"/>
      <c r="L219" s="15"/>
      <c r="M219" s="16" t="s">
        <v>10</v>
      </c>
    </row>
    <row r="220" spans="2:13" x14ac:dyDescent="0.25">
      <c r="B220" s="14"/>
      <c r="C220" s="14"/>
      <c r="D220" s="14"/>
      <c r="E220" s="14"/>
      <c r="F220" s="14"/>
      <c r="G220" s="14"/>
      <c r="H220" s="14"/>
      <c r="I220" s="14"/>
      <c r="J220" s="14"/>
      <c r="K220" s="15"/>
      <c r="L220" s="15"/>
      <c r="M220" s="16" t="s">
        <v>10</v>
      </c>
    </row>
    <row r="221" spans="2:13" x14ac:dyDescent="0.25">
      <c r="B221" s="14"/>
      <c r="C221" s="14"/>
      <c r="D221" s="14"/>
      <c r="E221" s="14"/>
      <c r="F221" s="14"/>
      <c r="G221" s="14"/>
      <c r="H221" s="14"/>
      <c r="I221" s="14"/>
      <c r="J221" s="14"/>
      <c r="K221" s="15"/>
      <c r="L221" s="15"/>
      <c r="M221" s="16" t="s">
        <v>10</v>
      </c>
    </row>
    <row r="222" spans="2:13" x14ac:dyDescent="0.25">
      <c r="B222" s="14"/>
      <c r="C222" s="14"/>
      <c r="D222" s="14"/>
      <c r="E222" s="14"/>
      <c r="F222" s="14"/>
      <c r="G222" s="14"/>
      <c r="H222" s="14"/>
      <c r="I222" s="14"/>
      <c r="J222" s="14"/>
      <c r="K222" s="15"/>
      <c r="L222" s="15"/>
      <c r="M222" s="16" t="s">
        <v>10</v>
      </c>
    </row>
    <row r="223" spans="2:13" x14ac:dyDescent="0.25">
      <c r="B223" s="14"/>
      <c r="C223" s="14"/>
      <c r="D223" s="14"/>
      <c r="E223" s="14"/>
      <c r="F223" s="14"/>
      <c r="G223" s="14"/>
      <c r="H223" s="14"/>
      <c r="I223" s="14"/>
      <c r="J223" s="14"/>
      <c r="K223" s="15"/>
      <c r="L223" s="15"/>
      <c r="M223" s="16" t="s">
        <v>10</v>
      </c>
    </row>
    <row r="224" spans="2:13" x14ac:dyDescent="0.25">
      <c r="B224" s="14"/>
      <c r="C224" s="14"/>
      <c r="D224" s="14"/>
      <c r="E224" s="14"/>
      <c r="F224" s="14"/>
      <c r="G224" s="14"/>
      <c r="H224" s="14"/>
      <c r="I224" s="14"/>
      <c r="J224" s="14"/>
      <c r="K224" s="15"/>
      <c r="L224" s="15"/>
      <c r="M224" s="16" t="s">
        <v>10</v>
      </c>
    </row>
    <row r="225" spans="2:13" x14ac:dyDescent="0.25">
      <c r="B225" s="14"/>
      <c r="C225" s="14"/>
      <c r="D225" s="14"/>
      <c r="E225" s="14"/>
      <c r="F225" s="14"/>
      <c r="G225" s="14"/>
      <c r="H225" s="14"/>
      <c r="I225" s="14"/>
      <c r="J225" s="14"/>
      <c r="K225" s="15"/>
      <c r="L225" s="15"/>
      <c r="M225" s="16" t="s">
        <v>10</v>
      </c>
    </row>
    <row r="226" spans="2:13" x14ac:dyDescent="0.25">
      <c r="B226" s="14"/>
      <c r="C226" s="14"/>
      <c r="D226" s="14"/>
      <c r="E226" s="14"/>
      <c r="F226" s="14"/>
      <c r="G226" s="14"/>
      <c r="H226" s="14"/>
      <c r="I226" s="14"/>
      <c r="J226" s="14"/>
      <c r="K226" s="15"/>
      <c r="L226" s="15"/>
      <c r="M226" s="16" t="s">
        <v>10</v>
      </c>
    </row>
    <row r="227" spans="2:13" x14ac:dyDescent="0.25">
      <c r="B227" s="14"/>
      <c r="C227" s="14"/>
      <c r="D227" s="14"/>
      <c r="E227" s="14"/>
      <c r="F227" s="14"/>
      <c r="G227" s="14"/>
      <c r="H227" s="14"/>
      <c r="I227" s="14"/>
      <c r="J227" s="14"/>
      <c r="K227" s="15"/>
      <c r="L227" s="15"/>
      <c r="M227" s="16" t="s">
        <v>10</v>
      </c>
    </row>
    <row r="228" spans="2:13" x14ac:dyDescent="0.25">
      <c r="B228" s="14"/>
      <c r="C228" s="14"/>
      <c r="D228" s="14"/>
      <c r="E228" s="14"/>
      <c r="F228" s="14"/>
      <c r="G228" s="14"/>
      <c r="H228" s="14"/>
      <c r="I228" s="14"/>
      <c r="J228" s="14"/>
      <c r="K228" s="15"/>
      <c r="L228" s="15"/>
      <c r="M228" s="16" t="s">
        <v>10</v>
      </c>
    </row>
    <row r="229" spans="2:13" x14ac:dyDescent="0.25">
      <c r="B229" s="14"/>
      <c r="C229" s="14"/>
      <c r="D229" s="14"/>
      <c r="E229" s="14"/>
      <c r="F229" s="14"/>
      <c r="G229" s="14"/>
      <c r="H229" s="14"/>
      <c r="I229" s="14"/>
      <c r="J229" s="14"/>
      <c r="K229" s="15"/>
      <c r="L229" s="15"/>
      <c r="M229" s="16" t="s">
        <v>10</v>
      </c>
    </row>
    <row r="230" spans="2:13" x14ac:dyDescent="0.25">
      <c r="B230" s="14"/>
      <c r="C230" s="14"/>
      <c r="D230" s="14"/>
      <c r="E230" s="14"/>
      <c r="F230" s="14"/>
      <c r="G230" s="14"/>
      <c r="H230" s="14"/>
      <c r="I230" s="14"/>
      <c r="J230" s="14"/>
      <c r="K230" s="15"/>
      <c r="L230" s="15"/>
      <c r="M230" s="16" t="s">
        <v>10</v>
      </c>
    </row>
    <row r="231" spans="2:13" x14ac:dyDescent="0.25">
      <c r="B231" s="14"/>
      <c r="C231" s="14"/>
      <c r="D231" s="14"/>
      <c r="E231" s="14"/>
      <c r="F231" s="14"/>
      <c r="G231" s="14"/>
      <c r="H231" s="14"/>
      <c r="I231" s="14"/>
      <c r="J231" s="14"/>
      <c r="K231" s="15"/>
      <c r="L231" s="15"/>
      <c r="M231" s="16" t="s">
        <v>10</v>
      </c>
    </row>
    <row r="232" spans="2:13" x14ac:dyDescent="0.25">
      <c r="B232" s="14"/>
      <c r="C232" s="14"/>
      <c r="D232" s="14"/>
      <c r="E232" s="14"/>
      <c r="F232" s="14"/>
      <c r="G232" s="14"/>
      <c r="H232" s="14"/>
      <c r="I232" s="14"/>
      <c r="J232" s="14"/>
      <c r="K232" s="15"/>
      <c r="L232" s="15"/>
      <c r="M232" s="16" t="s">
        <v>10</v>
      </c>
    </row>
    <row r="233" spans="2:13" x14ac:dyDescent="0.25">
      <c r="B233" s="14"/>
      <c r="C233" s="14"/>
      <c r="D233" s="14"/>
      <c r="E233" s="14"/>
      <c r="F233" s="14"/>
      <c r="G233" s="14"/>
      <c r="H233" s="14"/>
      <c r="I233" s="14"/>
      <c r="J233" s="14"/>
      <c r="K233" s="15"/>
      <c r="L233" s="15"/>
      <c r="M233" s="16" t="s">
        <v>10</v>
      </c>
    </row>
    <row r="234" spans="2:13" x14ac:dyDescent="0.25">
      <c r="B234" s="14"/>
      <c r="C234" s="14"/>
      <c r="D234" s="14"/>
      <c r="E234" s="14"/>
      <c r="F234" s="14"/>
      <c r="G234" s="14"/>
      <c r="H234" s="14"/>
      <c r="I234" s="14"/>
      <c r="J234" s="14"/>
      <c r="K234" s="15"/>
      <c r="L234" s="15"/>
      <c r="M234" s="16" t="s">
        <v>10</v>
      </c>
    </row>
    <row r="235" spans="2:13" x14ac:dyDescent="0.25">
      <c r="B235" s="14"/>
      <c r="C235" s="14"/>
      <c r="D235" s="14"/>
      <c r="E235" s="14"/>
      <c r="F235" s="14"/>
      <c r="G235" s="14"/>
      <c r="H235" s="14"/>
      <c r="I235" s="14"/>
      <c r="J235" s="14"/>
      <c r="K235" s="15"/>
      <c r="L235" s="15"/>
      <c r="M235" s="16" t="s">
        <v>10</v>
      </c>
    </row>
    <row r="236" spans="2:13" x14ac:dyDescent="0.25">
      <c r="B236" s="14"/>
      <c r="C236" s="14"/>
      <c r="D236" s="14"/>
      <c r="E236" s="14"/>
      <c r="F236" s="14"/>
      <c r="G236" s="14"/>
      <c r="H236" s="14"/>
      <c r="I236" s="14"/>
      <c r="J236" s="14"/>
      <c r="K236" s="15"/>
      <c r="L236" s="15"/>
      <c r="M236" s="16" t="s">
        <v>10</v>
      </c>
    </row>
    <row r="237" spans="2:13" x14ac:dyDescent="0.25">
      <c r="B237" s="14"/>
      <c r="C237" s="14"/>
      <c r="D237" s="14"/>
      <c r="E237" s="14"/>
      <c r="F237" s="14"/>
      <c r="G237" s="14"/>
      <c r="H237" s="14"/>
      <c r="I237" s="14"/>
      <c r="J237" s="14"/>
      <c r="K237" s="15"/>
      <c r="L237" s="15"/>
      <c r="M237" s="16" t="s">
        <v>10</v>
      </c>
    </row>
    <row r="238" spans="2:13" x14ac:dyDescent="0.25">
      <c r="B238" s="14"/>
      <c r="C238" s="14"/>
      <c r="D238" s="14"/>
      <c r="E238" s="14"/>
      <c r="F238" s="14"/>
      <c r="G238" s="14"/>
      <c r="H238" s="14"/>
      <c r="I238" s="14"/>
      <c r="J238" s="14"/>
      <c r="K238" s="15"/>
      <c r="L238" s="15"/>
      <c r="M238" s="16" t="s">
        <v>10</v>
      </c>
    </row>
    <row r="239" spans="2:13" x14ac:dyDescent="0.25">
      <c r="B239" s="14"/>
      <c r="C239" s="14"/>
      <c r="D239" s="14"/>
      <c r="E239" s="14"/>
      <c r="F239" s="14"/>
      <c r="G239" s="14"/>
      <c r="H239" s="14"/>
      <c r="I239" s="14"/>
      <c r="J239" s="14"/>
      <c r="K239" s="15"/>
      <c r="L239" s="15"/>
      <c r="M239" s="16" t="s">
        <v>10</v>
      </c>
    </row>
    <row r="240" spans="2:13" x14ac:dyDescent="0.25">
      <c r="B240" s="14"/>
      <c r="C240" s="14"/>
      <c r="D240" s="14"/>
      <c r="E240" s="14"/>
      <c r="F240" s="14"/>
      <c r="G240" s="14"/>
      <c r="H240" s="14"/>
      <c r="I240" s="14"/>
      <c r="J240" s="14"/>
      <c r="K240" s="15"/>
      <c r="L240" s="15"/>
      <c r="M240" s="16" t="s">
        <v>10</v>
      </c>
    </row>
    <row r="241" spans="2:13" x14ac:dyDescent="0.25">
      <c r="B241" s="14"/>
      <c r="C241" s="14"/>
      <c r="D241" s="14"/>
      <c r="E241" s="14"/>
      <c r="F241" s="14"/>
      <c r="G241" s="14"/>
      <c r="H241" s="14"/>
      <c r="I241" s="14"/>
      <c r="J241" s="14"/>
      <c r="K241" s="15"/>
      <c r="L241" s="15"/>
      <c r="M241" s="16" t="s">
        <v>10</v>
      </c>
    </row>
    <row r="242" spans="2:13" x14ac:dyDescent="0.25">
      <c r="B242" s="14"/>
      <c r="C242" s="14"/>
      <c r="D242" s="14"/>
      <c r="E242" s="14"/>
      <c r="F242" s="14"/>
      <c r="G242" s="14"/>
      <c r="H242" s="14"/>
      <c r="I242" s="14"/>
      <c r="J242" s="14"/>
      <c r="K242" s="15"/>
      <c r="L242" s="15"/>
      <c r="M242" s="16" t="s">
        <v>10</v>
      </c>
    </row>
    <row r="243" spans="2:13" x14ac:dyDescent="0.25">
      <c r="B243" s="14"/>
      <c r="C243" s="14"/>
      <c r="D243" s="14"/>
      <c r="E243" s="14"/>
      <c r="F243" s="14"/>
      <c r="G243" s="14"/>
      <c r="H243" s="14"/>
      <c r="I243" s="14"/>
      <c r="J243" s="14"/>
      <c r="K243" s="15"/>
      <c r="L243" s="15"/>
      <c r="M243" s="16" t="s">
        <v>10</v>
      </c>
    </row>
    <row r="244" spans="2:13" x14ac:dyDescent="0.25">
      <c r="B244" s="14"/>
      <c r="C244" s="14"/>
      <c r="D244" s="14"/>
      <c r="E244" s="14"/>
      <c r="F244" s="14"/>
      <c r="G244" s="14"/>
      <c r="H244" s="14"/>
      <c r="I244" s="14"/>
      <c r="J244" s="14"/>
      <c r="K244" s="15"/>
      <c r="L244" s="15"/>
      <c r="M244" s="16" t="s">
        <v>10</v>
      </c>
    </row>
    <row r="245" spans="2:13" x14ac:dyDescent="0.25">
      <c r="B245" s="14"/>
      <c r="C245" s="14"/>
      <c r="D245" s="14"/>
      <c r="E245" s="14"/>
      <c r="F245" s="14"/>
      <c r="G245" s="14"/>
      <c r="H245" s="14"/>
      <c r="I245" s="14"/>
      <c r="J245" s="14"/>
      <c r="K245" s="15"/>
      <c r="L245" s="15"/>
      <c r="M245" s="16" t="s">
        <v>10</v>
      </c>
    </row>
    <row r="246" spans="2:13" x14ac:dyDescent="0.25">
      <c r="B246" s="14"/>
      <c r="C246" s="14"/>
      <c r="D246" s="14"/>
      <c r="E246" s="14"/>
      <c r="F246" s="14"/>
      <c r="G246" s="14"/>
      <c r="H246" s="14"/>
      <c r="I246" s="14"/>
      <c r="J246" s="14"/>
      <c r="K246" s="15"/>
      <c r="L246" s="15"/>
      <c r="M246" s="16" t="s">
        <v>10</v>
      </c>
    </row>
    <row r="247" spans="2:13" x14ac:dyDescent="0.25">
      <c r="B247" s="14"/>
      <c r="C247" s="14"/>
      <c r="D247" s="14"/>
      <c r="E247" s="14"/>
      <c r="F247" s="14"/>
      <c r="G247" s="14"/>
      <c r="H247" s="14"/>
      <c r="I247" s="14"/>
      <c r="J247" s="14"/>
      <c r="K247" s="15"/>
      <c r="L247" s="15"/>
      <c r="M247" s="16" t="s">
        <v>10</v>
      </c>
    </row>
    <row r="248" spans="2:13" x14ac:dyDescent="0.25">
      <c r="B248" s="14"/>
      <c r="C248" s="14"/>
      <c r="D248" s="14"/>
      <c r="E248" s="14"/>
      <c r="F248" s="14"/>
      <c r="G248" s="14"/>
      <c r="H248" s="14"/>
      <c r="I248" s="14"/>
      <c r="J248" s="14"/>
      <c r="K248" s="15"/>
      <c r="L248" s="15"/>
      <c r="M248" s="16" t="s">
        <v>10</v>
      </c>
    </row>
    <row r="249" spans="2:13" x14ac:dyDescent="0.25">
      <c r="B249" s="14"/>
      <c r="C249" s="14"/>
      <c r="D249" s="14"/>
      <c r="E249" s="14"/>
      <c r="F249" s="14"/>
      <c r="G249" s="14"/>
      <c r="H249" s="14"/>
      <c r="I249" s="14"/>
      <c r="J249" s="14"/>
      <c r="K249" s="15"/>
      <c r="L249" s="15"/>
      <c r="M249" s="16" t="s">
        <v>10</v>
      </c>
    </row>
    <row r="250" spans="2:13" x14ac:dyDescent="0.25">
      <c r="B250" s="14"/>
      <c r="C250" s="14"/>
      <c r="D250" s="14"/>
      <c r="E250" s="14"/>
      <c r="F250" s="14"/>
      <c r="G250" s="14"/>
      <c r="H250" s="14"/>
      <c r="I250" s="14"/>
      <c r="J250" s="14"/>
      <c r="K250" s="15"/>
      <c r="L250" s="15"/>
      <c r="M250" s="16" t="s">
        <v>10</v>
      </c>
    </row>
    <row r="251" spans="2:13" x14ac:dyDescent="0.25">
      <c r="B251" s="14"/>
      <c r="C251" s="14"/>
      <c r="D251" s="14"/>
      <c r="E251" s="14"/>
      <c r="F251" s="14"/>
      <c r="G251" s="14"/>
      <c r="H251" s="14"/>
      <c r="I251" s="14"/>
      <c r="J251" s="14"/>
      <c r="K251" s="15"/>
      <c r="L251" s="15"/>
      <c r="M251" s="16" t="s">
        <v>10</v>
      </c>
    </row>
    <row r="252" spans="2:13" x14ac:dyDescent="0.25">
      <c r="B252" s="14"/>
      <c r="C252" s="14"/>
      <c r="D252" s="14"/>
      <c r="E252" s="14"/>
      <c r="F252" s="14"/>
      <c r="G252" s="14"/>
      <c r="H252" s="14"/>
      <c r="I252" s="14"/>
      <c r="J252" s="14"/>
      <c r="K252" s="15"/>
      <c r="L252" s="15"/>
      <c r="M252" s="16" t="s">
        <v>10</v>
      </c>
    </row>
    <row r="253" spans="2:13" x14ac:dyDescent="0.25">
      <c r="B253" s="14"/>
      <c r="C253" s="14"/>
      <c r="D253" s="14"/>
      <c r="E253" s="14"/>
      <c r="F253" s="14"/>
      <c r="G253" s="14"/>
      <c r="H253" s="14"/>
      <c r="I253" s="14"/>
      <c r="J253" s="14"/>
      <c r="K253" s="15"/>
      <c r="L253" s="15"/>
      <c r="M253" s="16" t="s">
        <v>10</v>
      </c>
    </row>
    <row r="254" spans="2:13" x14ac:dyDescent="0.25">
      <c r="B254" s="14"/>
      <c r="C254" s="14"/>
      <c r="D254" s="14"/>
      <c r="E254" s="14"/>
      <c r="F254" s="14"/>
      <c r="G254" s="14"/>
      <c r="H254" s="14"/>
      <c r="I254" s="14"/>
      <c r="J254" s="14"/>
      <c r="K254" s="15"/>
      <c r="L254" s="15"/>
      <c r="M254" s="16" t="s">
        <v>10</v>
      </c>
    </row>
    <row r="255" spans="2:13" x14ac:dyDescent="0.25">
      <c r="B255" s="14"/>
      <c r="C255" s="14"/>
      <c r="D255" s="14"/>
      <c r="E255" s="14"/>
      <c r="F255" s="14"/>
      <c r="G255" s="14"/>
      <c r="H255" s="14"/>
      <c r="I255" s="14"/>
      <c r="J255" s="14"/>
      <c r="K255" s="15"/>
      <c r="L255" s="15"/>
      <c r="M255" s="16" t="s">
        <v>10</v>
      </c>
    </row>
    <row r="256" spans="2:13" x14ac:dyDescent="0.25">
      <c r="B256" s="14"/>
      <c r="C256" s="14"/>
      <c r="D256" s="14"/>
      <c r="E256" s="14"/>
      <c r="F256" s="14"/>
      <c r="G256" s="14"/>
      <c r="H256" s="14"/>
      <c r="I256" s="14"/>
      <c r="J256" s="14"/>
      <c r="K256" s="15"/>
      <c r="L256" s="15"/>
      <c r="M256" s="16" t="s">
        <v>10</v>
      </c>
    </row>
    <row r="257" spans="2:13" x14ac:dyDescent="0.25">
      <c r="B257" s="14"/>
      <c r="C257" s="14"/>
      <c r="D257" s="14"/>
      <c r="E257" s="14"/>
      <c r="F257" s="14"/>
      <c r="G257" s="14"/>
      <c r="H257" s="14"/>
      <c r="I257" s="14"/>
      <c r="J257" s="14"/>
      <c r="K257" s="15"/>
      <c r="L257" s="15"/>
      <c r="M257" s="16" t="s">
        <v>10</v>
      </c>
    </row>
    <row r="258" spans="2:13" x14ac:dyDescent="0.25">
      <c r="B258" s="14"/>
      <c r="C258" s="14"/>
      <c r="D258" s="14"/>
      <c r="E258" s="14"/>
      <c r="F258" s="14"/>
      <c r="G258" s="14"/>
      <c r="H258" s="14"/>
      <c r="I258" s="14"/>
      <c r="J258" s="14"/>
      <c r="K258" s="15"/>
      <c r="L258" s="15"/>
      <c r="M258" s="16" t="s">
        <v>10</v>
      </c>
    </row>
    <row r="259" spans="2:13" x14ac:dyDescent="0.25">
      <c r="B259" s="14"/>
      <c r="C259" s="14"/>
      <c r="D259" s="14"/>
      <c r="E259" s="14"/>
      <c r="F259" s="14"/>
      <c r="G259" s="14"/>
      <c r="H259" s="14"/>
      <c r="I259" s="14"/>
      <c r="J259" s="14"/>
      <c r="K259" s="15"/>
      <c r="L259" s="15"/>
      <c r="M259" s="16" t="s">
        <v>10</v>
      </c>
    </row>
    <row r="260" spans="2:13" x14ac:dyDescent="0.25">
      <c r="B260" s="14"/>
      <c r="C260" s="14"/>
      <c r="D260" s="14"/>
      <c r="E260" s="14"/>
      <c r="F260" s="14"/>
      <c r="G260" s="14"/>
      <c r="H260" s="14"/>
      <c r="I260" s="14"/>
      <c r="J260" s="14"/>
      <c r="K260" s="15"/>
      <c r="L260" s="15"/>
      <c r="M260" s="16" t="s">
        <v>10</v>
      </c>
    </row>
    <row r="261" spans="2:13" x14ac:dyDescent="0.25">
      <c r="B261" s="14"/>
      <c r="C261" s="14"/>
      <c r="D261" s="14"/>
      <c r="E261" s="14"/>
      <c r="F261" s="14"/>
      <c r="G261" s="14"/>
      <c r="H261" s="14"/>
      <c r="I261" s="14"/>
      <c r="J261" s="14"/>
      <c r="K261" s="15"/>
      <c r="L261" s="15"/>
      <c r="M261" s="16" t="s">
        <v>10</v>
      </c>
    </row>
    <row r="262" spans="2:13" x14ac:dyDescent="0.25">
      <c r="B262" s="14"/>
      <c r="C262" s="14"/>
      <c r="D262" s="14"/>
      <c r="E262" s="14"/>
      <c r="F262" s="14"/>
      <c r="G262" s="14"/>
      <c r="H262" s="14"/>
      <c r="I262" s="14"/>
      <c r="J262" s="14"/>
      <c r="K262" s="15"/>
      <c r="L262" s="15"/>
      <c r="M262" s="16" t="s">
        <v>10</v>
      </c>
    </row>
    <row r="263" spans="2:13" x14ac:dyDescent="0.25">
      <c r="B263" s="14"/>
      <c r="C263" s="14"/>
      <c r="D263" s="14"/>
      <c r="E263" s="14"/>
      <c r="F263" s="14"/>
      <c r="G263" s="14"/>
      <c r="H263" s="14"/>
      <c r="I263" s="14"/>
      <c r="J263" s="14"/>
      <c r="K263" s="15"/>
      <c r="L263" s="15"/>
      <c r="M263" s="16" t="s">
        <v>10</v>
      </c>
    </row>
    <row r="264" spans="2:13" x14ac:dyDescent="0.25">
      <c r="B264" s="14"/>
      <c r="C264" s="14"/>
      <c r="D264" s="14"/>
      <c r="E264" s="14"/>
      <c r="F264" s="14"/>
      <c r="G264" s="14"/>
      <c r="H264" s="14"/>
      <c r="I264" s="14"/>
      <c r="J264" s="14"/>
      <c r="K264" s="15"/>
      <c r="L264" s="15"/>
      <c r="M264" s="16" t="s">
        <v>10</v>
      </c>
    </row>
    <row r="265" spans="2:13" x14ac:dyDescent="0.25">
      <c r="B265" s="14"/>
      <c r="C265" s="14"/>
      <c r="D265" s="14"/>
      <c r="E265" s="14"/>
      <c r="F265" s="14"/>
      <c r="G265" s="14"/>
      <c r="H265" s="14"/>
      <c r="I265" s="14"/>
      <c r="J265" s="14"/>
      <c r="K265" s="15"/>
      <c r="L265" s="15"/>
      <c r="M265" s="16" t="s">
        <v>10</v>
      </c>
    </row>
    <row r="266" spans="2:13" x14ac:dyDescent="0.25">
      <c r="B266" s="14"/>
      <c r="C266" s="14"/>
      <c r="D266" s="14"/>
      <c r="E266" s="14"/>
      <c r="F266" s="14"/>
      <c r="G266" s="14"/>
      <c r="H266" s="14"/>
      <c r="I266" s="14"/>
      <c r="J266" s="14"/>
      <c r="K266" s="15"/>
      <c r="L266" s="15"/>
      <c r="M266" s="16" t="s">
        <v>10</v>
      </c>
    </row>
    <row r="267" spans="2:13" x14ac:dyDescent="0.25">
      <c r="B267" s="14"/>
      <c r="C267" s="14"/>
      <c r="D267" s="14"/>
      <c r="E267" s="14"/>
      <c r="F267" s="14"/>
      <c r="G267" s="14"/>
      <c r="H267" s="14"/>
      <c r="I267" s="14"/>
      <c r="J267" s="14"/>
      <c r="K267" s="15"/>
      <c r="L267" s="15"/>
      <c r="M267" s="16" t="s">
        <v>10</v>
      </c>
    </row>
    <row r="268" spans="2:13" x14ac:dyDescent="0.25">
      <c r="B268" s="14"/>
      <c r="C268" s="14"/>
      <c r="D268" s="14"/>
      <c r="E268" s="14"/>
      <c r="F268" s="14"/>
      <c r="G268" s="14"/>
      <c r="H268" s="14"/>
      <c r="I268" s="14"/>
      <c r="J268" s="14"/>
      <c r="K268" s="15"/>
      <c r="L268" s="15"/>
      <c r="M268" s="16" t="s">
        <v>10</v>
      </c>
    </row>
    <row r="269" spans="2:13" x14ac:dyDescent="0.25">
      <c r="B269" s="14"/>
      <c r="C269" s="14"/>
      <c r="D269" s="14"/>
      <c r="E269" s="14"/>
      <c r="F269" s="14"/>
      <c r="G269" s="14"/>
      <c r="H269" s="14"/>
      <c r="I269" s="14"/>
      <c r="J269" s="14"/>
      <c r="K269" s="15"/>
      <c r="L269" s="15"/>
      <c r="M269" s="16" t="s">
        <v>10</v>
      </c>
    </row>
    <row r="270" spans="2:13" x14ac:dyDescent="0.25">
      <c r="B270" s="14"/>
      <c r="C270" s="14"/>
      <c r="D270" s="14"/>
      <c r="E270" s="14"/>
      <c r="F270" s="14"/>
      <c r="G270" s="14"/>
      <c r="H270" s="14"/>
      <c r="I270" s="14"/>
      <c r="J270" s="14"/>
      <c r="K270" s="15"/>
      <c r="L270" s="15"/>
      <c r="M270" s="16" t="s">
        <v>10</v>
      </c>
    </row>
    <row r="271" spans="2:13" x14ac:dyDescent="0.25">
      <c r="B271" s="14"/>
      <c r="C271" s="14"/>
      <c r="D271" s="14"/>
      <c r="E271" s="14"/>
      <c r="F271" s="14"/>
      <c r="G271" s="14"/>
      <c r="H271" s="14"/>
      <c r="I271" s="14"/>
      <c r="J271" s="14"/>
      <c r="K271" s="15"/>
      <c r="L271" s="15"/>
      <c r="M271" s="16" t="s">
        <v>10</v>
      </c>
    </row>
    <row r="272" spans="2:13" x14ac:dyDescent="0.25">
      <c r="B272" s="14"/>
      <c r="C272" s="14"/>
      <c r="D272" s="14"/>
      <c r="E272" s="14"/>
      <c r="F272" s="14"/>
      <c r="G272" s="14"/>
      <c r="H272" s="14"/>
      <c r="I272" s="14"/>
      <c r="J272" s="14"/>
      <c r="K272" s="15"/>
      <c r="L272" s="15"/>
      <c r="M272" s="16" t="s">
        <v>10</v>
      </c>
    </row>
    <row r="273" spans="2:13" x14ac:dyDescent="0.25">
      <c r="B273" s="14"/>
      <c r="C273" s="14"/>
      <c r="D273" s="14"/>
      <c r="E273" s="14"/>
      <c r="F273" s="14"/>
      <c r="G273" s="14"/>
      <c r="H273" s="14"/>
      <c r="I273" s="14"/>
      <c r="J273" s="14"/>
      <c r="K273" s="15"/>
      <c r="L273" s="15"/>
      <c r="M273" s="16" t="s">
        <v>10</v>
      </c>
    </row>
    <row r="274" spans="2:13" x14ac:dyDescent="0.25">
      <c r="B274" s="14"/>
      <c r="C274" s="14"/>
      <c r="D274" s="14"/>
      <c r="E274" s="14"/>
      <c r="F274" s="14"/>
      <c r="G274" s="14"/>
      <c r="H274" s="14"/>
      <c r="I274" s="14"/>
      <c r="J274" s="14"/>
      <c r="K274" s="15"/>
      <c r="L274" s="15"/>
      <c r="M274" s="16" t="s">
        <v>10</v>
      </c>
    </row>
    <row r="275" spans="2:13" x14ac:dyDescent="0.25">
      <c r="B275" s="14"/>
      <c r="C275" s="14"/>
      <c r="D275" s="14"/>
      <c r="E275" s="14"/>
      <c r="F275" s="14"/>
      <c r="G275" s="14"/>
      <c r="H275" s="14"/>
      <c r="I275" s="14"/>
      <c r="J275" s="14"/>
      <c r="K275" s="15"/>
      <c r="L275" s="15"/>
      <c r="M275" s="16" t="s">
        <v>10</v>
      </c>
    </row>
    <row r="276" spans="2:13" x14ac:dyDescent="0.25">
      <c r="B276" s="14"/>
      <c r="C276" s="14"/>
      <c r="D276" s="14"/>
      <c r="E276" s="14"/>
      <c r="F276" s="14"/>
      <c r="G276" s="14"/>
      <c r="H276" s="14"/>
      <c r="I276" s="14"/>
      <c r="J276" s="14"/>
      <c r="K276" s="15"/>
      <c r="L276" s="15"/>
      <c r="M276" s="16" t="s">
        <v>10</v>
      </c>
    </row>
    <row r="277" spans="2:13" x14ac:dyDescent="0.25">
      <c r="B277" s="14"/>
      <c r="C277" s="14"/>
      <c r="D277" s="14"/>
      <c r="E277" s="14"/>
      <c r="F277" s="14"/>
      <c r="G277" s="14"/>
      <c r="H277" s="14"/>
      <c r="I277" s="14"/>
      <c r="J277" s="14"/>
      <c r="K277" s="15"/>
      <c r="L277" s="15"/>
      <c r="M277" s="16" t="s">
        <v>10</v>
      </c>
    </row>
    <row r="278" spans="2:13" x14ac:dyDescent="0.25">
      <c r="B278" s="14"/>
      <c r="C278" s="14"/>
      <c r="D278" s="14"/>
      <c r="E278" s="14"/>
      <c r="F278" s="14"/>
      <c r="G278" s="14"/>
      <c r="H278" s="14"/>
      <c r="I278" s="14"/>
      <c r="J278" s="14"/>
      <c r="K278" s="15"/>
      <c r="L278" s="15"/>
      <c r="M278" s="16" t="s">
        <v>10</v>
      </c>
    </row>
    <row r="279" spans="2:13" x14ac:dyDescent="0.25">
      <c r="B279" s="14"/>
      <c r="C279" s="14"/>
      <c r="D279" s="14"/>
      <c r="E279" s="14"/>
      <c r="F279" s="14"/>
      <c r="G279" s="14"/>
      <c r="H279" s="14"/>
      <c r="I279" s="14"/>
      <c r="J279" s="14"/>
      <c r="K279" s="15"/>
      <c r="L279" s="15"/>
      <c r="M279" s="16" t="s">
        <v>10</v>
      </c>
    </row>
    <row r="280" spans="2:13" x14ac:dyDescent="0.25">
      <c r="B280" s="14"/>
      <c r="C280" s="14"/>
      <c r="D280" s="14"/>
      <c r="E280" s="14"/>
      <c r="F280" s="14"/>
      <c r="G280" s="14"/>
      <c r="H280" s="14"/>
      <c r="I280" s="14"/>
      <c r="J280" s="14"/>
      <c r="K280" s="15"/>
      <c r="L280" s="15"/>
      <c r="M280" s="16" t="s">
        <v>10</v>
      </c>
    </row>
    <row r="281" spans="2:13" x14ac:dyDescent="0.25">
      <c r="B281" s="14"/>
      <c r="C281" s="14"/>
      <c r="D281" s="14"/>
      <c r="E281" s="14"/>
      <c r="F281" s="14"/>
      <c r="G281" s="14"/>
      <c r="H281" s="14"/>
      <c r="I281" s="14"/>
      <c r="J281" s="14"/>
      <c r="K281" s="15"/>
      <c r="L281" s="15"/>
      <c r="M281" s="16" t="s">
        <v>10</v>
      </c>
    </row>
    <row r="282" spans="2:13" x14ac:dyDescent="0.25">
      <c r="B282" s="14"/>
      <c r="C282" s="14"/>
      <c r="D282" s="14"/>
      <c r="E282" s="14"/>
      <c r="F282" s="14"/>
      <c r="G282" s="14"/>
      <c r="H282" s="14"/>
      <c r="I282" s="14"/>
      <c r="J282" s="14"/>
      <c r="K282" s="15"/>
      <c r="L282" s="15"/>
      <c r="M282" s="16" t="s">
        <v>10</v>
      </c>
    </row>
    <row r="283" spans="2:13" x14ac:dyDescent="0.25">
      <c r="B283" s="14"/>
      <c r="C283" s="14"/>
      <c r="D283" s="14"/>
      <c r="E283" s="14"/>
      <c r="F283" s="14"/>
      <c r="G283" s="14"/>
      <c r="H283" s="14"/>
      <c r="I283" s="14"/>
      <c r="J283" s="14"/>
      <c r="K283" s="15"/>
      <c r="L283" s="15"/>
      <c r="M283" s="16" t="s">
        <v>10</v>
      </c>
    </row>
    <row r="284" spans="2:13" x14ac:dyDescent="0.25">
      <c r="B284" s="14"/>
      <c r="C284" s="14"/>
      <c r="D284" s="14"/>
      <c r="E284" s="14"/>
      <c r="F284" s="14"/>
      <c r="G284" s="14"/>
      <c r="H284" s="14"/>
      <c r="I284" s="14"/>
      <c r="J284" s="14"/>
      <c r="K284" s="15"/>
      <c r="L284" s="15"/>
      <c r="M284" s="16" t="s">
        <v>10</v>
      </c>
    </row>
    <row r="285" spans="2:13" x14ac:dyDescent="0.25">
      <c r="B285" s="14"/>
      <c r="C285" s="14"/>
      <c r="D285" s="14"/>
      <c r="E285" s="14"/>
      <c r="F285" s="14"/>
      <c r="G285" s="14"/>
      <c r="H285" s="14"/>
      <c r="I285" s="14"/>
      <c r="J285" s="14"/>
      <c r="K285" s="15"/>
      <c r="L285" s="15"/>
      <c r="M285" s="16" t="s">
        <v>10</v>
      </c>
    </row>
    <row r="286" spans="2:13" x14ac:dyDescent="0.25">
      <c r="B286" s="14"/>
      <c r="C286" s="14"/>
      <c r="D286" s="14"/>
      <c r="E286" s="14"/>
      <c r="F286" s="14"/>
      <c r="G286" s="14"/>
      <c r="H286" s="14"/>
      <c r="I286" s="14"/>
      <c r="J286" s="14"/>
      <c r="K286" s="15"/>
      <c r="L286" s="15"/>
      <c r="M286" s="16" t="s">
        <v>10</v>
      </c>
    </row>
    <row r="287" spans="2:13" x14ac:dyDescent="0.25">
      <c r="B287" s="14"/>
      <c r="C287" s="14"/>
      <c r="D287" s="14"/>
      <c r="E287" s="14"/>
      <c r="F287" s="14"/>
      <c r="G287" s="14"/>
      <c r="H287" s="14"/>
      <c r="I287" s="14"/>
      <c r="J287" s="14"/>
      <c r="K287" s="15"/>
      <c r="L287" s="15"/>
      <c r="M287" s="16" t="s">
        <v>10</v>
      </c>
    </row>
    <row r="288" spans="2:13" x14ac:dyDescent="0.25">
      <c r="B288" s="14"/>
      <c r="C288" s="14"/>
      <c r="D288" s="14"/>
      <c r="E288" s="14"/>
      <c r="F288" s="14"/>
      <c r="G288" s="14"/>
      <c r="H288" s="14"/>
      <c r="I288" s="14"/>
      <c r="J288" s="14"/>
      <c r="K288" s="15"/>
      <c r="L288" s="15"/>
      <c r="M288" s="16" t="s">
        <v>10</v>
      </c>
    </row>
    <row r="289" spans="2:13" x14ac:dyDescent="0.25">
      <c r="B289" s="14"/>
      <c r="C289" s="14"/>
      <c r="D289" s="14"/>
      <c r="E289" s="14"/>
      <c r="F289" s="14"/>
      <c r="G289" s="14"/>
      <c r="H289" s="14"/>
      <c r="I289" s="14"/>
      <c r="J289" s="14"/>
      <c r="K289" s="15"/>
      <c r="L289" s="15"/>
      <c r="M289" s="16" t="s">
        <v>10</v>
      </c>
    </row>
    <row r="290" spans="2:13" x14ac:dyDescent="0.25">
      <c r="B290" s="14"/>
      <c r="C290" s="14"/>
      <c r="D290" s="14"/>
      <c r="E290" s="14"/>
      <c r="F290" s="14"/>
      <c r="G290" s="14"/>
      <c r="H290" s="14"/>
      <c r="I290" s="14"/>
      <c r="J290" s="14"/>
      <c r="K290" s="15"/>
      <c r="L290" s="15"/>
      <c r="M290" s="16" t="s">
        <v>10</v>
      </c>
    </row>
    <row r="291" spans="2:13" x14ac:dyDescent="0.25">
      <c r="B291" s="14"/>
      <c r="C291" s="14"/>
      <c r="D291" s="14"/>
      <c r="E291" s="14"/>
      <c r="F291" s="14"/>
      <c r="G291" s="14"/>
      <c r="H291" s="14"/>
      <c r="I291" s="14"/>
      <c r="J291" s="14"/>
      <c r="K291" s="15"/>
      <c r="L291" s="15"/>
      <c r="M291" s="16" t="s">
        <v>10</v>
      </c>
    </row>
    <row r="292" spans="2:13" x14ac:dyDescent="0.25">
      <c r="B292" s="14"/>
      <c r="C292" s="14"/>
      <c r="D292" s="14"/>
      <c r="E292" s="14"/>
      <c r="F292" s="14"/>
      <c r="G292" s="14"/>
      <c r="H292" s="14"/>
      <c r="I292" s="14"/>
      <c r="J292" s="14"/>
      <c r="K292" s="15"/>
      <c r="L292" s="15"/>
      <c r="M292" s="16" t="s">
        <v>10</v>
      </c>
    </row>
    <row r="293" spans="2:13" x14ac:dyDescent="0.25">
      <c r="B293" s="14"/>
      <c r="C293" s="14"/>
      <c r="D293" s="14"/>
      <c r="E293" s="14"/>
      <c r="F293" s="14"/>
      <c r="G293" s="14"/>
      <c r="H293" s="14"/>
      <c r="I293" s="14"/>
      <c r="J293" s="14"/>
      <c r="K293" s="15"/>
      <c r="L293" s="15"/>
      <c r="M293" s="16" t="s">
        <v>10</v>
      </c>
    </row>
    <row r="294" spans="2:13" x14ac:dyDescent="0.25">
      <c r="B294" s="14"/>
      <c r="C294" s="14"/>
      <c r="D294" s="14"/>
      <c r="E294" s="14"/>
      <c r="F294" s="14"/>
      <c r="G294" s="14"/>
      <c r="H294" s="14"/>
      <c r="I294" s="14"/>
      <c r="J294" s="14"/>
      <c r="K294" s="15"/>
      <c r="L294" s="15"/>
      <c r="M294" s="16" t="s">
        <v>10</v>
      </c>
    </row>
    <row r="295" spans="2:13" x14ac:dyDescent="0.25">
      <c r="B295" s="14"/>
      <c r="C295" s="14"/>
      <c r="D295" s="14"/>
      <c r="E295" s="14"/>
      <c r="F295" s="14"/>
      <c r="G295" s="14"/>
      <c r="H295" s="14"/>
      <c r="I295" s="14"/>
      <c r="J295" s="14"/>
      <c r="K295" s="15"/>
      <c r="L295" s="15"/>
      <c r="M295" s="16" t="s">
        <v>10</v>
      </c>
    </row>
    <row r="296" spans="2:13" x14ac:dyDescent="0.25">
      <c r="B296" s="14"/>
      <c r="C296" s="14"/>
      <c r="D296" s="14"/>
      <c r="E296" s="14"/>
      <c r="F296" s="14"/>
      <c r="G296" s="14"/>
      <c r="H296" s="14"/>
      <c r="I296" s="14"/>
      <c r="J296" s="14"/>
      <c r="K296" s="15"/>
      <c r="L296" s="15"/>
      <c r="M296" s="16" t="s">
        <v>10</v>
      </c>
    </row>
    <row r="297" spans="2:13" x14ac:dyDescent="0.25">
      <c r="B297" s="14"/>
      <c r="C297" s="14"/>
      <c r="D297" s="14"/>
      <c r="E297" s="14"/>
      <c r="F297" s="14"/>
      <c r="G297" s="14"/>
      <c r="H297" s="14"/>
      <c r="I297" s="14"/>
      <c r="J297" s="14"/>
      <c r="K297" s="15"/>
      <c r="L297" s="15"/>
      <c r="M297" s="16" t="s">
        <v>10</v>
      </c>
    </row>
    <row r="298" spans="2:13" x14ac:dyDescent="0.25">
      <c r="B298" s="14"/>
      <c r="C298" s="14"/>
      <c r="D298" s="14"/>
      <c r="E298" s="14"/>
      <c r="F298" s="14"/>
      <c r="G298" s="14"/>
      <c r="H298" s="14"/>
      <c r="I298" s="14"/>
      <c r="J298" s="14"/>
      <c r="K298" s="15"/>
      <c r="L298" s="15"/>
      <c r="M298" s="16" t="s">
        <v>10</v>
      </c>
    </row>
    <row r="299" spans="2:13" x14ac:dyDescent="0.25">
      <c r="B299" s="14"/>
      <c r="C299" s="14"/>
      <c r="D299" s="14"/>
      <c r="E299" s="14"/>
      <c r="F299" s="14"/>
      <c r="G299" s="14"/>
      <c r="H299" s="14"/>
      <c r="I299" s="14"/>
      <c r="J299" s="14"/>
      <c r="K299" s="15"/>
      <c r="L299" s="15"/>
      <c r="M299" s="16" t="s">
        <v>10</v>
      </c>
    </row>
    <row r="300" spans="2:13" x14ac:dyDescent="0.25">
      <c r="B300" s="14"/>
      <c r="C300" s="14"/>
      <c r="D300" s="14"/>
      <c r="E300" s="14"/>
      <c r="F300" s="14"/>
      <c r="G300" s="14"/>
      <c r="H300" s="14"/>
      <c r="I300" s="14"/>
      <c r="J300" s="14"/>
      <c r="K300" s="15"/>
      <c r="L300" s="15"/>
      <c r="M300" s="16" t="s">
        <v>10</v>
      </c>
    </row>
    <row r="301" spans="2:13" x14ac:dyDescent="0.25">
      <c r="B301" s="14"/>
      <c r="C301" s="14"/>
      <c r="D301" s="14"/>
      <c r="E301" s="14"/>
      <c r="F301" s="14"/>
      <c r="G301" s="14"/>
      <c r="H301" s="14"/>
      <c r="I301" s="14"/>
      <c r="J301" s="14"/>
      <c r="K301" s="15"/>
      <c r="L301" s="15"/>
      <c r="M301" s="16" t="s">
        <v>10</v>
      </c>
    </row>
    <row r="302" spans="2:13" x14ac:dyDescent="0.25">
      <c r="B302" s="14"/>
      <c r="C302" s="14"/>
      <c r="D302" s="14"/>
      <c r="E302" s="14"/>
      <c r="F302" s="14"/>
      <c r="G302" s="14"/>
      <c r="H302" s="14"/>
      <c r="I302" s="14"/>
      <c r="J302" s="14"/>
      <c r="K302" s="15"/>
      <c r="L302" s="15"/>
      <c r="M302" s="16" t="s">
        <v>10</v>
      </c>
    </row>
    <row r="303" spans="2:13" x14ac:dyDescent="0.25">
      <c r="B303" s="14"/>
      <c r="C303" s="14"/>
      <c r="D303" s="14"/>
      <c r="E303" s="14"/>
      <c r="F303" s="14"/>
      <c r="G303" s="14"/>
      <c r="H303" s="14"/>
      <c r="I303" s="14"/>
      <c r="J303" s="14"/>
      <c r="K303" s="15"/>
      <c r="L303" s="15"/>
      <c r="M303" s="16" t="s">
        <v>10</v>
      </c>
    </row>
    <row r="304" spans="2:13" x14ac:dyDescent="0.25">
      <c r="B304" s="14"/>
      <c r="C304" s="14"/>
      <c r="D304" s="14"/>
      <c r="E304" s="14"/>
      <c r="F304" s="14"/>
      <c r="G304" s="14"/>
      <c r="H304" s="14"/>
      <c r="I304" s="14"/>
      <c r="J304" s="14"/>
      <c r="K304" s="15"/>
      <c r="L304" s="15"/>
      <c r="M304" s="16" t="s">
        <v>10</v>
      </c>
    </row>
    <row r="305" spans="2:13" x14ac:dyDescent="0.25">
      <c r="B305" s="14"/>
      <c r="C305" s="14"/>
      <c r="D305" s="14"/>
      <c r="E305" s="14"/>
      <c r="F305" s="14"/>
      <c r="G305" s="14"/>
      <c r="H305" s="14"/>
      <c r="I305" s="14"/>
      <c r="J305" s="14"/>
      <c r="K305" s="15"/>
      <c r="L305" s="15"/>
      <c r="M305" s="16" t="s">
        <v>10</v>
      </c>
    </row>
    <row r="306" spans="2:13" x14ac:dyDescent="0.25">
      <c r="B306" s="14"/>
      <c r="C306" s="14"/>
      <c r="D306" s="14"/>
      <c r="E306" s="14"/>
      <c r="F306" s="14"/>
      <c r="G306" s="14"/>
      <c r="H306" s="14"/>
      <c r="I306" s="14"/>
      <c r="J306" s="14"/>
      <c r="K306" s="15"/>
      <c r="L306" s="15"/>
      <c r="M306" s="16" t="s">
        <v>10</v>
      </c>
    </row>
    <row r="307" spans="2:13" x14ac:dyDescent="0.25">
      <c r="B307" s="14"/>
      <c r="C307" s="14"/>
      <c r="D307" s="14"/>
      <c r="E307" s="14"/>
      <c r="F307" s="14"/>
      <c r="G307" s="14"/>
      <c r="H307" s="14"/>
      <c r="I307" s="14"/>
      <c r="J307" s="14"/>
      <c r="K307" s="15"/>
      <c r="L307" s="15"/>
      <c r="M307" s="16" t="s">
        <v>10</v>
      </c>
    </row>
    <row r="308" spans="2:13" x14ac:dyDescent="0.25">
      <c r="B308" s="14"/>
      <c r="C308" s="14"/>
      <c r="D308" s="14"/>
      <c r="E308" s="14"/>
      <c r="F308" s="14"/>
      <c r="G308" s="14"/>
      <c r="H308" s="14"/>
      <c r="I308" s="14"/>
      <c r="J308" s="14"/>
      <c r="K308" s="15"/>
      <c r="L308" s="15"/>
      <c r="M308" s="16" t="s">
        <v>10</v>
      </c>
    </row>
    <row r="309" spans="2:13" x14ac:dyDescent="0.25">
      <c r="B309" s="14"/>
      <c r="C309" s="14"/>
      <c r="D309" s="14"/>
      <c r="E309" s="14"/>
      <c r="F309" s="14"/>
      <c r="G309" s="14"/>
      <c r="H309" s="14"/>
      <c r="I309" s="14"/>
      <c r="J309" s="14"/>
      <c r="K309" s="15"/>
      <c r="L309" s="15"/>
      <c r="M309" s="16" t="s">
        <v>10</v>
      </c>
    </row>
    <row r="310" spans="2:13" x14ac:dyDescent="0.25">
      <c r="B310" s="14"/>
      <c r="C310" s="14"/>
      <c r="D310" s="14"/>
      <c r="E310" s="14"/>
      <c r="F310" s="14"/>
      <c r="G310" s="14"/>
      <c r="H310" s="14"/>
      <c r="I310" s="14"/>
      <c r="J310" s="14"/>
      <c r="K310" s="15"/>
      <c r="L310" s="15"/>
      <c r="M310" s="16" t="s">
        <v>10</v>
      </c>
    </row>
    <row r="311" spans="2:13" x14ac:dyDescent="0.25">
      <c r="B311" s="14"/>
      <c r="C311" s="14"/>
      <c r="D311" s="14"/>
      <c r="E311" s="14"/>
      <c r="F311" s="14"/>
      <c r="G311" s="14"/>
      <c r="H311" s="14"/>
      <c r="I311" s="14"/>
      <c r="J311" s="14"/>
      <c r="K311" s="15"/>
      <c r="L311" s="15"/>
      <c r="M311" s="16" t="s">
        <v>10</v>
      </c>
    </row>
    <row r="312" spans="2:13" x14ac:dyDescent="0.25">
      <c r="B312" s="14"/>
      <c r="C312" s="14"/>
      <c r="D312" s="14"/>
      <c r="E312" s="14"/>
      <c r="F312" s="14"/>
      <c r="G312" s="14"/>
      <c r="H312" s="14"/>
      <c r="I312" s="14"/>
      <c r="J312" s="14"/>
      <c r="K312" s="15"/>
      <c r="L312" s="15"/>
      <c r="M312" s="16" t="s">
        <v>10</v>
      </c>
    </row>
    <row r="313" spans="2:13" x14ac:dyDescent="0.25">
      <c r="B313" s="14"/>
      <c r="C313" s="14"/>
      <c r="D313" s="14"/>
      <c r="E313" s="14"/>
      <c r="F313" s="14"/>
      <c r="G313" s="14"/>
      <c r="H313" s="14"/>
      <c r="I313" s="14"/>
      <c r="J313" s="14"/>
      <c r="K313" s="15"/>
      <c r="L313" s="15"/>
      <c r="M313" s="16" t="s">
        <v>10</v>
      </c>
    </row>
    <row r="314" spans="2:13" x14ac:dyDescent="0.25">
      <c r="B314" s="14"/>
      <c r="C314" s="14"/>
      <c r="D314" s="14"/>
      <c r="E314" s="14"/>
      <c r="F314" s="14"/>
      <c r="G314" s="14"/>
      <c r="H314" s="14"/>
      <c r="I314" s="14"/>
      <c r="J314" s="14"/>
      <c r="K314" s="15"/>
      <c r="L314" s="15"/>
      <c r="M314" s="16" t="s">
        <v>10</v>
      </c>
    </row>
    <row r="315" spans="2:13" x14ac:dyDescent="0.25">
      <c r="B315" s="14"/>
      <c r="C315" s="14"/>
      <c r="D315" s="14"/>
      <c r="E315" s="14"/>
      <c r="F315" s="14"/>
      <c r="G315" s="14"/>
      <c r="H315" s="14"/>
      <c r="I315" s="14"/>
      <c r="J315" s="14"/>
      <c r="K315" s="15"/>
      <c r="L315" s="15"/>
      <c r="M315" s="16" t="s">
        <v>10</v>
      </c>
    </row>
    <row r="316" spans="2:13" x14ac:dyDescent="0.25">
      <c r="B316" s="14"/>
      <c r="C316" s="14"/>
      <c r="D316" s="14"/>
      <c r="E316" s="14"/>
      <c r="F316" s="14"/>
      <c r="G316" s="14"/>
      <c r="H316" s="14"/>
      <c r="I316" s="14"/>
      <c r="J316" s="14"/>
      <c r="K316" s="15"/>
      <c r="L316" s="15"/>
      <c r="M316" s="16" t="s">
        <v>10</v>
      </c>
    </row>
    <row r="317" spans="2:13" x14ac:dyDescent="0.25">
      <c r="B317" s="14"/>
      <c r="C317" s="14"/>
      <c r="D317" s="14"/>
      <c r="E317" s="14"/>
      <c r="F317" s="14"/>
      <c r="G317" s="14"/>
      <c r="H317" s="14"/>
      <c r="I317" s="14"/>
      <c r="J317" s="14"/>
      <c r="K317" s="15"/>
      <c r="L317" s="15"/>
      <c r="M317" s="16" t="s">
        <v>10</v>
      </c>
    </row>
    <row r="318" spans="2:13" x14ac:dyDescent="0.25">
      <c r="B318" s="14"/>
      <c r="C318" s="14"/>
      <c r="D318" s="14"/>
      <c r="E318" s="14"/>
      <c r="F318" s="14"/>
      <c r="G318" s="14"/>
      <c r="H318" s="14"/>
      <c r="I318" s="14"/>
      <c r="J318" s="14"/>
      <c r="K318" s="15"/>
      <c r="L318" s="15"/>
      <c r="M318" s="16" t="s">
        <v>10</v>
      </c>
    </row>
    <row r="319" spans="2:13" x14ac:dyDescent="0.25">
      <c r="B319" s="14"/>
      <c r="C319" s="14"/>
      <c r="D319" s="14"/>
      <c r="E319" s="14"/>
      <c r="F319" s="14"/>
      <c r="G319" s="14"/>
      <c r="H319" s="14"/>
      <c r="I319" s="14"/>
      <c r="J319" s="14"/>
      <c r="K319" s="15"/>
      <c r="L319" s="15"/>
      <c r="M319" s="16" t="s">
        <v>10</v>
      </c>
    </row>
    <row r="320" spans="2:13" x14ac:dyDescent="0.25">
      <c r="B320" s="14"/>
      <c r="C320" s="14"/>
      <c r="D320" s="14"/>
      <c r="E320" s="14"/>
      <c r="F320" s="14"/>
      <c r="G320" s="14"/>
      <c r="H320" s="14"/>
      <c r="I320" s="14"/>
      <c r="J320" s="14"/>
      <c r="K320" s="15"/>
      <c r="L320" s="15"/>
      <c r="M320" s="16" t="s">
        <v>10</v>
      </c>
    </row>
    <row r="321" spans="2:13" x14ac:dyDescent="0.25">
      <c r="B321" s="14"/>
      <c r="C321" s="14"/>
      <c r="D321" s="14"/>
      <c r="E321" s="14"/>
      <c r="F321" s="14"/>
      <c r="G321" s="14"/>
      <c r="H321" s="14"/>
      <c r="I321" s="14"/>
      <c r="J321" s="14"/>
      <c r="K321" s="15"/>
      <c r="L321" s="15"/>
      <c r="M321" s="16" t="s">
        <v>10</v>
      </c>
    </row>
    <row r="322" spans="2:13" x14ac:dyDescent="0.25">
      <c r="B322" s="14"/>
      <c r="C322" s="14"/>
      <c r="D322" s="14"/>
      <c r="E322" s="14"/>
      <c r="F322" s="14"/>
      <c r="G322" s="14"/>
      <c r="H322" s="14"/>
      <c r="I322" s="14"/>
      <c r="J322" s="14"/>
      <c r="K322" s="15"/>
      <c r="L322" s="15"/>
      <c r="M322" s="16" t="s">
        <v>10</v>
      </c>
    </row>
    <row r="323" spans="2:13" x14ac:dyDescent="0.25">
      <c r="B323" s="14"/>
      <c r="C323" s="14"/>
      <c r="D323" s="14"/>
      <c r="E323" s="14"/>
      <c r="F323" s="14"/>
      <c r="G323" s="14"/>
      <c r="H323" s="14"/>
      <c r="I323" s="14"/>
      <c r="J323" s="14"/>
      <c r="K323" s="15"/>
      <c r="L323" s="15"/>
      <c r="M323" s="16" t="s">
        <v>10</v>
      </c>
    </row>
    <row r="324" spans="2:13" x14ac:dyDescent="0.25">
      <c r="B324" s="14"/>
      <c r="C324" s="14"/>
      <c r="D324" s="14"/>
      <c r="E324" s="14"/>
      <c r="F324" s="14"/>
      <c r="G324" s="14"/>
      <c r="H324" s="14"/>
      <c r="I324" s="14"/>
      <c r="J324" s="14"/>
      <c r="K324" s="15"/>
      <c r="L324" s="15"/>
      <c r="M324" s="16" t="s">
        <v>10</v>
      </c>
    </row>
    <row r="325" spans="2:13" x14ac:dyDescent="0.25">
      <c r="B325" s="14"/>
      <c r="C325" s="14"/>
      <c r="D325" s="14"/>
      <c r="E325" s="14"/>
      <c r="F325" s="14"/>
      <c r="G325" s="14"/>
      <c r="H325" s="14"/>
      <c r="I325" s="14"/>
      <c r="J325" s="14"/>
      <c r="K325" s="15"/>
      <c r="L325" s="15"/>
      <c r="M325" s="16" t="s">
        <v>10</v>
      </c>
    </row>
    <row r="326" spans="2:13" x14ac:dyDescent="0.25">
      <c r="B326" s="14"/>
      <c r="C326" s="14"/>
      <c r="D326" s="14"/>
      <c r="E326" s="14"/>
      <c r="F326" s="14"/>
      <c r="G326" s="14"/>
      <c r="H326" s="14"/>
      <c r="I326" s="14"/>
      <c r="J326" s="14"/>
      <c r="K326" s="15"/>
      <c r="L326" s="15"/>
      <c r="M326" s="16" t="s">
        <v>10</v>
      </c>
    </row>
    <row r="327" spans="2:13" x14ac:dyDescent="0.25">
      <c r="B327" s="14"/>
      <c r="C327" s="14"/>
      <c r="D327" s="14"/>
      <c r="E327" s="14"/>
      <c r="F327" s="14"/>
      <c r="G327" s="14"/>
      <c r="H327" s="14"/>
      <c r="I327" s="14"/>
      <c r="J327" s="14"/>
      <c r="K327" s="15"/>
      <c r="L327" s="15"/>
      <c r="M327" s="16" t="s">
        <v>10</v>
      </c>
    </row>
    <row r="328" spans="2:13" x14ac:dyDescent="0.25">
      <c r="B328" s="14"/>
      <c r="C328" s="14"/>
      <c r="D328" s="14"/>
      <c r="E328" s="14"/>
      <c r="F328" s="14"/>
      <c r="G328" s="14"/>
      <c r="H328" s="14"/>
      <c r="I328" s="14"/>
      <c r="J328" s="14"/>
      <c r="K328" s="15"/>
      <c r="L328" s="15"/>
      <c r="M328" s="16" t="s">
        <v>10</v>
      </c>
    </row>
    <row r="329" spans="2:13" x14ac:dyDescent="0.25">
      <c r="B329" s="14"/>
      <c r="C329" s="14"/>
      <c r="D329" s="14"/>
      <c r="E329" s="14"/>
      <c r="F329" s="14"/>
      <c r="G329" s="14"/>
      <c r="H329" s="14"/>
      <c r="I329" s="14"/>
      <c r="J329" s="14"/>
      <c r="K329" s="15"/>
      <c r="L329" s="15"/>
      <c r="M329" s="16" t="s">
        <v>10</v>
      </c>
    </row>
    <row r="330" spans="2:13" x14ac:dyDescent="0.25">
      <c r="B330" s="14"/>
      <c r="C330" s="14"/>
      <c r="D330" s="14"/>
      <c r="E330" s="14"/>
      <c r="F330" s="14"/>
      <c r="G330" s="14"/>
      <c r="H330" s="14"/>
      <c r="I330" s="14"/>
      <c r="J330" s="14"/>
      <c r="K330" s="15"/>
      <c r="L330" s="15"/>
      <c r="M330" s="16" t="s">
        <v>10</v>
      </c>
    </row>
    <row r="331" spans="2:13" x14ac:dyDescent="0.25">
      <c r="B331" s="14"/>
      <c r="C331" s="14"/>
      <c r="D331" s="14"/>
      <c r="E331" s="14"/>
      <c r="F331" s="14"/>
      <c r="G331" s="14"/>
      <c r="H331" s="14"/>
      <c r="I331" s="14"/>
      <c r="J331" s="14"/>
      <c r="K331" s="15"/>
      <c r="L331" s="15"/>
      <c r="M331" s="16" t="s">
        <v>10</v>
      </c>
    </row>
    <row r="332" spans="2:13" x14ac:dyDescent="0.25">
      <c r="B332" s="14"/>
      <c r="C332" s="14"/>
      <c r="D332" s="14"/>
      <c r="E332" s="14"/>
      <c r="F332" s="14"/>
      <c r="G332" s="14"/>
      <c r="H332" s="14"/>
      <c r="I332" s="14"/>
      <c r="J332" s="14"/>
      <c r="K332" s="15"/>
      <c r="L332" s="15"/>
      <c r="M332" s="16" t="s">
        <v>10</v>
      </c>
    </row>
    <row r="333" spans="2:13" x14ac:dyDescent="0.25">
      <c r="B333" s="14"/>
      <c r="C333" s="14"/>
      <c r="D333" s="14"/>
      <c r="E333" s="14"/>
      <c r="F333" s="14"/>
      <c r="G333" s="14"/>
      <c r="H333" s="14"/>
      <c r="I333" s="14"/>
      <c r="J333" s="14"/>
      <c r="K333" s="15"/>
      <c r="L333" s="15"/>
      <c r="M333" s="16" t="s">
        <v>10</v>
      </c>
    </row>
    <row r="334" spans="2:13" x14ac:dyDescent="0.25">
      <c r="B334" s="14"/>
      <c r="C334" s="14"/>
      <c r="D334" s="14"/>
      <c r="E334" s="14"/>
      <c r="F334" s="14"/>
      <c r="G334" s="14"/>
      <c r="H334" s="14"/>
      <c r="I334" s="14"/>
      <c r="J334" s="14"/>
      <c r="K334" s="15"/>
      <c r="L334" s="15"/>
      <c r="M334" s="16" t="s">
        <v>10</v>
      </c>
    </row>
    <row r="335" spans="2:13" x14ac:dyDescent="0.25">
      <c r="B335" s="14"/>
      <c r="C335" s="14"/>
      <c r="D335" s="14"/>
      <c r="E335" s="14"/>
      <c r="F335" s="14"/>
      <c r="G335" s="14"/>
      <c r="H335" s="14"/>
      <c r="I335" s="14"/>
      <c r="J335" s="14"/>
      <c r="K335" s="15"/>
      <c r="L335" s="15"/>
      <c r="M335" s="16" t="s">
        <v>10</v>
      </c>
    </row>
    <row r="336" spans="2:13" x14ac:dyDescent="0.25">
      <c r="B336" s="14"/>
      <c r="C336" s="14"/>
      <c r="D336" s="14"/>
      <c r="E336" s="14"/>
      <c r="F336" s="14"/>
      <c r="G336" s="14"/>
      <c r="H336" s="14"/>
      <c r="I336" s="14"/>
      <c r="J336" s="14"/>
      <c r="K336" s="15"/>
      <c r="L336" s="15"/>
      <c r="M336" s="16" t="s">
        <v>10</v>
      </c>
    </row>
    <row r="337" spans="2:13" x14ac:dyDescent="0.25">
      <c r="B337" s="14"/>
      <c r="C337" s="14"/>
      <c r="D337" s="14"/>
      <c r="E337" s="14"/>
      <c r="F337" s="14"/>
      <c r="G337" s="14"/>
      <c r="H337" s="14"/>
      <c r="I337" s="14"/>
      <c r="J337" s="14"/>
      <c r="K337" s="15"/>
      <c r="L337" s="15"/>
      <c r="M337" s="16" t="s">
        <v>10</v>
      </c>
    </row>
    <row r="338" spans="2:13" x14ac:dyDescent="0.25">
      <c r="B338" s="14"/>
      <c r="C338" s="14"/>
      <c r="D338" s="14"/>
      <c r="E338" s="14"/>
      <c r="F338" s="14"/>
      <c r="G338" s="14"/>
      <c r="H338" s="14"/>
      <c r="I338" s="14"/>
      <c r="J338" s="14"/>
      <c r="K338" s="15"/>
      <c r="L338" s="15"/>
      <c r="M338" s="16" t="s">
        <v>10</v>
      </c>
    </row>
    <row r="339" spans="2:13" x14ac:dyDescent="0.25">
      <c r="B339" s="14"/>
      <c r="C339" s="14"/>
      <c r="D339" s="14"/>
      <c r="E339" s="14"/>
      <c r="F339" s="14"/>
      <c r="G339" s="14"/>
      <c r="H339" s="14"/>
      <c r="I339" s="14"/>
      <c r="J339" s="14"/>
      <c r="K339" s="15"/>
      <c r="L339" s="15"/>
      <c r="M339" s="16" t="s">
        <v>10</v>
      </c>
    </row>
    <row r="340" spans="2:13" x14ac:dyDescent="0.25">
      <c r="B340" s="14"/>
      <c r="C340" s="14"/>
      <c r="D340" s="14"/>
      <c r="E340" s="14"/>
      <c r="F340" s="14"/>
      <c r="G340" s="14"/>
      <c r="H340" s="14"/>
      <c r="I340" s="14"/>
      <c r="J340" s="14"/>
      <c r="K340" s="15"/>
      <c r="L340" s="15"/>
      <c r="M340" s="16" t="s">
        <v>10</v>
      </c>
    </row>
    <row r="341" spans="2:13" x14ac:dyDescent="0.25">
      <c r="B341" s="14"/>
      <c r="C341" s="14"/>
      <c r="D341" s="14"/>
      <c r="E341" s="14"/>
      <c r="F341" s="14"/>
      <c r="G341" s="14"/>
      <c r="H341" s="14"/>
      <c r="I341" s="14"/>
      <c r="J341" s="14"/>
      <c r="K341" s="15"/>
      <c r="L341" s="15"/>
      <c r="M341" s="16" t="s">
        <v>10</v>
      </c>
    </row>
    <row r="342" spans="2:13" x14ac:dyDescent="0.25">
      <c r="B342" s="14"/>
      <c r="C342" s="14"/>
      <c r="D342" s="14"/>
      <c r="E342" s="14"/>
      <c r="F342" s="14"/>
      <c r="G342" s="14"/>
      <c r="H342" s="14"/>
      <c r="I342" s="14"/>
      <c r="J342" s="14"/>
      <c r="K342" s="15"/>
      <c r="L342" s="15"/>
      <c r="M342" s="16" t="s">
        <v>10</v>
      </c>
    </row>
    <row r="343" spans="2:13" x14ac:dyDescent="0.25">
      <c r="B343" s="14"/>
      <c r="C343" s="14"/>
      <c r="D343" s="14"/>
      <c r="E343" s="14"/>
      <c r="F343" s="14"/>
      <c r="G343" s="14"/>
      <c r="H343" s="14"/>
      <c r="I343" s="14"/>
      <c r="J343" s="14"/>
      <c r="K343" s="15"/>
      <c r="L343" s="15"/>
      <c r="M343" s="16" t="s">
        <v>10</v>
      </c>
    </row>
    <row r="344" spans="2:13" x14ac:dyDescent="0.25">
      <c r="B344" s="14"/>
      <c r="C344" s="14"/>
      <c r="D344" s="14"/>
      <c r="E344" s="14"/>
      <c r="F344" s="14"/>
      <c r="G344" s="14"/>
      <c r="H344" s="14"/>
      <c r="I344" s="14"/>
      <c r="J344" s="14"/>
      <c r="K344" s="15"/>
      <c r="L344" s="15"/>
      <c r="M344" s="16" t="s">
        <v>10</v>
      </c>
    </row>
    <row r="345" spans="2:13" x14ac:dyDescent="0.25">
      <c r="B345" s="14"/>
      <c r="C345" s="14"/>
      <c r="D345" s="14"/>
      <c r="E345" s="14"/>
      <c r="F345" s="14"/>
      <c r="G345" s="14"/>
      <c r="H345" s="14"/>
      <c r="I345" s="14"/>
      <c r="J345" s="14"/>
      <c r="K345" s="15"/>
      <c r="L345" s="15"/>
      <c r="M345" s="16" t="s">
        <v>10</v>
      </c>
    </row>
    <row r="346" spans="2:13" x14ac:dyDescent="0.25">
      <c r="B346" s="14"/>
      <c r="C346" s="14"/>
      <c r="D346" s="14"/>
      <c r="E346" s="14"/>
      <c r="F346" s="14"/>
      <c r="G346" s="14"/>
      <c r="H346" s="14"/>
      <c r="I346" s="14"/>
      <c r="J346" s="14"/>
      <c r="K346" s="15"/>
      <c r="L346" s="15"/>
      <c r="M346" s="16" t="s">
        <v>10</v>
      </c>
    </row>
    <row r="347" spans="2:13" x14ac:dyDescent="0.25">
      <c r="B347" s="14"/>
      <c r="C347" s="14"/>
      <c r="D347" s="14"/>
      <c r="E347" s="14"/>
      <c r="F347" s="14"/>
      <c r="G347" s="14"/>
      <c r="H347" s="14"/>
      <c r="I347" s="14"/>
      <c r="J347" s="14"/>
      <c r="K347" s="15"/>
      <c r="L347" s="15"/>
      <c r="M347" s="16" t="s">
        <v>10</v>
      </c>
    </row>
    <row r="348" spans="2:13" x14ac:dyDescent="0.25">
      <c r="B348" s="14"/>
      <c r="C348" s="14"/>
      <c r="D348" s="14"/>
      <c r="E348" s="14"/>
      <c r="F348" s="14"/>
      <c r="G348" s="14"/>
      <c r="H348" s="14"/>
      <c r="I348" s="14"/>
      <c r="J348" s="14"/>
      <c r="K348" s="15"/>
      <c r="L348" s="15"/>
      <c r="M348" s="16" t="s">
        <v>10</v>
      </c>
    </row>
    <row r="349" spans="2:13" x14ac:dyDescent="0.25">
      <c r="B349" s="14"/>
      <c r="C349" s="14"/>
      <c r="D349" s="14"/>
      <c r="E349" s="14"/>
      <c r="F349" s="14"/>
      <c r="G349" s="14"/>
      <c r="H349" s="14"/>
      <c r="I349" s="14"/>
      <c r="J349" s="14"/>
      <c r="K349" s="15"/>
      <c r="L349" s="15"/>
      <c r="M349" s="16" t="s">
        <v>10</v>
      </c>
    </row>
    <row r="350" spans="2:13" x14ac:dyDescent="0.25">
      <c r="B350" s="14"/>
      <c r="C350" s="14"/>
      <c r="D350" s="14"/>
      <c r="E350" s="14"/>
      <c r="F350" s="14"/>
      <c r="G350" s="14"/>
      <c r="H350" s="14"/>
      <c r="I350" s="14"/>
      <c r="J350" s="14"/>
      <c r="K350" s="15"/>
      <c r="L350" s="15"/>
      <c r="M350" s="16" t="s">
        <v>10</v>
      </c>
    </row>
    <row r="351" spans="2:13" x14ac:dyDescent="0.25">
      <c r="B351" s="14"/>
      <c r="C351" s="14"/>
      <c r="D351" s="14"/>
      <c r="E351" s="14"/>
      <c r="F351" s="14"/>
      <c r="G351" s="14"/>
      <c r="H351" s="14"/>
      <c r="I351" s="14"/>
      <c r="J351" s="14"/>
      <c r="K351" s="15"/>
      <c r="L351" s="15"/>
      <c r="M351" s="16" t="s">
        <v>10</v>
      </c>
    </row>
    <row r="352" spans="2:13" x14ac:dyDescent="0.25">
      <c r="B352" s="14"/>
      <c r="C352" s="14"/>
      <c r="D352" s="14"/>
      <c r="E352" s="14"/>
      <c r="F352" s="14"/>
      <c r="G352" s="14"/>
      <c r="H352" s="14"/>
      <c r="I352" s="14"/>
      <c r="J352" s="14"/>
      <c r="K352" s="15"/>
      <c r="L352" s="15"/>
      <c r="M352" s="16" t="s">
        <v>10</v>
      </c>
    </row>
    <row r="353" spans="2:13" x14ac:dyDescent="0.25">
      <c r="B353" s="14"/>
      <c r="C353" s="14"/>
      <c r="D353" s="14"/>
      <c r="E353" s="14"/>
      <c r="F353" s="14"/>
      <c r="G353" s="14"/>
      <c r="H353" s="14"/>
      <c r="I353" s="14"/>
      <c r="J353" s="14"/>
      <c r="K353" s="15"/>
      <c r="L353" s="15"/>
      <c r="M353" s="16" t="s">
        <v>10</v>
      </c>
    </row>
    <row r="354" spans="2:13" x14ac:dyDescent="0.25">
      <c r="B354" s="14"/>
      <c r="C354" s="14"/>
      <c r="D354" s="14"/>
      <c r="E354" s="14"/>
      <c r="F354" s="14"/>
      <c r="G354" s="14"/>
      <c r="H354" s="14"/>
      <c r="I354" s="14"/>
      <c r="J354" s="14"/>
      <c r="K354" s="15"/>
      <c r="L354" s="15"/>
      <c r="M354" s="16" t="s">
        <v>10</v>
      </c>
    </row>
    <row r="355" spans="2:13" x14ac:dyDescent="0.25">
      <c r="B355" s="14"/>
      <c r="C355" s="14"/>
      <c r="D355" s="14"/>
      <c r="E355" s="14"/>
      <c r="F355" s="14"/>
      <c r="G355" s="14"/>
      <c r="H355" s="14"/>
      <c r="I355" s="14"/>
      <c r="J355" s="14"/>
      <c r="K355" s="15"/>
      <c r="L355" s="15"/>
      <c r="M355" s="16" t="s">
        <v>10</v>
      </c>
    </row>
    <row r="356" spans="2:13" x14ac:dyDescent="0.25">
      <c r="B356" s="14"/>
      <c r="C356" s="14"/>
      <c r="D356" s="14"/>
      <c r="E356" s="14"/>
      <c r="F356" s="14"/>
      <c r="G356" s="14"/>
      <c r="H356" s="14"/>
      <c r="I356" s="14"/>
      <c r="J356" s="14"/>
      <c r="K356" s="15"/>
      <c r="L356" s="15"/>
      <c r="M356" s="16" t="s">
        <v>10</v>
      </c>
    </row>
    <row r="357" spans="2:13" x14ac:dyDescent="0.25">
      <c r="B357" s="14"/>
      <c r="C357" s="14"/>
      <c r="D357" s="14"/>
      <c r="E357" s="14"/>
      <c r="F357" s="14"/>
      <c r="G357" s="14"/>
      <c r="H357" s="14"/>
      <c r="I357" s="14"/>
      <c r="J357" s="14"/>
      <c r="K357" s="15"/>
      <c r="L357" s="15"/>
      <c r="M357" s="16" t="s">
        <v>10</v>
      </c>
    </row>
    <row r="358" spans="2:13" x14ac:dyDescent="0.25">
      <c r="B358" s="14"/>
      <c r="C358" s="14"/>
      <c r="D358" s="14"/>
      <c r="E358" s="14"/>
      <c r="F358" s="14"/>
      <c r="G358" s="14"/>
      <c r="H358" s="14"/>
      <c r="I358" s="14"/>
      <c r="J358" s="14"/>
      <c r="K358" s="15"/>
      <c r="L358" s="15"/>
      <c r="M358" s="16" t="s">
        <v>10</v>
      </c>
    </row>
    <row r="359" spans="2:13" x14ac:dyDescent="0.25">
      <c r="B359" s="14"/>
      <c r="C359" s="14"/>
      <c r="D359" s="14"/>
      <c r="E359" s="14"/>
      <c r="F359" s="14"/>
      <c r="G359" s="14"/>
      <c r="H359" s="14"/>
      <c r="I359" s="14"/>
      <c r="J359" s="14"/>
      <c r="K359" s="15"/>
      <c r="L359" s="15"/>
      <c r="M359" s="16" t="s">
        <v>10</v>
      </c>
    </row>
    <row r="360" spans="2:13" x14ac:dyDescent="0.25">
      <c r="B360" s="14"/>
      <c r="C360" s="14"/>
      <c r="D360" s="14"/>
      <c r="E360" s="14"/>
      <c r="F360" s="14"/>
      <c r="G360" s="14"/>
      <c r="H360" s="14"/>
      <c r="I360" s="14"/>
      <c r="J360" s="14"/>
      <c r="K360" s="15"/>
      <c r="L360" s="15"/>
      <c r="M360" s="16" t="s">
        <v>10</v>
      </c>
    </row>
    <row r="361" spans="2:13" x14ac:dyDescent="0.25">
      <c r="B361" s="14"/>
      <c r="C361" s="14"/>
      <c r="D361" s="14"/>
      <c r="E361" s="14"/>
      <c r="F361" s="14"/>
      <c r="G361" s="14"/>
      <c r="H361" s="14"/>
      <c r="I361" s="14"/>
      <c r="J361" s="14"/>
      <c r="K361" s="15"/>
      <c r="L361" s="15"/>
      <c r="M361" s="16" t="s">
        <v>10</v>
      </c>
    </row>
    <row r="362" spans="2:13" x14ac:dyDescent="0.25">
      <c r="B362" s="14"/>
      <c r="C362" s="14"/>
      <c r="D362" s="14"/>
      <c r="E362" s="14"/>
      <c r="F362" s="14"/>
      <c r="G362" s="14"/>
      <c r="H362" s="14"/>
      <c r="I362" s="14"/>
      <c r="J362" s="14"/>
      <c r="K362" s="15"/>
      <c r="L362" s="15"/>
      <c r="M362" s="16" t="s">
        <v>10</v>
      </c>
    </row>
    <row r="363" spans="2:13" x14ac:dyDescent="0.25">
      <c r="B363" s="14"/>
      <c r="C363" s="14"/>
      <c r="D363" s="14"/>
      <c r="E363" s="14"/>
      <c r="F363" s="14"/>
      <c r="G363" s="14"/>
      <c r="H363" s="14"/>
      <c r="I363" s="14"/>
      <c r="J363" s="14"/>
      <c r="K363" s="15"/>
      <c r="L363" s="15"/>
      <c r="M363" s="16" t="s">
        <v>10</v>
      </c>
    </row>
    <row r="364" spans="2:13" x14ac:dyDescent="0.25">
      <c r="B364" s="14"/>
      <c r="C364" s="14"/>
      <c r="D364" s="14"/>
      <c r="E364" s="14"/>
      <c r="F364" s="14"/>
      <c r="G364" s="14"/>
      <c r="H364" s="14"/>
      <c r="I364" s="14"/>
      <c r="J364" s="14"/>
      <c r="K364" s="15"/>
      <c r="L364" s="15"/>
      <c r="M364" s="16" t="s">
        <v>10</v>
      </c>
    </row>
    <row r="365" spans="2:13" x14ac:dyDescent="0.25">
      <c r="B365" s="14"/>
      <c r="C365" s="14"/>
      <c r="D365" s="14"/>
      <c r="E365" s="14"/>
      <c r="F365" s="14"/>
      <c r="G365" s="14"/>
      <c r="H365" s="14"/>
      <c r="I365" s="14"/>
      <c r="J365" s="14"/>
      <c r="K365" s="15"/>
      <c r="L365" s="15"/>
      <c r="M365" s="16" t="s">
        <v>10</v>
      </c>
    </row>
    <row r="366" spans="2:13" x14ac:dyDescent="0.25">
      <c r="B366" s="14"/>
      <c r="C366" s="14"/>
      <c r="D366" s="14"/>
      <c r="E366" s="14"/>
      <c r="F366" s="14"/>
      <c r="G366" s="14"/>
      <c r="H366" s="14"/>
      <c r="I366" s="14"/>
      <c r="J366" s="14"/>
      <c r="K366" s="15"/>
      <c r="L366" s="15"/>
      <c r="M366" s="16" t="s">
        <v>10</v>
      </c>
    </row>
    <row r="367" spans="2:13" x14ac:dyDescent="0.25">
      <c r="B367" s="14"/>
      <c r="C367" s="14"/>
      <c r="D367" s="14"/>
      <c r="E367" s="14"/>
      <c r="F367" s="14"/>
      <c r="G367" s="14"/>
      <c r="H367" s="14"/>
      <c r="I367" s="14"/>
      <c r="J367" s="14"/>
      <c r="K367" s="15"/>
      <c r="L367" s="15"/>
      <c r="M367" s="16" t="s">
        <v>10</v>
      </c>
    </row>
    <row r="368" spans="2:13" x14ac:dyDescent="0.25">
      <c r="B368" s="14"/>
      <c r="C368" s="14"/>
      <c r="D368" s="14"/>
      <c r="E368" s="14"/>
      <c r="F368" s="14"/>
      <c r="G368" s="14"/>
      <c r="H368" s="14"/>
      <c r="I368" s="14"/>
      <c r="J368" s="14"/>
      <c r="K368" s="15"/>
      <c r="L368" s="15"/>
      <c r="M368" s="16" t="s">
        <v>10</v>
      </c>
    </row>
    <row r="369" spans="2:13" x14ac:dyDescent="0.25">
      <c r="B369" s="14"/>
      <c r="C369" s="14"/>
      <c r="D369" s="14"/>
      <c r="E369" s="14"/>
      <c r="F369" s="14"/>
      <c r="G369" s="14"/>
      <c r="H369" s="14"/>
      <c r="I369" s="14"/>
      <c r="J369" s="14"/>
      <c r="K369" s="15"/>
      <c r="L369" s="15"/>
      <c r="M369" s="16" t="s">
        <v>10</v>
      </c>
    </row>
    <row r="370" spans="2:13" x14ac:dyDescent="0.25">
      <c r="B370" s="14"/>
      <c r="C370" s="14"/>
      <c r="D370" s="14"/>
      <c r="E370" s="14"/>
      <c r="F370" s="14"/>
      <c r="G370" s="14"/>
      <c r="H370" s="14"/>
      <c r="I370" s="14"/>
      <c r="J370" s="14"/>
      <c r="K370" s="15"/>
      <c r="L370" s="15"/>
      <c r="M370" s="16" t="s">
        <v>10</v>
      </c>
    </row>
    <row r="371" spans="2:13" x14ac:dyDescent="0.25">
      <c r="B371" s="14"/>
      <c r="C371" s="14"/>
      <c r="D371" s="14"/>
      <c r="E371" s="14"/>
      <c r="F371" s="14"/>
      <c r="G371" s="14"/>
      <c r="H371" s="14"/>
      <c r="I371" s="14"/>
      <c r="J371" s="14"/>
      <c r="K371" s="15"/>
      <c r="L371" s="15"/>
      <c r="M371" s="16" t="s">
        <v>10</v>
      </c>
    </row>
    <row r="372" spans="2:13" x14ac:dyDescent="0.25">
      <c r="B372" s="14"/>
      <c r="C372" s="14"/>
      <c r="D372" s="14"/>
      <c r="E372" s="14"/>
      <c r="F372" s="14"/>
      <c r="G372" s="14"/>
      <c r="H372" s="14"/>
      <c r="I372" s="14"/>
      <c r="J372" s="14"/>
      <c r="K372" s="15"/>
      <c r="L372" s="15"/>
      <c r="M372" s="16" t="s">
        <v>10</v>
      </c>
    </row>
    <row r="373" spans="2:13" x14ac:dyDescent="0.25">
      <c r="B373" s="14"/>
      <c r="C373" s="14"/>
      <c r="D373" s="14"/>
      <c r="E373" s="14"/>
      <c r="F373" s="14"/>
      <c r="G373" s="14"/>
      <c r="H373" s="14"/>
      <c r="I373" s="14"/>
      <c r="J373" s="14"/>
      <c r="K373" s="15"/>
      <c r="L373" s="15"/>
      <c r="M373" s="16" t="s">
        <v>10</v>
      </c>
    </row>
    <row r="374" spans="2:13" x14ac:dyDescent="0.25">
      <c r="B374" s="14"/>
      <c r="C374" s="14"/>
      <c r="D374" s="14"/>
      <c r="E374" s="14"/>
      <c r="F374" s="14"/>
      <c r="G374" s="14"/>
      <c r="H374" s="14"/>
      <c r="I374" s="14"/>
      <c r="J374" s="14"/>
      <c r="K374" s="15"/>
      <c r="L374" s="15"/>
      <c r="M374" s="16" t="s">
        <v>10</v>
      </c>
    </row>
    <row r="375" spans="2:13" x14ac:dyDescent="0.25">
      <c r="B375" s="14"/>
      <c r="C375" s="14"/>
      <c r="D375" s="14"/>
      <c r="E375" s="14"/>
      <c r="F375" s="14"/>
      <c r="G375" s="14"/>
      <c r="H375" s="14"/>
      <c r="I375" s="14"/>
      <c r="J375" s="14"/>
      <c r="K375" s="15"/>
      <c r="L375" s="15"/>
      <c r="M375" s="16" t="s">
        <v>10</v>
      </c>
    </row>
    <row r="376" spans="2:13" x14ac:dyDescent="0.25">
      <c r="B376" s="14"/>
      <c r="C376" s="14"/>
      <c r="D376" s="14"/>
      <c r="E376" s="14"/>
      <c r="F376" s="14"/>
      <c r="G376" s="14"/>
      <c r="H376" s="14"/>
      <c r="I376" s="14"/>
      <c r="J376" s="14"/>
      <c r="K376" s="15"/>
      <c r="L376" s="15"/>
      <c r="M376" s="16" t="s">
        <v>10</v>
      </c>
    </row>
    <row r="377" spans="2:13" x14ac:dyDescent="0.25">
      <c r="B377" s="14"/>
      <c r="C377" s="14"/>
      <c r="D377" s="14"/>
      <c r="E377" s="14"/>
      <c r="F377" s="14"/>
      <c r="G377" s="14"/>
      <c r="H377" s="14"/>
      <c r="I377" s="14"/>
      <c r="J377" s="14"/>
      <c r="K377" s="15"/>
      <c r="L377" s="15"/>
      <c r="M377" s="16" t="s">
        <v>10</v>
      </c>
    </row>
    <row r="378" spans="2:13" x14ac:dyDescent="0.25">
      <c r="B378" s="14"/>
      <c r="C378" s="14"/>
      <c r="D378" s="14"/>
      <c r="E378" s="14"/>
      <c r="F378" s="14"/>
      <c r="G378" s="14"/>
      <c r="H378" s="14"/>
      <c r="I378" s="14"/>
      <c r="J378" s="14"/>
      <c r="K378" s="15"/>
      <c r="L378" s="15"/>
      <c r="M378" s="16" t="s">
        <v>10</v>
      </c>
    </row>
    <row r="379" spans="2:13" x14ac:dyDescent="0.25">
      <c r="B379" s="14"/>
      <c r="C379" s="14"/>
      <c r="D379" s="14"/>
      <c r="E379" s="14"/>
      <c r="F379" s="14"/>
      <c r="G379" s="14"/>
      <c r="H379" s="14"/>
      <c r="I379" s="14"/>
      <c r="J379" s="14"/>
      <c r="K379" s="15"/>
      <c r="L379" s="15"/>
      <c r="M379" s="16" t="s">
        <v>10</v>
      </c>
    </row>
    <row r="380" spans="2:13" x14ac:dyDescent="0.25">
      <c r="B380" s="14"/>
      <c r="C380" s="14"/>
      <c r="D380" s="14"/>
      <c r="E380" s="14"/>
      <c r="F380" s="14"/>
      <c r="G380" s="14"/>
      <c r="H380" s="14"/>
      <c r="I380" s="14"/>
      <c r="J380" s="14"/>
      <c r="K380" s="15"/>
      <c r="L380" s="15"/>
      <c r="M380" s="16" t="s">
        <v>10</v>
      </c>
    </row>
    <row r="381" spans="2:13" x14ac:dyDescent="0.25">
      <c r="B381" s="14"/>
      <c r="C381" s="14"/>
      <c r="D381" s="14"/>
      <c r="E381" s="14"/>
      <c r="F381" s="14"/>
      <c r="G381" s="14"/>
      <c r="H381" s="14"/>
      <c r="I381" s="14"/>
      <c r="J381" s="14"/>
      <c r="K381" s="15"/>
      <c r="L381" s="15"/>
      <c r="M381" s="16" t="s">
        <v>10</v>
      </c>
    </row>
    <row r="382" spans="2:13" x14ac:dyDescent="0.25">
      <c r="B382" s="14"/>
      <c r="C382" s="14"/>
      <c r="D382" s="14"/>
      <c r="E382" s="14"/>
      <c r="F382" s="14"/>
      <c r="G382" s="14"/>
      <c r="H382" s="14"/>
      <c r="I382" s="14"/>
      <c r="J382" s="14"/>
      <c r="K382" s="15"/>
      <c r="L382" s="15"/>
      <c r="M382" s="16" t="s">
        <v>10</v>
      </c>
    </row>
    <row r="383" spans="2:13" x14ac:dyDescent="0.25">
      <c r="B383" s="14"/>
      <c r="C383" s="14"/>
      <c r="D383" s="14"/>
      <c r="E383" s="14"/>
      <c r="F383" s="14"/>
      <c r="G383" s="14"/>
      <c r="H383" s="14"/>
      <c r="I383" s="14"/>
      <c r="J383" s="14"/>
      <c r="K383" s="15"/>
      <c r="L383" s="15"/>
      <c r="M383" s="16" t="s">
        <v>10</v>
      </c>
    </row>
    <row r="384" spans="2:13" x14ac:dyDescent="0.25">
      <c r="B384" s="14"/>
      <c r="C384" s="14"/>
      <c r="D384" s="14"/>
      <c r="E384" s="14"/>
      <c r="F384" s="14"/>
      <c r="G384" s="14"/>
      <c r="H384" s="14"/>
      <c r="I384" s="14"/>
      <c r="J384" s="14"/>
      <c r="K384" s="15"/>
      <c r="L384" s="15"/>
      <c r="M384" s="16" t="s">
        <v>10</v>
      </c>
    </row>
    <row r="385" spans="2:13" x14ac:dyDescent="0.25">
      <c r="B385" s="14"/>
      <c r="C385" s="14"/>
      <c r="D385" s="14"/>
      <c r="E385" s="14"/>
      <c r="F385" s="14"/>
      <c r="G385" s="14"/>
      <c r="H385" s="14"/>
      <c r="I385" s="14"/>
      <c r="J385" s="14"/>
      <c r="K385" s="15"/>
      <c r="L385" s="15"/>
      <c r="M385" s="16" t="s">
        <v>10</v>
      </c>
    </row>
    <row r="386" spans="2:13" x14ac:dyDescent="0.25">
      <c r="B386" s="14"/>
      <c r="C386" s="14"/>
      <c r="D386" s="14"/>
      <c r="E386" s="14"/>
      <c r="F386" s="14"/>
      <c r="G386" s="14"/>
      <c r="H386" s="14"/>
      <c r="I386" s="14"/>
      <c r="J386" s="14"/>
      <c r="K386" s="15"/>
      <c r="L386" s="15"/>
      <c r="M386" s="16" t="s">
        <v>10</v>
      </c>
    </row>
    <row r="387" spans="2:13" x14ac:dyDescent="0.25">
      <c r="B387" s="14"/>
      <c r="C387" s="14"/>
      <c r="D387" s="14"/>
      <c r="E387" s="14"/>
      <c r="F387" s="14"/>
      <c r="G387" s="14"/>
      <c r="H387" s="14"/>
      <c r="I387" s="14"/>
      <c r="J387" s="14"/>
      <c r="K387" s="15"/>
      <c r="L387" s="15"/>
      <c r="M387" s="16" t="s">
        <v>10</v>
      </c>
    </row>
    <row r="388" spans="2:13" x14ac:dyDescent="0.25">
      <c r="B388" s="14"/>
      <c r="C388" s="14"/>
      <c r="D388" s="14"/>
      <c r="E388" s="14"/>
      <c r="F388" s="14"/>
      <c r="G388" s="14"/>
      <c r="H388" s="14"/>
      <c r="I388" s="14"/>
      <c r="J388" s="14"/>
      <c r="K388" s="15"/>
      <c r="L388" s="15"/>
      <c r="M388" s="16" t="s">
        <v>10</v>
      </c>
    </row>
    <row r="389" spans="2:13" x14ac:dyDescent="0.25">
      <c r="B389" s="14"/>
      <c r="C389" s="14"/>
      <c r="D389" s="14"/>
      <c r="E389" s="14"/>
      <c r="F389" s="14"/>
      <c r="G389" s="14"/>
      <c r="H389" s="14"/>
      <c r="I389" s="14"/>
      <c r="J389" s="14"/>
      <c r="K389" s="15"/>
      <c r="L389" s="15"/>
      <c r="M389" s="16" t="s">
        <v>10</v>
      </c>
    </row>
    <row r="390" spans="2:13" x14ac:dyDescent="0.25">
      <c r="B390" s="14"/>
      <c r="C390" s="14"/>
      <c r="D390" s="14"/>
      <c r="E390" s="14"/>
      <c r="F390" s="14"/>
      <c r="G390" s="14"/>
      <c r="H390" s="14"/>
      <c r="I390" s="14"/>
      <c r="J390" s="14"/>
      <c r="K390" s="15"/>
      <c r="L390" s="15"/>
      <c r="M390" s="16" t="s">
        <v>10</v>
      </c>
    </row>
    <row r="391" spans="2:13" x14ac:dyDescent="0.25">
      <c r="B391" s="14"/>
      <c r="C391" s="14"/>
      <c r="D391" s="14"/>
      <c r="E391" s="14"/>
      <c r="F391" s="14"/>
      <c r="G391" s="14"/>
      <c r="H391" s="14"/>
      <c r="I391" s="14"/>
      <c r="J391" s="14"/>
      <c r="K391" s="15"/>
      <c r="L391" s="15"/>
      <c r="M391" s="16" t="s">
        <v>10</v>
      </c>
    </row>
    <row r="392" spans="2:13" x14ac:dyDescent="0.25">
      <c r="B392" s="14"/>
      <c r="C392" s="14"/>
      <c r="D392" s="14"/>
      <c r="E392" s="14"/>
      <c r="F392" s="14"/>
      <c r="G392" s="14"/>
      <c r="H392" s="14"/>
      <c r="I392" s="14"/>
      <c r="J392" s="14"/>
      <c r="K392" s="15"/>
      <c r="L392" s="15"/>
      <c r="M392" s="16" t="s">
        <v>10</v>
      </c>
    </row>
    <row r="393" spans="2:13" x14ac:dyDescent="0.25">
      <c r="B393" s="14"/>
      <c r="C393" s="14"/>
      <c r="D393" s="14"/>
      <c r="E393" s="14"/>
      <c r="F393" s="14"/>
      <c r="G393" s="14"/>
      <c r="H393" s="14"/>
      <c r="I393" s="14"/>
      <c r="J393" s="14"/>
      <c r="K393" s="15"/>
      <c r="L393" s="15"/>
      <c r="M393" s="16" t="s">
        <v>10</v>
      </c>
    </row>
    <row r="394" spans="2:13" x14ac:dyDescent="0.25">
      <c r="B394" s="14"/>
      <c r="C394" s="14"/>
      <c r="D394" s="14"/>
      <c r="E394" s="14"/>
      <c r="F394" s="14"/>
      <c r="G394" s="14"/>
      <c r="H394" s="14"/>
      <c r="I394" s="14"/>
      <c r="J394" s="14"/>
      <c r="K394" s="15"/>
      <c r="L394" s="15"/>
      <c r="M394" s="16" t="s">
        <v>10</v>
      </c>
    </row>
    <row r="395" spans="2:13" x14ac:dyDescent="0.25">
      <c r="B395" s="14"/>
      <c r="C395" s="14"/>
      <c r="D395" s="14"/>
      <c r="E395" s="14"/>
      <c r="F395" s="14"/>
      <c r="G395" s="14"/>
      <c r="H395" s="14"/>
      <c r="I395" s="14"/>
      <c r="J395" s="14"/>
      <c r="K395" s="15"/>
      <c r="L395" s="15"/>
      <c r="M395" s="16" t="s">
        <v>10</v>
      </c>
    </row>
    <row r="396" spans="2:13" x14ac:dyDescent="0.25">
      <c r="B396" s="14"/>
      <c r="C396" s="14"/>
      <c r="D396" s="14"/>
      <c r="E396" s="14"/>
      <c r="F396" s="14"/>
      <c r="G396" s="14"/>
      <c r="H396" s="14"/>
      <c r="I396" s="14"/>
      <c r="J396" s="14"/>
      <c r="K396" s="15"/>
      <c r="L396" s="15"/>
      <c r="M396" s="16" t="s">
        <v>10</v>
      </c>
    </row>
    <row r="397" spans="2:13" x14ac:dyDescent="0.25">
      <c r="B397" s="14"/>
      <c r="C397" s="14"/>
      <c r="D397" s="14"/>
      <c r="E397" s="14"/>
      <c r="F397" s="14"/>
      <c r="G397" s="14"/>
      <c r="H397" s="14"/>
      <c r="I397" s="14"/>
      <c r="J397" s="14"/>
      <c r="K397" s="15"/>
      <c r="L397" s="15"/>
      <c r="M397" s="16" t="s">
        <v>10</v>
      </c>
    </row>
    <row r="398" spans="2:13" x14ac:dyDescent="0.25">
      <c r="B398" s="14"/>
      <c r="C398" s="14"/>
      <c r="D398" s="14"/>
      <c r="E398" s="14"/>
      <c r="F398" s="14"/>
      <c r="G398" s="14"/>
      <c r="H398" s="14"/>
      <c r="I398" s="14"/>
      <c r="J398" s="14"/>
      <c r="K398" s="15"/>
      <c r="L398" s="15"/>
      <c r="M398" s="16" t="s">
        <v>10</v>
      </c>
    </row>
    <row r="399" spans="2:13" x14ac:dyDescent="0.25">
      <c r="B399" s="14"/>
      <c r="C399" s="14"/>
      <c r="D399" s="14"/>
      <c r="E399" s="14"/>
      <c r="F399" s="14"/>
      <c r="G399" s="14"/>
      <c r="H399" s="14"/>
      <c r="I399" s="14"/>
      <c r="J399" s="14"/>
      <c r="K399" s="15"/>
      <c r="L399" s="15"/>
      <c r="M399" s="16" t="s">
        <v>10</v>
      </c>
    </row>
    <row r="400" spans="2:13" x14ac:dyDescent="0.25">
      <c r="B400" s="14"/>
      <c r="C400" s="14"/>
      <c r="D400" s="14"/>
      <c r="E400" s="14"/>
      <c r="F400" s="14"/>
      <c r="G400" s="14"/>
      <c r="H400" s="14"/>
      <c r="I400" s="14"/>
      <c r="J400" s="14"/>
      <c r="K400" s="15"/>
      <c r="L400" s="15"/>
      <c r="M400" s="16" t="s">
        <v>10</v>
      </c>
    </row>
    <row r="401" spans="2:13" x14ac:dyDescent="0.25">
      <c r="B401" s="14"/>
      <c r="C401" s="14"/>
      <c r="D401" s="14"/>
      <c r="E401" s="14"/>
      <c r="F401" s="14"/>
      <c r="G401" s="14"/>
      <c r="H401" s="14"/>
      <c r="I401" s="14"/>
      <c r="J401" s="14"/>
      <c r="K401" s="15"/>
      <c r="L401" s="15"/>
      <c r="M401" s="16" t="s">
        <v>10</v>
      </c>
    </row>
    <row r="402" spans="2:13" x14ac:dyDescent="0.25">
      <c r="B402" s="14"/>
      <c r="C402" s="14"/>
      <c r="D402" s="14"/>
      <c r="E402" s="14"/>
      <c r="F402" s="14"/>
      <c r="G402" s="14"/>
      <c r="H402" s="14"/>
      <c r="I402" s="14"/>
      <c r="J402" s="14"/>
      <c r="K402" s="15"/>
      <c r="L402" s="15"/>
      <c r="M402" s="16" t="s">
        <v>10</v>
      </c>
    </row>
    <row r="403" spans="2:13" x14ac:dyDescent="0.25">
      <c r="B403" s="14"/>
      <c r="C403" s="14"/>
      <c r="D403" s="14"/>
      <c r="E403" s="14"/>
      <c r="F403" s="14"/>
      <c r="G403" s="14"/>
      <c r="H403" s="14"/>
      <c r="I403" s="14"/>
      <c r="J403" s="14"/>
      <c r="K403" s="15"/>
      <c r="L403" s="15"/>
      <c r="M403" s="16" t="s">
        <v>10</v>
      </c>
    </row>
    <row r="404" spans="2:13" x14ac:dyDescent="0.25">
      <c r="B404" s="14"/>
      <c r="C404" s="14"/>
      <c r="D404" s="14"/>
      <c r="E404" s="14"/>
      <c r="F404" s="14"/>
      <c r="G404" s="14"/>
      <c r="H404" s="14"/>
      <c r="I404" s="14"/>
      <c r="J404" s="14"/>
      <c r="K404" s="15"/>
      <c r="L404" s="15"/>
      <c r="M404" s="16" t="s">
        <v>10</v>
      </c>
    </row>
    <row r="405" spans="2:13" x14ac:dyDescent="0.25">
      <c r="B405" s="14"/>
      <c r="C405" s="14"/>
      <c r="D405" s="14"/>
      <c r="E405" s="14"/>
      <c r="F405" s="14"/>
      <c r="G405" s="14"/>
      <c r="H405" s="14"/>
      <c r="I405" s="14"/>
      <c r="J405" s="14"/>
      <c r="K405" s="15"/>
      <c r="L405" s="15"/>
      <c r="M405" s="16" t="s">
        <v>10</v>
      </c>
    </row>
    <row r="406" spans="2:13" x14ac:dyDescent="0.25">
      <c r="B406" s="14"/>
      <c r="C406" s="14"/>
      <c r="D406" s="14"/>
      <c r="E406" s="14"/>
      <c r="F406" s="14"/>
      <c r="G406" s="14"/>
      <c r="H406" s="14"/>
      <c r="I406" s="14"/>
      <c r="J406" s="14"/>
      <c r="K406" s="15"/>
      <c r="L406" s="15"/>
      <c r="M406" s="16" t="s">
        <v>10</v>
      </c>
    </row>
    <row r="407" spans="2:13" x14ac:dyDescent="0.25">
      <c r="B407" s="14"/>
      <c r="C407" s="14"/>
      <c r="D407" s="14"/>
      <c r="E407" s="14"/>
      <c r="F407" s="14"/>
      <c r="G407" s="14"/>
      <c r="H407" s="14"/>
      <c r="I407" s="14"/>
      <c r="J407" s="14"/>
      <c r="K407" s="15"/>
      <c r="L407" s="15"/>
      <c r="M407" s="16" t="s">
        <v>10</v>
      </c>
    </row>
    <row r="408" spans="2:13" x14ac:dyDescent="0.25">
      <c r="B408" s="14"/>
      <c r="C408" s="14"/>
      <c r="D408" s="14"/>
      <c r="E408" s="14"/>
      <c r="F408" s="14"/>
      <c r="G408" s="14"/>
      <c r="H408" s="14"/>
      <c r="I408" s="14"/>
      <c r="J408" s="14"/>
      <c r="K408" s="15"/>
      <c r="L408" s="15"/>
      <c r="M408" s="16" t="s">
        <v>10</v>
      </c>
    </row>
    <row r="409" spans="2:13" x14ac:dyDescent="0.25">
      <c r="B409" s="14"/>
      <c r="C409" s="14"/>
      <c r="D409" s="14"/>
      <c r="E409" s="14"/>
      <c r="F409" s="14"/>
      <c r="G409" s="14"/>
      <c r="H409" s="14"/>
      <c r="I409" s="14"/>
      <c r="J409" s="14"/>
      <c r="K409" s="15"/>
      <c r="L409" s="15"/>
      <c r="M409" s="16" t="s">
        <v>10</v>
      </c>
    </row>
    <row r="410" spans="2:13" x14ac:dyDescent="0.25">
      <c r="B410" s="14"/>
      <c r="C410" s="14"/>
      <c r="D410" s="14"/>
      <c r="E410" s="14"/>
      <c r="F410" s="14"/>
      <c r="G410" s="14"/>
      <c r="H410" s="14"/>
      <c r="I410" s="14"/>
      <c r="J410" s="14"/>
      <c r="K410" s="15"/>
      <c r="L410" s="15"/>
      <c r="M410" s="16" t="s">
        <v>10</v>
      </c>
    </row>
    <row r="411" spans="2:13" x14ac:dyDescent="0.25">
      <c r="B411" s="14"/>
      <c r="C411" s="14"/>
      <c r="D411" s="14"/>
      <c r="E411" s="14"/>
      <c r="F411" s="14"/>
      <c r="G411" s="14"/>
      <c r="H411" s="14"/>
      <c r="I411" s="14"/>
      <c r="J411" s="14"/>
      <c r="K411" s="15"/>
      <c r="L411" s="15"/>
      <c r="M411" s="16" t="s">
        <v>10</v>
      </c>
    </row>
    <row r="412" spans="2:13" x14ac:dyDescent="0.25">
      <c r="B412" s="14"/>
      <c r="C412" s="14"/>
      <c r="D412" s="14"/>
      <c r="E412" s="14"/>
      <c r="F412" s="14"/>
      <c r="G412" s="14"/>
      <c r="H412" s="14"/>
      <c r="I412" s="14"/>
      <c r="J412" s="14"/>
      <c r="K412" s="15"/>
      <c r="L412" s="15"/>
      <c r="M412" s="16" t="s">
        <v>10</v>
      </c>
    </row>
    <row r="413" spans="2:13" x14ac:dyDescent="0.25">
      <c r="B413" s="14"/>
      <c r="C413" s="14"/>
      <c r="D413" s="14"/>
      <c r="E413" s="14"/>
      <c r="F413" s="14"/>
      <c r="G413" s="14"/>
      <c r="H413" s="14"/>
      <c r="I413" s="14"/>
      <c r="J413" s="14"/>
      <c r="K413" s="15"/>
      <c r="L413" s="15"/>
      <c r="M413" s="16" t="s">
        <v>10</v>
      </c>
    </row>
    <row r="414" spans="2:13" x14ac:dyDescent="0.25">
      <c r="B414" s="14"/>
      <c r="C414" s="14"/>
      <c r="D414" s="14"/>
      <c r="E414" s="14"/>
      <c r="F414" s="14"/>
      <c r="G414" s="14"/>
      <c r="H414" s="14"/>
      <c r="I414" s="14"/>
      <c r="J414" s="14"/>
      <c r="K414" s="15"/>
      <c r="L414" s="15"/>
      <c r="M414" s="16" t="s">
        <v>10</v>
      </c>
    </row>
    <row r="415" spans="2:13" x14ac:dyDescent="0.25">
      <c r="B415" s="14"/>
      <c r="C415" s="14"/>
      <c r="D415" s="14"/>
      <c r="E415" s="14"/>
      <c r="F415" s="14"/>
      <c r="G415" s="14"/>
      <c r="H415" s="14"/>
      <c r="I415" s="14"/>
      <c r="J415" s="14"/>
      <c r="K415" s="15"/>
      <c r="L415" s="15"/>
      <c r="M415" s="16" t="s">
        <v>10</v>
      </c>
    </row>
    <row r="416" spans="2:13" x14ac:dyDescent="0.25">
      <c r="B416" s="14"/>
      <c r="C416" s="14"/>
      <c r="D416" s="14"/>
      <c r="E416" s="14"/>
      <c r="F416" s="14"/>
      <c r="G416" s="14"/>
      <c r="H416" s="14"/>
      <c r="I416" s="14"/>
      <c r="J416" s="14"/>
      <c r="K416" s="15"/>
      <c r="L416" s="15"/>
      <c r="M416" s="16" t="s">
        <v>10</v>
      </c>
    </row>
    <row r="417" spans="2:13" x14ac:dyDescent="0.25">
      <c r="B417" s="14"/>
      <c r="C417" s="14"/>
      <c r="D417" s="14"/>
      <c r="E417" s="14"/>
      <c r="F417" s="14"/>
      <c r="G417" s="14"/>
      <c r="H417" s="14"/>
      <c r="I417" s="14"/>
      <c r="J417" s="14"/>
      <c r="K417" s="15"/>
      <c r="L417" s="15"/>
      <c r="M417" s="16" t="s">
        <v>10</v>
      </c>
    </row>
    <row r="418" spans="2:13" x14ac:dyDescent="0.25">
      <c r="B418" s="14"/>
      <c r="C418" s="14"/>
      <c r="D418" s="14"/>
      <c r="E418" s="14"/>
      <c r="F418" s="14"/>
      <c r="G418" s="14"/>
      <c r="H418" s="14"/>
      <c r="I418" s="14"/>
      <c r="J418" s="14"/>
      <c r="K418" s="15"/>
      <c r="L418" s="15"/>
      <c r="M418" s="16" t="s">
        <v>10</v>
      </c>
    </row>
    <row r="419" spans="2:13" x14ac:dyDescent="0.25">
      <c r="B419" s="14"/>
      <c r="C419" s="14"/>
      <c r="D419" s="14"/>
      <c r="E419" s="14"/>
      <c r="F419" s="14"/>
      <c r="G419" s="14"/>
      <c r="H419" s="14"/>
      <c r="I419" s="14"/>
      <c r="J419" s="14"/>
      <c r="K419" s="15"/>
      <c r="L419" s="15"/>
      <c r="M419" s="16" t="s">
        <v>10</v>
      </c>
    </row>
    <row r="420" spans="2:13" x14ac:dyDescent="0.25">
      <c r="B420" s="14"/>
      <c r="C420" s="14"/>
      <c r="D420" s="14"/>
      <c r="E420" s="14"/>
      <c r="F420" s="14"/>
      <c r="G420" s="14"/>
      <c r="H420" s="14"/>
      <c r="I420" s="14"/>
      <c r="J420" s="14"/>
      <c r="K420" s="15"/>
      <c r="L420" s="15"/>
      <c r="M420" s="16" t="s">
        <v>10</v>
      </c>
    </row>
    <row r="421" spans="2:13" x14ac:dyDescent="0.25">
      <c r="B421" s="14"/>
      <c r="C421" s="14"/>
      <c r="D421" s="14"/>
      <c r="E421" s="14"/>
      <c r="F421" s="14"/>
      <c r="G421" s="14"/>
      <c r="H421" s="14"/>
      <c r="I421" s="14"/>
      <c r="J421" s="14"/>
      <c r="K421" s="15"/>
      <c r="L421" s="15"/>
      <c r="M421" s="16" t="s">
        <v>10</v>
      </c>
    </row>
    <row r="422" spans="2:13" x14ac:dyDescent="0.25">
      <c r="B422" s="14"/>
      <c r="C422" s="14"/>
      <c r="D422" s="14"/>
      <c r="E422" s="14"/>
      <c r="F422" s="14"/>
      <c r="G422" s="14"/>
      <c r="H422" s="14"/>
      <c r="I422" s="14"/>
      <c r="J422" s="14"/>
      <c r="K422" s="15"/>
      <c r="L422" s="15"/>
      <c r="M422" s="16" t="s">
        <v>10</v>
      </c>
    </row>
    <row r="423" spans="2:13" x14ac:dyDescent="0.25">
      <c r="B423" s="14"/>
      <c r="C423" s="14"/>
      <c r="D423" s="14"/>
      <c r="E423" s="14"/>
      <c r="F423" s="14"/>
      <c r="G423" s="14"/>
      <c r="H423" s="14"/>
      <c r="I423" s="14"/>
      <c r="J423" s="14"/>
      <c r="K423" s="15"/>
      <c r="L423" s="15"/>
      <c r="M423" s="16" t="s">
        <v>10</v>
      </c>
    </row>
    <row r="424" spans="2:13" x14ac:dyDescent="0.25">
      <c r="B424" s="14"/>
      <c r="C424" s="14"/>
      <c r="D424" s="14"/>
      <c r="E424" s="14"/>
      <c r="F424" s="14"/>
      <c r="G424" s="14"/>
      <c r="H424" s="14"/>
      <c r="I424" s="14"/>
      <c r="J424" s="14"/>
      <c r="K424" s="15"/>
      <c r="L424" s="15"/>
      <c r="M424" s="16" t="s">
        <v>10</v>
      </c>
    </row>
    <row r="425" spans="2:13" x14ac:dyDescent="0.25">
      <c r="B425" s="14"/>
      <c r="C425" s="14"/>
      <c r="D425" s="14"/>
      <c r="E425" s="14"/>
      <c r="F425" s="14"/>
      <c r="G425" s="14"/>
      <c r="H425" s="14"/>
      <c r="I425" s="14"/>
      <c r="J425" s="14"/>
      <c r="K425" s="15"/>
      <c r="L425" s="15"/>
      <c r="M425" s="16" t="s">
        <v>10</v>
      </c>
    </row>
    <row r="426" spans="2:13" x14ac:dyDescent="0.25">
      <c r="B426" s="14"/>
      <c r="C426" s="14"/>
      <c r="D426" s="14"/>
      <c r="E426" s="14"/>
      <c r="F426" s="14"/>
      <c r="G426" s="14"/>
      <c r="H426" s="14"/>
      <c r="I426" s="14"/>
      <c r="J426" s="14"/>
      <c r="K426" s="15"/>
      <c r="L426" s="15"/>
      <c r="M426" s="16" t="s">
        <v>10</v>
      </c>
    </row>
    <row r="427" spans="2:13" x14ac:dyDescent="0.25">
      <c r="B427" s="14"/>
      <c r="C427" s="14"/>
      <c r="D427" s="14"/>
      <c r="E427" s="14"/>
      <c r="F427" s="14"/>
      <c r="G427" s="14"/>
      <c r="H427" s="14"/>
      <c r="I427" s="14"/>
      <c r="J427" s="14"/>
      <c r="K427" s="15"/>
      <c r="L427" s="15"/>
      <c r="M427" s="16" t="s">
        <v>10</v>
      </c>
    </row>
    <row r="428" spans="2:13" x14ac:dyDescent="0.25">
      <c r="B428" s="14"/>
      <c r="C428" s="14"/>
      <c r="D428" s="14"/>
      <c r="E428" s="14"/>
      <c r="F428" s="14"/>
      <c r="G428" s="14"/>
      <c r="H428" s="14"/>
      <c r="I428" s="14"/>
      <c r="J428" s="14"/>
      <c r="K428" s="15"/>
      <c r="L428" s="15"/>
      <c r="M428" s="16" t="s">
        <v>10</v>
      </c>
    </row>
    <row r="429" spans="2:13" x14ac:dyDescent="0.25">
      <c r="B429" s="14"/>
      <c r="C429" s="14"/>
      <c r="D429" s="14"/>
      <c r="E429" s="14"/>
      <c r="F429" s="14"/>
      <c r="G429" s="14"/>
      <c r="H429" s="14"/>
      <c r="I429" s="14"/>
      <c r="J429" s="14"/>
      <c r="K429" s="15"/>
      <c r="L429" s="15"/>
      <c r="M429" s="16" t="s">
        <v>10</v>
      </c>
    </row>
    <row r="430" spans="2:13" x14ac:dyDescent="0.25">
      <c r="B430" s="14"/>
      <c r="C430" s="14"/>
      <c r="D430" s="14"/>
      <c r="E430" s="14"/>
      <c r="F430" s="14"/>
      <c r="G430" s="14"/>
      <c r="H430" s="14"/>
      <c r="I430" s="14"/>
      <c r="J430" s="14"/>
      <c r="K430" s="15"/>
      <c r="L430" s="15"/>
      <c r="M430" s="16" t="s">
        <v>10</v>
      </c>
    </row>
    <row r="431" spans="2:13" x14ac:dyDescent="0.25">
      <c r="B431" s="14"/>
      <c r="C431" s="14"/>
      <c r="D431" s="14"/>
      <c r="E431" s="14"/>
      <c r="F431" s="14"/>
      <c r="G431" s="14"/>
      <c r="H431" s="14"/>
      <c r="I431" s="14"/>
      <c r="J431" s="14"/>
      <c r="K431" s="15"/>
      <c r="L431" s="15"/>
      <c r="M431" s="16" t="s">
        <v>10</v>
      </c>
    </row>
    <row r="432" spans="2:13" x14ac:dyDescent="0.25">
      <c r="B432" s="14"/>
      <c r="C432" s="14"/>
      <c r="D432" s="14"/>
      <c r="E432" s="14"/>
      <c r="F432" s="14"/>
      <c r="G432" s="14"/>
      <c r="H432" s="14"/>
      <c r="I432" s="14"/>
      <c r="J432" s="14"/>
      <c r="K432" s="15"/>
      <c r="L432" s="15"/>
      <c r="M432" s="16" t="s">
        <v>10</v>
      </c>
    </row>
    <row r="433" spans="2:13" x14ac:dyDescent="0.25">
      <c r="B433" s="14"/>
      <c r="C433" s="14"/>
      <c r="D433" s="14"/>
      <c r="E433" s="14"/>
      <c r="F433" s="14"/>
      <c r="G433" s="14"/>
      <c r="H433" s="14"/>
      <c r="I433" s="14"/>
      <c r="J433" s="14"/>
      <c r="K433" s="15"/>
      <c r="L433" s="15"/>
      <c r="M433" s="16" t="s">
        <v>10</v>
      </c>
    </row>
    <row r="434" spans="2:13" x14ac:dyDescent="0.25">
      <c r="B434" s="14"/>
      <c r="C434" s="14"/>
      <c r="D434" s="14"/>
      <c r="E434" s="14"/>
      <c r="F434" s="14"/>
      <c r="G434" s="14"/>
      <c r="H434" s="14"/>
      <c r="I434" s="14"/>
      <c r="J434" s="14"/>
      <c r="K434" s="15"/>
      <c r="L434" s="15"/>
      <c r="M434" s="16" t="s">
        <v>10</v>
      </c>
    </row>
    <row r="435" spans="2:13" x14ac:dyDescent="0.25">
      <c r="B435" s="14"/>
      <c r="C435" s="14"/>
      <c r="D435" s="14"/>
      <c r="E435" s="14"/>
      <c r="F435" s="14"/>
      <c r="G435" s="14"/>
      <c r="H435" s="14"/>
      <c r="I435" s="14"/>
      <c r="J435" s="14"/>
      <c r="K435" s="15"/>
      <c r="L435" s="15"/>
      <c r="M435" s="16" t="s">
        <v>10</v>
      </c>
    </row>
    <row r="436" spans="2:13" x14ac:dyDescent="0.25">
      <c r="B436" s="14"/>
      <c r="C436" s="14"/>
      <c r="D436" s="14"/>
      <c r="E436" s="14"/>
      <c r="F436" s="14"/>
      <c r="G436" s="14"/>
      <c r="H436" s="14"/>
      <c r="I436" s="14"/>
      <c r="J436" s="14"/>
      <c r="K436" s="15"/>
      <c r="L436" s="15"/>
      <c r="M436" s="16" t="s">
        <v>10</v>
      </c>
    </row>
    <row r="437" spans="2:13" x14ac:dyDescent="0.25">
      <c r="B437" s="14"/>
      <c r="C437" s="14"/>
      <c r="D437" s="14"/>
      <c r="E437" s="14"/>
      <c r="F437" s="14"/>
      <c r="G437" s="14"/>
      <c r="H437" s="14"/>
      <c r="I437" s="14"/>
      <c r="J437" s="14"/>
      <c r="K437" s="15"/>
      <c r="L437" s="15"/>
      <c r="M437" s="16" t="s">
        <v>10</v>
      </c>
    </row>
    <row r="438" spans="2:13" x14ac:dyDescent="0.25">
      <c r="B438" s="14"/>
      <c r="C438" s="14"/>
      <c r="D438" s="14"/>
      <c r="E438" s="14"/>
      <c r="F438" s="14"/>
      <c r="G438" s="14"/>
      <c r="H438" s="14"/>
      <c r="I438" s="14"/>
      <c r="J438" s="14"/>
      <c r="K438" s="15"/>
      <c r="L438" s="15"/>
      <c r="M438" s="16" t="s">
        <v>10</v>
      </c>
    </row>
    <row r="439" spans="2:13" x14ac:dyDescent="0.25">
      <c r="B439" s="14"/>
      <c r="C439" s="14"/>
      <c r="D439" s="14"/>
      <c r="E439" s="14"/>
      <c r="F439" s="14"/>
      <c r="G439" s="14"/>
      <c r="H439" s="14"/>
      <c r="I439" s="14"/>
      <c r="J439" s="14"/>
      <c r="K439" s="15"/>
      <c r="L439" s="15"/>
      <c r="M439" s="16" t="s">
        <v>10</v>
      </c>
    </row>
    <row r="440" spans="2:13" x14ac:dyDescent="0.25">
      <c r="B440" s="14"/>
      <c r="C440" s="14"/>
      <c r="D440" s="14"/>
      <c r="E440" s="14"/>
      <c r="F440" s="14"/>
      <c r="G440" s="14"/>
      <c r="H440" s="14"/>
      <c r="I440" s="14"/>
      <c r="J440" s="14"/>
      <c r="K440" s="15"/>
      <c r="L440" s="15"/>
      <c r="M440" s="16" t="s">
        <v>10</v>
      </c>
    </row>
    <row r="441" spans="2:13" x14ac:dyDescent="0.25">
      <c r="B441" s="14"/>
      <c r="C441" s="14"/>
      <c r="D441" s="14"/>
      <c r="E441" s="14"/>
      <c r="F441" s="14"/>
      <c r="G441" s="14"/>
      <c r="H441" s="14"/>
      <c r="I441" s="14"/>
      <c r="J441" s="14"/>
      <c r="K441" s="15"/>
      <c r="L441" s="15"/>
      <c r="M441" s="16" t="s">
        <v>10</v>
      </c>
    </row>
    <row r="442" spans="2:13" x14ac:dyDescent="0.25">
      <c r="B442" s="14"/>
      <c r="C442" s="14"/>
      <c r="D442" s="14"/>
      <c r="E442" s="14"/>
      <c r="F442" s="14"/>
      <c r="G442" s="14"/>
      <c r="H442" s="14"/>
      <c r="I442" s="14"/>
      <c r="J442" s="14"/>
      <c r="K442" s="15"/>
      <c r="L442" s="15"/>
      <c r="M442" s="16" t="s">
        <v>10</v>
      </c>
    </row>
    <row r="443" spans="2:13" x14ac:dyDescent="0.25">
      <c r="B443" s="14"/>
      <c r="C443" s="14"/>
      <c r="D443" s="14"/>
      <c r="E443" s="14"/>
      <c r="F443" s="14"/>
      <c r="G443" s="14"/>
      <c r="H443" s="14"/>
      <c r="I443" s="14"/>
      <c r="J443" s="14"/>
      <c r="K443" s="15"/>
      <c r="L443" s="15"/>
      <c r="M443" s="16" t="s">
        <v>10</v>
      </c>
    </row>
    <row r="444" spans="2:13" x14ac:dyDescent="0.25">
      <c r="B444" s="14"/>
      <c r="C444" s="14"/>
      <c r="D444" s="14"/>
      <c r="E444" s="14"/>
      <c r="F444" s="14"/>
      <c r="G444" s="14"/>
      <c r="H444" s="14"/>
      <c r="I444" s="14"/>
      <c r="J444" s="14"/>
      <c r="K444" s="15"/>
      <c r="L444" s="15"/>
      <c r="M444" s="16" t="s">
        <v>10</v>
      </c>
    </row>
    <row r="445" spans="2:13" x14ac:dyDescent="0.25">
      <c r="B445" s="14"/>
      <c r="C445" s="14"/>
      <c r="D445" s="14"/>
      <c r="E445" s="14"/>
      <c r="F445" s="14"/>
      <c r="G445" s="14"/>
      <c r="H445" s="14"/>
      <c r="I445" s="14"/>
      <c r="J445" s="14"/>
      <c r="K445" s="15"/>
      <c r="L445" s="15"/>
      <c r="M445" s="16" t="s">
        <v>10</v>
      </c>
    </row>
    <row r="446" spans="2:13" x14ac:dyDescent="0.25">
      <c r="B446" s="14"/>
      <c r="C446" s="14"/>
      <c r="D446" s="14"/>
      <c r="E446" s="14"/>
      <c r="F446" s="14"/>
      <c r="G446" s="14"/>
      <c r="H446" s="14"/>
      <c r="I446" s="14"/>
      <c r="J446" s="14"/>
      <c r="K446" s="15"/>
      <c r="L446" s="15"/>
      <c r="M446" s="16" t="s">
        <v>10</v>
      </c>
    </row>
    <row r="447" spans="2:13" x14ac:dyDescent="0.25">
      <c r="B447" s="14"/>
      <c r="C447" s="14"/>
      <c r="D447" s="14"/>
      <c r="E447" s="14"/>
      <c r="F447" s="14"/>
      <c r="G447" s="14"/>
      <c r="H447" s="14"/>
      <c r="I447" s="14"/>
      <c r="J447" s="14"/>
      <c r="K447" s="15"/>
      <c r="L447" s="15"/>
      <c r="M447" s="16" t="s">
        <v>10</v>
      </c>
    </row>
    <row r="448" spans="2:13" x14ac:dyDescent="0.25">
      <c r="B448" s="14"/>
      <c r="C448" s="14"/>
      <c r="D448" s="14"/>
      <c r="E448" s="14"/>
      <c r="F448" s="14"/>
      <c r="G448" s="14"/>
      <c r="H448" s="14"/>
      <c r="I448" s="14"/>
      <c r="J448" s="14"/>
      <c r="K448" s="15"/>
      <c r="L448" s="15"/>
      <c r="M448" s="16" t="s">
        <v>10</v>
      </c>
    </row>
    <row r="449" spans="2:13" x14ac:dyDescent="0.25">
      <c r="B449" s="14"/>
      <c r="C449" s="14"/>
      <c r="D449" s="14"/>
      <c r="E449" s="14"/>
      <c r="F449" s="14"/>
      <c r="G449" s="14"/>
      <c r="H449" s="14"/>
      <c r="I449" s="14"/>
      <c r="J449" s="14"/>
      <c r="K449" s="15"/>
      <c r="L449" s="15"/>
      <c r="M449" s="16" t="s">
        <v>10</v>
      </c>
    </row>
    <row r="450" spans="2:13" x14ac:dyDescent="0.25">
      <c r="B450" s="14"/>
      <c r="C450" s="14"/>
      <c r="D450" s="14"/>
      <c r="E450" s="14"/>
      <c r="F450" s="14"/>
      <c r="G450" s="14"/>
      <c r="H450" s="14"/>
      <c r="I450" s="14"/>
      <c r="J450" s="14"/>
      <c r="K450" s="15"/>
      <c r="L450" s="15"/>
      <c r="M450" s="16" t="s">
        <v>10</v>
      </c>
    </row>
    <row r="451" spans="2:13" x14ac:dyDescent="0.25">
      <c r="B451" s="14"/>
      <c r="C451" s="14"/>
      <c r="D451" s="14"/>
      <c r="E451" s="14"/>
      <c r="F451" s="14"/>
      <c r="G451" s="14"/>
      <c r="H451" s="14"/>
      <c r="I451" s="14"/>
      <c r="J451" s="14"/>
      <c r="K451" s="15"/>
      <c r="L451" s="15"/>
      <c r="M451" s="16" t="s">
        <v>10</v>
      </c>
    </row>
    <row r="452" spans="2:13" x14ac:dyDescent="0.25">
      <c r="B452" s="14"/>
      <c r="C452" s="14"/>
      <c r="D452" s="14"/>
      <c r="E452" s="14"/>
      <c r="F452" s="14"/>
      <c r="G452" s="14"/>
      <c r="H452" s="14"/>
      <c r="I452" s="14"/>
      <c r="J452" s="14"/>
      <c r="K452" s="15"/>
      <c r="L452" s="15"/>
      <c r="M452" s="16" t="s">
        <v>10</v>
      </c>
    </row>
    <row r="453" spans="2:13" x14ac:dyDescent="0.25">
      <c r="B453" s="14"/>
      <c r="C453" s="14"/>
      <c r="D453" s="14"/>
      <c r="E453" s="14"/>
      <c r="F453" s="14"/>
      <c r="G453" s="14"/>
      <c r="H453" s="14"/>
      <c r="I453" s="14"/>
      <c r="J453" s="14"/>
      <c r="K453" s="15"/>
      <c r="L453" s="15"/>
      <c r="M453" s="16" t="s">
        <v>10</v>
      </c>
    </row>
    <row r="454" spans="2:13" x14ac:dyDescent="0.25">
      <c r="B454" s="14"/>
      <c r="C454" s="14"/>
      <c r="D454" s="14"/>
      <c r="E454" s="14"/>
      <c r="F454" s="14"/>
      <c r="G454" s="14"/>
      <c r="H454" s="14"/>
      <c r="I454" s="14"/>
      <c r="J454" s="14"/>
      <c r="K454" s="15"/>
      <c r="L454" s="15"/>
      <c r="M454" s="16" t="s">
        <v>10</v>
      </c>
    </row>
    <row r="455" spans="2:13" x14ac:dyDescent="0.25">
      <c r="B455" s="14"/>
      <c r="C455" s="14"/>
      <c r="D455" s="14"/>
      <c r="E455" s="14"/>
      <c r="F455" s="14"/>
      <c r="G455" s="14"/>
      <c r="H455" s="14"/>
      <c r="I455" s="14"/>
      <c r="J455" s="14"/>
      <c r="K455" s="15"/>
      <c r="L455" s="15"/>
      <c r="M455" s="16" t="s">
        <v>10</v>
      </c>
    </row>
    <row r="456" spans="2:13" x14ac:dyDescent="0.25">
      <c r="B456" s="14"/>
      <c r="C456" s="14"/>
      <c r="D456" s="14"/>
      <c r="E456" s="14"/>
      <c r="F456" s="14"/>
      <c r="G456" s="14"/>
      <c r="H456" s="14"/>
      <c r="I456" s="14"/>
      <c r="J456" s="14"/>
      <c r="K456" s="15"/>
      <c r="L456" s="15"/>
      <c r="M456" s="16" t="s">
        <v>10</v>
      </c>
    </row>
    <row r="457" spans="2:13" x14ac:dyDescent="0.25">
      <c r="B457" s="14"/>
      <c r="C457" s="14"/>
      <c r="D457" s="14"/>
      <c r="E457" s="14"/>
      <c r="F457" s="14"/>
      <c r="G457" s="14"/>
      <c r="H457" s="14"/>
      <c r="I457" s="14"/>
      <c r="J457" s="14"/>
      <c r="K457" s="15"/>
      <c r="L457" s="15"/>
      <c r="M457" s="16" t="s">
        <v>10</v>
      </c>
    </row>
    <row r="458" spans="2:13" x14ac:dyDescent="0.25">
      <c r="B458" s="14"/>
      <c r="C458" s="14"/>
      <c r="D458" s="14"/>
      <c r="E458" s="14"/>
      <c r="F458" s="14"/>
      <c r="G458" s="14"/>
      <c r="H458" s="14"/>
      <c r="I458" s="14"/>
      <c r="J458" s="14"/>
      <c r="K458" s="15"/>
      <c r="L458" s="15"/>
      <c r="M458" s="16" t="s">
        <v>10</v>
      </c>
    </row>
    <row r="459" spans="2:13" x14ac:dyDescent="0.25">
      <c r="B459" s="14"/>
      <c r="C459" s="14"/>
      <c r="D459" s="14"/>
      <c r="E459" s="14"/>
      <c r="F459" s="14"/>
      <c r="G459" s="14"/>
      <c r="H459" s="14"/>
      <c r="I459" s="14"/>
      <c r="J459" s="14"/>
      <c r="K459" s="15"/>
      <c r="L459" s="15"/>
      <c r="M459" s="16" t="s">
        <v>10</v>
      </c>
    </row>
    <row r="460" spans="2:13" x14ac:dyDescent="0.25">
      <c r="B460" s="14"/>
      <c r="C460" s="14"/>
      <c r="D460" s="14"/>
      <c r="E460" s="14"/>
      <c r="F460" s="14"/>
      <c r="G460" s="14"/>
      <c r="H460" s="14"/>
      <c r="I460" s="14"/>
      <c r="J460" s="14"/>
      <c r="K460" s="15"/>
      <c r="L460" s="15"/>
      <c r="M460" s="16" t="s">
        <v>10</v>
      </c>
    </row>
    <row r="461" spans="2:13" x14ac:dyDescent="0.25">
      <c r="B461" s="14"/>
      <c r="C461" s="14"/>
      <c r="D461" s="14"/>
      <c r="E461" s="14"/>
      <c r="F461" s="14"/>
      <c r="G461" s="14"/>
      <c r="H461" s="14"/>
      <c r="I461" s="14"/>
      <c r="J461" s="14"/>
      <c r="K461" s="15"/>
      <c r="L461" s="15"/>
      <c r="M461" s="16" t="s">
        <v>10</v>
      </c>
    </row>
    <row r="462" spans="2:13" x14ac:dyDescent="0.25">
      <c r="B462" s="14"/>
      <c r="C462" s="14"/>
      <c r="D462" s="14"/>
      <c r="E462" s="14"/>
      <c r="F462" s="14"/>
      <c r="G462" s="14"/>
      <c r="H462" s="14"/>
      <c r="I462" s="14"/>
      <c r="J462" s="14"/>
      <c r="K462" s="15"/>
      <c r="L462" s="15"/>
      <c r="M462" s="16" t="s">
        <v>10</v>
      </c>
    </row>
    <row r="463" spans="2:13" x14ac:dyDescent="0.25">
      <c r="B463" s="14"/>
      <c r="C463" s="14"/>
      <c r="D463" s="14"/>
      <c r="E463" s="14"/>
      <c r="F463" s="14"/>
      <c r="G463" s="14"/>
      <c r="H463" s="14"/>
      <c r="I463" s="14"/>
      <c r="J463" s="14"/>
      <c r="K463" s="15"/>
      <c r="L463" s="15"/>
      <c r="M463" s="16" t="s">
        <v>10</v>
      </c>
    </row>
    <row r="464" spans="2:13" x14ac:dyDescent="0.25">
      <c r="B464" s="14"/>
      <c r="C464" s="14"/>
      <c r="D464" s="14"/>
      <c r="E464" s="14"/>
      <c r="F464" s="14"/>
      <c r="G464" s="14"/>
      <c r="H464" s="14"/>
      <c r="I464" s="14"/>
      <c r="J464" s="14"/>
      <c r="K464" s="15"/>
      <c r="L464" s="15"/>
      <c r="M464" s="16" t="s">
        <v>10</v>
      </c>
    </row>
    <row r="465" spans="2:13" x14ac:dyDescent="0.25">
      <c r="B465" s="14"/>
      <c r="C465" s="14"/>
      <c r="D465" s="14"/>
      <c r="E465" s="14"/>
      <c r="F465" s="14"/>
      <c r="G465" s="14"/>
      <c r="H465" s="14"/>
      <c r="I465" s="14"/>
      <c r="J465" s="14"/>
      <c r="K465" s="15"/>
      <c r="L465" s="15"/>
      <c r="M465" s="16" t="s">
        <v>10</v>
      </c>
    </row>
    <row r="466" spans="2:13" x14ac:dyDescent="0.25">
      <c r="B466" s="14"/>
      <c r="C466" s="14"/>
      <c r="D466" s="14"/>
      <c r="E466" s="14"/>
      <c r="F466" s="14"/>
      <c r="G466" s="14"/>
      <c r="H466" s="14"/>
      <c r="I466" s="14"/>
      <c r="J466" s="14"/>
      <c r="K466" s="15"/>
      <c r="L466" s="15"/>
      <c r="M466" s="16" t="s">
        <v>10</v>
      </c>
    </row>
    <row r="467" spans="2:13" x14ac:dyDescent="0.25">
      <c r="B467" s="14"/>
      <c r="C467" s="14"/>
      <c r="D467" s="14"/>
      <c r="E467" s="14"/>
      <c r="F467" s="14"/>
      <c r="G467" s="14"/>
      <c r="H467" s="14"/>
      <c r="I467" s="14"/>
      <c r="J467" s="14"/>
      <c r="K467" s="15"/>
      <c r="L467" s="15"/>
      <c r="M467" s="16" t="s">
        <v>10</v>
      </c>
    </row>
    <row r="468" spans="2:13" x14ac:dyDescent="0.25">
      <c r="B468" s="14"/>
      <c r="C468" s="14"/>
      <c r="D468" s="14"/>
      <c r="E468" s="14"/>
      <c r="F468" s="14"/>
      <c r="G468" s="14"/>
      <c r="H468" s="14"/>
      <c r="I468" s="14"/>
      <c r="J468" s="14"/>
      <c r="K468" s="15"/>
      <c r="L468" s="15"/>
      <c r="M468" s="16" t="s">
        <v>10</v>
      </c>
    </row>
    <row r="469" spans="2:13" x14ac:dyDescent="0.25">
      <c r="B469" s="14"/>
      <c r="C469" s="14"/>
      <c r="D469" s="14"/>
      <c r="E469" s="14"/>
      <c r="F469" s="14"/>
      <c r="G469" s="14"/>
      <c r="H469" s="14"/>
      <c r="I469" s="14"/>
      <c r="J469" s="14"/>
      <c r="K469" s="15"/>
      <c r="L469" s="15"/>
      <c r="M469" s="16" t="s">
        <v>10</v>
      </c>
    </row>
    <row r="470" spans="2:13" x14ac:dyDescent="0.25">
      <c r="B470" s="14"/>
      <c r="C470" s="14"/>
      <c r="D470" s="14"/>
      <c r="E470" s="14"/>
      <c r="F470" s="14"/>
      <c r="G470" s="14"/>
      <c r="H470" s="14"/>
      <c r="I470" s="14"/>
      <c r="J470" s="14"/>
      <c r="K470" s="15"/>
      <c r="L470" s="15"/>
      <c r="M470" s="16" t="s">
        <v>10</v>
      </c>
    </row>
    <row r="471" spans="2:13" x14ac:dyDescent="0.25">
      <c r="B471" s="14"/>
      <c r="C471" s="14"/>
      <c r="D471" s="14"/>
      <c r="E471" s="14"/>
      <c r="F471" s="14"/>
      <c r="G471" s="14"/>
      <c r="H471" s="14"/>
      <c r="I471" s="14"/>
      <c r="J471" s="14"/>
      <c r="K471" s="15"/>
      <c r="L471" s="15"/>
      <c r="M471" s="16" t="s">
        <v>10</v>
      </c>
    </row>
    <row r="472" spans="2:13" x14ac:dyDescent="0.25">
      <c r="B472" s="14"/>
      <c r="C472" s="14"/>
      <c r="D472" s="14"/>
      <c r="E472" s="14"/>
      <c r="F472" s="14"/>
      <c r="G472" s="14"/>
      <c r="H472" s="14"/>
      <c r="I472" s="14"/>
      <c r="J472" s="14"/>
      <c r="K472" s="15"/>
      <c r="L472" s="15"/>
      <c r="M472" s="16" t="s">
        <v>10</v>
      </c>
    </row>
    <row r="473" spans="2:13" x14ac:dyDescent="0.25">
      <c r="B473" s="14"/>
      <c r="C473" s="14"/>
      <c r="D473" s="14"/>
      <c r="E473" s="14"/>
      <c r="F473" s="14"/>
      <c r="G473" s="14"/>
      <c r="H473" s="14"/>
      <c r="I473" s="14"/>
      <c r="J473" s="14"/>
      <c r="K473" s="15"/>
      <c r="L473" s="15"/>
      <c r="M473" s="16" t="s">
        <v>10</v>
      </c>
    </row>
    <row r="474" spans="2:13" x14ac:dyDescent="0.25">
      <c r="B474" s="14"/>
      <c r="C474" s="14"/>
      <c r="D474" s="14"/>
      <c r="E474" s="14"/>
      <c r="F474" s="14"/>
      <c r="G474" s="14"/>
      <c r="H474" s="14"/>
      <c r="I474" s="14"/>
      <c r="J474" s="14"/>
      <c r="K474" s="15"/>
      <c r="L474" s="15"/>
      <c r="M474" s="16" t="s">
        <v>10</v>
      </c>
    </row>
    <row r="475" spans="2:13" x14ac:dyDescent="0.25">
      <c r="B475" s="14"/>
      <c r="C475" s="14"/>
      <c r="D475" s="14"/>
      <c r="E475" s="14"/>
      <c r="F475" s="14"/>
      <c r="G475" s="14"/>
      <c r="H475" s="14"/>
      <c r="I475" s="14"/>
      <c r="J475" s="14"/>
      <c r="K475" s="15"/>
      <c r="L475" s="15"/>
      <c r="M475" s="16" t="s">
        <v>10</v>
      </c>
    </row>
    <row r="476" spans="2:13" x14ac:dyDescent="0.25">
      <c r="B476" s="14"/>
      <c r="C476" s="14"/>
      <c r="D476" s="14"/>
      <c r="E476" s="14"/>
      <c r="F476" s="14"/>
      <c r="G476" s="14"/>
      <c r="H476" s="14"/>
      <c r="I476" s="14"/>
      <c r="J476" s="14"/>
      <c r="K476" s="15"/>
      <c r="L476" s="15"/>
      <c r="M476" s="16" t="s">
        <v>10</v>
      </c>
    </row>
    <row r="477" spans="2:13" x14ac:dyDescent="0.25">
      <c r="B477" s="14"/>
      <c r="C477" s="14"/>
      <c r="D477" s="14"/>
      <c r="E477" s="14"/>
      <c r="F477" s="14"/>
      <c r="G477" s="14"/>
      <c r="H477" s="14"/>
      <c r="I477" s="14"/>
      <c r="J477" s="14"/>
      <c r="K477" s="15"/>
      <c r="L477" s="15"/>
      <c r="M477" s="16" t="s">
        <v>10</v>
      </c>
    </row>
    <row r="478" spans="2:13" x14ac:dyDescent="0.25">
      <c r="B478" s="14"/>
      <c r="C478" s="14"/>
      <c r="D478" s="14"/>
      <c r="E478" s="14"/>
      <c r="F478" s="14"/>
      <c r="G478" s="14"/>
      <c r="H478" s="14"/>
      <c r="I478" s="14"/>
      <c r="J478" s="14"/>
      <c r="K478" s="15"/>
      <c r="L478" s="15"/>
      <c r="M478" s="16" t="s">
        <v>10</v>
      </c>
    </row>
    <row r="479" spans="2:13" x14ac:dyDescent="0.25">
      <c r="B479" s="14"/>
      <c r="C479" s="14"/>
      <c r="D479" s="14"/>
      <c r="E479" s="14"/>
      <c r="F479" s="14"/>
      <c r="G479" s="14"/>
      <c r="H479" s="14"/>
      <c r="I479" s="14"/>
      <c r="J479" s="14"/>
      <c r="K479" s="15"/>
      <c r="L479" s="15"/>
      <c r="M479" s="16" t="s">
        <v>10</v>
      </c>
    </row>
    <row r="480" spans="2:13" x14ac:dyDescent="0.25">
      <c r="B480" s="14"/>
      <c r="C480" s="14"/>
      <c r="D480" s="14"/>
      <c r="E480" s="14"/>
      <c r="F480" s="14"/>
      <c r="G480" s="14"/>
      <c r="H480" s="14"/>
      <c r="I480" s="14"/>
      <c r="J480" s="14"/>
      <c r="K480" s="15"/>
      <c r="L480" s="15"/>
      <c r="M480" s="16" t="s">
        <v>10</v>
      </c>
    </row>
    <row r="481" spans="2:13" x14ac:dyDescent="0.25">
      <c r="B481" s="14"/>
      <c r="C481" s="14"/>
      <c r="D481" s="14"/>
      <c r="E481" s="14"/>
      <c r="F481" s="14"/>
      <c r="G481" s="14"/>
      <c r="H481" s="14"/>
      <c r="I481" s="14"/>
      <c r="J481" s="14"/>
      <c r="K481" s="15"/>
      <c r="L481" s="15"/>
      <c r="M481" s="16" t="s">
        <v>10</v>
      </c>
    </row>
    <row r="482" spans="2:13" x14ac:dyDescent="0.25">
      <c r="B482" s="14"/>
      <c r="C482" s="14"/>
      <c r="D482" s="14"/>
      <c r="E482" s="14"/>
      <c r="F482" s="14"/>
      <c r="G482" s="14"/>
      <c r="H482" s="14"/>
      <c r="I482" s="14"/>
      <c r="J482" s="14"/>
      <c r="K482" s="15"/>
      <c r="L482" s="15"/>
      <c r="M482" s="16" t="s">
        <v>10</v>
      </c>
    </row>
    <row r="483" spans="2:13" x14ac:dyDescent="0.25">
      <c r="B483" s="14"/>
      <c r="C483" s="14"/>
      <c r="D483" s="14"/>
      <c r="E483" s="14"/>
      <c r="F483" s="14"/>
      <c r="G483" s="14"/>
      <c r="H483" s="14"/>
      <c r="I483" s="14"/>
      <c r="J483" s="14"/>
      <c r="K483" s="15"/>
      <c r="L483" s="15"/>
      <c r="M483" s="16" t="s">
        <v>10</v>
      </c>
    </row>
    <row r="484" spans="2:13" x14ac:dyDescent="0.25">
      <c r="B484" s="14"/>
      <c r="C484" s="14"/>
      <c r="D484" s="14"/>
      <c r="E484" s="14"/>
      <c r="F484" s="14"/>
      <c r="G484" s="14"/>
      <c r="H484" s="14"/>
      <c r="I484" s="14"/>
      <c r="J484" s="14"/>
      <c r="K484" s="15"/>
      <c r="L484" s="15"/>
      <c r="M484" s="16" t="s">
        <v>10</v>
      </c>
    </row>
    <row r="485" spans="2:13" x14ac:dyDescent="0.25">
      <c r="B485" s="14"/>
      <c r="C485" s="14"/>
      <c r="D485" s="14"/>
      <c r="E485" s="14"/>
      <c r="F485" s="14"/>
      <c r="G485" s="14"/>
      <c r="H485" s="14"/>
      <c r="I485" s="14"/>
      <c r="J485" s="14"/>
      <c r="K485" s="15"/>
      <c r="L485" s="15"/>
      <c r="M485" s="16" t="s">
        <v>10</v>
      </c>
    </row>
    <row r="486" spans="2:13" x14ac:dyDescent="0.25">
      <c r="B486" s="14"/>
      <c r="C486" s="14"/>
      <c r="D486" s="14"/>
      <c r="E486" s="14"/>
      <c r="F486" s="14"/>
      <c r="G486" s="14"/>
      <c r="H486" s="14"/>
      <c r="I486" s="14"/>
      <c r="J486" s="14"/>
      <c r="K486" s="15"/>
      <c r="L486" s="15"/>
      <c r="M486" s="16" t="s">
        <v>10</v>
      </c>
    </row>
    <row r="487" spans="2:13" x14ac:dyDescent="0.25">
      <c r="B487" s="14"/>
      <c r="C487" s="14"/>
      <c r="D487" s="14"/>
      <c r="E487" s="14"/>
      <c r="F487" s="14"/>
      <c r="G487" s="14"/>
      <c r="H487" s="14"/>
      <c r="I487" s="14"/>
      <c r="J487" s="14"/>
      <c r="K487" s="15"/>
      <c r="L487" s="15"/>
      <c r="M487" s="16" t="s">
        <v>10</v>
      </c>
    </row>
    <row r="488" spans="2:13" x14ac:dyDescent="0.25">
      <c r="B488" s="14"/>
      <c r="C488" s="14"/>
      <c r="D488" s="14"/>
      <c r="E488" s="14"/>
      <c r="F488" s="14"/>
      <c r="G488" s="14"/>
      <c r="H488" s="14"/>
      <c r="I488" s="14"/>
      <c r="J488" s="14"/>
      <c r="K488" s="15"/>
      <c r="L488" s="15"/>
      <c r="M488" s="16" t="s">
        <v>10</v>
      </c>
    </row>
    <row r="489" spans="2:13" x14ac:dyDescent="0.25">
      <c r="B489" s="14"/>
      <c r="C489" s="14"/>
      <c r="D489" s="14"/>
      <c r="E489" s="14"/>
      <c r="F489" s="14"/>
      <c r="G489" s="14"/>
      <c r="H489" s="14"/>
      <c r="I489" s="14"/>
      <c r="J489" s="14"/>
      <c r="K489" s="15"/>
      <c r="L489" s="15"/>
      <c r="M489" s="16" t="s">
        <v>10</v>
      </c>
    </row>
    <row r="490" spans="2:13" x14ac:dyDescent="0.25">
      <c r="B490" s="14"/>
      <c r="C490" s="14"/>
      <c r="D490" s="14"/>
      <c r="E490" s="14"/>
      <c r="F490" s="14"/>
      <c r="G490" s="14"/>
      <c r="H490" s="14"/>
      <c r="I490" s="14"/>
      <c r="J490" s="14"/>
      <c r="K490" s="15"/>
      <c r="L490" s="15"/>
      <c r="M490" s="16" t="s">
        <v>10</v>
      </c>
    </row>
    <row r="491" spans="2:13" x14ac:dyDescent="0.25">
      <c r="B491" s="14"/>
      <c r="C491" s="14"/>
      <c r="D491" s="14"/>
      <c r="E491" s="14"/>
      <c r="F491" s="14"/>
      <c r="G491" s="14"/>
      <c r="H491" s="14"/>
      <c r="I491" s="14"/>
      <c r="J491" s="14"/>
      <c r="K491" s="15"/>
      <c r="L491" s="15"/>
      <c r="M491" s="16" t="s">
        <v>10</v>
      </c>
    </row>
    <row r="492" spans="2:13" x14ac:dyDescent="0.25">
      <c r="B492" s="14"/>
      <c r="C492" s="14"/>
      <c r="D492" s="14"/>
      <c r="E492" s="14"/>
      <c r="F492" s="14"/>
      <c r="G492" s="14"/>
      <c r="H492" s="14"/>
      <c r="I492" s="14"/>
      <c r="J492" s="14"/>
      <c r="K492" s="15"/>
      <c r="L492" s="15"/>
      <c r="M492" s="16" t="s">
        <v>10</v>
      </c>
    </row>
    <row r="493" spans="2:13" x14ac:dyDescent="0.25">
      <c r="B493" s="14"/>
      <c r="C493" s="14"/>
      <c r="D493" s="14"/>
      <c r="E493" s="14"/>
      <c r="F493" s="14"/>
      <c r="G493" s="14"/>
      <c r="H493" s="14"/>
      <c r="I493" s="14"/>
      <c r="J493" s="14"/>
      <c r="K493" s="15"/>
      <c r="L493" s="15"/>
      <c r="M493" s="16" t="s">
        <v>10</v>
      </c>
    </row>
    <row r="494" spans="2:13" x14ac:dyDescent="0.25">
      <c r="B494" s="14"/>
      <c r="C494" s="14"/>
      <c r="D494" s="14"/>
      <c r="E494" s="14"/>
      <c r="F494" s="14"/>
      <c r="G494" s="14"/>
      <c r="H494" s="14"/>
      <c r="I494" s="14"/>
      <c r="J494" s="14"/>
      <c r="K494" s="15"/>
      <c r="L494" s="15"/>
      <c r="M494" s="16" t="s">
        <v>10</v>
      </c>
    </row>
    <row r="495" spans="2:13" x14ac:dyDescent="0.25">
      <c r="B495" s="14"/>
      <c r="C495" s="14"/>
      <c r="D495" s="14"/>
      <c r="E495" s="14"/>
      <c r="F495" s="14"/>
      <c r="G495" s="14"/>
      <c r="H495" s="14"/>
      <c r="I495" s="14"/>
      <c r="J495" s="14"/>
      <c r="K495" s="15"/>
      <c r="L495" s="15"/>
      <c r="M495" s="16" t="s">
        <v>10</v>
      </c>
    </row>
    <row r="496" spans="2:13" x14ac:dyDescent="0.25">
      <c r="B496" s="14"/>
      <c r="C496" s="14"/>
      <c r="D496" s="14"/>
      <c r="E496" s="14"/>
      <c r="F496" s="14"/>
      <c r="G496" s="14"/>
      <c r="H496" s="14"/>
      <c r="I496" s="14"/>
      <c r="J496" s="14"/>
      <c r="K496" s="15"/>
      <c r="L496" s="15"/>
      <c r="M496" s="16" t="s">
        <v>10</v>
      </c>
    </row>
    <row r="497" spans="2:13" x14ac:dyDescent="0.25">
      <c r="B497" s="14"/>
      <c r="C497" s="14"/>
      <c r="D497" s="14"/>
      <c r="E497" s="14"/>
      <c r="F497" s="14"/>
      <c r="G497" s="14"/>
      <c r="H497" s="14"/>
      <c r="I497" s="14"/>
      <c r="J497" s="14"/>
      <c r="K497" s="15"/>
      <c r="L497" s="15"/>
      <c r="M497" s="16" t="s">
        <v>10</v>
      </c>
    </row>
    <row r="498" spans="2:13" x14ac:dyDescent="0.25">
      <c r="B498" s="14"/>
      <c r="C498" s="14"/>
      <c r="D498" s="14"/>
      <c r="E498" s="14"/>
      <c r="F498" s="14"/>
      <c r="G498" s="14"/>
      <c r="H498" s="14"/>
      <c r="I498" s="14"/>
      <c r="J498" s="14"/>
      <c r="K498" s="15"/>
      <c r="L498" s="15"/>
      <c r="M498" s="16" t="s">
        <v>10</v>
      </c>
    </row>
    <row r="499" spans="2:13" x14ac:dyDescent="0.25">
      <c r="B499" s="14"/>
      <c r="C499" s="14"/>
      <c r="D499" s="14"/>
      <c r="E499" s="14"/>
      <c r="F499" s="14"/>
      <c r="G499" s="14"/>
      <c r="H499" s="14"/>
      <c r="I499" s="14"/>
      <c r="J499" s="14"/>
      <c r="K499" s="15"/>
      <c r="L499" s="15"/>
      <c r="M499" s="16" t="s">
        <v>10</v>
      </c>
    </row>
    <row r="500" spans="2:13" x14ac:dyDescent="0.25">
      <c r="B500" s="14"/>
      <c r="C500" s="14"/>
      <c r="D500" s="14"/>
      <c r="E500" s="14"/>
      <c r="F500" s="14"/>
      <c r="G500" s="14"/>
      <c r="H500" s="14"/>
      <c r="I500" s="14"/>
      <c r="J500" s="14"/>
      <c r="K500" s="15"/>
      <c r="L500" s="15"/>
      <c r="M500" s="16" t="s">
        <v>10</v>
      </c>
    </row>
    <row r="501" spans="2:13" x14ac:dyDescent="0.25">
      <c r="B501" s="14"/>
      <c r="C501" s="14"/>
      <c r="D501" s="14"/>
      <c r="E501" s="14"/>
      <c r="F501" s="14"/>
      <c r="G501" s="14"/>
      <c r="H501" s="14"/>
      <c r="I501" s="14"/>
      <c r="J501" s="14"/>
      <c r="K501" s="15"/>
      <c r="L501" s="15"/>
      <c r="M501" s="16" t="s">
        <v>10</v>
      </c>
    </row>
    <row r="502" spans="2:13" x14ac:dyDescent="0.25">
      <c r="B502" s="14"/>
      <c r="C502" s="14"/>
      <c r="D502" s="14"/>
      <c r="E502" s="14"/>
      <c r="F502" s="14"/>
      <c r="G502" s="14"/>
      <c r="H502" s="14"/>
      <c r="I502" s="14"/>
      <c r="J502" s="14"/>
      <c r="K502" s="15"/>
      <c r="L502" s="15"/>
      <c r="M502" s="16" t="s">
        <v>10</v>
      </c>
    </row>
    <row r="503" spans="2:13" x14ac:dyDescent="0.25">
      <c r="B503" s="14"/>
      <c r="C503" s="14"/>
      <c r="D503" s="14"/>
      <c r="E503" s="14"/>
      <c r="F503" s="14"/>
      <c r="G503" s="14"/>
      <c r="H503" s="14"/>
      <c r="I503" s="14"/>
      <c r="J503" s="14"/>
      <c r="K503" s="15"/>
      <c r="L503" s="15"/>
      <c r="M503" s="16" t="s">
        <v>10</v>
      </c>
    </row>
    <row r="504" spans="2:13" x14ac:dyDescent="0.25">
      <c r="B504" s="14"/>
      <c r="C504" s="14"/>
      <c r="D504" s="14"/>
      <c r="E504" s="14"/>
      <c r="F504" s="14"/>
      <c r="G504" s="14"/>
      <c r="H504" s="14"/>
      <c r="I504" s="14"/>
      <c r="J504" s="14"/>
      <c r="K504" s="15"/>
      <c r="L504" s="15"/>
      <c r="M504" s="16" t="s">
        <v>10</v>
      </c>
    </row>
    <row r="505" spans="2:13" x14ac:dyDescent="0.25">
      <c r="B505" s="14"/>
      <c r="C505" s="14"/>
      <c r="D505" s="14"/>
      <c r="E505" s="14"/>
      <c r="F505" s="14"/>
      <c r="G505" s="14"/>
      <c r="H505" s="14"/>
      <c r="I505" s="14"/>
      <c r="J505" s="14"/>
      <c r="K505" s="15"/>
      <c r="L505" s="15"/>
      <c r="M505" s="16" t="s">
        <v>10</v>
      </c>
    </row>
    <row r="506" spans="2:13" x14ac:dyDescent="0.25">
      <c r="B506" s="14"/>
      <c r="C506" s="14"/>
      <c r="D506" s="14"/>
      <c r="E506" s="14"/>
      <c r="F506" s="14"/>
      <c r="G506" s="14"/>
      <c r="H506" s="14"/>
      <c r="I506" s="14"/>
      <c r="J506" s="14"/>
      <c r="K506" s="15"/>
      <c r="L506" s="15"/>
      <c r="M506" s="16" t="s">
        <v>10</v>
      </c>
    </row>
    <row r="507" spans="2:13" x14ac:dyDescent="0.25">
      <c r="B507" s="14"/>
      <c r="C507" s="14"/>
      <c r="D507" s="14"/>
      <c r="E507" s="14"/>
      <c r="F507" s="14"/>
      <c r="G507" s="14"/>
      <c r="H507" s="14"/>
      <c r="I507" s="14"/>
      <c r="J507" s="14"/>
      <c r="K507" s="15"/>
      <c r="L507" s="15"/>
      <c r="M507" s="16" t="s">
        <v>10</v>
      </c>
    </row>
    <row r="508" spans="2:13" x14ac:dyDescent="0.25">
      <c r="B508" s="14"/>
      <c r="C508" s="14"/>
      <c r="D508" s="14"/>
      <c r="E508" s="14"/>
      <c r="F508" s="14"/>
      <c r="G508" s="14"/>
      <c r="H508" s="14"/>
      <c r="I508" s="14"/>
      <c r="J508" s="14"/>
      <c r="K508" s="15"/>
      <c r="L508" s="15"/>
      <c r="M508" s="16" t="s">
        <v>10</v>
      </c>
    </row>
    <row r="509" spans="2:13" x14ac:dyDescent="0.25">
      <c r="B509" s="14"/>
      <c r="C509" s="14"/>
      <c r="D509" s="14"/>
      <c r="E509" s="14"/>
      <c r="F509" s="14"/>
      <c r="G509" s="14"/>
      <c r="H509" s="14"/>
      <c r="I509" s="14"/>
      <c r="J509" s="14"/>
      <c r="K509" s="15"/>
      <c r="L509" s="15"/>
      <c r="M509" s="16" t="s">
        <v>10</v>
      </c>
    </row>
    <row r="510" spans="2:13" x14ac:dyDescent="0.25">
      <c r="B510" s="14"/>
      <c r="C510" s="14"/>
      <c r="D510" s="14"/>
      <c r="E510" s="14"/>
      <c r="F510" s="14"/>
      <c r="G510" s="14"/>
      <c r="H510" s="14"/>
      <c r="I510" s="14"/>
      <c r="J510" s="14"/>
      <c r="K510" s="15"/>
      <c r="L510" s="15"/>
      <c r="M510" s="16" t="s">
        <v>10</v>
      </c>
    </row>
    <row r="511" spans="2:13" x14ac:dyDescent="0.25">
      <c r="B511" s="14"/>
      <c r="C511" s="14"/>
      <c r="D511" s="14"/>
      <c r="E511" s="14"/>
      <c r="F511" s="14"/>
      <c r="G511" s="14"/>
      <c r="H511" s="14"/>
      <c r="I511" s="14"/>
      <c r="J511" s="14"/>
      <c r="K511" s="15"/>
      <c r="L511" s="15"/>
      <c r="M511" s="16" t="s">
        <v>10</v>
      </c>
    </row>
    <row r="512" spans="2:13" x14ac:dyDescent="0.25">
      <c r="B512" s="14"/>
      <c r="C512" s="14"/>
      <c r="D512" s="14"/>
      <c r="E512" s="14"/>
      <c r="F512" s="14"/>
      <c r="G512" s="14"/>
      <c r="H512" s="14"/>
      <c r="I512" s="14"/>
      <c r="J512" s="14"/>
      <c r="K512" s="15"/>
      <c r="L512" s="15"/>
      <c r="M512" s="16" t="s">
        <v>10</v>
      </c>
    </row>
    <row r="513" spans="2:13" x14ac:dyDescent="0.25">
      <c r="B513" s="14"/>
      <c r="C513" s="14"/>
      <c r="D513" s="14"/>
      <c r="E513" s="14"/>
      <c r="F513" s="14"/>
      <c r="G513" s="14"/>
      <c r="H513" s="14"/>
      <c r="I513" s="14"/>
      <c r="J513" s="14"/>
      <c r="K513" s="15"/>
      <c r="L513" s="15"/>
      <c r="M513" s="16" t="s">
        <v>10</v>
      </c>
    </row>
    <row r="514" spans="2:13" x14ac:dyDescent="0.25">
      <c r="B514" s="14"/>
      <c r="C514" s="14"/>
      <c r="D514" s="14"/>
      <c r="E514" s="14"/>
      <c r="F514" s="14"/>
      <c r="G514" s="14"/>
      <c r="H514" s="14"/>
      <c r="I514" s="14"/>
      <c r="J514" s="14"/>
      <c r="K514" s="15"/>
      <c r="L514" s="15"/>
      <c r="M514" s="16" t="s">
        <v>10</v>
      </c>
    </row>
    <row r="515" spans="2:13" x14ac:dyDescent="0.25">
      <c r="B515" s="14"/>
      <c r="C515" s="14"/>
      <c r="D515" s="14"/>
      <c r="E515" s="14"/>
      <c r="F515" s="14"/>
      <c r="G515" s="14"/>
      <c r="H515" s="14"/>
      <c r="I515" s="14"/>
      <c r="J515" s="14"/>
      <c r="K515" s="15"/>
      <c r="L515" s="15"/>
      <c r="M515" s="16" t="s">
        <v>10</v>
      </c>
    </row>
    <row r="516" spans="2:13" x14ac:dyDescent="0.25">
      <c r="B516" s="14"/>
      <c r="C516" s="14"/>
      <c r="D516" s="14"/>
      <c r="E516" s="14"/>
      <c r="F516" s="14"/>
      <c r="G516" s="14"/>
      <c r="H516" s="14"/>
      <c r="I516" s="14"/>
      <c r="J516" s="14"/>
      <c r="K516" s="15"/>
      <c r="L516" s="15"/>
      <c r="M516" s="16" t="s">
        <v>10</v>
      </c>
    </row>
    <row r="517" spans="2:13" x14ac:dyDescent="0.25">
      <c r="B517" s="14"/>
      <c r="C517" s="14"/>
      <c r="D517" s="14"/>
      <c r="E517" s="14"/>
      <c r="F517" s="14"/>
      <c r="G517" s="14"/>
      <c r="H517" s="14"/>
      <c r="I517" s="14"/>
      <c r="J517" s="14"/>
      <c r="K517" s="15"/>
      <c r="L517" s="15"/>
      <c r="M517" s="16" t="s">
        <v>10</v>
      </c>
    </row>
    <row r="518" spans="2:13" x14ac:dyDescent="0.25">
      <c r="B518" s="14"/>
      <c r="C518" s="14"/>
      <c r="D518" s="14"/>
      <c r="E518" s="14"/>
      <c r="F518" s="14"/>
      <c r="G518" s="14"/>
      <c r="H518" s="14"/>
      <c r="I518" s="14"/>
      <c r="J518" s="14"/>
      <c r="K518" s="15"/>
      <c r="L518" s="15"/>
      <c r="M518" s="16" t="s">
        <v>10</v>
      </c>
    </row>
    <row r="519" spans="2:13" x14ac:dyDescent="0.25">
      <c r="B519" s="14"/>
      <c r="C519" s="14"/>
      <c r="D519" s="14"/>
      <c r="E519" s="14"/>
      <c r="F519" s="14"/>
      <c r="G519" s="14"/>
      <c r="H519" s="14"/>
      <c r="I519" s="14"/>
      <c r="J519" s="14"/>
      <c r="K519" s="15"/>
      <c r="L519" s="15"/>
      <c r="M519" s="16" t="s">
        <v>10</v>
      </c>
    </row>
    <row r="520" spans="2:13" x14ac:dyDescent="0.25">
      <c r="B520" s="14"/>
      <c r="C520" s="14"/>
      <c r="D520" s="14"/>
      <c r="E520" s="14"/>
      <c r="F520" s="14"/>
      <c r="G520" s="14"/>
      <c r="H520" s="14"/>
      <c r="I520" s="14"/>
      <c r="J520" s="14"/>
      <c r="K520" s="15"/>
      <c r="L520" s="15"/>
      <c r="M520" s="16" t="s">
        <v>10</v>
      </c>
    </row>
    <row r="521" spans="2:13" x14ac:dyDescent="0.25">
      <c r="B521" s="14"/>
      <c r="C521" s="14"/>
      <c r="D521" s="14"/>
      <c r="E521" s="14"/>
      <c r="F521" s="14"/>
      <c r="G521" s="14"/>
      <c r="H521" s="14"/>
      <c r="I521" s="14"/>
      <c r="J521" s="14"/>
      <c r="K521" s="15"/>
      <c r="L521" s="15"/>
      <c r="M521" s="16" t="s">
        <v>10</v>
      </c>
    </row>
    <row r="522" spans="2:13" x14ac:dyDescent="0.25">
      <c r="B522" s="14"/>
      <c r="C522" s="14"/>
      <c r="D522" s="14"/>
      <c r="E522" s="14"/>
      <c r="F522" s="14"/>
      <c r="G522" s="14"/>
      <c r="H522" s="14"/>
      <c r="I522" s="14"/>
      <c r="J522" s="14"/>
      <c r="K522" s="15"/>
      <c r="L522" s="15"/>
      <c r="M522" s="16" t="s">
        <v>10</v>
      </c>
    </row>
    <row r="523" spans="2:13" x14ac:dyDescent="0.25">
      <c r="B523" s="14"/>
      <c r="C523" s="14"/>
      <c r="D523" s="14"/>
      <c r="E523" s="14"/>
      <c r="F523" s="14"/>
      <c r="G523" s="14"/>
      <c r="H523" s="14"/>
      <c r="I523" s="14"/>
      <c r="J523" s="14"/>
      <c r="K523" s="15"/>
      <c r="L523" s="15"/>
      <c r="M523" s="16" t="s">
        <v>10</v>
      </c>
    </row>
    <row r="524" spans="2:13" x14ac:dyDescent="0.25">
      <c r="B524" s="14"/>
      <c r="C524" s="14"/>
      <c r="D524" s="14"/>
      <c r="E524" s="14"/>
      <c r="F524" s="14"/>
      <c r="G524" s="14"/>
      <c r="H524" s="14"/>
      <c r="I524" s="14"/>
      <c r="J524" s="14"/>
      <c r="K524" s="15"/>
      <c r="L524" s="15"/>
      <c r="M524" s="16" t="s">
        <v>10</v>
      </c>
    </row>
    <row r="525" spans="2:13" x14ac:dyDescent="0.25">
      <c r="B525" s="14"/>
      <c r="C525" s="14"/>
      <c r="D525" s="14"/>
      <c r="E525" s="14"/>
      <c r="F525" s="14"/>
      <c r="G525" s="14"/>
      <c r="H525" s="14"/>
      <c r="I525" s="14"/>
      <c r="J525" s="14"/>
      <c r="K525" s="15"/>
      <c r="L525" s="15"/>
      <c r="M525" s="16" t="s">
        <v>10</v>
      </c>
    </row>
    <row r="526" spans="2:13" x14ac:dyDescent="0.25">
      <c r="B526" s="14"/>
      <c r="C526" s="14"/>
      <c r="D526" s="14"/>
      <c r="E526" s="14"/>
      <c r="F526" s="14"/>
      <c r="G526" s="14"/>
      <c r="H526" s="14"/>
      <c r="I526" s="14"/>
      <c r="J526" s="14"/>
      <c r="K526" s="15"/>
      <c r="L526" s="15"/>
      <c r="M526" s="16" t="s">
        <v>10</v>
      </c>
    </row>
    <row r="527" spans="2:13" x14ac:dyDescent="0.25">
      <c r="B527" s="14"/>
      <c r="C527" s="14"/>
      <c r="D527" s="14"/>
      <c r="E527" s="14"/>
      <c r="F527" s="14"/>
      <c r="G527" s="14"/>
      <c r="H527" s="14"/>
      <c r="I527" s="14"/>
      <c r="J527" s="14"/>
      <c r="K527" s="15"/>
      <c r="L527" s="15"/>
      <c r="M527" s="16" t="s">
        <v>10</v>
      </c>
    </row>
    <row r="528" spans="2:13" x14ac:dyDescent="0.25">
      <c r="B528" s="14"/>
      <c r="C528" s="14"/>
      <c r="D528" s="14"/>
      <c r="E528" s="14"/>
      <c r="F528" s="14"/>
      <c r="G528" s="14"/>
      <c r="H528" s="14"/>
      <c r="I528" s="14"/>
      <c r="J528" s="14"/>
      <c r="K528" s="15"/>
      <c r="L528" s="15"/>
      <c r="M528" s="16" t="s">
        <v>10</v>
      </c>
    </row>
    <row r="529" spans="2:13" x14ac:dyDescent="0.25">
      <c r="B529" s="14"/>
      <c r="C529" s="14"/>
      <c r="D529" s="14"/>
      <c r="E529" s="14"/>
      <c r="F529" s="14"/>
      <c r="G529" s="14"/>
      <c r="H529" s="14"/>
      <c r="I529" s="14"/>
      <c r="J529" s="14"/>
      <c r="K529" s="15"/>
      <c r="L529" s="15"/>
      <c r="M529" s="16" t="s">
        <v>10</v>
      </c>
    </row>
    <row r="530" spans="2:13" x14ac:dyDescent="0.25">
      <c r="B530" s="14"/>
      <c r="C530" s="14"/>
      <c r="D530" s="14"/>
      <c r="E530" s="14"/>
      <c r="F530" s="14"/>
      <c r="G530" s="14"/>
      <c r="H530" s="14"/>
      <c r="I530" s="14"/>
      <c r="J530" s="14"/>
      <c r="K530" s="15"/>
      <c r="L530" s="15"/>
      <c r="M530" s="16" t="s">
        <v>10</v>
      </c>
    </row>
    <row r="531" spans="2:13" x14ac:dyDescent="0.25">
      <c r="B531" s="14"/>
      <c r="C531" s="14"/>
      <c r="D531" s="14"/>
      <c r="E531" s="14"/>
      <c r="F531" s="14"/>
      <c r="G531" s="14"/>
      <c r="H531" s="14"/>
      <c r="I531" s="14"/>
      <c r="J531" s="14"/>
      <c r="K531" s="15"/>
      <c r="L531" s="15"/>
      <c r="M531" s="16" t="s">
        <v>10</v>
      </c>
    </row>
    <row r="532" spans="2:13" x14ac:dyDescent="0.25">
      <c r="B532" s="14"/>
      <c r="C532" s="14"/>
      <c r="D532" s="14"/>
      <c r="E532" s="14"/>
      <c r="F532" s="14"/>
      <c r="G532" s="14"/>
      <c r="H532" s="14"/>
      <c r="I532" s="14"/>
      <c r="J532" s="14"/>
      <c r="K532" s="15"/>
      <c r="L532" s="15"/>
      <c r="M532" s="16" t="s">
        <v>10</v>
      </c>
    </row>
    <row r="533" spans="2:13" x14ac:dyDescent="0.25">
      <c r="B533" s="14"/>
      <c r="C533" s="14"/>
      <c r="D533" s="14"/>
      <c r="E533" s="14"/>
      <c r="F533" s="14"/>
      <c r="G533" s="14"/>
      <c r="H533" s="14"/>
      <c r="I533" s="14"/>
      <c r="J533" s="14"/>
      <c r="K533" s="15"/>
      <c r="L533" s="15"/>
      <c r="M533" s="16" t="s">
        <v>10</v>
      </c>
    </row>
    <row r="534" spans="2:13" x14ac:dyDescent="0.25">
      <c r="B534" s="14"/>
      <c r="C534" s="14"/>
      <c r="D534" s="14"/>
      <c r="E534" s="14"/>
      <c r="F534" s="14"/>
      <c r="G534" s="14"/>
      <c r="H534" s="14"/>
      <c r="I534" s="14"/>
      <c r="J534" s="14"/>
      <c r="K534" s="15"/>
      <c r="L534" s="15"/>
      <c r="M534" s="16" t="s">
        <v>10</v>
      </c>
    </row>
    <row r="535" spans="2:13" x14ac:dyDescent="0.25">
      <c r="B535" s="14"/>
      <c r="C535" s="14"/>
      <c r="D535" s="14"/>
      <c r="E535" s="14"/>
      <c r="F535" s="14"/>
      <c r="G535" s="14"/>
      <c r="H535" s="14"/>
      <c r="I535" s="14"/>
      <c r="J535" s="14"/>
      <c r="K535" s="15"/>
      <c r="L535" s="15"/>
      <c r="M535" s="16" t="s">
        <v>10</v>
      </c>
    </row>
    <row r="536" spans="2:13" x14ac:dyDescent="0.25">
      <c r="B536" s="14"/>
      <c r="C536" s="14"/>
      <c r="D536" s="14"/>
      <c r="E536" s="14"/>
      <c r="F536" s="14"/>
      <c r="G536" s="14"/>
      <c r="H536" s="14"/>
      <c r="I536" s="14"/>
      <c r="J536" s="14"/>
      <c r="K536" s="15"/>
      <c r="L536" s="15"/>
      <c r="M536" s="16" t="s">
        <v>10</v>
      </c>
    </row>
    <row r="537" spans="2:13" x14ac:dyDescent="0.25">
      <c r="B537" s="14"/>
      <c r="C537" s="14"/>
      <c r="D537" s="14"/>
      <c r="E537" s="14"/>
      <c r="F537" s="14"/>
      <c r="G537" s="14"/>
      <c r="H537" s="14"/>
      <c r="I537" s="14"/>
      <c r="J537" s="14"/>
      <c r="K537" s="15"/>
      <c r="L537" s="15"/>
      <c r="M537" s="16" t="s">
        <v>10</v>
      </c>
    </row>
    <row r="538" spans="2:13" x14ac:dyDescent="0.25">
      <c r="B538" s="14"/>
      <c r="C538" s="14"/>
      <c r="D538" s="14"/>
      <c r="E538" s="14"/>
      <c r="F538" s="14"/>
      <c r="G538" s="14"/>
      <c r="H538" s="14"/>
      <c r="I538" s="14"/>
      <c r="J538" s="14"/>
      <c r="K538" s="15"/>
      <c r="L538" s="15"/>
      <c r="M538" s="16" t="s">
        <v>10</v>
      </c>
    </row>
    <row r="539" spans="2:13" x14ac:dyDescent="0.25">
      <c r="B539" s="14"/>
      <c r="C539" s="14"/>
      <c r="D539" s="14"/>
      <c r="E539" s="14"/>
      <c r="F539" s="14"/>
      <c r="G539" s="14"/>
      <c r="H539" s="14"/>
      <c r="I539" s="14"/>
      <c r="J539" s="14"/>
      <c r="K539" s="15"/>
      <c r="L539" s="15"/>
      <c r="M539" s="16" t="s">
        <v>10</v>
      </c>
    </row>
    <row r="540" spans="2:13" x14ac:dyDescent="0.25">
      <c r="B540" s="14"/>
      <c r="C540" s="14"/>
      <c r="D540" s="14"/>
      <c r="E540" s="14"/>
      <c r="F540" s="14"/>
      <c r="G540" s="14"/>
      <c r="H540" s="14"/>
      <c r="I540" s="14"/>
      <c r="J540" s="14"/>
      <c r="K540" s="15"/>
      <c r="L540" s="15"/>
      <c r="M540" s="16" t="s">
        <v>10</v>
      </c>
    </row>
    <row r="541" spans="2:13" x14ac:dyDescent="0.25">
      <c r="B541" s="14"/>
      <c r="C541" s="14"/>
      <c r="D541" s="14"/>
      <c r="E541" s="14"/>
      <c r="F541" s="14"/>
      <c r="G541" s="14"/>
      <c r="H541" s="14"/>
      <c r="I541" s="14"/>
      <c r="J541" s="14"/>
      <c r="K541" s="15"/>
      <c r="L541" s="15"/>
      <c r="M541" s="16" t="s">
        <v>10</v>
      </c>
    </row>
    <row r="542" spans="2:13" x14ac:dyDescent="0.25">
      <c r="B542" s="14"/>
      <c r="C542" s="14"/>
      <c r="D542" s="14"/>
      <c r="E542" s="14"/>
      <c r="F542" s="14"/>
      <c r="G542" s="14"/>
      <c r="H542" s="14"/>
      <c r="I542" s="14"/>
      <c r="J542" s="14"/>
      <c r="K542" s="15"/>
      <c r="L542" s="15"/>
      <c r="M542" s="16" t="s">
        <v>10</v>
      </c>
    </row>
    <row r="543" spans="2:13" x14ac:dyDescent="0.25">
      <c r="B543" s="14"/>
      <c r="C543" s="14"/>
      <c r="D543" s="14"/>
      <c r="E543" s="14"/>
      <c r="F543" s="14"/>
      <c r="G543" s="14"/>
      <c r="H543" s="14"/>
      <c r="I543" s="14"/>
      <c r="J543" s="14"/>
      <c r="K543" s="15"/>
      <c r="L543" s="15"/>
      <c r="M543" s="16" t="s">
        <v>10</v>
      </c>
    </row>
    <row r="544" spans="2:13" x14ac:dyDescent="0.25">
      <c r="B544" s="14"/>
      <c r="C544" s="14"/>
      <c r="D544" s="14"/>
      <c r="E544" s="14"/>
      <c r="F544" s="14"/>
      <c r="G544" s="14"/>
      <c r="H544" s="14"/>
      <c r="I544" s="14"/>
      <c r="J544" s="14"/>
      <c r="K544" s="15"/>
      <c r="L544" s="15"/>
      <c r="M544" s="16" t="s">
        <v>10</v>
      </c>
    </row>
    <row r="545" spans="2:13" x14ac:dyDescent="0.25">
      <c r="B545" s="14"/>
      <c r="C545" s="14"/>
      <c r="D545" s="14"/>
      <c r="E545" s="14"/>
      <c r="F545" s="14"/>
      <c r="G545" s="14"/>
      <c r="H545" s="14"/>
      <c r="I545" s="14"/>
      <c r="J545" s="14"/>
      <c r="K545" s="15"/>
      <c r="L545" s="15"/>
      <c r="M545" s="16" t="s">
        <v>10</v>
      </c>
    </row>
    <row r="546" spans="2:13" x14ac:dyDescent="0.25">
      <c r="B546" s="14"/>
      <c r="C546" s="14"/>
      <c r="D546" s="14"/>
      <c r="E546" s="14"/>
      <c r="F546" s="14"/>
      <c r="G546" s="14"/>
      <c r="H546" s="14"/>
      <c r="I546" s="14"/>
      <c r="J546" s="14"/>
      <c r="K546" s="15"/>
      <c r="L546" s="15"/>
      <c r="M546" s="16" t="s">
        <v>10</v>
      </c>
    </row>
    <row r="547" spans="2:13" x14ac:dyDescent="0.25">
      <c r="B547" s="14"/>
      <c r="C547" s="14"/>
      <c r="D547" s="14"/>
      <c r="E547" s="14"/>
      <c r="F547" s="14"/>
      <c r="G547" s="14"/>
      <c r="H547" s="14"/>
      <c r="I547" s="14"/>
      <c r="J547" s="14"/>
      <c r="K547" s="15"/>
      <c r="L547" s="15"/>
      <c r="M547" s="16" t="s">
        <v>10</v>
      </c>
    </row>
    <row r="548" spans="2:13" x14ac:dyDescent="0.25">
      <c r="B548" s="14"/>
      <c r="C548" s="14"/>
      <c r="D548" s="14"/>
      <c r="E548" s="14"/>
      <c r="F548" s="14"/>
      <c r="G548" s="14"/>
      <c r="H548" s="14"/>
      <c r="I548" s="14"/>
      <c r="J548" s="14"/>
      <c r="K548" s="15"/>
      <c r="L548" s="15"/>
      <c r="M548" s="16" t="s">
        <v>10</v>
      </c>
    </row>
    <row r="549" spans="2:13" x14ac:dyDescent="0.25">
      <c r="B549" s="14"/>
      <c r="C549" s="14"/>
      <c r="D549" s="14"/>
      <c r="E549" s="14"/>
      <c r="F549" s="14"/>
      <c r="G549" s="14"/>
      <c r="H549" s="14"/>
      <c r="I549" s="14"/>
      <c r="J549" s="14"/>
      <c r="K549" s="15"/>
      <c r="L549" s="15"/>
      <c r="M549" s="16" t="s">
        <v>10</v>
      </c>
    </row>
    <row r="550" spans="2:13" x14ac:dyDescent="0.25">
      <c r="B550" s="14"/>
      <c r="C550" s="14"/>
      <c r="D550" s="14"/>
      <c r="E550" s="14"/>
      <c r="F550" s="14"/>
      <c r="G550" s="14"/>
      <c r="H550" s="14"/>
      <c r="I550" s="14"/>
      <c r="J550" s="14"/>
      <c r="K550" s="15"/>
      <c r="L550" s="15"/>
      <c r="M550" s="16" t="s">
        <v>10</v>
      </c>
    </row>
    <row r="551" spans="2:13" x14ac:dyDescent="0.25">
      <c r="B551" s="14"/>
      <c r="C551" s="14"/>
      <c r="D551" s="14"/>
      <c r="E551" s="14"/>
      <c r="F551" s="14"/>
      <c r="G551" s="14"/>
      <c r="H551" s="14"/>
      <c r="I551" s="14"/>
      <c r="J551" s="14"/>
      <c r="K551" s="15"/>
      <c r="L551" s="15"/>
      <c r="M551" s="16" t="s">
        <v>10</v>
      </c>
    </row>
    <row r="552" spans="2:13" x14ac:dyDescent="0.25">
      <c r="B552" s="14"/>
      <c r="C552" s="14"/>
      <c r="D552" s="14"/>
      <c r="E552" s="14"/>
      <c r="F552" s="14"/>
      <c r="G552" s="14"/>
      <c r="H552" s="14"/>
      <c r="I552" s="14"/>
      <c r="J552" s="14"/>
      <c r="K552" s="15"/>
      <c r="L552" s="15"/>
      <c r="M552" s="16" t="s">
        <v>10</v>
      </c>
    </row>
    <row r="553" spans="2:13" x14ac:dyDescent="0.25">
      <c r="B553" s="14"/>
      <c r="C553" s="14"/>
      <c r="D553" s="14"/>
      <c r="E553" s="14"/>
      <c r="F553" s="14"/>
      <c r="G553" s="14"/>
      <c r="H553" s="14"/>
      <c r="I553" s="14"/>
      <c r="J553" s="14"/>
      <c r="K553" s="15"/>
      <c r="L553" s="15"/>
      <c r="M553" s="16" t="s">
        <v>10</v>
      </c>
    </row>
    <row r="554" spans="2:13" x14ac:dyDescent="0.25">
      <c r="B554" s="14"/>
      <c r="C554" s="14"/>
      <c r="D554" s="14"/>
      <c r="E554" s="14"/>
      <c r="F554" s="14"/>
      <c r="G554" s="14"/>
      <c r="H554" s="14"/>
      <c r="I554" s="14"/>
      <c r="J554" s="14"/>
      <c r="K554" s="15"/>
      <c r="L554" s="15"/>
      <c r="M554" s="16" t="s">
        <v>10</v>
      </c>
    </row>
    <row r="555" spans="2:13" x14ac:dyDescent="0.25">
      <c r="B555" s="14"/>
      <c r="C555" s="14"/>
      <c r="D555" s="14"/>
      <c r="E555" s="14"/>
      <c r="F555" s="14"/>
      <c r="G555" s="14"/>
      <c r="H555" s="14"/>
      <c r="I555" s="14"/>
      <c r="J555" s="14"/>
      <c r="K555" s="15"/>
      <c r="L555" s="15"/>
      <c r="M555" s="16" t="s">
        <v>10</v>
      </c>
    </row>
    <row r="556" spans="2:13" x14ac:dyDescent="0.25">
      <c r="B556" s="14"/>
      <c r="C556" s="14"/>
      <c r="D556" s="14"/>
      <c r="E556" s="14"/>
      <c r="F556" s="14"/>
      <c r="G556" s="14"/>
      <c r="H556" s="14"/>
      <c r="I556" s="14"/>
      <c r="J556" s="14"/>
      <c r="K556" s="15"/>
      <c r="L556" s="15"/>
      <c r="M556" s="16" t="s">
        <v>10</v>
      </c>
    </row>
    <row r="557" spans="2:13" x14ac:dyDescent="0.25">
      <c r="B557" s="14"/>
      <c r="C557" s="14"/>
      <c r="D557" s="14"/>
      <c r="E557" s="14"/>
      <c r="F557" s="14"/>
      <c r="G557" s="14"/>
      <c r="H557" s="14"/>
      <c r="I557" s="14"/>
      <c r="J557" s="14"/>
      <c r="K557" s="15"/>
      <c r="L557" s="15"/>
      <c r="M557" s="16" t="s">
        <v>10</v>
      </c>
    </row>
    <row r="558" spans="2:13" x14ac:dyDescent="0.25">
      <c r="B558" s="14"/>
      <c r="C558" s="14"/>
      <c r="D558" s="14"/>
      <c r="E558" s="14"/>
      <c r="F558" s="14"/>
      <c r="G558" s="14"/>
      <c r="H558" s="14"/>
      <c r="I558" s="14"/>
      <c r="J558" s="14"/>
      <c r="K558" s="15"/>
      <c r="L558" s="15"/>
      <c r="M558" s="16" t="s">
        <v>10</v>
      </c>
    </row>
    <row r="559" spans="2:13" x14ac:dyDescent="0.25">
      <c r="B559" s="14"/>
      <c r="C559" s="14"/>
      <c r="D559" s="14"/>
      <c r="E559" s="14"/>
      <c r="F559" s="14"/>
      <c r="G559" s="14"/>
      <c r="H559" s="14"/>
      <c r="I559" s="14"/>
      <c r="J559" s="14"/>
      <c r="K559" s="15"/>
      <c r="L559" s="15"/>
      <c r="M559" s="16" t="s">
        <v>10</v>
      </c>
    </row>
    <row r="560" spans="2:13" x14ac:dyDescent="0.25">
      <c r="B560" s="14"/>
      <c r="C560" s="14"/>
      <c r="D560" s="14"/>
      <c r="E560" s="14"/>
      <c r="F560" s="14"/>
      <c r="G560" s="14"/>
      <c r="H560" s="14"/>
      <c r="I560" s="14"/>
      <c r="J560" s="14"/>
      <c r="K560" s="15"/>
      <c r="L560" s="15"/>
      <c r="M560" s="16" t="s">
        <v>10</v>
      </c>
    </row>
    <row r="561" spans="2:13" x14ac:dyDescent="0.25">
      <c r="B561" s="14"/>
      <c r="C561" s="14"/>
      <c r="D561" s="14"/>
      <c r="E561" s="14"/>
      <c r="F561" s="14"/>
      <c r="G561" s="14"/>
      <c r="H561" s="14"/>
      <c r="I561" s="14"/>
      <c r="J561" s="14"/>
      <c r="K561" s="15"/>
      <c r="L561" s="15"/>
      <c r="M561" s="16" t="s">
        <v>10</v>
      </c>
    </row>
    <row r="562" spans="2:13" x14ac:dyDescent="0.25">
      <c r="B562" s="14"/>
      <c r="C562" s="14"/>
      <c r="D562" s="14"/>
      <c r="E562" s="14"/>
      <c r="F562" s="14"/>
      <c r="G562" s="14"/>
      <c r="H562" s="14"/>
      <c r="I562" s="14"/>
      <c r="J562" s="14"/>
      <c r="K562" s="15"/>
      <c r="L562" s="15"/>
      <c r="M562" s="16" t="s">
        <v>10</v>
      </c>
    </row>
    <row r="563" spans="2:13" x14ac:dyDescent="0.25">
      <c r="B563" s="14"/>
      <c r="C563" s="14"/>
      <c r="D563" s="14"/>
      <c r="E563" s="14"/>
      <c r="F563" s="14"/>
      <c r="G563" s="14"/>
      <c r="H563" s="14"/>
      <c r="I563" s="14"/>
      <c r="J563" s="14"/>
      <c r="K563" s="15"/>
      <c r="L563" s="15"/>
      <c r="M563" s="16" t="s">
        <v>10</v>
      </c>
    </row>
    <row r="564" spans="2:13" x14ac:dyDescent="0.25">
      <c r="B564" s="14"/>
      <c r="C564" s="14"/>
      <c r="D564" s="14"/>
      <c r="E564" s="14"/>
      <c r="F564" s="14"/>
      <c r="G564" s="14"/>
      <c r="H564" s="14"/>
      <c r="I564" s="14"/>
      <c r="J564" s="14"/>
      <c r="K564" s="15"/>
      <c r="L564" s="15"/>
      <c r="M564" s="16" t="s">
        <v>10</v>
      </c>
    </row>
    <row r="565" spans="2:13" x14ac:dyDescent="0.25">
      <c r="B565" s="14"/>
      <c r="C565" s="14"/>
      <c r="D565" s="14"/>
      <c r="E565" s="14"/>
      <c r="F565" s="14"/>
      <c r="G565" s="14"/>
      <c r="H565" s="14"/>
      <c r="I565" s="14"/>
      <c r="J565" s="14"/>
      <c r="K565" s="15"/>
      <c r="L565" s="15"/>
      <c r="M565" s="16" t="s">
        <v>10</v>
      </c>
    </row>
    <row r="566" spans="2:13" x14ac:dyDescent="0.25">
      <c r="B566" s="14"/>
      <c r="C566" s="14"/>
      <c r="D566" s="14"/>
      <c r="E566" s="14"/>
      <c r="F566" s="14"/>
      <c r="G566" s="14"/>
      <c r="H566" s="14"/>
      <c r="I566" s="14"/>
      <c r="J566" s="14"/>
      <c r="K566" s="15"/>
      <c r="L566" s="15"/>
      <c r="M566" s="16" t="s">
        <v>10</v>
      </c>
    </row>
    <row r="567" spans="2:13" x14ac:dyDescent="0.25">
      <c r="B567" s="14"/>
      <c r="C567" s="14"/>
      <c r="D567" s="14"/>
      <c r="E567" s="14"/>
      <c r="F567" s="14"/>
      <c r="G567" s="14"/>
      <c r="H567" s="14"/>
      <c r="I567" s="14"/>
      <c r="J567" s="14"/>
      <c r="K567" s="15"/>
      <c r="L567" s="15"/>
      <c r="M567" s="16" t="s">
        <v>10</v>
      </c>
    </row>
    <row r="568" spans="2:13" x14ac:dyDescent="0.25">
      <c r="B568" s="14"/>
      <c r="C568" s="14"/>
      <c r="D568" s="14"/>
      <c r="E568" s="14"/>
      <c r="F568" s="14"/>
      <c r="G568" s="14"/>
      <c r="H568" s="14"/>
      <c r="I568" s="14"/>
      <c r="J568" s="14"/>
      <c r="K568" s="15"/>
      <c r="L568" s="15"/>
      <c r="M568" s="16" t="s">
        <v>10</v>
      </c>
    </row>
    <row r="569" spans="2:13" x14ac:dyDescent="0.25">
      <c r="B569" s="14"/>
      <c r="C569" s="14"/>
      <c r="D569" s="14"/>
      <c r="E569" s="14"/>
      <c r="F569" s="14"/>
      <c r="G569" s="14"/>
      <c r="H569" s="14"/>
      <c r="I569" s="14"/>
      <c r="J569" s="14"/>
      <c r="K569" s="15"/>
      <c r="L569" s="15"/>
      <c r="M569" s="16" t="s">
        <v>10</v>
      </c>
    </row>
    <row r="570" spans="2:13" x14ac:dyDescent="0.25">
      <c r="B570" s="14"/>
      <c r="C570" s="14"/>
      <c r="D570" s="14"/>
      <c r="E570" s="14"/>
      <c r="F570" s="14"/>
      <c r="G570" s="14"/>
      <c r="H570" s="14"/>
      <c r="I570" s="14"/>
      <c r="J570" s="14"/>
      <c r="K570" s="15"/>
      <c r="L570" s="15"/>
      <c r="M570" s="16" t="s">
        <v>10</v>
      </c>
    </row>
    <row r="571" spans="2:13" x14ac:dyDescent="0.25">
      <c r="B571" s="14"/>
      <c r="C571" s="14"/>
      <c r="D571" s="14"/>
      <c r="E571" s="14"/>
      <c r="F571" s="14"/>
      <c r="G571" s="14"/>
      <c r="H571" s="14"/>
      <c r="I571" s="14"/>
      <c r="J571" s="14"/>
      <c r="K571" s="15"/>
      <c r="L571" s="15"/>
      <c r="M571" s="16" t="s">
        <v>10</v>
      </c>
    </row>
    <row r="572" spans="2:13" x14ac:dyDescent="0.25">
      <c r="B572" s="14"/>
      <c r="C572" s="14"/>
      <c r="D572" s="14"/>
      <c r="E572" s="14"/>
      <c r="F572" s="14"/>
      <c r="G572" s="14"/>
      <c r="H572" s="14"/>
      <c r="I572" s="14"/>
      <c r="J572" s="14"/>
      <c r="K572" s="15"/>
      <c r="L572" s="15"/>
      <c r="M572" s="16" t="s">
        <v>10</v>
      </c>
    </row>
    <row r="573" spans="2:13" x14ac:dyDescent="0.25">
      <c r="B573" s="14"/>
      <c r="C573" s="14"/>
      <c r="D573" s="14"/>
      <c r="E573" s="14"/>
      <c r="F573" s="14"/>
      <c r="G573" s="14"/>
      <c r="H573" s="14"/>
      <c r="I573" s="14"/>
      <c r="J573" s="14"/>
      <c r="K573" s="15"/>
      <c r="L573" s="15"/>
      <c r="M573" s="16" t="s">
        <v>10</v>
      </c>
    </row>
    <row r="574" spans="2:13" x14ac:dyDescent="0.25">
      <c r="B574" s="14"/>
      <c r="C574" s="14"/>
      <c r="D574" s="14"/>
      <c r="E574" s="14"/>
      <c r="F574" s="14"/>
      <c r="G574" s="14"/>
      <c r="H574" s="14"/>
      <c r="I574" s="14"/>
      <c r="J574" s="14"/>
      <c r="K574" s="15"/>
      <c r="L574" s="15"/>
      <c r="M574" s="16" t="s">
        <v>10</v>
      </c>
    </row>
    <row r="575" spans="2:13" x14ac:dyDescent="0.25">
      <c r="B575" s="14"/>
      <c r="C575" s="14"/>
      <c r="D575" s="14"/>
      <c r="E575" s="14"/>
      <c r="F575" s="14"/>
      <c r="G575" s="14"/>
      <c r="H575" s="14"/>
      <c r="I575" s="14"/>
      <c r="J575" s="14"/>
      <c r="K575" s="15"/>
      <c r="L575" s="15"/>
      <c r="M575" s="16" t="s">
        <v>10</v>
      </c>
    </row>
    <row r="576" spans="2:13" x14ac:dyDescent="0.25">
      <c r="B576" s="14"/>
      <c r="C576" s="14"/>
      <c r="D576" s="14"/>
      <c r="E576" s="14"/>
      <c r="F576" s="14"/>
      <c r="G576" s="14"/>
      <c r="H576" s="14"/>
      <c r="I576" s="14"/>
      <c r="J576" s="14"/>
      <c r="K576" s="15"/>
      <c r="L576" s="15"/>
      <c r="M576" s="16" t="s">
        <v>10</v>
      </c>
    </row>
    <row r="577" spans="2:13" x14ac:dyDescent="0.25">
      <c r="B577" s="14"/>
      <c r="C577" s="14"/>
      <c r="D577" s="14"/>
      <c r="E577" s="14"/>
      <c r="F577" s="14"/>
      <c r="G577" s="14"/>
      <c r="H577" s="14"/>
      <c r="I577" s="14"/>
      <c r="J577" s="14"/>
      <c r="K577" s="15"/>
      <c r="L577" s="15"/>
      <c r="M577" s="16" t="s">
        <v>10</v>
      </c>
    </row>
    <row r="578" spans="2:13" x14ac:dyDescent="0.25">
      <c r="B578" s="14"/>
      <c r="C578" s="14"/>
      <c r="D578" s="14"/>
      <c r="E578" s="14"/>
      <c r="F578" s="14"/>
      <c r="G578" s="14"/>
      <c r="H578" s="14"/>
      <c r="I578" s="14"/>
      <c r="J578" s="14"/>
      <c r="K578" s="15"/>
      <c r="L578" s="15"/>
      <c r="M578" s="16" t="s">
        <v>10</v>
      </c>
    </row>
    <row r="579" spans="2:13" x14ac:dyDescent="0.25">
      <c r="B579" s="14"/>
      <c r="C579" s="14"/>
      <c r="D579" s="14"/>
      <c r="E579" s="14"/>
      <c r="F579" s="14"/>
      <c r="G579" s="14"/>
      <c r="H579" s="14"/>
      <c r="I579" s="14"/>
      <c r="J579" s="14"/>
      <c r="K579" s="15"/>
      <c r="L579" s="15"/>
      <c r="M579" s="16" t="s">
        <v>10</v>
      </c>
    </row>
    <row r="580" spans="2:13" x14ac:dyDescent="0.25">
      <c r="B580" s="14"/>
      <c r="C580" s="14"/>
      <c r="D580" s="14"/>
      <c r="E580" s="14"/>
      <c r="F580" s="14"/>
      <c r="G580" s="14"/>
      <c r="H580" s="14"/>
      <c r="I580" s="14"/>
      <c r="J580" s="14"/>
      <c r="K580" s="15"/>
      <c r="L580" s="15"/>
      <c r="M580" s="16" t="s">
        <v>10</v>
      </c>
    </row>
    <row r="581" spans="2:13" x14ac:dyDescent="0.25">
      <c r="B581" s="14"/>
      <c r="C581" s="14"/>
      <c r="D581" s="14"/>
      <c r="E581" s="14"/>
      <c r="F581" s="14"/>
      <c r="G581" s="14"/>
      <c r="H581" s="14"/>
      <c r="I581" s="14"/>
      <c r="J581" s="14"/>
      <c r="K581" s="15"/>
      <c r="L581" s="15"/>
      <c r="M581" s="16" t="s">
        <v>10</v>
      </c>
    </row>
    <row r="582" spans="2:13" x14ac:dyDescent="0.25">
      <c r="B582" s="14"/>
      <c r="C582" s="14"/>
      <c r="D582" s="14"/>
      <c r="E582" s="14"/>
      <c r="F582" s="14"/>
      <c r="G582" s="14"/>
      <c r="H582" s="14"/>
      <c r="I582" s="14"/>
      <c r="J582" s="14"/>
      <c r="K582" s="15"/>
      <c r="L582" s="15"/>
      <c r="M582" s="16" t="s">
        <v>10</v>
      </c>
    </row>
    <row r="583" spans="2:13" x14ac:dyDescent="0.25">
      <c r="B583" s="14"/>
      <c r="C583" s="14"/>
      <c r="D583" s="14"/>
      <c r="E583" s="14"/>
      <c r="F583" s="14"/>
      <c r="G583" s="14"/>
      <c r="H583" s="14"/>
      <c r="I583" s="14"/>
      <c r="J583" s="14"/>
      <c r="K583" s="15"/>
      <c r="L583" s="15"/>
      <c r="M583" s="16" t="s">
        <v>10</v>
      </c>
    </row>
    <row r="584" spans="2:13" x14ac:dyDescent="0.25">
      <c r="B584" s="14"/>
      <c r="C584" s="14"/>
      <c r="D584" s="14"/>
      <c r="E584" s="14"/>
      <c r="F584" s="14"/>
      <c r="G584" s="14"/>
      <c r="H584" s="14"/>
      <c r="I584" s="14"/>
      <c r="J584" s="14"/>
      <c r="K584" s="15"/>
      <c r="L584" s="15"/>
      <c r="M584" s="16" t="s">
        <v>10</v>
      </c>
    </row>
    <row r="585" spans="2:13" x14ac:dyDescent="0.25">
      <c r="B585" s="14"/>
      <c r="C585" s="14"/>
      <c r="D585" s="14"/>
      <c r="E585" s="14"/>
      <c r="F585" s="14"/>
      <c r="G585" s="14"/>
      <c r="H585" s="14"/>
      <c r="I585" s="14"/>
      <c r="J585" s="14"/>
      <c r="K585" s="15"/>
      <c r="L585" s="15"/>
      <c r="M585" s="16" t="s">
        <v>10</v>
      </c>
    </row>
    <row r="586" spans="2:13" x14ac:dyDescent="0.25">
      <c r="B586" s="14"/>
      <c r="C586" s="14"/>
      <c r="D586" s="14"/>
      <c r="E586" s="14"/>
      <c r="F586" s="14"/>
      <c r="G586" s="14"/>
      <c r="H586" s="14"/>
      <c r="I586" s="14"/>
      <c r="J586" s="14"/>
      <c r="K586" s="15"/>
      <c r="L586" s="15"/>
      <c r="M586" s="16" t="s">
        <v>10</v>
      </c>
    </row>
    <row r="587" spans="2:13" x14ac:dyDescent="0.25">
      <c r="B587" s="14"/>
      <c r="C587" s="14"/>
      <c r="D587" s="14"/>
      <c r="E587" s="14"/>
      <c r="F587" s="14"/>
      <c r="G587" s="14"/>
      <c r="H587" s="14"/>
      <c r="I587" s="14"/>
      <c r="J587" s="14"/>
      <c r="K587" s="15"/>
      <c r="L587" s="15"/>
      <c r="M587" s="16" t="s">
        <v>10</v>
      </c>
    </row>
    <row r="588" spans="2:13" x14ac:dyDescent="0.25">
      <c r="B588" s="14"/>
      <c r="C588" s="14"/>
      <c r="D588" s="14"/>
      <c r="E588" s="14"/>
      <c r="F588" s="14"/>
      <c r="G588" s="14"/>
      <c r="H588" s="14"/>
      <c r="I588" s="14"/>
      <c r="J588" s="14"/>
      <c r="K588" s="15"/>
      <c r="L588" s="15"/>
      <c r="M588" s="16" t="s">
        <v>10</v>
      </c>
    </row>
    <row r="589" spans="2:13" x14ac:dyDescent="0.25">
      <c r="B589" s="14"/>
      <c r="C589" s="14"/>
      <c r="D589" s="14"/>
      <c r="E589" s="14"/>
      <c r="F589" s="14"/>
      <c r="G589" s="14"/>
      <c r="H589" s="14"/>
      <c r="I589" s="14"/>
      <c r="J589" s="14"/>
      <c r="K589" s="15"/>
      <c r="L589" s="15"/>
      <c r="M589" s="16" t="s">
        <v>10</v>
      </c>
    </row>
    <row r="590" spans="2:13" x14ac:dyDescent="0.25">
      <c r="B590" s="14"/>
      <c r="C590" s="14"/>
      <c r="D590" s="14"/>
      <c r="E590" s="14"/>
      <c r="F590" s="14"/>
      <c r="G590" s="14"/>
      <c r="H590" s="14"/>
      <c r="I590" s="14"/>
      <c r="J590" s="14"/>
      <c r="K590" s="15"/>
      <c r="L590" s="15"/>
      <c r="M590" s="16" t="s">
        <v>10</v>
      </c>
    </row>
    <row r="591" spans="2:13" x14ac:dyDescent="0.25">
      <c r="B591" s="14"/>
      <c r="C591" s="14"/>
      <c r="D591" s="14"/>
      <c r="E591" s="14"/>
      <c r="F591" s="14"/>
      <c r="G591" s="14"/>
      <c r="H591" s="14"/>
      <c r="I591" s="14"/>
      <c r="J591" s="14"/>
      <c r="K591" s="15"/>
      <c r="L591" s="15"/>
      <c r="M591" s="16" t="s">
        <v>10</v>
      </c>
    </row>
    <row r="592" spans="2:13" x14ac:dyDescent="0.25">
      <c r="B592" s="14"/>
      <c r="C592" s="14"/>
      <c r="D592" s="14"/>
      <c r="E592" s="14"/>
      <c r="F592" s="14"/>
      <c r="G592" s="14"/>
      <c r="H592" s="14"/>
      <c r="I592" s="14"/>
      <c r="J592" s="14"/>
      <c r="K592" s="15"/>
      <c r="L592" s="15"/>
      <c r="M592" s="16" t="s">
        <v>10</v>
      </c>
    </row>
    <row r="593" spans="2:13" x14ac:dyDescent="0.25">
      <c r="B593" s="14"/>
      <c r="C593" s="14"/>
      <c r="D593" s="14"/>
      <c r="E593" s="14"/>
      <c r="F593" s="14"/>
      <c r="G593" s="14"/>
      <c r="H593" s="14"/>
      <c r="I593" s="14"/>
      <c r="J593" s="14"/>
      <c r="K593" s="15"/>
      <c r="L593" s="15"/>
      <c r="M593" s="16" t="s">
        <v>10</v>
      </c>
    </row>
    <row r="594" spans="2:13" x14ac:dyDescent="0.25">
      <c r="B594" s="14"/>
      <c r="C594" s="14"/>
      <c r="D594" s="14"/>
      <c r="E594" s="14"/>
      <c r="F594" s="14"/>
      <c r="G594" s="14"/>
      <c r="H594" s="14"/>
      <c r="I594" s="14"/>
      <c r="J594" s="14"/>
      <c r="K594" s="15"/>
      <c r="L594" s="15"/>
      <c r="M594" s="16" t="s">
        <v>10</v>
      </c>
    </row>
    <row r="595" spans="2:13" x14ac:dyDescent="0.25">
      <c r="B595" s="14"/>
      <c r="C595" s="14"/>
      <c r="D595" s="14"/>
      <c r="E595" s="14"/>
      <c r="F595" s="14"/>
      <c r="G595" s="14"/>
      <c r="H595" s="14"/>
      <c r="I595" s="14"/>
      <c r="J595" s="14"/>
      <c r="K595" s="15"/>
      <c r="L595" s="15"/>
      <c r="M595" s="16" t="s">
        <v>10</v>
      </c>
    </row>
    <row r="596" spans="2:13" x14ac:dyDescent="0.25">
      <c r="B596" s="14"/>
      <c r="C596" s="14"/>
      <c r="D596" s="14"/>
      <c r="E596" s="14"/>
      <c r="F596" s="14"/>
      <c r="G596" s="14"/>
      <c r="H596" s="14"/>
      <c r="I596" s="14"/>
      <c r="J596" s="14"/>
      <c r="K596" s="15"/>
      <c r="L596" s="15"/>
      <c r="M596" s="16" t="s">
        <v>10</v>
      </c>
    </row>
    <row r="597" spans="2:13" x14ac:dyDescent="0.25">
      <c r="B597" s="14"/>
      <c r="C597" s="14"/>
      <c r="D597" s="14"/>
      <c r="E597" s="14"/>
      <c r="F597" s="14"/>
      <c r="G597" s="14"/>
      <c r="H597" s="14"/>
      <c r="I597" s="14"/>
      <c r="J597" s="14"/>
      <c r="K597" s="15"/>
      <c r="L597" s="15"/>
      <c r="M597" s="16" t="s">
        <v>10</v>
      </c>
    </row>
    <row r="598" spans="2:13" x14ac:dyDescent="0.25">
      <c r="B598" s="14"/>
      <c r="C598" s="14"/>
      <c r="D598" s="14"/>
      <c r="E598" s="14"/>
      <c r="F598" s="14"/>
      <c r="G598" s="14"/>
      <c r="H598" s="14"/>
      <c r="I598" s="14"/>
      <c r="J598" s="14"/>
      <c r="K598" s="15"/>
      <c r="L598" s="15"/>
      <c r="M598" s="16" t="s">
        <v>10</v>
      </c>
    </row>
    <row r="599" spans="2:13" x14ac:dyDescent="0.25">
      <c r="B599" s="14"/>
      <c r="C599" s="14"/>
      <c r="D599" s="14"/>
      <c r="E599" s="14"/>
      <c r="F599" s="14"/>
      <c r="G599" s="14"/>
      <c r="H599" s="14"/>
      <c r="I599" s="14"/>
      <c r="J599" s="14"/>
      <c r="K599" s="15"/>
      <c r="L599" s="15"/>
      <c r="M599" s="16" t="s">
        <v>10</v>
      </c>
    </row>
    <row r="600" spans="2:13" x14ac:dyDescent="0.25">
      <c r="B600" s="14"/>
      <c r="C600" s="14"/>
      <c r="D600" s="14"/>
      <c r="E600" s="14"/>
      <c r="F600" s="14"/>
      <c r="G600" s="14"/>
      <c r="H600" s="14"/>
      <c r="I600" s="14"/>
      <c r="J600" s="14"/>
      <c r="K600" s="15"/>
      <c r="L600" s="15"/>
      <c r="M600" s="16" t="s">
        <v>10</v>
      </c>
    </row>
    <row r="601" spans="2:13" x14ac:dyDescent="0.25">
      <c r="B601" s="14"/>
      <c r="C601" s="14"/>
      <c r="D601" s="14"/>
      <c r="E601" s="14"/>
      <c r="F601" s="14"/>
      <c r="G601" s="14"/>
      <c r="H601" s="14"/>
      <c r="I601" s="14"/>
      <c r="J601" s="14"/>
      <c r="K601" s="15"/>
      <c r="L601" s="15"/>
      <c r="M601" s="16" t="s">
        <v>10</v>
      </c>
    </row>
    <row r="602" spans="2:13" x14ac:dyDescent="0.25">
      <c r="B602" s="14"/>
      <c r="C602" s="14"/>
      <c r="D602" s="14"/>
      <c r="E602" s="14"/>
      <c r="F602" s="14"/>
      <c r="G602" s="14"/>
      <c r="H602" s="14"/>
      <c r="I602" s="14"/>
      <c r="J602" s="14"/>
      <c r="K602" s="15"/>
      <c r="L602" s="15"/>
      <c r="M602" s="16" t="s">
        <v>10</v>
      </c>
    </row>
    <row r="603" spans="2:13" x14ac:dyDescent="0.25">
      <c r="B603" s="14"/>
      <c r="C603" s="14"/>
      <c r="D603" s="14"/>
      <c r="E603" s="14"/>
      <c r="F603" s="14"/>
      <c r="G603" s="14"/>
      <c r="H603" s="14"/>
      <c r="I603" s="14"/>
      <c r="J603" s="14"/>
      <c r="K603" s="15"/>
      <c r="L603" s="15"/>
      <c r="M603" s="16" t="s">
        <v>10</v>
      </c>
    </row>
    <row r="604" spans="2:13" x14ac:dyDescent="0.25">
      <c r="B604" s="14"/>
      <c r="C604" s="14"/>
      <c r="D604" s="14"/>
      <c r="E604" s="14"/>
      <c r="F604" s="14"/>
      <c r="G604" s="14"/>
      <c r="H604" s="14"/>
      <c r="I604" s="14"/>
      <c r="J604" s="14"/>
      <c r="K604" s="15"/>
      <c r="L604" s="15"/>
      <c r="M604" s="16" t="s">
        <v>10</v>
      </c>
    </row>
    <row r="605" spans="2:13" x14ac:dyDescent="0.25">
      <c r="B605" s="14"/>
      <c r="C605" s="14"/>
      <c r="D605" s="14"/>
      <c r="E605" s="14"/>
      <c r="F605" s="14"/>
      <c r="G605" s="14"/>
      <c r="H605" s="14"/>
      <c r="I605" s="14"/>
      <c r="J605" s="14"/>
      <c r="K605" s="15"/>
      <c r="L605" s="15"/>
      <c r="M605" s="16" t="s">
        <v>10</v>
      </c>
    </row>
    <row r="606" spans="2:13" x14ac:dyDescent="0.25">
      <c r="B606" s="14"/>
      <c r="C606" s="14"/>
      <c r="D606" s="14"/>
      <c r="E606" s="14"/>
      <c r="F606" s="14"/>
      <c r="G606" s="14"/>
      <c r="H606" s="14"/>
      <c r="I606" s="14"/>
      <c r="J606" s="14"/>
      <c r="K606" s="15"/>
      <c r="L606" s="15"/>
      <c r="M606" s="16" t="s">
        <v>10</v>
      </c>
    </row>
    <row r="607" spans="2:13" x14ac:dyDescent="0.25">
      <c r="B607" s="14"/>
      <c r="C607" s="14"/>
      <c r="D607" s="14"/>
      <c r="E607" s="14"/>
      <c r="F607" s="14"/>
      <c r="G607" s="14"/>
      <c r="H607" s="14"/>
      <c r="I607" s="14"/>
      <c r="J607" s="14"/>
      <c r="K607" s="15"/>
      <c r="L607" s="15"/>
      <c r="M607" s="16" t="s">
        <v>10</v>
      </c>
    </row>
    <row r="608" spans="2:13" x14ac:dyDescent="0.25">
      <c r="B608" s="14"/>
      <c r="C608" s="14"/>
      <c r="D608" s="14"/>
      <c r="E608" s="14"/>
      <c r="F608" s="14"/>
      <c r="G608" s="14"/>
      <c r="H608" s="14"/>
      <c r="I608" s="14"/>
      <c r="J608" s="14"/>
      <c r="K608" s="15"/>
      <c r="L608" s="15"/>
      <c r="M608" s="16" t="s">
        <v>10</v>
      </c>
    </row>
    <row r="609" spans="2:13" x14ac:dyDescent="0.25">
      <c r="B609" s="14"/>
      <c r="C609" s="14"/>
      <c r="D609" s="14"/>
      <c r="E609" s="14"/>
      <c r="F609" s="14"/>
      <c r="G609" s="14"/>
      <c r="H609" s="14"/>
      <c r="I609" s="14"/>
      <c r="J609" s="14"/>
      <c r="K609" s="15"/>
      <c r="L609" s="15"/>
      <c r="M609" s="16" t="s">
        <v>10</v>
      </c>
    </row>
    <row r="610" spans="2:13" x14ac:dyDescent="0.25">
      <c r="B610" s="14"/>
      <c r="C610" s="14"/>
      <c r="D610" s="14"/>
      <c r="E610" s="14"/>
      <c r="F610" s="14"/>
      <c r="G610" s="14"/>
      <c r="H610" s="14"/>
      <c r="I610" s="14"/>
      <c r="J610" s="14"/>
      <c r="K610" s="15"/>
      <c r="L610" s="15"/>
      <c r="M610" s="16" t="s">
        <v>10</v>
      </c>
    </row>
    <row r="611" spans="2:13" x14ac:dyDescent="0.25">
      <c r="B611" s="14"/>
      <c r="C611" s="14"/>
      <c r="D611" s="14"/>
      <c r="E611" s="14"/>
      <c r="F611" s="14"/>
      <c r="G611" s="14"/>
      <c r="H611" s="14"/>
      <c r="I611" s="14"/>
      <c r="J611" s="14"/>
      <c r="K611" s="15"/>
      <c r="L611" s="15"/>
      <c r="M611" s="16" t="s">
        <v>10</v>
      </c>
    </row>
    <row r="612" spans="2:13" x14ac:dyDescent="0.25">
      <c r="B612" s="14"/>
      <c r="C612" s="14"/>
      <c r="D612" s="14"/>
      <c r="E612" s="14"/>
      <c r="F612" s="14"/>
      <c r="G612" s="14"/>
      <c r="H612" s="14"/>
      <c r="I612" s="14"/>
      <c r="J612" s="14"/>
      <c r="K612" s="15"/>
      <c r="L612" s="15"/>
      <c r="M612" s="16" t="s">
        <v>10</v>
      </c>
    </row>
    <row r="613" spans="2:13" x14ac:dyDescent="0.25">
      <c r="B613" s="14"/>
      <c r="C613" s="14"/>
      <c r="D613" s="14"/>
      <c r="E613" s="14"/>
      <c r="F613" s="14"/>
      <c r="G613" s="14"/>
      <c r="H613" s="14"/>
      <c r="I613" s="14"/>
      <c r="J613" s="14"/>
      <c r="K613" s="15"/>
      <c r="L613" s="15"/>
      <c r="M613" s="16" t="s">
        <v>10</v>
      </c>
    </row>
    <row r="614" spans="2:13" x14ac:dyDescent="0.25">
      <c r="B614" s="14"/>
      <c r="C614" s="14"/>
      <c r="D614" s="14"/>
      <c r="E614" s="14"/>
      <c r="F614" s="14"/>
      <c r="G614" s="14"/>
      <c r="H614" s="14"/>
      <c r="I614" s="14"/>
      <c r="J614" s="14"/>
      <c r="K614" s="15"/>
      <c r="L614" s="15"/>
      <c r="M614" s="16" t="s">
        <v>10</v>
      </c>
    </row>
    <row r="615" spans="2:13" x14ac:dyDescent="0.25">
      <c r="B615" s="14"/>
      <c r="C615" s="14"/>
      <c r="D615" s="14"/>
      <c r="E615" s="14"/>
      <c r="F615" s="14"/>
      <c r="G615" s="14"/>
      <c r="H615" s="14"/>
      <c r="I615" s="14"/>
      <c r="J615" s="14"/>
      <c r="K615" s="15"/>
      <c r="L615" s="15"/>
      <c r="M615" s="16" t="s">
        <v>10</v>
      </c>
    </row>
    <row r="616" spans="2:13" x14ac:dyDescent="0.25">
      <c r="B616" s="14"/>
      <c r="C616" s="14"/>
      <c r="D616" s="14"/>
      <c r="E616" s="14"/>
      <c r="F616" s="14"/>
      <c r="G616" s="14"/>
      <c r="H616" s="14"/>
      <c r="I616" s="14"/>
      <c r="J616" s="14"/>
      <c r="K616" s="15"/>
      <c r="L616" s="15"/>
      <c r="M616" s="16" t="s">
        <v>10</v>
      </c>
    </row>
    <row r="617" spans="2:13" x14ac:dyDescent="0.25">
      <c r="B617" s="14"/>
      <c r="C617" s="14"/>
      <c r="D617" s="14"/>
      <c r="E617" s="14"/>
      <c r="F617" s="14"/>
      <c r="G617" s="14"/>
      <c r="H617" s="14"/>
      <c r="I617" s="14"/>
      <c r="J617" s="14"/>
      <c r="K617" s="15"/>
      <c r="L617" s="15"/>
      <c r="M617" s="16" t="s">
        <v>10</v>
      </c>
    </row>
    <row r="618" spans="2:13" x14ac:dyDescent="0.25">
      <c r="B618" s="14"/>
      <c r="C618" s="14"/>
      <c r="D618" s="14"/>
      <c r="E618" s="14"/>
      <c r="F618" s="14"/>
      <c r="G618" s="14"/>
      <c r="H618" s="14"/>
      <c r="I618" s="14"/>
      <c r="J618" s="14"/>
      <c r="K618" s="15"/>
      <c r="L618" s="15"/>
      <c r="M618" s="16" t="s">
        <v>10</v>
      </c>
    </row>
    <row r="619" spans="2:13" x14ac:dyDescent="0.25">
      <c r="B619" s="14"/>
      <c r="C619" s="14"/>
      <c r="D619" s="14"/>
      <c r="E619" s="14"/>
      <c r="F619" s="14"/>
      <c r="G619" s="14"/>
      <c r="H619" s="14"/>
      <c r="I619" s="14"/>
      <c r="J619" s="14"/>
      <c r="K619" s="15"/>
      <c r="L619" s="15"/>
      <c r="M619" s="16" t="s">
        <v>10</v>
      </c>
    </row>
    <row r="620" spans="2:13" x14ac:dyDescent="0.25">
      <c r="B620" s="14"/>
      <c r="C620" s="14"/>
      <c r="D620" s="14"/>
      <c r="E620" s="14"/>
      <c r="F620" s="14"/>
      <c r="G620" s="14"/>
      <c r="H620" s="14"/>
      <c r="I620" s="14"/>
      <c r="J620" s="14"/>
      <c r="K620" s="15"/>
      <c r="L620" s="15"/>
      <c r="M620" s="16" t="s">
        <v>10</v>
      </c>
    </row>
    <row r="621" spans="2:13" x14ac:dyDescent="0.25">
      <c r="B621" s="14"/>
      <c r="C621" s="14"/>
      <c r="D621" s="14"/>
      <c r="E621" s="14"/>
      <c r="F621" s="14"/>
      <c r="G621" s="14"/>
      <c r="H621" s="14"/>
      <c r="I621" s="14"/>
      <c r="J621" s="14"/>
      <c r="K621" s="15"/>
      <c r="L621" s="15"/>
      <c r="M621" s="16" t="s">
        <v>10</v>
      </c>
    </row>
    <row r="622" spans="2:13" x14ac:dyDescent="0.25">
      <c r="B622" s="14"/>
      <c r="C622" s="14"/>
      <c r="D622" s="14"/>
      <c r="E622" s="14"/>
      <c r="F622" s="14"/>
      <c r="G622" s="14"/>
      <c r="H622" s="14"/>
      <c r="I622" s="14"/>
      <c r="J622" s="14"/>
      <c r="K622" s="15"/>
      <c r="L622" s="15"/>
      <c r="M622" s="16" t="s">
        <v>10</v>
      </c>
    </row>
    <row r="623" spans="2:13" x14ac:dyDescent="0.25">
      <c r="B623" s="14"/>
      <c r="C623" s="14"/>
      <c r="D623" s="14"/>
      <c r="E623" s="14"/>
      <c r="F623" s="14"/>
      <c r="G623" s="14"/>
      <c r="H623" s="14"/>
      <c r="I623" s="14"/>
      <c r="J623" s="14"/>
      <c r="K623" s="15"/>
      <c r="L623" s="15"/>
      <c r="M623" s="16" t="s">
        <v>10</v>
      </c>
    </row>
    <row r="624" spans="2:13" x14ac:dyDescent="0.25">
      <c r="B624" s="14"/>
      <c r="C624" s="14"/>
      <c r="D624" s="14"/>
      <c r="E624" s="14"/>
      <c r="F624" s="14"/>
      <c r="G624" s="14"/>
      <c r="H624" s="14"/>
      <c r="I624" s="14"/>
      <c r="J624" s="14"/>
      <c r="K624" s="15"/>
      <c r="L624" s="15"/>
      <c r="M624" s="16" t="s">
        <v>10</v>
      </c>
    </row>
    <row r="625" spans="2:13" x14ac:dyDescent="0.25">
      <c r="B625" s="14"/>
      <c r="C625" s="14"/>
      <c r="D625" s="14"/>
      <c r="E625" s="14"/>
      <c r="F625" s="14"/>
      <c r="G625" s="14"/>
      <c r="H625" s="14"/>
      <c r="I625" s="14"/>
      <c r="J625" s="14"/>
      <c r="K625" s="15"/>
      <c r="L625" s="15"/>
      <c r="M625" s="16" t="s">
        <v>10</v>
      </c>
    </row>
    <row r="626" spans="2:13" x14ac:dyDescent="0.25">
      <c r="B626" s="14"/>
      <c r="C626" s="14"/>
      <c r="D626" s="14"/>
      <c r="E626" s="14"/>
      <c r="F626" s="14"/>
      <c r="G626" s="14"/>
      <c r="H626" s="14"/>
      <c r="I626" s="14"/>
      <c r="J626" s="14"/>
      <c r="K626" s="15"/>
      <c r="L626" s="15"/>
      <c r="M626" s="16" t="s">
        <v>10</v>
      </c>
    </row>
    <row r="627" spans="2:13" x14ac:dyDescent="0.25">
      <c r="B627" s="14"/>
      <c r="C627" s="14"/>
      <c r="D627" s="14"/>
      <c r="E627" s="14"/>
      <c r="F627" s="14"/>
      <c r="G627" s="14"/>
      <c r="H627" s="14"/>
      <c r="I627" s="14"/>
      <c r="J627" s="14"/>
      <c r="K627" s="15"/>
      <c r="L627" s="15"/>
      <c r="M627" s="16" t="s">
        <v>10</v>
      </c>
    </row>
    <row r="628" spans="2:13" x14ac:dyDescent="0.25">
      <c r="B628" s="14"/>
      <c r="C628" s="14"/>
      <c r="D628" s="14"/>
      <c r="E628" s="14"/>
      <c r="F628" s="14"/>
      <c r="G628" s="14"/>
      <c r="H628" s="14"/>
      <c r="I628" s="14"/>
      <c r="J628" s="14"/>
      <c r="K628" s="15"/>
      <c r="L628" s="15"/>
      <c r="M628" s="16" t="s">
        <v>10</v>
      </c>
    </row>
    <row r="629" spans="2:13" x14ac:dyDescent="0.25">
      <c r="B629" s="14"/>
      <c r="C629" s="14"/>
      <c r="D629" s="14"/>
      <c r="E629" s="14"/>
      <c r="F629" s="14"/>
      <c r="G629" s="14"/>
      <c r="H629" s="14"/>
      <c r="I629" s="14"/>
      <c r="J629" s="14"/>
      <c r="K629" s="15"/>
      <c r="L629" s="15"/>
      <c r="M629" s="16" t="s">
        <v>10</v>
      </c>
    </row>
    <row r="630" spans="2:13" x14ac:dyDescent="0.25">
      <c r="B630" s="14"/>
      <c r="C630" s="14"/>
      <c r="D630" s="14"/>
      <c r="E630" s="14"/>
      <c r="F630" s="14"/>
      <c r="G630" s="14"/>
      <c r="H630" s="14"/>
      <c r="I630" s="14"/>
      <c r="J630" s="14"/>
      <c r="K630" s="15"/>
      <c r="L630" s="15"/>
      <c r="M630" s="16" t="s">
        <v>10</v>
      </c>
    </row>
    <row r="631" spans="2:13" x14ac:dyDescent="0.25">
      <c r="B631" s="14"/>
      <c r="C631" s="14"/>
      <c r="D631" s="14"/>
      <c r="E631" s="14"/>
      <c r="F631" s="14"/>
      <c r="G631" s="14"/>
      <c r="H631" s="14"/>
      <c r="I631" s="14"/>
      <c r="J631" s="14"/>
      <c r="K631" s="15"/>
      <c r="L631" s="15"/>
      <c r="M631" s="16" t="s">
        <v>10</v>
      </c>
    </row>
    <row r="632" spans="2:13" x14ac:dyDescent="0.25">
      <c r="B632" s="14"/>
      <c r="C632" s="14"/>
      <c r="D632" s="14"/>
      <c r="E632" s="14"/>
      <c r="F632" s="14"/>
      <c r="G632" s="14"/>
      <c r="H632" s="14"/>
      <c r="I632" s="14"/>
      <c r="J632" s="14"/>
      <c r="K632" s="15"/>
      <c r="L632" s="15"/>
      <c r="M632" s="16" t="s">
        <v>10</v>
      </c>
    </row>
    <row r="633" spans="2:13" x14ac:dyDescent="0.25">
      <c r="B633" s="14"/>
      <c r="C633" s="14"/>
      <c r="D633" s="14"/>
      <c r="E633" s="14"/>
      <c r="F633" s="14"/>
      <c r="G633" s="14"/>
      <c r="H633" s="14"/>
      <c r="I633" s="14"/>
      <c r="J633" s="14"/>
      <c r="K633" s="15"/>
      <c r="L633" s="15"/>
      <c r="M633" s="16" t="s">
        <v>10</v>
      </c>
    </row>
    <row r="634" spans="2:13" x14ac:dyDescent="0.25">
      <c r="B634" s="14"/>
      <c r="C634" s="14"/>
      <c r="D634" s="14"/>
      <c r="E634" s="14"/>
      <c r="F634" s="14"/>
      <c r="G634" s="14"/>
      <c r="H634" s="14"/>
      <c r="I634" s="14"/>
      <c r="J634" s="14"/>
      <c r="K634" s="15"/>
      <c r="L634" s="15"/>
      <c r="M634" s="16" t="s">
        <v>10</v>
      </c>
    </row>
    <row r="635" spans="2:13" x14ac:dyDescent="0.25">
      <c r="B635" s="14"/>
      <c r="C635" s="14"/>
      <c r="D635" s="14"/>
      <c r="E635" s="14"/>
      <c r="F635" s="14"/>
      <c r="G635" s="14"/>
      <c r="H635" s="14"/>
      <c r="I635" s="14"/>
      <c r="J635" s="14"/>
      <c r="K635" s="15"/>
      <c r="L635" s="15"/>
      <c r="M635" s="16" t="s">
        <v>10</v>
      </c>
    </row>
    <row r="636" spans="2:13" x14ac:dyDescent="0.25">
      <c r="B636" s="14"/>
      <c r="C636" s="14"/>
      <c r="D636" s="14"/>
      <c r="E636" s="14"/>
      <c r="F636" s="14"/>
      <c r="G636" s="14"/>
      <c r="H636" s="14"/>
      <c r="I636" s="14"/>
      <c r="J636" s="14"/>
      <c r="K636" s="15"/>
      <c r="L636" s="15"/>
      <c r="M636" s="16" t="s">
        <v>10</v>
      </c>
    </row>
    <row r="637" spans="2:13" x14ac:dyDescent="0.25">
      <c r="B637" s="14"/>
      <c r="C637" s="14"/>
      <c r="D637" s="14"/>
      <c r="E637" s="14"/>
      <c r="F637" s="14"/>
      <c r="G637" s="14"/>
      <c r="H637" s="14"/>
      <c r="I637" s="14"/>
      <c r="J637" s="14"/>
      <c r="K637" s="15"/>
      <c r="L637" s="15"/>
      <c r="M637" s="16" t="s">
        <v>10</v>
      </c>
    </row>
    <row r="638" spans="2:13" x14ac:dyDescent="0.25">
      <c r="B638" s="14"/>
      <c r="C638" s="14"/>
      <c r="D638" s="14"/>
      <c r="E638" s="14"/>
      <c r="F638" s="14"/>
      <c r="G638" s="14"/>
      <c r="H638" s="14"/>
      <c r="I638" s="14"/>
      <c r="J638" s="14"/>
      <c r="K638" s="15"/>
      <c r="L638" s="15"/>
      <c r="M638" s="16" t="s">
        <v>10</v>
      </c>
    </row>
    <row r="639" spans="2:13" x14ac:dyDescent="0.25">
      <c r="B639" s="14"/>
      <c r="C639" s="14"/>
      <c r="D639" s="14"/>
      <c r="E639" s="14"/>
      <c r="F639" s="14"/>
      <c r="G639" s="14"/>
      <c r="H639" s="14"/>
      <c r="I639" s="14"/>
      <c r="J639" s="14"/>
      <c r="K639" s="15"/>
      <c r="L639" s="15"/>
      <c r="M639" s="16" t="s">
        <v>10</v>
      </c>
    </row>
    <row r="640" spans="2:13" x14ac:dyDescent="0.25">
      <c r="B640" s="14"/>
      <c r="C640" s="14"/>
      <c r="D640" s="14"/>
      <c r="E640" s="14"/>
      <c r="F640" s="14"/>
      <c r="G640" s="14"/>
      <c r="H640" s="14"/>
      <c r="I640" s="14"/>
      <c r="J640" s="14"/>
      <c r="K640" s="15"/>
      <c r="L640" s="15"/>
      <c r="M640" s="16" t="s">
        <v>10</v>
      </c>
    </row>
    <row r="641" spans="2:13" x14ac:dyDescent="0.25">
      <c r="B641" s="14"/>
      <c r="C641" s="14"/>
      <c r="D641" s="14"/>
      <c r="E641" s="14"/>
      <c r="F641" s="14"/>
      <c r="G641" s="14"/>
      <c r="H641" s="14"/>
      <c r="I641" s="14"/>
      <c r="J641" s="14"/>
      <c r="K641" s="15"/>
      <c r="L641" s="15"/>
      <c r="M641" s="16" t="s">
        <v>10</v>
      </c>
    </row>
    <row r="642" spans="2:13" x14ac:dyDescent="0.25">
      <c r="B642" s="14"/>
      <c r="C642" s="14"/>
      <c r="D642" s="14"/>
      <c r="E642" s="14"/>
      <c r="F642" s="14"/>
      <c r="G642" s="14"/>
      <c r="H642" s="14"/>
      <c r="I642" s="14"/>
      <c r="J642" s="14"/>
      <c r="K642" s="15"/>
      <c r="L642" s="15"/>
      <c r="M642" s="16" t="s">
        <v>10</v>
      </c>
    </row>
    <row r="643" spans="2:13" x14ac:dyDescent="0.25">
      <c r="B643" s="14"/>
      <c r="C643" s="14"/>
      <c r="D643" s="14"/>
      <c r="E643" s="14"/>
      <c r="F643" s="14"/>
      <c r="G643" s="14"/>
      <c r="H643" s="14"/>
      <c r="I643" s="14"/>
      <c r="J643" s="14"/>
      <c r="K643" s="15"/>
      <c r="L643" s="15"/>
      <c r="M643" s="16" t="s">
        <v>10</v>
      </c>
    </row>
    <row r="644" spans="2:13" x14ac:dyDescent="0.25">
      <c r="B644" s="14"/>
      <c r="C644" s="14"/>
      <c r="D644" s="14"/>
      <c r="E644" s="14"/>
      <c r="F644" s="14"/>
      <c r="G644" s="14"/>
      <c r="H644" s="14"/>
      <c r="I644" s="14"/>
      <c r="J644" s="14"/>
      <c r="K644" s="15"/>
      <c r="L644" s="15"/>
      <c r="M644" s="16" t="s">
        <v>10</v>
      </c>
    </row>
    <row r="645" spans="2:13" x14ac:dyDescent="0.25">
      <c r="B645" s="14"/>
      <c r="C645" s="14"/>
      <c r="D645" s="14"/>
      <c r="E645" s="14"/>
      <c r="F645" s="14"/>
      <c r="G645" s="14"/>
      <c r="H645" s="14"/>
      <c r="I645" s="14"/>
      <c r="J645" s="14"/>
      <c r="K645" s="15"/>
      <c r="L645" s="15"/>
      <c r="M645" s="16" t="s">
        <v>10</v>
      </c>
    </row>
    <row r="646" spans="2:13" x14ac:dyDescent="0.25">
      <c r="B646" s="14"/>
      <c r="C646" s="14"/>
      <c r="D646" s="14"/>
      <c r="E646" s="14"/>
      <c r="F646" s="14"/>
      <c r="G646" s="14"/>
      <c r="H646" s="14"/>
      <c r="I646" s="14"/>
      <c r="J646" s="14"/>
      <c r="K646" s="15"/>
      <c r="L646" s="15"/>
      <c r="M646" s="16" t="s">
        <v>10</v>
      </c>
    </row>
    <row r="647" spans="2:13" x14ac:dyDescent="0.25">
      <c r="B647" s="14"/>
      <c r="C647" s="14"/>
      <c r="D647" s="14"/>
      <c r="E647" s="14"/>
      <c r="F647" s="14"/>
      <c r="G647" s="14"/>
      <c r="H647" s="14"/>
      <c r="I647" s="14"/>
      <c r="J647" s="14"/>
      <c r="K647" s="15"/>
      <c r="L647" s="15"/>
      <c r="M647" s="16" t="s">
        <v>10</v>
      </c>
    </row>
    <row r="648" spans="2:13" x14ac:dyDescent="0.25">
      <c r="B648" s="14"/>
      <c r="C648" s="14"/>
      <c r="D648" s="14"/>
      <c r="E648" s="14"/>
      <c r="F648" s="14"/>
      <c r="G648" s="14"/>
      <c r="H648" s="14"/>
      <c r="I648" s="14"/>
      <c r="J648" s="14"/>
      <c r="K648" s="15"/>
      <c r="L648" s="15"/>
      <c r="M648" s="16" t="s">
        <v>10</v>
      </c>
    </row>
    <row r="649" spans="2:13" x14ac:dyDescent="0.25">
      <c r="B649" s="14"/>
      <c r="C649" s="14"/>
      <c r="D649" s="14"/>
      <c r="E649" s="14"/>
      <c r="F649" s="14"/>
      <c r="G649" s="14"/>
      <c r="H649" s="14"/>
      <c r="I649" s="14"/>
      <c r="J649" s="14"/>
      <c r="K649" s="15"/>
      <c r="L649" s="15"/>
      <c r="M649" s="16" t="s">
        <v>10</v>
      </c>
    </row>
    <row r="650" spans="2:13" x14ac:dyDescent="0.25">
      <c r="B650" s="14"/>
      <c r="C650" s="14"/>
      <c r="D650" s="14"/>
      <c r="E650" s="14"/>
      <c r="F650" s="14"/>
      <c r="G650" s="14"/>
      <c r="H650" s="14"/>
      <c r="I650" s="14"/>
      <c r="J650" s="14"/>
      <c r="K650" s="15"/>
      <c r="L650" s="15"/>
      <c r="M650" s="16" t="s">
        <v>10</v>
      </c>
    </row>
    <row r="651" spans="2:13" x14ac:dyDescent="0.25">
      <c r="B651" s="14"/>
      <c r="C651" s="14"/>
      <c r="D651" s="14"/>
      <c r="E651" s="14"/>
      <c r="F651" s="14"/>
      <c r="G651" s="14"/>
      <c r="H651" s="14"/>
      <c r="I651" s="14"/>
      <c r="J651" s="14"/>
      <c r="K651" s="15"/>
      <c r="L651" s="15"/>
      <c r="M651" s="16" t="s">
        <v>10</v>
      </c>
    </row>
    <row r="652" spans="2:13" x14ac:dyDescent="0.25">
      <c r="B652" s="14"/>
      <c r="C652" s="14"/>
      <c r="D652" s="14"/>
      <c r="E652" s="14"/>
      <c r="F652" s="14"/>
      <c r="G652" s="14"/>
      <c r="H652" s="14"/>
      <c r="I652" s="14"/>
      <c r="J652" s="14"/>
      <c r="K652" s="15"/>
      <c r="L652" s="15"/>
      <c r="M652" s="16" t="s">
        <v>10</v>
      </c>
    </row>
    <row r="653" spans="2:13" x14ac:dyDescent="0.25">
      <c r="B653" s="14"/>
      <c r="C653" s="14"/>
      <c r="D653" s="14"/>
      <c r="E653" s="14"/>
      <c r="F653" s="14"/>
      <c r="G653" s="14"/>
      <c r="H653" s="14"/>
      <c r="I653" s="14"/>
      <c r="J653" s="14"/>
      <c r="K653" s="15"/>
      <c r="L653" s="15"/>
      <c r="M653" s="16" t="s">
        <v>10</v>
      </c>
    </row>
    <row r="654" spans="2:13" x14ac:dyDescent="0.25">
      <c r="B654" s="14"/>
      <c r="C654" s="14"/>
      <c r="D654" s="14"/>
      <c r="E654" s="14"/>
      <c r="F654" s="14"/>
      <c r="G654" s="14"/>
      <c r="H654" s="14"/>
      <c r="I654" s="14"/>
      <c r="J654" s="14"/>
      <c r="K654" s="15"/>
      <c r="L654" s="15"/>
      <c r="M654" s="16" t="s">
        <v>10</v>
      </c>
    </row>
    <row r="655" spans="2:13" x14ac:dyDescent="0.25">
      <c r="B655" s="14"/>
      <c r="C655" s="14"/>
      <c r="D655" s="14"/>
      <c r="E655" s="14"/>
      <c r="F655" s="14"/>
      <c r="G655" s="14"/>
      <c r="H655" s="14"/>
      <c r="I655" s="14"/>
      <c r="J655" s="14"/>
      <c r="K655" s="15"/>
      <c r="L655" s="15"/>
      <c r="M655" s="16" t="s">
        <v>10</v>
      </c>
    </row>
    <row r="656" spans="2:13" x14ac:dyDescent="0.25">
      <c r="B656" s="14"/>
      <c r="C656" s="14"/>
      <c r="D656" s="14"/>
      <c r="E656" s="14"/>
      <c r="F656" s="14"/>
      <c r="G656" s="14"/>
      <c r="H656" s="14"/>
      <c r="I656" s="14"/>
      <c r="J656" s="14"/>
      <c r="K656" s="15"/>
      <c r="L656" s="15"/>
      <c r="M656" s="16" t="s">
        <v>10</v>
      </c>
    </row>
    <row r="657" spans="2:13" x14ac:dyDescent="0.25">
      <c r="B657" s="14"/>
      <c r="C657" s="14"/>
      <c r="D657" s="14"/>
      <c r="E657" s="14"/>
      <c r="F657" s="14"/>
      <c r="G657" s="14"/>
      <c r="H657" s="14"/>
      <c r="I657" s="14"/>
      <c r="J657" s="14"/>
      <c r="K657" s="15"/>
      <c r="L657" s="15"/>
      <c r="M657" s="16" t="s">
        <v>10</v>
      </c>
    </row>
    <row r="658" spans="2:13" x14ac:dyDescent="0.25">
      <c r="B658" s="14"/>
      <c r="C658" s="14"/>
      <c r="D658" s="14"/>
      <c r="E658" s="14"/>
      <c r="F658" s="14"/>
      <c r="G658" s="14"/>
      <c r="H658" s="14"/>
      <c r="I658" s="14"/>
      <c r="J658" s="14"/>
      <c r="K658" s="15"/>
      <c r="L658" s="15"/>
      <c r="M658" s="16" t="s">
        <v>10</v>
      </c>
    </row>
    <row r="659" spans="2:13" x14ac:dyDescent="0.25">
      <c r="B659" s="14"/>
      <c r="C659" s="14"/>
      <c r="D659" s="14"/>
      <c r="E659" s="14"/>
      <c r="F659" s="14"/>
      <c r="G659" s="14"/>
      <c r="H659" s="14"/>
      <c r="I659" s="14"/>
      <c r="J659" s="14"/>
      <c r="K659" s="15"/>
      <c r="L659" s="15"/>
      <c r="M659" s="16" t="s">
        <v>10</v>
      </c>
    </row>
    <row r="660" spans="2:13" x14ac:dyDescent="0.25">
      <c r="B660" s="14"/>
      <c r="C660" s="14"/>
      <c r="D660" s="14"/>
      <c r="E660" s="14"/>
      <c r="F660" s="14"/>
      <c r="G660" s="14"/>
      <c r="H660" s="14"/>
      <c r="I660" s="14"/>
      <c r="J660" s="14"/>
      <c r="K660" s="15"/>
      <c r="L660" s="15"/>
      <c r="M660" s="16" t="s">
        <v>10</v>
      </c>
    </row>
    <row r="661" spans="2:13" x14ac:dyDescent="0.25">
      <c r="B661" s="14"/>
      <c r="C661" s="14"/>
      <c r="D661" s="14"/>
      <c r="E661" s="14"/>
      <c r="F661" s="14"/>
      <c r="G661" s="14"/>
      <c r="H661" s="14"/>
      <c r="I661" s="14"/>
      <c r="J661" s="14"/>
      <c r="K661" s="15"/>
      <c r="L661" s="15"/>
      <c r="M661" s="16" t="s">
        <v>10</v>
      </c>
    </row>
    <row r="662" spans="2:13" x14ac:dyDescent="0.25">
      <c r="B662" s="14"/>
      <c r="C662" s="14"/>
      <c r="D662" s="14"/>
      <c r="E662" s="14"/>
      <c r="F662" s="14"/>
      <c r="G662" s="14"/>
      <c r="H662" s="14"/>
      <c r="I662" s="14"/>
      <c r="J662" s="14"/>
      <c r="K662" s="15"/>
      <c r="L662" s="15"/>
      <c r="M662" s="16" t="s">
        <v>10</v>
      </c>
    </row>
    <row r="663" spans="2:13" x14ac:dyDescent="0.25">
      <c r="B663" s="14"/>
      <c r="C663" s="14"/>
      <c r="D663" s="14"/>
      <c r="E663" s="14"/>
      <c r="F663" s="14"/>
      <c r="G663" s="14"/>
      <c r="H663" s="14"/>
      <c r="I663" s="14"/>
      <c r="J663" s="14"/>
      <c r="K663" s="15"/>
      <c r="L663" s="15"/>
      <c r="M663" s="16" t="s">
        <v>10</v>
      </c>
    </row>
    <row r="664" spans="2:13" x14ac:dyDescent="0.25">
      <c r="B664" s="14"/>
      <c r="C664" s="14"/>
      <c r="D664" s="14"/>
      <c r="E664" s="14"/>
      <c r="F664" s="14"/>
      <c r="G664" s="14"/>
      <c r="H664" s="14"/>
      <c r="I664" s="14"/>
      <c r="J664" s="14"/>
      <c r="K664" s="15"/>
      <c r="L664" s="15"/>
      <c r="M664" s="16" t="s">
        <v>10</v>
      </c>
    </row>
    <row r="665" spans="2:13" x14ac:dyDescent="0.25">
      <c r="B665" s="14"/>
      <c r="C665" s="14"/>
      <c r="D665" s="14"/>
      <c r="E665" s="14"/>
      <c r="F665" s="14"/>
      <c r="G665" s="14"/>
      <c r="H665" s="14"/>
      <c r="I665" s="14"/>
      <c r="J665" s="14"/>
      <c r="K665" s="15"/>
      <c r="L665" s="15"/>
      <c r="M665" s="16" t="s">
        <v>10</v>
      </c>
    </row>
    <row r="666" spans="2:13" x14ac:dyDescent="0.25">
      <c r="B666" s="14"/>
      <c r="C666" s="14"/>
      <c r="D666" s="14"/>
      <c r="E666" s="14"/>
      <c r="F666" s="14"/>
      <c r="G666" s="14"/>
      <c r="H666" s="14"/>
      <c r="I666" s="14"/>
      <c r="J666" s="14"/>
      <c r="K666" s="15"/>
      <c r="L666" s="15"/>
      <c r="M666" s="16" t="s">
        <v>10</v>
      </c>
    </row>
    <row r="667" spans="2:13" x14ac:dyDescent="0.25">
      <c r="B667" s="14"/>
      <c r="C667" s="14"/>
      <c r="D667" s="14"/>
      <c r="E667" s="14"/>
      <c r="F667" s="14"/>
      <c r="G667" s="14"/>
      <c r="H667" s="14"/>
      <c r="I667" s="14"/>
      <c r="J667" s="14"/>
      <c r="K667" s="15"/>
      <c r="L667" s="15"/>
      <c r="M667" s="16" t="s">
        <v>10</v>
      </c>
    </row>
    <row r="668" spans="2:13" x14ac:dyDescent="0.25">
      <c r="B668" s="14"/>
      <c r="C668" s="14"/>
      <c r="D668" s="14"/>
      <c r="E668" s="14"/>
      <c r="F668" s="14"/>
      <c r="G668" s="14"/>
      <c r="H668" s="14"/>
      <c r="I668" s="14"/>
      <c r="J668" s="14"/>
      <c r="K668" s="15"/>
      <c r="L668" s="15"/>
      <c r="M668" s="16" t="s">
        <v>10</v>
      </c>
    </row>
    <row r="669" spans="2:13" x14ac:dyDescent="0.25">
      <c r="B669" s="14"/>
      <c r="C669" s="14"/>
      <c r="D669" s="14"/>
      <c r="E669" s="14"/>
      <c r="F669" s="14"/>
      <c r="G669" s="14"/>
      <c r="H669" s="14"/>
      <c r="I669" s="14"/>
      <c r="J669" s="14"/>
      <c r="K669" s="15"/>
      <c r="L669" s="15"/>
      <c r="M669" s="16" t="s">
        <v>10</v>
      </c>
    </row>
    <row r="670" spans="2:13" x14ac:dyDescent="0.25">
      <c r="B670" s="14"/>
      <c r="C670" s="14"/>
      <c r="D670" s="14"/>
      <c r="E670" s="14"/>
      <c r="F670" s="14"/>
      <c r="G670" s="14"/>
      <c r="H670" s="14"/>
      <c r="I670" s="14"/>
      <c r="J670" s="14"/>
      <c r="K670" s="15"/>
      <c r="L670" s="15"/>
      <c r="M670" s="16" t="s">
        <v>10</v>
      </c>
    </row>
    <row r="671" spans="2:13" x14ac:dyDescent="0.25">
      <c r="B671" s="14"/>
      <c r="C671" s="14"/>
      <c r="D671" s="14"/>
      <c r="E671" s="14"/>
      <c r="F671" s="14"/>
      <c r="G671" s="14"/>
      <c r="H671" s="14"/>
      <c r="I671" s="14"/>
      <c r="J671" s="14"/>
      <c r="K671" s="15"/>
      <c r="L671" s="15"/>
      <c r="M671" s="16" t="s">
        <v>10</v>
      </c>
    </row>
    <row r="672" spans="2:13" x14ac:dyDescent="0.25">
      <c r="B672" s="14"/>
      <c r="C672" s="14"/>
      <c r="D672" s="14"/>
      <c r="E672" s="14"/>
      <c r="F672" s="14"/>
      <c r="G672" s="14"/>
      <c r="H672" s="14"/>
      <c r="I672" s="14"/>
      <c r="J672" s="14"/>
      <c r="K672" s="15"/>
      <c r="L672" s="15"/>
      <c r="M672" s="16" t="s">
        <v>10</v>
      </c>
    </row>
    <row r="673" spans="2:13" x14ac:dyDescent="0.25">
      <c r="B673" s="14"/>
      <c r="C673" s="14"/>
      <c r="D673" s="14"/>
      <c r="E673" s="14"/>
      <c r="F673" s="14"/>
      <c r="G673" s="14"/>
      <c r="H673" s="14"/>
      <c r="I673" s="14"/>
      <c r="J673" s="14"/>
      <c r="K673" s="15"/>
      <c r="L673" s="15"/>
      <c r="M673" s="16" t="s">
        <v>10</v>
      </c>
    </row>
    <row r="674" spans="2:13" x14ac:dyDescent="0.25">
      <c r="B674" s="14"/>
      <c r="C674" s="14"/>
      <c r="D674" s="14"/>
      <c r="E674" s="14"/>
      <c r="F674" s="14"/>
      <c r="G674" s="14"/>
      <c r="H674" s="14"/>
      <c r="I674" s="14"/>
      <c r="J674" s="14"/>
      <c r="K674" s="15"/>
      <c r="L674" s="15"/>
      <c r="M674" s="16" t="s">
        <v>10</v>
      </c>
    </row>
    <row r="675" spans="2:13" x14ac:dyDescent="0.25">
      <c r="B675" s="14"/>
      <c r="C675" s="14"/>
      <c r="D675" s="14"/>
      <c r="E675" s="14"/>
      <c r="F675" s="14"/>
      <c r="G675" s="14"/>
      <c r="H675" s="14"/>
      <c r="I675" s="14"/>
      <c r="J675" s="14"/>
      <c r="K675" s="15"/>
      <c r="L675" s="15"/>
      <c r="M675" s="16" t="s">
        <v>10</v>
      </c>
    </row>
    <row r="676" spans="2:13" x14ac:dyDescent="0.25">
      <c r="B676" s="14"/>
      <c r="C676" s="14"/>
      <c r="D676" s="14"/>
      <c r="E676" s="14"/>
      <c r="F676" s="14"/>
      <c r="G676" s="14"/>
      <c r="H676" s="14"/>
      <c r="I676" s="14"/>
      <c r="J676" s="14"/>
      <c r="K676" s="15"/>
      <c r="L676" s="15"/>
      <c r="M676" s="16" t="s">
        <v>10</v>
      </c>
    </row>
    <row r="677" spans="2:13" x14ac:dyDescent="0.25">
      <c r="B677" s="14"/>
      <c r="C677" s="14"/>
      <c r="D677" s="14"/>
      <c r="E677" s="14"/>
      <c r="F677" s="14"/>
      <c r="G677" s="14"/>
      <c r="H677" s="14"/>
      <c r="I677" s="14"/>
      <c r="J677" s="14"/>
      <c r="K677" s="15"/>
      <c r="L677" s="15"/>
      <c r="M677" s="16" t="s">
        <v>10</v>
      </c>
    </row>
    <row r="678" spans="2:13" x14ac:dyDescent="0.25">
      <c r="B678" s="14"/>
      <c r="C678" s="14"/>
      <c r="D678" s="14"/>
      <c r="E678" s="14"/>
      <c r="F678" s="14"/>
      <c r="G678" s="14"/>
      <c r="H678" s="14"/>
      <c r="I678" s="14"/>
      <c r="J678" s="14"/>
      <c r="K678" s="15"/>
      <c r="L678" s="15"/>
      <c r="M678" s="16" t="s">
        <v>10</v>
      </c>
    </row>
    <row r="679" spans="2:13" x14ac:dyDescent="0.25">
      <c r="B679" s="14"/>
      <c r="C679" s="14"/>
      <c r="D679" s="14"/>
      <c r="E679" s="14"/>
      <c r="F679" s="14"/>
      <c r="G679" s="14"/>
      <c r="H679" s="14"/>
      <c r="I679" s="14"/>
      <c r="J679" s="14"/>
      <c r="K679" s="15"/>
      <c r="L679" s="15"/>
      <c r="M679" s="16" t="s">
        <v>10</v>
      </c>
    </row>
    <row r="680" spans="2:13" x14ac:dyDescent="0.25">
      <c r="B680" s="14"/>
      <c r="C680" s="14"/>
      <c r="D680" s="14"/>
      <c r="E680" s="14"/>
      <c r="F680" s="14"/>
      <c r="G680" s="14"/>
      <c r="H680" s="14"/>
      <c r="I680" s="14"/>
      <c r="J680" s="14"/>
      <c r="K680" s="15"/>
      <c r="L680" s="15"/>
      <c r="M680" s="16" t="s">
        <v>10</v>
      </c>
    </row>
    <row r="681" spans="2:13" x14ac:dyDescent="0.25">
      <c r="B681" s="14"/>
      <c r="C681" s="14"/>
      <c r="D681" s="14"/>
      <c r="E681" s="14"/>
      <c r="F681" s="14"/>
      <c r="G681" s="14"/>
      <c r="H681" s="14"/>
      <c r="I681" s="14"/>
      <c r="J681" s="14"/>
      <c r="K681" s="15"/>
      <c r="L681" s="15"/>
      <c r="M681" s="16" t="s">
        <v>10</v>
      </c>
    </row>
    <row r="682" spans="2:13" x14ac:dyDescent="0.25">
      <c r="B682" s="14"/>
      <c r="C682" s="14"/>
      <c r="D682" s="14"/>
      <c r="E682" s="14"/>
      <c r="F682" s="14"/>
      <c r="G682" s="14"/>
      <c r="H682" s="14"/>
      <c r="I682" s="14"/>
      <c r="J682" s="14"/>
      <c r="K682" s="15"/>
      <c r="L682" s="15"/>
      <c r="M682" s="16" t="s">
        <v>10</v>
      </c>
    </row>
    <row r="683" spans="2:13" x14ac:dyDescent="0.25">
      <c r="B683" s="14"/>
      <c r="C683" s="14"/>
      <c r="D683" s="14"/>
      <c r="E683" s="14"/>
      <c r="F683" s="14"/>
      <c r="G683" s="14"/>
      <c r="H683" s="14"/>
      <c r="I683" s="14"/>
      <c r="J683" s="14"/>
      <c r="K683" s="15"/>
      <c r="L683" s="15"/>
      <c r="M683" s="16" t="s">
        <v>10</v>
      </c>
    </row>
    <row r="684" spans="2:13" x14ac:dyDescent="0.25">
      <c r="B684" s="14"/>
      <c r="C684" s="14"/>
      <c r="D684" s="14"/>
      <c r="E684" s="14"/>
      <c r="F684" s="14"/>
      <c r="G684" s="14"/>
      <c r="H684" s="14"/>
      <c r="I684" s="14"/>
      <c r="J684" s="14"/>
      <c r="K684" s="15"/>
      <c r="L684" s="15"/>
      <c r="M684" s="16" t="s">
        <v>10</v>
      </c>
    </row>
    <row r="685" spans="2:13" x14ac:dyDescent="0.25">
      <c r="B685" s="14"/>
      <c r="C685" s="14"/>
      <c r="D685" s="14"/>
      <c r="E685" s="14"/>
      <c r="F685" s="14"/>
      <c r="G685" s="14"/>
      <c r="H685" s="14"/>
      <c r="I685" s="14"/>
      <c r="J685" s="14"/>
      <c r="K685" s="15"/>
      <c r="L685" s="15"/>
      <c r="M685" s="16" t="s">
        <v>10</v>
      </c>
    </row>
    <row r="686" spans="2:13" x14ac:dyDescent="0.25">
      <c r="B686" s="14"/>
      <c r="C686" s="14"/>
      <c r="D686" s="14"/>
      <c r="E686" s="14"/>
      <c r="F686" s="14"/>
      <c r="G686" s="14"/>
      <c r="H686" s="14"/>
      <c r="I686" s="14"/>
      <c r="J686" s="14"/>
      <c r="K686" s="15"/>
      <c r="L686" s="15"/>
      <c r="M686" s="16" t="s">
        <v>10</v>
      </c>
    </row>
    <row r="687" spans="2:13" x14ac:dyDescent="0.25">
      <c r="B687" s="14"/>
      <c r="C687" s="14"/>
      <c r="D687" s="14"/>
      <c r="E687" s="14"/>
      <c r="F687" s="14"/>
      <c r="G687" s="14"/>
      <c r="H687" s="14"/>
      <c r="I687" s="14"/>
      <c r="J687" s="14"/>
      <c r="K687" s="15"/>
      <c r="L687" s="15"/>
      <c r="M687" s="16" t="s">
        <v>10</v>
      </c>
    </row>
    <row r="688" spans="2:13" x14ac:dyDescent="0.25">
      <c r="B688" s="14"/>
      <c r="C688" s="14"/>
      <c r="D688" s="14"/>
      <c r="E688" s="14"/>
      <c r="F688" s="14"/>
      <c r="G688" s="14"/>
      <c r="H688" s="14"/>
      <c r="I688" s="14"/>
      <c r="J688" s="14"/>
      <c r="K688" s="15"/>
      <c r="L688" s="15"/>
      <c r="M688" s="16" t="s">
        <v>10</v>
      </c>
    </row>
    <row r="689" spans="2:13" x14ac:dyDescent="0.25">
      <c r="B689" s="14"/>
      <c r="C689" s="14"/>
      <c r="D689" s="14"/>
      <c r="E689" s="14"/>
      <c r="F689" s="14"/>
      <c r="G689" s="14"/>
      <c r="H689" s="14"/>
      <c r="I689" s="14"/>
      <c r="J689" s="14"/>
      <c r="K689" s="15"/>
      <c r="L689" s="15"/>
      <c r="M689" s="16" t="s">
        <v>10</v>
      </c>
    </row>
    <row r="690" spans="2:13" x14ac:dyDescent="0.25">
      <c r="B690" s="14"/>
      <c r="C690" s="14"/>
      <c r="D690" s="14"/>
      <c r="E690" s="14"/>
      <c r="F690" s="14"/>
      <c r="G690" s="14"/>
      <c r="H690" s="14"/>
      <c r="I690" s="14"/>
      <c r="J690" s="14"/>
      <c r="K690" s="15"/>
      <c r="L690" s="15"/>
      <c r="M690" s="16" t="s">
        <v>10</v>
      </c>
    </row>
    <row r="691" spans="2:13" x14ac:dyDescent="0.25">
      <c r="B691" s="14"/>
      <c r="C691" s="14"/>
      <c r="D691" s="14"/>
      <c r="E691" s="14"/>
      <c r="F691" s="14"/>
      <c r="G691" s="14"/>
      <c r="H691" s="14"/>
      <c r="I691" s="14"/>
      <c r="J691" s="14"/>
      <c r="K691" s="15"/>
      <c r="L691" s="15"/>
      <c r="M691" s="16" t="s">
        <v>10</v>
      </c>
    </row>
    <row r="692" spans="2:13" x14ac:dyDescent="0.25">
      <c r="B692" s="14"/>
      <c r="C692" s="14"/>
      <c r="D692" s="14"/>
      <c r="E692" s="14"/>
      <c r="F692" s="14"/>
      <c r="G692" s="14"/>
      <c r="H692" s="14"/>
      <c r="I692" s="14"/>
      <c r="J692" s="14"/>
      <c r="K692" s="15"/>
      <c r="L692" s="15"/>
      <c r="M692" s="16" t="s">
        <v>10</v>
      </c>
    </row>
    <row r="693" spans="2:13" x14ac:dyDescent="0.25">
      <c r="B693" s="14"/>
      <c r="C693" s="14"/>
      <c r="D693" s="14"/>
      <c r="E693" s="14"/>
      <c r="F693" s="14"/>
      <c r="G693" s="14"/>
      <c r="H693" s="14"/>
      <c r="I693" s="14"/>
      <c r="J693" s="14"/>
      <c r="K693" s="15"/>
      <c r="L693" s="15"/>
      <c r="M693" s="16" t="s">
        <v>10</v>
      </c>
    </row>
    <row r="694" spans="2:13" x14ac:dyDescent="0.25">
      <c r="B694" s="14"/>
      <c r="C694" s="14"/>
      <c r="D694" s="14"/>
      <c r="E694" s="14"/>
      <c r="F694" s="14"/>
      <c r="G694" s="14"/>
      <c r="H694" s="14"/>
      <c r="I694" s="14"/>
      <c r="J694" s="14"/>
      <c r="K694" s="15"/>
      <c r="L694" s="15"/>
      <c r="M694" s="16" t="s">
        <v>10</v>
      </c>
    </row>
    <row r="695" spans="2:13" x14ac:dyDescent="0.25">
      <c r="B695" s="14"/>
      <c r="C695" s="14"/>
      <c r="D695" s="14"/>
      <c r="E695" s="14"/>
      <c r="F695" s="14"/>
      <c r="G695" s="14"/>
      <c r="H695" s="14"/>
      <c r="I695" s="14"/>
      <c r="J695" s="14"/>
      <c r="K695" s="15"/>
      <c r="L695" s="15"/>
      <c r="M695" s="16" t="s">
        <v>10</v>
      </c>
    </row>
    <row r="696" spans="2:13" x14ac:dyDescent="0.25">
      <c r="B696" s="14"/>
      <c r="C696" s="14"/>
      <c r="D696" s="14"/>
      <c r="E696" s="14"/>
      <c r="F696" s="14"/>
      <c r="G696" s="14"/>
      <c r="H696" s="14"/>
      <c r="I696" s="14"/>
      <c r="J696" s="14"/>
      <c r="K696" s="15"/>
      <c r="L696" s="15"/>
      <c r="M696" s="16" t="s">
        <v>10</v>
      </c>
    </row>
    <row r="697" spans="2:13" x14ac:dyDescent="0.25">
      <c r="B697" s="14"/>
      <c r="C697" s="14"/>
      <c r="D697" s="14"/>
      <c r="E697" s="14"/>
      <c r="F697" s="14"/>
      <c r="G697" s="14"/>
      <c r="H697" s="14"/>
      <c r="I697" s="14"/>
      <c r="J697" s="14"/>
      <c r="K697" s="15"/>
      <c r="L697" s="15"/>
      <c r="M697" s="16" t="s">
        <v>10</v>
      </c>
    </row>
    <row r="698" spans="2:13" x14ac:dyDescent="0.25">
      <c r="B698" s="14"/>
      <c r="C698" s="14"/>
      <c r="D698" s="14"/>
      <c r="E698" s="14"/>
      <c r="F698" s="14"/>
      <c r="G698" s="14"/>
      <c r="H698" s="14"/>
      <c r="I698" s="14"/>
      <c r="J698" s="14"/>
      <c r="K698" s="15"/>
      <c r="L698" s="15"/>
      <c r="M698" s="16" t="s">
        <v>10</v>
      </c>
    </row>
    <row r="699" spans="2:13" x14ac:dyDescent="0.25">
      <c r="B699" s="14"/>
      <c r="C699" s="14"/>
      <c r="D699" s="14"/>
      <c r="E699" s="14"/>
      <c r="F699" s="14"/>
      <c r="G699" s="14"/>
      <c r="H699" s="14"/>
      <c r="I699" s="14"/>
      <c r="J699" s="14"/>
      <c r="K699" s="15"/>
      <c r="L699" s="15"/>
      <c r="M699" s="16" t="s">
        <v>10</v>
      </c>
    </row>
    <row r="700" spans="2:13" x14ac:dyDescent="0.25">
      <c r="B700" s="14"/>
      <c r="C700" s="14"/>
      <c r="D700" s="14"/>
      <c r="E700" s="14"/>
      <c r="F700" s="14"/>
      <c r="G700" s="14"/>
      <c r="H700" s="14"/>
      <c r="I700" s="14"/>
      <c r="J700" s="14"/>
      <c r="K700" s="15"/>
      <c r="L700" s="15"/>
      <c r="M700" s="16" t="s">
        <v>10</v>
      </c>
    </row>
    <row r="701" spans="2:13" x14ac:dyDescent="0.25">
      <c r="B701" s="14"/>
      <c r="C701" s="14"/>
      <c r="D701" s="14"/>
      <c r="E701" s="14"/>
      <c r="F701" s="14"/>
      <c r="G701" s="14"/>
      <c r="H701" s="14"/>
      <c r="I701" s="14"/>
      <c r="J701" s="14"/>
      <c r="K701" s="15"/>
      <c r="L701" s="15"/>
      <c r="M701" s="16" t="s">
        <v>10</v>
      </c>
    </row>
    <row r="702" spans="2:13" x14ac:dyDescent="0.25">
      <c r="B702" s="14"/>
      <c r="C702" s="14"/>
      <c r="D702" s="14"/>
      <c r="E702" s="14"/>
      <c r="F702" s="14"/>
      <c r="G702" s="14"/>
      <c r="H702" s="14"/>
      <c r="I702" s="14"/>
      <c r="J702" s="14"/>
      <c r="K702" s="15"/>
      <c r="L702" s="15"/>
      <c r="M702" s="16" t="s">
        <v>10</v>
      </c>
    </row>
    <row r="703" spans="2:13" x14ac:dyDescent="0.25">
      <c r="B703" s="14"/>
      <c r="C703" s="14"/>
      <c r="D703" s="14"/>
      <c r="E703" s="14"/>
      <c r="F703" s="14"/>
      <c r="G703" s="14"/>
      <c r="H703" s="14"/>
      <c r="I703" s="14"/>
      <c r="J703" s="14"/>
      <c r="K703" s="15"/>
      <c r="L703" s="15"/>
      <c r="M703" s="16" t="s">
        <v>10</v>
      </c>
    </row>
    <row r="704" spans="2:13" x14ac:dyDescent="0.25">
      <c r="B704" s="14"/>
      <c r="C704" s="14"/>
      <c r="D704" s="14"/>
      <c r="E704" s="14"/>
      <c r="F704" s="14"/>
      <c r="G704" s="14"/>
      <c r="H704" s="14"/>
      <c r="I704" s="14"/>
      <c r="J704" s="14"/>
      <c r="K704" s="15"/>
      <c r="L704" s="15"/>
      <c r="M704" s="16" t="s">
        <v>10</v>
      </c>
    </row>
    <row r="705" spans="2:13" x14ac:dyDescent="0.25">
      <c r="B705" s="14"/>
      <c r="C705" s="14"/>
      <c r="D705" s="14"/>
      <c r="E705" s="14"/>
      <c r="F705" s="14"/>
      <c r="G705" s="14"/>
      <c r="H705" s="14"/>
      <c r="I705" s="14"/>
      <c r="J705" s="14"/>
      <c r="K705" s="15"/>
      <c r="L705" s="15"/>
      <c r="M705" s="16" t="s">
        <v>10</v>
      </c>
    </row>
    <row r="706" spans="2:13" x14ac:dyDescent="0.25">
      <c r="B706" s="14"/>
      <c r="C706" s="14"/>
      <c r="D706" s="14"/>
      <c r="E706" s="14"/>
      <c r="F706" s="14"/>
      <c r="G706" s="14"/>
      <c r="H706" s="14"/>
      <c r="I706" s="14"/>
      <c r="J706" s="14"/>
      <c r="K706" s="15"/>
      <c r="L706" s="15"/>
      <c r="M706" s="16" t="s">
        <v>10</v>
      </c>
    </row>
    <row r="707" spans="2:13" x14ac:dyDescent="0.25">
      <c r="B707" s="14"/>
      <c r="C707" s="14"/>
      <c r="D707" s="14"/>
      <c r="E707" s="14"/>
      <c r="F707" s="14"/>
      <c r="G707" s="14"/>
      <c r="H707" s="14"/>
      <c r="I707" s="14"/>
      <c r="J707" s="14"/>
      <c r="K707" s="15"/>
      <c r="L707" s="15"/>
      <c r="M707" s="16" t="s">
        <v>10</v>
      </c>
    </row>
    <row r="708" spans="2:13" x14ac:dyDescent="0.25">
      <c r="B708" s="14"/>
      <c r="C708" s="14"/>
      <c r="D708" s="14"/>
      <c r="E708" s="14"/>
      <c r="F708" s="14"/>
      <c r="G708" s="14"/>
      <c r="H708" s="14"/>
      <c r="I708" s="14"/>
      <c r="J708" s="14"/>
      <c r="K708" s="15"/>
      <c r="L708" s="15"/>
      <c r="M708" s="16" t="s">
        <v>10</v>
      </c>
    </row>
    <row r="709" spans="2:13" x14ac:dyDescent="0.25">
      <c r="B709" s="14"/>
      <c r="C709" s="14"/>
      <c r="D709" s="14"/>
      <c r="E709" s="14"/>
      <c r="F709" s="14"/>
      <c r="G709" s="14"/>
      <c r="H709" s="14"/>
      <c r="I709" s="14"/>
      <c r="J709" s="14"/>
      <c r="K709" s="15"/>
      <c r="L709" s="15"/>
      <c r="M709" s="16" t="s">
        <v>10</v>
      </c>
    </row>
    <row r="710" spans="2:13" x14ac:dyDescent="0.25">
      <c r="B710" s="14"/>
      <c r="C710" s="14"/>
      <c r="D710" s="14"/>
      <c r="E710" s="14"/>
      <c r="F710" s="14"/>
      <c r="G710" s="14"/>
      <c r="H710" s="14"/>
      <c r="I710" s="14"/>
      <c r="J710" s="14"/>
      <c r="K710" s="15"/>
      <c r="L710" s="15"/>
      <c r="M710" s="16" t="s">
        <v>10</v>
      </c>
    </row>
    <row r="711" spans="2:13" x14ac:dyDescent="0.25">
      <c r="B711" s="14"/>
      <c r="C711" s="14"/>
      <c r="D711" s="14"/>
      <c r="E711" s="14"/>
      <c r="F711" s="14"/>
      <c r="G711" s="14"/>
      <c r="H711" s="14"/>
      <c r="I711" s="14"/>
      <c r="J711" s="14"/>
      <c r="K711" s="15"/>
      <c r="L711" s="15"/>
      <c r="M711" s="16" t="s">
        <v>10</v>
      </c>
    </row>
    <row r="712" spans="2:13" x14ac:dyDescent="0.25">
      <c r="B712" s="14"/>
      <c r="C712" s="14"/>
      <c r="D712" s="14"/>
      <c r="E712" s="14"/>
      <c r="F712" s="14"/>
      <c r="G712" s="14"/>
      <c r="H712" s="14"/>
      <c r="I712" s="14"/>
      <c r="J712" s="14"/>
      <c r="K712" s="15"/>
      <c r="L712" s="15"/>
      <c r="M712" s="16" t="s">
        <v>10</v>
      </c>
    </row>
    <row r="713" spans="2:13" x14ac:dyDescent="0.25">
      <c r="B713" s="14"/>
      <c r="C713" s="14"/>
      <c r="D713" s="14"/>
      <c r="E713" s="14"/>
      <c r="F713" s="14"/>
      <c r="G713" s="14"/>
      <c r="H713" s="14"/>
      <c r="I713" s="14"/>
      <c r="J713" s="14"/>
      <c r="K713" s="15"/>
      <c r="L713" s="15"/>
      <c r="M713" s="16" t="s">
        <v>10</v>
      </c>
    </row>
    <row r="714" spans="2:13" x14ac:dyDescent="0.25">
      <c r="B714" s="14"/>
      <c r="C714" s="14"/>
      <c r="D714" s="14"/>
      <c r="E714" s="14"/>
      <c r="F714" s="14"/>
      <c r="G714" s="14"/>
      <c r="H714" s="14"/>
      <c r="I714" s="14"/>
      <c r="J714" s="14"/>
      <c r="K714" s="15"/>
      <c r="L714" s="15"/>
      <c r="M714" s="16" t="s">
        <v>10</v>
      </c>
    </row>
    <row r="715" spans="2:13" x14ac:dyDescent="0.25">
      <c r="B715" s="14"/>
      <c r="C715" s="14"/>
      <c r="D715" s="14"/>
      <c r="E715" s="14"/>
      <c r="F715" s="14"/>
      <c r="G715" s="14"/>
      <c r="H715" s="14"/>
      <c r="I715" s="14"/>
      <c r="J715" s="14"/>
      <c r="K715" s="15"/>
      <c r="L715" s="15"/>
      <c r="M715" s="16" t="s">
        <v>10</v>
      </c>
    </row>
    <row r="716" spans="2:13" x14ac:dyDescent="0.25">
      <c r="B716" s="14"/>
      <c r="C716" s="14"/>
      <c r="D716" s="14"/>
      <c r="E716" s="14"/>
      <c r="F716" s="14"/>
      <c r="G716" s="14"/>
      <c r="H716" s="14"/>
      <c r="I716" s="14"/>
      <c r="J716" s="14"/>
      <c r="K716" s="15"/>
      <c r="L716" s="15"/>
      <c r="M716" s="16" t="s">
        <v>10</v>
      </c>
    </row>
    <row r="717" spans="2:13" x14ac:dyDescent="0.25">
      <c r="B717" s="14"/>
      <c r="C717" s="14"/>
      <c r="D717" s="14"/>
      <c r="E717" s="14"/>
      <c r="F717" s="14"/>
      <c r="G717" s="14"/>
      <c r="H717" s="14"/>
      <c r="I717" s="14"/>
      <c r="J717" s="14"/>
      <c r="K717" s="15"/>
      <c r="L717" s="15"/>
      <c r="M717" s="16" t="s">
        <v>10</v>
      </c>
    </row>
    <row r="718" spans="2:13" x14ac:dyDescent="0.25">
      <c r="B718" s="14"/>
      <c r="C718" s="14"/>
      <c r="D718" s="14"/>
      <c r="E718" s="14"/>
      <c r="F718" s="14"/>
      <c r="G718" s="14"/>
      <c r="H718" s="14"/>
      <c r="I718" s="14"/>
      <c r="J718" s="14"/>
      <c r="K718" s="15"/>
      <c r="L718" s="15"/>
      <c r="M718" s="16" t="s">
        <v>10</v>
      </c>
    </row>
    <row r="719" spans="2:13" x14ac:dyDescent="0.25">
      <c r="B719" s="14"/>
      <c r="C719" s="14"/>
      <c r="D719" s="14"/>
      <c r="E719" s="14"/>
      <c r="F719" s="14"/>
      <c r="G719" s="14"/>
      <c r="H719" s="14"/>
      <c r="I719" s="14"/>
      <c r="J719" s="14"/>
      <c r="K719" s="15"/>
      <c r="L719" s="15"/>
      <c r="M719" s="16" t="s">
        <v>10</v>
      </c>
    </row>
    <row r="720" spans="2:13" x14ac:dyDescent="0.25">
      <c r="B720" s="14"/>
      <c r="C720" s="14"/>
      <c r="D720" s="14"/>
      <c r="E720" s="14"/>
      <c r="F720" s="14"/>
      <c r="G720" s="14"/>
      <c r="H720" s="14"/>
      <c r="I720" s="14"/>
      <c r="J720" s="14"/>
      <c r="K720" s="15"/>
      <c r="L720" s="15"/>
      <c r="M720" s="16" t="s">
        <v>10</v>
      </c>
    </row>
    <row r="721" spans="2:13" x14ac:dyDescent="0.25">
      <c r="B721" s="14"/>
      <c r="C721" s="14"/>
      <c r="D721" s="14"/>
      <c r="E721" s="14"/>
      <c r="F721" s="14"/>
      <c r="G721" s="14"/>
      <c r="H721" s="14"/>
      <c r="I721" s="14"/>
      <c r="J721" s="14"/>
      <c r="K721" s="15"/>
      <c r="L721" s="15"/>
      <c r="M721" s="16" t="s">
        <v>10</v>
      </c>
    </row>
    <row r="722" spans="2:13" x14ac:dyDescent="0.25">
      <c r="B722" s="14"/>
      <c r="C722" s="14"/>
      <c r="D722" s="14"/>
      <c r="E722" s="14"/>
      <c r="F722" s="14"/>
      <c r="G722" s="14"/>
      <c r="H722" s="14"/>
      <c r="I722" s="14"/>
      <c r="J722" s="14"/>
      <c r="K722" s="15"/>
      <c r="L722" s="15"/>
      <c r="M722" s="16" t="s">
        <v>10</v>
      </c>
    </row>
    <row r="723" spans="2:13" x14ac:dyDescent="0.25">
      <c r="B723" s="14"/>
      <c r="C723" s="14"/>
      <c r="D723" s="14"/>
      <c r="E723" s="14"/>
      <c r="F723" s="14"/>
      <c r="G723" s="14"/>
      <c r="H723" s="14"/>
      <c r="I723" s="14"/>
      <c r="J723" s="14"/>
      <c r="K723" s="15"/>
      <c r="L723" s="15"/>
      <c r="M723" s="16" t="s">
        <v>10</v>
      </c>
    </row>
    <row r="724" spans="2:13" x14ac:dyDescent="0.25">
      <c r="B724" s="14"/>
      <c r="C724" s="14"/>
      <c r="D724" s="14"/>
      <c r="E724" s="14"/>
      <c r="F724" s="14"/>
      <c r="G724" s="14"/>
      <c r="H724" s="14"/>
      <c r="I724" s="14"/>
      <c r="J724" s="14"/>
      <c r="K724" s="15"/>
      <c r="L724" s="15"/>
      <c r="M724" s="16" t="s">
        <v>10</v>
      </c>
    </row>
    <row r="725" spans="2:13" x14ac:dyDescent="0.25">
      <c r="B725" s="14"/>
      <c r="C725" s="14"/>
      <c r="D725" s="14"/>
      <c r="E725" s="14"/>
      <c r="F725" s="14"/>
      <c r="G725" s="14"/>
      <c r="H725" s="14"/>
      <c r="I725" s="14"/>
      <c r="J725" s="14"/>
      <c r="K725" s="15"/>
      <c r="L725" s="15"/>
      <c r="M725" s="16" t="s">
        <v>10</v>
      </c>
    </row>
    <row r="726" spans="2:13" x14ac:dyDescent="0.25">
      <c r="B726" s="14"/>
      <c r="C726" s="14"/>
      <c r="D726" s="14"/>
      <c r="E726" s="14"/>
      <c r="F726" s="14"/>
      <c r="G726" s="14"/>
      <c r="H726" s="14"/>
      <c r="I726" s="14"/>
      <c r="J726" s="14"/>
      <c r="K726" s="15"/>
      <c r="L726" s="15"/>
      <c r="M726" s="16" t="s">
        <v>10</v>
      </c>
    </row>
    <row r="727" spans="2:13" x14ac:dyDescent="0.25">
      <c r="B727" s="14"/>
      <c r="C727" s="14"/>
      <c r="D727" s="14"/>
      <c r="E727" s="14"/>
      <c r="F727" s="14"/>
      <c r="G727" s="14"/>
      <c r="H727" s="14"/>
      <c r="I727" s="14"/>
      <c r="J727" s="14"/>
      <c r="K727" s="15"/>
      <c r="L727" s="15"/>
      <c r="M727" s="16" t="s">
        <v>10</v>
      </c>
    </row>
    <row r="728" spans="2:13" x14ac:dyDescent="0.25">
      <c r="B728" s="14"/>
      <c r="C728" s="14"/>
      <c r="D728" s="14"/>
      <c r="E728" s="14"/>
      <c r="F728" s="14"/>
      <c r="G728" s="14"/>
      <c r="H728" s="14"/>
      <c r="I728" s="14"/>
      <c r="J728" s="14"/>
      <c r="K728" s="15"/>
      <c r="L728" s="15"/>
      <c r="M728" s="16" t="s">
        <v>10</v>
      </c>
    </row>
    <row r="729" spans="2:13" x14ac:dyDescent="0.25">
      <c r="B729" s="14"/>
      <c r="C729" s="14"/>
      <c r="D729" s="14"/>
      <c r="E729" s="14"/>
      <c r="F729" s="14"/>
      <c r="G729" s="14"/>
      <c r="H729" s="14"/>
      <c r="I729" s="14"/>
      <c r="J729" s="14"/>
      <c r="K729" s="15"/>
      <c r="L729" s="15"/>
      <c r="M729" s="16" t="s">
        <v>10</v>
      </c>
    </row>
    <row r="730" spans="2:13" x14ac:dyDescent="0.25">
      <c r="B730" s="14"/>
      <c r="C730" s="14"/>
      <c r="D730" s="14"/>
      <c r="E730" s="14"/>
      <c r="F730" s="14"/>
      <c r="G730" s="14"/>
      <c r="H730" s="14"/>
      <c r="I730" s="14"/>
      <c r="J730" s="14"/>
      <c r="K730" s="15"/>
      <c r="L730" s="15"/>
      <c r="M730" s="16" t="s">
        <v>10</v>
      </c>
    </row>
    <row r="731" spans="2:13" x14ac:dyDescent="0.25">
      <c r="B731" s="14"/>
      <c r="C731" s="14"/>
      <c r="D731" s="14"/>
      <c r="E731" s="14"/>
      <c r="F731" s="14"/>
      <c r="G731" s="14"/>
      <c r="H731" s="14"/>
      <c r="I731" s="14"/>
      <c r="J731" s="14"/>
      <c r="K731" s="15"/>
      <c r="L731" s="15"/>
      <c r="M731" s="16" t="s">
        <v>10</v>
      </c>
    </row>
    <row r="732" spans="2:13" x14ac:dyDescent="0.25">
      <c r="B732" s="14"/>
      <c r="C732" s="14"/>
      <c r="D732" s="14"/>
      <c r="E732" s="14"/>
      <c r="F732" s="14"/>
      <c r="G732" s="14"/>
      <c r="H732" s="14"/>
      <c r="I732" s="14"/>
      <c r="J732" s="14"/>
      <c r="K732" s="15"/>
      <c r="L732" s="15"/>
      <c r="M732" s="16" t="s">
        <v>10</v>
      </c>
    </row>
    <row r="733" spans="2:13" x14ac:dyDescent="0.25">
      <c r="B733" s="14"/>
      <c r="C733" s="14"/>
      <c r="D733" s="14"/>
      <c r="E733" s="14"/>
      <c r="F733" s="14"/>
      <c r="G733" s="14"/>
      <c r="H733" s="14"/>
      <c r="I733" s="14"/>
      <c r="J733" s="14"/>
      <c r="K733" s="15"/>
      <c r="L733" s="15"/>
      <c r="M733" s="16" t="s">
        <v>10</v>
      </c>
    </row>
    <row r="734" spans="2:13" x14ac:dyDescent="0.25">
      <c r="B734" s="14"/>
      <c r="C734" s="14"/>
      <c r="D734" s="14"/>
      <c r="E734" s="14"/>
      <c r="F734" s="14"/>
      <c r="G734" s="14"/>
      <c r="H734" s="14"/>
      <c r="I734" s="14"/>
      <c r="J734" s="14"/>
      <c r="K734" s="15"/>
      <c r="L734" s="15"/>
      <c r="M734" s="16" t="s">
        <v>10</v>
      </c>
    </row>
    <row r="735" spans="2:13" x14ac:dyDescent="0.25">
      <c r="B735" s="14"/>
      <c r="C735" s="14"/>
      <c r="D735" s="14"/>
      <c r="E735" s="14"/>
      <c r="F735" s="14"/>
      <c r="G735" s="14"/>
      <c r="H735" s="14"/>
      <c r="I735" s="14"/>
      <c r="J735" s="14"/>
      <c r="K735" s="15"/>
      <c r="L735" s="15"/>
      <c r="M735" s="16" t="s">
        <v>10</v>
      </c>
    </row>
    <row r="736" spans="2:13" x14ac:dyDescent="0.25">
      <c r="B736" s="14"/>
      <c r="C736" s="14"/>
      <c r="D736" s="14"/>
      <c r="E736" s="14"/>
      <c r="F736" s="14"/>
      <c r="G736" s="14"/>
      <c r="H736" s="14"/>
      <c r="I736" s="14"/>
      <c r="J736" s="14"/>
      <c r="K736" s="15"/>
      <c r="L736" s="15"/>
      <c r="M736" s="16" t="s">
        <v>10</v>
      </c>
    </row>
    <row r="737" spans="2:13" x14ac:dyDescent="0.25">
      <c r="B737" s="14"/>
      <c r="C737" s="14"/>
      <c r="D737" s="14"/>
      <c r="E737" s="14"/>
      <c r="F737" s="14"/>
      <c r="G737" s="14"/>
      <c r="H737" s="14"/>
      <c r="I737" s="14"/>
      <c r="J737" s="14"/>
      <c r="K737" s="15"/>
      <c r="L737" s="15"/>
      <c r="M737" s="16" t="s">
        <v>10</v>
      </c>
    </row>
    <row r="738" spans="2:13" x14ac:dyDescent="0.25">
      <c r="B738" s="14"/>
      <c r="C738" s="14"/>
      <c r="D738" s="14"/>
      <c r="E738" s="14"/>
      <c r="F738" s="14"/>
      <c r="G738" s="14"/>
      <c r="H738" s="14"/>
      <c r="I738" s="14"/>
      <c r="J738" s="14"/>
      <c r="K738" s="15"/>
      <c r="L738" s="15"/>
      <c r="M738" s="16" t="s">
        <v>10</v>
      </c>
    </row>
    <row r="739" spans="2:13" x14ac:dyDescent="0.25">
      <c r="B739" s="14"/>
      <c r="C739" s="14"/>
      <c r="D739" s="14"/>
      <c r="E739" s="14"/>
      <c r="F739" s="14"/>
      <c r="G739" s="14"/>
      <c r="H739" s="14"/>
      <c r="I739" s="14"/>
      <c r="J739" s="14"/>
      <c r="K739" s="15"/>
      <c r="L739" s="15"/>
      <c r="M739" s="16" t="s">
        <v>10</v>
      </c>
    </row>
    <row r="740" spans="2:13" x14ac:dyDescent="0.25">
      <c r="B740" s="8"/>
      <c r="C740" s="8"/>
      <c r="D740" s="8"/>
      <c r="E740" s="8"/>
      <c r="F740" s="8"/>
      <c r="G740" s="8"/>
      <c r="H740" s="8"/>
      <c r="I740" s="8"/>
      <c r="J740" s="8"/>
      <c r="K740" s="9"/>
      <c r="L740" s="9"/>
      <c r="M740" s="10" t="s">
        <v>10</v>
      </c>
    </row>
    <row r="741" spans="2:13" x14ac:dyDescent="0.25">
      <c r="B741" s="8"/>
      <c r="C741" s="8"/>
      <c r="D741" s="8"/>
      <c r="E741" s="8"/>
      <c r="F741" s="8"/>
      <c r="G741" s="8"/>
      <c r="H741" s="8"/>
      <c r="I741" s="8"/>
      <c r="J741" s="8"/>
      <c r="K741" s="9"/>
      <c r="L741" s="9"/>
      <c r="M741" s="10" t="s">
        <v>10</v>
      </c>
    </row>
    <row r="742" spans="2:13" x14ac:dyDescent="0.25">
      <c r="B742" s="8"/>
      <c r="C742" s="8"/>
      <c r="D742" s="8"/>
      <c r="E742" s="8"/>
      <c r="F742" s="8"/>
      <c r="G742" s="8"/>
      <c r="H742" s="8"/>
      <c r="I742" s="8"/>
      <c r="J742" s="8"/>
      <c r="K742" s="9"/>
      <c r="L742" s="9"/>
      <c r="M742" s="10" t="s">
        <v>10</v>
      </c>
    </row>
    <row r="743" spans="2:13" x14ac:dyDescent="0.25">
      <c r="B743" s="8"/>
      <c r="C743" s="8"/>
      <c r="D743" s="8"/>
      <c r="E743" s="8"/>
      <c r="F743" s="8"/>
      <c r="G743" s="8"/>
      <c r="H743" s="8"/>
      <c r="I743" s="8"/>
      <c r="J743" s="8"/>
      <c r="K743" s="9"/>
      <c r="L743" s="9"/>
      <c r="M743" s="10" t="s">
        <v>10</v>
      </c>
    </row>
    <row r="744" spans="2:13" x14ac:dyDescent="0.25">
      <c r="B744" s="8"/>
      <c r="C744" s="8"/>
      <c r="D744" s="8"/>
      <c r="E744" s="8"/>
      <c r="F744" s="8"/>
      <c r="G744" s="8"/>
      <c r="H744" s="8"/>
      <c r="I744" s="8"/>
      <c r="J744" s="8"/>
      <c r="K744" s="9"/>
      <c r="L744" s="9"/>
      <c r="M744" s="10" t="s">
        <v>10</v>
      </c>
    </row>
    <row r="745" spans="2:13" x14ac:dyDescent="0.25">
      <c r="B745" s="8"/>
      <c r="C745" s="8"/>
      <c r="D745" s="8"/>
      <c r="E745" s="8"/>
      <c r="F745" s="8"/>
      <c r="G745" s="8"/>
      <c r="H745" s="8"/>
      <c r="I745" s="8"/>
      <c r="J745" s="8"/>
      <c r="K745" s="9"/>
      <c r="L745" s="9"/>
      <c r="M745" s="10" t="s">
        <v>10</v>
      </c>
    </row>
    <row r="746" spans="2:13" x14ac:dyDescent="0.25">
      <c r="B746" s="11"/>
      <c r="C746" s="8"/>
      <c r="D746" s="8"/>
      <c r="E746" s="8"/>
      <c r="F746" s="8"/>
      <c r="G746" s="8"/>
      <c r="H746" s="8"/>
      <c r="I746" s="8"/>
      <c r="J746" s="8"/>
      <c r="K746" s="9"/>
      <c r="L746" s="9"/>
      <c r="M746" s="10" t="s">
        <v>10</v>
      </c>
    </row>
    <row r="747" spans="2:13" x14ac:dyDescent="0.25">
      <c r="B747" s="8"/>
      <c r="C747" s="8"/>
      <c r="D747" s="8"/>
      <c r="E747" s="8"/>
      <c r="F747" s="8"/>
      <c r="G747" s="8"/>
      <c r="H747" s="8"/>
      <c r="I747" s="8"/>
      <c r="J747" s="8"/>
      <c r="K747" s="9"/>
      <c r="L747" s="9"/>
      <c r="M747" s="10" t="s">
        <v>10</v>
      </c>
    </row>
    <row r="748" spans="2:13" x14ac:dyDescent="0.25">
      <c r="B748" s="8"/>
      <c r="C748" s="8"/>
      <c r="D748" s="8"/>
      <c r="E748" s="8"/>
      <c r="F748" s="8"/>
      <c r="G748" s="8"/>
      <c r="H748" s="8"/>
      <c r="I748" s="8"/>
      <c r="J748" s="8"/>
      <c r="K748" s="9"/>
      <c r="L748" s="9"/>
      <c r="M748" s="10" t="s">
        <v>10</v>
      </c>
    </row>
    <row r="749" spans="2:13" x14ac:dyDescent="0.25">
      <c r="B749" s="8"/>
      <c r="C749" s="8"/>
      <c r="D749" s="8"/>
      <c r="E749" s="8"/>
      <c r="F749" s="8"/>
      <c r="G749" s="8"/>
      <c r="H749" s="8"/>
      <c r="I749" s="8"/>
      <c r="J749" s="8"/>
      <c r="K749" s="9"/>
      <c r="L749" s="9"/>
      <c r="M749" s="10" t="s">
        <v>10</v>
      </c>
    </row>
    <row r="750" spans="2:13" x14ac:dyDescent="0.25">
      <c r="B750" s="8"/>
      <c r="C750" s="8"/>
      <c r="D750" s="8"/>
      <c r="E750" s="8"/>
      <c r="F750" s="8"/>
      <c r="G750" s="8"/>
      <c r="H750" s="8"/>
      <c r="I750" s="8"/>
      <c r="J750" s="8"/>
      <c r="K750" s="9"/>
      <c r="L750" s="9"/>
      <c r="M750" s="10" t="s">
        <v>10</v>
      </c>
    </row>
    <row r="751" spans="2:13" x14ac:dyDescent="0.25">
      <c r="B751" s="8"/>
      <c r="C751" s="8"/>
      <c r="D751" s="8"/>
      <c r="E751" s="8"/>
      <c r="F751" s="8"/>
      <c r="G751" s="8"/>
      <c r="H751" s="8"/>
      <c r="I751" s="8"/>
      <c r="J751" s="8"/>
      <c r="K751" s="9"/>
      <c r="L751" s="9"/>
      <c r="M751" s="10" t="s">
        <v>10</v>
      </c>
    </row>
    <row r="752" spans="2:13" x14ac:dyDescent="0.25">
      <c r="B752" s="8"/>
      <c r="C752" s="8"/>
      <c r="D752" s="8"/>
      <c r="E752" s="8"/>
      <c r="F752" s="8"/>
      <c r="G752" s="8"/>
      <c r="H752" s="8"/>
      <c r="I752" s="8"/>
      <c r="J752" s="8"/>
      <c r="K752" s="9"/>
      <c r="L752" s="9"/>
      <c r="M752" s="10" t="s">
        <v>10</v>
      </c>
    </row>
    <row r="753" spans="2:13" x14ac:dyDescent="0.25">
      <c r="B753" s="8"/>
      <c r="C753" s="8"/>
      <c r="D753" s="8"/>
      <c r="E753" s="8"/>
      <c r="F753" s="8"/>
      <c r="G753" s="8"/>
      <c r="H753" s="8"/>
      <c r="I753" s="8"/>
      <c r="J753" s="8"/>
      <c r="K753" s="9"/>
      <c r="L753" s="9"/>
      <c r="M753" s="10" t="s">
        <v>10</v>
      </c>
    </row>
    <row r="754" spans="2:13" x14ac:dyDescent="0.25">
      <c r="B754" s="8"/>
      <c r="C754" s="8"/>
      <c r="D754" s="8"/>
      <c r="E754" s="8"/>
      <c r="F754" s="8"/>
      <c r="G754" s="8"/>
      <c r="H754" s="8"/>
      <c r="I754" s="8"/>
      <c r="J754" s="8"/>
      <c r="K754" s="9"/>
      <c r="L754" s="9"/>
      <c r="M754" s="10" t="s">
        <v>10</v>
      </c>
    </row>
    <row r="755" spans="2:13" x14ac:dyDescent="0.25">
      <c r="B755" s="8"/>
      <c r="C755" s="8"/>
      <c r="D755" s="8"/>
      <c r="E755" s="8"/>
      <c r="F755" s="8"/>
      <c r="G755" s="8"/>
      <c r="H755" s="8"/>
      <c r="I755" s="8"/>
      <c r="J755" s="8"/>
      <c r="K755" s="9"/>
      <c r="L755" s="9"/>
      <c r="M755" s="10" t="s">
        <v>10</v>
      </c>
    </row>
    <row r="756" spans="2:13" x14ac:dyDescent="0.25">
      <c r="B756" s="8"/>
      <c r="C756" s="8"/>
      <c r="D756" s="8"/>
      <c r="E756" s="8"/>
      <c r="F756" s="8"/>
      <c r="G756" s="8"/>
      <c r="H756" s="8"/>
      <c r="I756" s="8"/>
      <c r="J756" s="8"/>
      <c r="K756" s="9"/>
      <c r="L756" s="9"/>
      <c r="M756" s="10" t="s">
        <v>10</v>
      </c>
    </row>
    <row r="757" spans="2:13" x14ac:dyDescent="0.25">
      <c r="B757" s="8"/>
      <c r="C757" s="8"/>
      <c r="D757" s="8"/>
      <c r="E757" s="8"/>
      <c r="F757" s="8"/>
      <c r="G757" s="8"/>
      <c r="H757" s="8"/>
      <c r="I757" s="8"/>
      <c r="J757" s="8"/>
      <c r="K757" s="9"/>
      <c r="L757" s="9"/>
      <c r="M757" s="10" t="s">
        <v>10</v>
      </c>
    </row>
    <row r="758" spans="2:13" x14ac:dyDescent="0.25">
      <c r="B758" s="8"/>
      <c r="C758" s="8"/>
      <c r="D758" s="8"/>
      <c r="E758" s="8"/>
      <c r="F758" s="8"/>
      <c r="G758" s="8"/>
      <c r="H758" s="8"/>
      <c r="I758" s="8"/>
      <c r="J758" s="8"/>
      <c r="K758" s="9"/>
      <c r="L758" s="9"/>
      <c r="M758" s="10" t="s">
        <v>10</v>
      </c>
    </row>
    <row r="759" spans="2:13" x14ac:dyDescent="0.25">
      <c r="B759" s="8"/>
      <c r="C759" s="8"/>
      <c r="D759" s="8"/>
      <c r="E759" s="8"/>
      <c r="F759" s="8"/>
      <c r="G759" s="8"/>
      <c r="H759" s="8"/>
      <c r="I759" s="8"/>
      <c r="J759" s="8"/>
      <c r="K759" s="9"/>
      <c r="L759" s="9"/>
      <c r="M759" s="10" t="s">
        <v>10</v>
      </c>
    </row>
    <row r="760" spans="2:13" x14ac:dyDescent="0.25">
      <c r="B760" s="8"/>
      <c r="C760" s="8"/>
      <c r="D760" s="8"/>
      <c r="E760" s="8"/>
      <c r="F760" s="8"/>
      <c r="G760" s="8"/>
      <c r="H760" s="8"/>
      <c r="I760" s="8"/>
      <c r="J760" s="8"/>
      <c r="K760" s="9"/>
      <c r="L760" s="9"/>
      <c r="M760" s="10" t="s">
        <v>10</v>
      </c>
    </row>
    <row r="761" spans="2:13" x14ac:dyDescent="0.25">
      <c r="B761" s="8"/>
      <c r="C761" s="8"/>
      <c r="D761" s="8"/>
      <c r="E761" s="8"/>
      <c r="F761" s="8"/>
      <c r="G761" s="8"/>
      <c r="H761" s="8"/>
      <c r="I761" s="8"/>
      <c r="J761" s="8"/>
      <c r="K761" s="9"/>
      <c r="L761" s="9"/>
      <c r="M761" s="10" t="s">
        <v>10</v>
      </c>
    </row>
    <row r="762" spans="2:13" x14ac:dyDescent="0.25">
      <c r="B762" s="8"/>
      <c r="C762" s="8"/>
      <c r="D762" s="8"/>
      <c r="E762" s="8"/>
      <c r="F762" s="8"/>
      <c r="G762" s="8"/>
      <c r="H762" s="8"/>
      <c r="I762" s="8"/>
      <c r="J762" s="8"/>
      <c r="K762" s="9"/>
      <c r="L762" s="9"/>
      <c r="M762" s="10" t="s">
        <v>10</v>
      </c>
    </row>
    <row r="763" spans="2:13" x14ac:dyDescent="0.25">
      <c r="B763" s="8"/>
      <c r="C763" s="8"/>
      <c r="D763" s="8"/>
      <c r="E763" s="8"/>
      <c r="F763" s="8"/>
      <c r="G763" s="8"/>
      <c r="H763" s="8"/>
      <c r="I763" s="8"/>
      <c r="J763" s="8"/>
      <c r="K763" s="9"/>
      <c r="L763" s="9"/>
      <c r="M763" s="10" t="s">
        <v>10</v>
      </c>
    </row>
    <row r="764" spans="2:13" x14ac:dyDescent="0.25">
      <c r="B764" s="8"/>
      <c r="C764" s="8"/>
      <c r="D764" s="8"/>
      <c r="E764" s="8"/>
      <c r="F764" s="8"/>
      <c r="G764" s="8"/>
      <c r="H764" s="8"/>
      <c r="I764" s="8"/>
      <c r="J764" s="8"/>
      <c r="K764" s="9"/>
      <c r="L764" s="9"/>
      <c r="M764" s="10" t="s">
        <v>10</v>
      </c>
    </row>
    <row r="765" spans="2:13" x14ac:dyDescent="0.25">
      <c r="B765" s="8"/>
      <c r="C765" s="8"/>
      <c r="D765" s="8"/>
      <c r="E765" s="8"/>
      <c r="F765" s="8"/>
      <c r="G765" s="8"/>
      <c r="H765" s="8"/>
      <c r="I765" s="8"/>
      <c r="J765" s="8"/>
      <c r="K765" s="9"/>
      <c r="L765" s="9"/>
      <c r="M765" s="10" t="s">
        <v>10</v>
      </c>
    </row>
    <row r="766" spans="2:13" x14ac:dyDescent="0.25">
      <c r="B766" s="8"/>
      <c r="C766" s="8"/>
      <c r="D766" s="8"/>
      <c r="E766" s="8"/>
      <c r="F766" s="8"/>
      <c r="G766" s="8"/>
      <c r="H766" s="8"/>
      <c r="I766" s="8"/>
      <c r="J766" s="8"/>
      <c r="K766" s="9"/>
      <c r="L766" s="9"/>
      <c r="M766" s="10" t="s">
        <v>10</v>
      </c>
    </row>
    <row r="767" spans="2:13" x14ac:dyDescent="0.25">
      <c r="B767" s="8"/>
      <c r="C767" s="8"/>
      <c r="D767" s="8"/>
      <c r="E767" s="8"/>
      <c r="F767" s="8"/>
      <c r="G767" s="8"/>
      <c r="H767" s="8"/>
      <c r="I767" s="8"/>
      <c r="J767" s="8"/>
      <c r="K767" s="9"/>
      <c r="L767" s="9"/>
      <c r="M767" s="10" t="s">
        <v>10</v>
      </c>
    </row>
    <row r="768" spans="2:13" x14ac:dyDescent="0.25">
      <c r="B768" s="8"/>
      <c r="C768" s="8"/>
      <c r="D768" s="8"/>
      <c r="E768" s="8"/>
      <c r="F768" s="8"/>
      <c r="G768" s="8"/>
      <c r="H768" s="8"/>
      <c r="I768" s="8"/>
      <c r="J768" s="8"/>
      <c r="K768" s="9"/>
      <c r="L768" s="9"/>
      <c r="M768" s="10" t="s">
        <v>10</v>
      </c>
    </row>
    <row r="769" spans="2:13" x14ac:dyDescent="0.25">
      <c r="B769" s="8"/>
      <c r="C769" s="8"/>
      <c r="D769" s="8"/>
      <c r="E769" s="8"/>
      <c r="F769" s="8"/>
      <c r="G769" s="8"/>
      <c r="H769" s="8"/>
      <c r="I769" s="8"/>
      <c r="J769" s="8"/>
      <c r="K769" s="9"/>
      <c r="L769" s="9"/>
      <c r="M769" s="10" t="s">
        <v>10</v>
      </c>
    </row>
    <row r="770" spans="2:13" x14ac:dyDescent="0.25">
      <c r="B770" s="8"/>
      <c r="C770" s="8"/>
      <c r="D770" s="8"/>
      <c r="E770" s="8"/>
      <c r="F770" s="8"/>
      <c r="G770" s="8"/>
      <c r="H770" s="8"/>
      <c r="I770" s="8"/>
      <c r="J770" s="8"/>
      <c r="K770" s="9"/>
      <c r="L770" s="9"/>
      <c r="M770" s="10" t="s">
        <v>10</v>
      </c>
    </row>
    <row r="771" spans="2:13" x14ac:dyDescent="0.25">
      <c r="B771" s="8"/>
      <c r="C771" s="8"/>
      <c r="D771" s="8"/>
      <c r="E771" s="8"/>
      <c r="F771" s="8"/>
      <c r="G771" s="8"/>
      <c r="H771" s="8"/>
      <c r="I771" s="8"/>
      <c r="J771" s="8"/>
      <c r="K771" s="9"/>
      <c r="L771" s="9"/>
      <c r="M771" s="10" t="s">
        <v>10</v>
      </c>
    </row>
    <row r="772" spans="2:13" x14ac:dyDescent="0.25">
      <c r="B772" s="8"/>
      <c r="C772" s="8"/>
      <c r="D772" s="8"/>
      <c r="E772" s="8"/>
      <c r="F772" s="8"/>
      <c r="G772" s="8"/>
      <c r="H772" s="8"/>
      <c r="I772" s="8"/>
      <c r="J772" s="8"/>
      <c r="K772" s="9"/>
      <c r="L772" s="9"/>
      <c r="M772" s="10" t="s">
        <v>10</v>
      </c>
    </row>
    <row r="773" spans="2:13" x14ac:dyDescent="0.25">
      <c r="B773" s="8"/>
      <c r="C773" s="8"/>
      <c r="D773" s="8"/>
      <c r="E773" s="8"/>
      <c r="F773" s="8"/>
      <c r="G773" s="8"/>
      <c r="H773" s="8"/>
      <c r="I773" s="8"/>
      <c r="J773" s="8"/>
      <c r="K773" s="9"/>
      <c r="L773" s="9"/>
      <c r="M773" s="10" t="s">
        <v>10</v>
      </c>
    </row>
    <row r="774" spans="2:13" x14ac:dyDescent="0.25">
      <c r="B774" s="8"/>
      <c r="C774" s="8"/>
      <c r="D774" s="8"/>
      <c r="E774" s="8"/>
      <c r="F774" s="8"/>
      <c r="G774" s="8"/>
      <c r="H774" s="8"/>
      <c r="I774" s="8"/>
      <c r="J774" s="8"/>
      <c r="K774" s="9"/>
      <c r="L774" s="9"/>
      <c r="M774" s="10" t="s">
        <v>10</v>
      </c>
    </row>
    <row r="775" spans="2:13" x14ac:dyDescent="0.25">
      <c r="B775" s="8"/>
      <c r="C775" s="8"/>
      <c r="D775" s="8"/>
      <c r="E775" s="8"/>
      <c r="F775" s="8"/>
      <c r="G775" s="8"/>
      <c r="H775" s="8"/>
      <c r="I775" s="8"/>
      <c r="J775" s="8"/>
      <c r="K775" s="9"/>
      <c r="L775" s="9"/>
      <c r="M775" s="10" t="s">
        <v>10</v>
      </c>
    </row>
    <row r="776" spans="2:13" x14ac:dyDescent="0.25">
      <c r="B776" s="8"/>
      <c r="C776" s="8"/>
      <c r="D776" s="8"/>
      <c r="E776" s="8"/>
      <c r="F776" s="8"/>
      <c r="G776" s="8"/>
      <c r="H776" s="8"/>
      <c r="I776" s="8"/>
      <c r="J776" s="8"/>
      <c r="K776" s="9"/>
      <c r="L776" s="9"/>
      <c r="M776" s="10" t="s">
        <v>10</v>
      </c>
    </row>
    <row r="777" spans="2:13" x14ac:dyDescent="0.25">
      <c r="B777" s="8"/>
      <c r="C777" s="8"/>
      <c r="D777" s="8"/>
      <c r="E777" s="8"/>
      <c r="F777" s="8"/>
      <c r="G777" s="8"/>
      <c r="H777" s="8"/>
      <c r="I777" s="8"/>
      <c r="J777" s="8"/>
      <c r="K777" s="9"/>
      <c r="L777" s="9"/>
      <c r="M777" s="10" t="s">
        <v>10</v>
      </c>
    </row>
    <row r="778" spans="2:13" x14ac:dyDescent="0.25">
      <c r="B778" s="8"/>
      <c r="C778" s="8"/>
      <c r="D778" s="8"/>
      <c r="E778" s="8"/>
      <c r="F778" s="8"/>
      <c r="G778" s="8"/>
      <c r="H778" s="8"/>
      <c r="I778" s="8"/>
      <c r="J778" s="8"/>
      <c r="K778" s="9"/>
      <c r="L778" s="9"/>
      <c r="M778" s="10" t="s">
        <v>10</v>
      </c>
    </row>
    <row r="779" spans="2:13" x14ac:dyDescent="0.25">
      <c r="B779" s="8"/>
      <c r="C779" s="8"/>
      <c r="D779" s="8"/>
      <c r="E779" s="8"/>
      <c r="F779" s="8"/>
      <c r="G779" s="8"/>
      <c r="H779" s="8"/>
      <c r="I779" s="8"/>
      <c r="J779" s="8"/>
      <c r="K779" s="9"/>
      <c r="L779" s="9"/>
      <c r="M779" s="10" t="s">
        <v>10</v>
      </c>
    </row>
    <row r="780" spans="2:13" x14ac:dyDescent="0.25">
      <c r="B780" s="8"/>
      <c r="C780" s="8"/>
      <c r="D780" s="8"/>
      <c r="E780" s="8"/>
      <c r="F780" s="8"/>
      <c r="G780" s="8"/>
      <c r="H780" s="8"/>
      <c r="I780" s="8"/>
      <c r="J780" s="8"/>
      <c r="K780" s="9"/>
      <c r="L780" s="9"/>
      <c r="M780" s="10" t="s">
        <v>10</v>
      </c>
    </row>
    <row r="781" spans="2:13" x14ac:dyDescent="0.25">
      <c r="B781" s="8"/>
      <c r="C781" s="8"/>
      <c r="D781" s="8"/>
      <c r="E781" s="8"/>
      <c r="F781" s="8"/>
      <c r="G781" s="8"/>
      <c r="H781" s="8"/>
      <c r="I781" s="8"/>
      <c r="J781" s="8"/>
      <c r="K781" s="9"/>
      <c r="L781" s="9"/>
      <c r="M781" s="10" t="s">
        <v>10</v>
      </c>
    </row>
    <row r="782" spans="2:13" x14ac:dyDescent="0.25">
      <c r="B782" s="8"/>
      <c r="C782" s="8"/>
      <c r="D782" s="8"/>
      <c r="E782" s="8"/>
      <c r="F782" s="8"/>
      <c r="G782" s="8"/>
      <c r="H782" s="8"/>
      <c r="I782" s="8"/>
      <c r="J782" s="8"/>
      <c r="K782" s="9"/>
      <c r="L782" s="9"/>
      <c r="M782" s="10" t="s">
        <v>10</v>
      </c>
    </row>
    <row r="783" spans="2:13" x14ac:dyDescent="0.25">
      <c r="B783" s="8"/>
      <c r="C783" s="8"/>
      <c r="D783" s="8"/>
      <c r="E783" s="8"/>
      <c r="F783" s="8"/>
      <c r="G783" s="8"/>
      <c r="H783" s="8"/>
      <c r="I783" s="8"/>
      <c r="J783" s="8"/>
      <c r="K783" s="9"/>
      <c r="L783" s="9"/>
      <c r="M783" s="10" t="s">
        <v>10</v>
      </c>
    </row>
    <row r="784" spans="2:13" x14ac:dyDescent="0.25">
      <c r="B784" s="8"/>
      <c r="C784" s="8"/>
      <c r="D784" s="8"/>
      <c r="E784" s="8"/>
      <c r="F784" s="8"/>
      <c r="G784" s="8"/>
      <c r="H784" s="8"/>
      <c r="I784" s="8"/>
      <c r="J784" s="8"/>
      <c r="K784" s="9"/>
      <c r="L784" s="9"/>
      <c r="M784" s="10" t="s">
        <v>10</v>
      </c>
    </row>
    <row r="785" spans="2:13" x14ac:dyDescent="0.25">
      <c r="B785" s="8"/>
      <c r="C785" s="8"/>
      <c r="D785" s="8"/>
      <c r="E785" s="8"/>
      <c r="F785" s="8"/>
      <c r="G785" s="8"/>
      <c r="H785" s="8"/>
      <c r="I785" s="8"/>
      <c r="J785" s="8"/>
      <c r="K785" s="9"/>
      <c r="L785" s="9"/>
      <c r="M785" s="10" t="s">
        <v>10</v>
      </c>
    </row>
    <row r="786" spans="2:13" x14ac:dyDescent="0.25">
      <c r="B786" s="8"/>
      <c r="C786" s="8"/>
      <c r="D786" s="8"/>
      <c r="E786" s="8"/>
      <c r="F786" s="8"/>
      <c r="G786" s="8"/>
      <c r="H786" s="8"/>
      <c r="I786" s="8"/>
      <c r="J786" s="8"/>
      <c r="K786" s="9"/>
      <c r="L786" s="9"/>
      <c r="M786" s="10" t="s">
        <v>10</v>
      </c>
    </row>
    <row r="787" spans="2:13" x14ac:dyDescent="0.25">
      <c r="B787" s="8"/>
      <c r="C787" s="8"/>
      <c r="D787" s="8"/>
      <c r="E787" s="8"/>
      <c r="F787" s="8"/>
      <c r="G787" s="8"/>
      <c r="H787" s="8"/>
      <c r="I787" s="8"/>
      <c r="J787" s="8"/>
      <c r="K787" s="9"/>
      <c r="L787" s="9"/>
      <c r="M787" s="10" t="s">
        <v>10</v>
      </c>
    </row>
    <row r="788" spans="2:13" x14ac:dyDescent="0.25">
      <c r="B788" s="8"/>
      <c r="C788" s="8"/>
      <c r="D788" s="8"/>
      <c r="E788" s="8"/>
      <c r="F788" s="8"/>
      <c r="G788" s="8"/>
      <c r="H788" s="8"/>
      <c r="I788" s="8"/>
      <c r="J788" s="8"/>
      <c r="K788" s="9"/>
      <c r="L788" s="9"/>
      <c r="M788" s="10" t="s">
        <v>10</v>
      </c>
    </row>
    <row r="789" spans="2:13" x14ac:dyDescent="0.25">
      <c r="B789" s="8"/>
      <c r="C789" s="8"/>
      <c r="D789" s="8"/>
      <c r="E789" s="8"/>
      <c r="F789" s="8"/>
      <c r="G789" s="8"/>
      <c r="H789" s="8"/>
      <c r="I789" s="8"/>
      <c r="J789" s="8"/>
      <c r="K789" s="9"/>
      <c r="L789" s="9"/>
      <c r="M789" s="10" t="s">
        <v>10</v>
      </c>
    </row>
    <row r="790" spans="2:13" x14ac:dyDescent="0.25">
      <c r="B790" s="8"/>
      <c r="C790" s="8"/>
      <c r="D790" s="8"/>
      <c r="E790" s="8"/>
      <c r="F790" s="8"/>
      <c r="G790" s="8"/>
      <c r="H790" s="8"/>
      <c r="I790" s="8"/>
      <c r="J790" s="8"/>
      <c r="K790" s="9"/>
      <c r="L790" s="9"/>
      <c r="M790" s="10" t="s">
        <v>10</v>
      </c>
    </row>
    <row r="791" spans="2:13" x14ac:dyDescent="0.25">
      <c r="B791" s="8"/>
      <c r="C791" s="8"/>
      <c r="D791" s="8"/>
      <c r="E791" s="8"/>
      <c r="F791" s="8"/>
      <c r="G791" s="8"/>
      <c r="H791" s="8"/>
      <c r="I791" s="8"/>
      <c r="J791" s="8"/>
      <c r="K791" s="9"/>
      <c r="L791" s="9"/>
      <c r="M791" s="10" t="s">
        <v>10</v>
      </c>
    </row>
    <row r="792" spans="2:13" x14ac:dyDescent="0.25">
      <c r="B792" s="8"/>
      <c r="C792" s="8"/>
      <c r="D792" s="8"/>
      <c r="E792" s="8"/>
      <c r="F792" s="8"/>
      <c r="G792" s="8"/>
      <c r="H792" s="8"/>
      <c r="I792" s="8"/>
      <c r="J792" s="8"/>
      <c r="K792" s="9"/>
      <c r="L792" s="9"/>
      <c r="M792" s="10" t="s">
        <v>10</v>
      </c>
    </row>
    <row r="793" spans="2:13" x14ac:dyDescent="0.25">
      <c r="B793" s="8"/>
      <c r="C793" s="8"/>
      <c r="D793" s="8"/>
      <c r="E793" s="8"/>
      <c r="F793" s="8"/>
      <c r="G793" s="8"/>
      <c r="H793" s="8"/>
      <c r="I793" s="8"/>
      <c r="J793" s="8"/>
      <c r="K793" s="9"/>
      <c r="L793" s="9"/>
      <c r="M793" s="10" t="s">
        <v>10</v>
      </c>
    </row>
    <row r="794" spans="2:13" x14ac:dyDescent="0.25">
      <c r="B794" s="8"/>
      <c r="C794" s="8"/>
      <c r="D794" s="8"/>
      <c r="E794" s="8"/>
      <c r="F794" s="8"/>
      <c r="G794" s="8"/>
      <c r="H794" s="8"/>
      <c r="I794" s="8"/>
      <c r="J794" s="8"/>
      <c r="K794" s="9"/>
      <c r="L794" s="9"/>
      <c r="M794" s="10" t="s">
        <v>10</v>
      </c>
    </row>
    <row r="795" spans="2:13" x14ac:dyDescent="0.25">
      <c r="B795" s="8"/>
      <c r="C795" s="8"/>
      <c r="D795" s="8"/>
      <c r="E795" s="8"/>
      <c r="F795" s="8"/>
      <c r="G795" s="8"/>
      <c r="H795" s="8"/>
      <c r="I795" s="8"/>
      <c r="J795" s="8"/>
      <c r="K795" s="9"/>
      <c r="L795" s="9"/>
      <c r="M795" s="10" t="s">
        <v>10</v>
      </c>
    </row>
    <row r="796" spans="2:13" x14ac:dyDescent="0.25">
      <c r="B796" s="8"/>
      <c r="C796" s="8"/>
      <c r="D796" s="8"/>
      <c r="E796" s="8"/>
      <c r="F796" s="8"/>
      <c r="G796" s="8"/>
      <c r="H796" s="8"/>
      <c r="I796" s="8"/>
      <c r="J796" s="8"/>
      <c r="K796" s="9"/>
      <c r="L796" s="9"/>
      <c r="M796" s="10" t="s">
        <v>10</v>
      </c>
    </row>
    <row r="797" spans="2:13" x14ac:dyDescent="0.25">
      <c r="B797" s="8"/>
      <c r="C797" s="8"/>
      <c r="D797" s="8"/>
      <c r="E797" s="8"/>
      <c r="F797" s="8"/>
      <c r="G797" s="8"/>
      <c r="H797" s="8"/>
      <c r="I797" s="8"/>
      <c r="J797" s="8"/>
      <c r="K797" s="9"/>
      <c r="L797" s="9"/>
      <c r="M797" s="10" t="s">
        <v>10</v>
      </c>
    </row>
    <row r="798" spans="2:13" x14ac:dyDescent="0.25">
      <c r="B798" s="8"/>
      <c r="C798" s="8"/>
      <c r="D798" s="8"/>
      <c r="E798" s="8"/>
      <c r="F798" s="8"/>
      <c r="G798" s="8"/>
      <c r="H798" s="8"/>
      <c r="I798" s="8"/>
      <c r="J798" s="8"/>
      <c r="K798" s="9"/>
      <c r="L798" s="9"/>
      <c r="M798" s="10" t="s">
        <v>10</v>
      </c>
    </row>
    <row r="799" spans="2:13" x14ac:dyDescent="0.25">
      <c r="B799" s="8"/>
      <c r="C799" s="8"/>
      <c r="D799" s="8"/>
      <c r="E799" s="8"/>
      <c r="F799" s="8"/>
      <c r="G799" s="8"/>
      <c r="H799" s="8"/>
      <c r="I799" s="8"/>
      <c r="J799" s="8"/>
      <c r="K799" s="9"/>
      <c r="L799" s="9"/>
      <c r="M799" s="10" t="s">
        <v>10</v>
      </c>
    </row>
    <row r="800" spans="2:13" x14ac:dyDescent="0.25">
      <c r="B800" s="8"/>
      <c r="C800" s="8"/>
      <c r="D800" s="8"/>
      <c r="E800" s="8"/>
      <c r="F800" s="8"/>
      <c r="G800" s="8"/>
      <c r="H800" s="8"/>
      <c r="I800" s="8"/>
      <c r="J800" s="8"/>
      <c r="K800" s="9"/>
      <c r="L800" s="9"/>
      <c r="M800" s="10" t="s">
        <v>10</v>
      </c>
    </row>
    <row r="801" spans="2:13" x14ac:dyDescent="0.25">
      <c r="B801" s="8"/>
      <c r="C801" s="8"/>
      <c r="D801" s="8"/>
      <c r="E801" s="8"/>
      <c r="F801" s="8"/>
      <c r="G801" s="8"/>
      <c r="H801" s="8"/>
      <c r="I801" s="8"/>
      <c r="J801" s="8"/>
      <c r="K801" s="9"/>
      <c r="L801" s="9"/>
      <c r="M801" s="10" t="s">
        <v>10</v>
      </c>
    </row>
    <row r="802" spans="2:13" x14ac:dyDescent="0.25">
      <c r="B802" s="8"/>
      <c r="C802" s="8"/>
      <c r="D802" s="8"/>
      <c r="E802" s="8"/>
      <c r="F802" s="8"/>
      <c r="G802" s="8"/>
      <c r="H802" s="8"/>
      <c r="I802" s="8"/>
      <c r="J802" s="8"/>
      <c r="K802" s="9"/>
      <c r="L802" s="9"/>
      <c r="M802" s="10" t="s">
        <v>10</v>
      </c>
    </row>
    <row r="803" spans="2:13" x14ac:dyDescent="0.25">
      <c r="B803" s="8"/>
      <c r="C803" s="8"/>
      <c r="D803" s="8"/>
      <c r="E803" s="8"/>
      <c r="F803" s="8"/>
      <c r="G803" s="8"/>
      <c r="H803" s="8"/>
      <c r="I803" s="8"/>
      <c r="J803" s="8"/>
      <c r="K803" s="9"/>
      <c r="L803" s="9"/>
      <c r="M803" s="10" t="s">
        <v>10</v>
      </c>
    </row>
    <row r="804" spans="2:13" x14ac:dyDescent="0.25">
      <c r="B804" s="8"/>
      <c r="C804" s="8"/>
      <c r="D804" s="8"/>
      <c r="E804" s="8"/>
      <c r="F804" s="8"/>
      <c r="G804" s="8"/>
      <c r="H804" s="8"/>
      <c r="I804" s="8"/>
      <c r="J804" s="8"/>
      <c r="K804" s="9"/>
      <c r="L804" s="9"/>
      <c r="M804" s="10" t="s">
        <v>10</v>
      </c>
    </row>
    <row r="805" spans="2:13" x14ac:dyDescent="0.25">
      <c r="B805" s="8"/>
      <c r="C805" s="8"/>
      <c r="D805" s="8"/>
      <c r="E805" s="8"/>
      <c r="F805" s="8"/>
      <c r="G805" s="8"/>
      <c r="H805" s="8"/>
      <c r="I805" s="8"/>
      <c r="J805" s="8"/>
      <c r="K805" s="9"/>
      <c r="L805" s="9"/>
      <c r="M805" s="10" t="s">
        <v>10</v>
      </c>
    </row>
    <row r="806" spans="2:13" x14ac:dyDescent="0.25">
      <c r="B806" s="8"/>
      <c r="C806" s="8"/>
      <c r="D806" s="8"/>
      <c r="E806" s="8"/>
      <c r="F806" s="8"/>
      <c r="G806" s="8"/>
      <c r="H806" s="8"/>
      <c r="I806" s="8"/>
      <c r="J806" s="8"/>
      <c r="K806" s="9"/>
      <c r="L806" s="9"/>
      <c r="M806" s="10" t="s">
        <v>10</v>
      </c>
    </row>
    <row r="807" spans="2:13" x14ac:dyDescent="0.25">
      <c r="B807" s="8"/>
      <c r="C807" s="8"/>
      <c r="D807" s="8"/>
      <c r="E807" s="8"/>
      <c r="F807" s="8"/>
      <c r="G807" s="8"/>
      <c r="H807" s="8"/>
      <c r="I807" s="8"/>
      <c r="J807" s="8"/>
      <c r="K807" s="9"/>
      <c r="L807" s="9"/>
      <c r="M807" s="10" t="s">
        <v>10</v>
      </c>
    </row>
    <row r="808" spans="2:13" x14ac:dyDescent="0.25">
      <c r="B808" s="8"/>
      <c r="C808" s="8"/>
      <c r="D808" s="8"/>
      <c r="E808" s="8"/>
      <c r="F808" s="8"/>
      <c r="G808" s="8"/>
      <c r="H808" s="8"/>
      <c r="I808" s="8"/>
      <c r="J808" s="8"/>
      <c r="K808" s="9"/>
      <c r="L808" s="9"/>
      <c r="M808" s="10" t="s">
        <v>10</v>
      </c>
    </row>
    <row r="809" spans="2:13" x14ac:dyDescent="0.25">
      <c r="B809" s="8"/>
      <c r="C809" s="8"/>
      <c r="D809" s="8"/>
      <c r="E809" s="8"/>
      <c r="F809" s="8"/>
      <c r="G809" s="8"/>
      <c r="H809" s="8"/>
      <c r="I809" s="8"/>
      <c r="J809" s="8"/>
      <c r="K809" s="9"/>
      <c r="L809" s="9"/>
      <c r="M809" s="10" t="s">
        <v>10</v>
      </c>
    </row>
    <row r="810" spans="2:13" x14ac:dyDescent="0.25">
      <c r="B810" s="8"/>
      <c r="C810" s="8"/>
      <c r="D810" s="8"/>
      <c r="E810" s="8"/>
      <c r="F810" s="8"/>
      <c r="G810" s="8"/>
      <c r="H810" s="8"/>
      <c r="I810" s="8"/>
      <c r="J810" s="8"/>
      <c r="K810" s="9"/>
      <c r="L810" s="9"/>
      <c r="M810" s="10" t="s">
        <v>10</v>
      </c>
    </row>
    <row r="811" spans="2:13" x14ac:dyDescent="0.25">
      <c r="B811" s="8"/>
      <c r="C811" s="8"/>
      <c r="D811" s="8"/>
      <c r="E811" s="8"/>
      <c r="F811" s="8"/>
      <c r="G811" s="8"/>
      <c r="H811" s="8"/>
      <c r="I811" s="8"/>
      <c r="J811" s="8"/>
      <c r="K811" s="9"/>
      <c r="L811" s="9"/>
      <c r="M811" s="10" t="s">
        <v>10</v>
      </c>
    </row>
    <row r="812" spans="2:13" x14ac:dyDescent="0.25">
      <c r="B812" s="8"/>
      <c r="C812" s="8"/>
      <c r="D812" s="8"/>
      <c r="E812" s="8"/>
      <c r="F812" s="8"/>
      <c r="G812" s="8"/>
      <c r="H812" s="8"/>
      <c r="I812" s="8"/>
      <c r="J812" s="8"/>
      <c r="K812" s="9"/>
      <c r="L812" s="9"/>
      <c r="M812" s="10" t="s">
        <v>10</v>
      </c>
    </row>
    <row r="813" spans="2:13" x14ac:dyDescent="0.25">
      <c r="B813" s="8"/>
      <c r="C813" s="8"/>
      <c r="D813" s="8"/>
      <c r="E813" s="8"/>
      <c r="F813" s="8"/>
      <c r="G813" s="8"/>
      <c r="H813" s="8"/>
      <c r="I813" s="8"/>
      <c r="J813" s="8"/>
      <c r="K813" s="9"/>
      <c r="L813" s="9"/>
      <c r="M813" s="10" t="s">
        <v>10</v>
      </c>
    </row>
    <row r="814" spans="2:13" x14ac:dyDescent="0.25">
      <c r="B814" s="8"/>
      <c r="C814" s="8"/>
      <c r="D814" s="8"/>
      <c r="E814" s="8"/>
      <c r="F814" s="8"/>
      <c r="G814" s="8"/>
      <c r="H814" s="8"/>
      <c r="I814" s="8"/>
      <c r="J814" s="8"/>
      <c r="K814" s="9"/>
      <c r="L814" s="9"/>
      <c r="M814" s="10" t="s">
        <v>10</v>
      </c>
    </row>
    <row r="815" spans="2:13" x14ac:dyDescent="0.25">
      <c r="B815" s="8"/>
      <c r="C815" s="8"/>
      <c r="D815" s="8"/>
      <c r="E815" s="8"/>
      <c r="F815" s="8"/>
      <c r="G815" s="8"/>
      <c r="H815" s="8"/>
      <c r="I815" s="8"/>
      <c r="J815" s="8"/>
      <c r="K815" s="9"/>
      <c r="L815" s="9"/>
      <c r="M815" s="10" t="s">
        <v>10</v>
      </c>
    </row>
    <row r="816" spans="2:13" x14ac:dyDescent="0.25">
      <c r="B816" s="8"/>
      <c r="C816" s="8"/>
      <c r="D816" s="8"/>
      <c r="E816" s="8"/>
      <c r="F816" s="8"/>
      <c r="G816" s="8"/>
      <c r="H816" s="8"/>
      <c r="I816" s="8"/>
      <c r="J816" s="8"/>
      <c r="K816" s="9"/>
      <c r="L816" s="9"/>
      <c r="M816" s="10" t="s">
        <v>10</v>
      </c>
    </row>
    <row r="817" spans="2:13" x14ac:dyDescent="0.25">
      <c r="B817" s="8"/>
      <c r="C817" s="8"/>
      <c r="D817" s="8"/>
      <c r="E817" s="8"/>
      <c r="F817" s="8"/>
      <c r="G817" s="8"/>
      <c r="H817" s="8"/>
      <c r="I817" s="8"/>
      <c r="J817" s="8"/>
      <c r="K817" s="9"/>
      <c r="L817" s="9"/>
      <c r="M817" s="10" t="s">
        <v>10</v>
      </c>
    </row>
    <row r="818" spans="2:13" x14ac:dyDescent="0.25">
      <c r="B818" s="8"/>
      <c r="C818" s="8"/>
      <c r="D818" s="8"/>
      <c r="E818" s="8"/>
      <c r="F818" s="8"/>
      <c r="G818" s="8"/>
      <c r="H818" s="8"/>
      <c r="I818" s="8"/>
      <c r="J818" s="8"/>
      <c r="K818" s="9"/>
      <c r="L818" s="9"/>
      <c r="M818" s="10" t="s">
        <v>10</v>
      </c>
    </row>
    <row r="819" spans="2:13" x14ac:dyDescent="0.25">
      <c r="B819" s="8"/>
      <c r="C819" s="8"/>
      <c r="D819" s="8"/>
      <c r="E819" s="8"/>
      <c r="F819" s="8"/>
      <c r="G819" s="8"/>
      <c r="H819" s="8"/>
      <c r="I819" s="8"/>
      <c r="J819" s="8"/>
      <c r="K819" s="9"/>
      <c r="L819" s="9"/>
      <c r="M819" s="10" t="s">
        <v>10</v>
      </c>
    </row>
    <row r="820" spans="2:13" x14ac:dyDescent="0.25">
      <c r="B820" s="8"/>
      <c r="C820" s="8"/>
      <c r="D820" s="8"/>
      <c r="E820" s="8"/>
      <c r="F820" s="8"/>
      <c r="G820" s="8"/>
      <c r="H820" s="8"/>
      <c r="I820" s="8"/>
      <c r="J820" s="8"/>
      <c r="K820" s="9"/>
      <c r="L820" s="9"/>
      <c r="M820" s="10" t="s">
        <v>10</v>
      </c>
    </row>
    <row r="821" spans="2:13" x14ac:dyDescent="0.25">
      <c r="B821" s="8"/>
      <c r="C821" s="8"/>
      <c r="D821" s="8"/>
      <c r="E821" s="8"/>
      <c r="F821" s="8"/>
      <c r="G821" s="8"/>
      <c r="H821" s="8"/>
      <c r="I821" s="8"/>
      <c r="J821" s="8"/>
      <c r="K821" s="9"/>
      <c r="L821" s="9"/>
      <c r="M821" s="10" t="s">
        <v>10</v>
      </c>
    </row>
    <row r="822" spans="2:13" x14ac:dyDescent="0.25">
      <c r="B822" s="8"/>
      <c r="C822" s="8"/>
      <c r="D822" s="8"/>
      <c r="E822" s="8"/>
      <c r="F822" s="8"/>
      <c r="G822" s="8"/>
      <c r="H822" s="8"/>
      <c r="I822" s="8"/>
      <c r="J822" s="8"/>
      <c r="K822" s="9"/>
      <c r="L822" s="9"/>
      <c r="M822" s="10" t="s">
        <v>10</v>
      </c>
    </row>
    <row r="823" spans="2:13" x14ac:dyDescent="0.25">
      <c r="B823" s="8"/>
      <c r="C823" s="8"/>
      <c r="D823" s="8"/>
      <c r="E823" s="8"/>
      <c r="F823" s="8"/>
      <c r="G823" s="8"/>
      <c r="H823" s="8"/>
      <c r="I823" s="8"/>
      <c r="J823" s="8"/>
      <c r="K823" s="9"/>
      <c r="L823" s="9"/>
      <c r="M823" s="10" t="s">
        <v>10</v>
      </c>
    </row>
    <row r="824" spans="2:13" x14ac:dyDescent="0.25">
      <c r="B824" s="8"/>
      <c r="C824" s="8"/>
      <c r="D824" s="8"/>
      <c r="E824" s="8"/>
      <c r="F824" s="8"/>
      <c r="G824" s="8"/>
      <c r="H824" s="8"/>
      <c r="I824" s="8"/>
      <c r="J824" s="8"/>
      <c r="K824" s="9"/>
      <c r="L824" s="9"/>
      <c r="M824" s="10" t="s">
        <v>10</v>
      </c>
    </row>
    <row r="825" spans="2:13" x14ac:dyDescent="0.25">
      <c r="B825" s="8"/>
      <c r="C825" s="8"/>
      <c r="D825" s="8"/>
      <c r="E825" s="8"/>
      <c r="F825" s="8"/>
      <c r="G825" s="8"/>
      <c r="H825" s="8"/>
      <c r="I825" s="8"/>
      <c r="J825" s="8"/>
      <c r="K825" s="9"/>
      <c r="L825" s="9"/>
      <c r="M825" s="10" t="s">
        <v>10</v>
      </c>
    </row>
    <row r="826" spans="2:13" x14ac:dyDescent="0.25">
      <c r="B826" s="8"/>
      <c r="C826" s="8"/>
      <c r="D826" s="8"/>
      <c r="E826" s="8"/>
      <c r="F826" s="8"/>
      <c r="G826" s="8"/>
      <c r="H826" s="8"/>
      <c r="I826" s="8"/>
      <c r="J826" s="8"/>
      <c r="K826" s="9"/>
      <c r="L826" s="9"/>
      <c r="M826" s="10" t="s">
        <v>10</v>
      </c>
    </row>
    <row r="827" spans="2:13" x14ac:dyDescent="0.25">
      <c r="B827" s="8"/>
      <c r="C827" s="8"/>
      <c r="D827" s="8"/>
      <c r="E827" s="8"/>
      <c r="F827" s="8"/>
      <c r="G827" s="8"/>
      <c r="H827" s="8"/>
      <c r="I827" s="8"/>
      <c r="J827" s="8"/>
      <c r="K827" s="9"/>
      <c r="L827" s="9"/>
      <c r="M827" s="10" t="s">
        <v>10</v>
      </c>
    </row>
    <row r="828" spans="2:13" x14ac:dyDescent="0.25">
      <c r="B828" s="8"/>
      <c r="C828" s="8"/>
      <c r="D828" s="8"/>
      <c r="E828" s="8"/>
      <c r="F828" s="8"/>
      <c r="G828" s="8"/>
      <c r="H828" s="8"/>
      <c r="I828" s="8"/>
      <c r="J828" s="8"/>
      <c r="K828" s="9"/>
      <c r="L828" s="9"/>
      <c r="M828" s="10" t="s">
        <v>10</v>
      </c>
    </row>
    <row r="829" spans="2:13" x14ac:dyDescent="0.25">
      <c r="B829" s="8"/>
      <c r="C829" s="8"/>
      <c r="D829" s="8"/>
      <c r="E829" s="8"/>
      <c r="F829" s="8"/>
      <c r="G829" s="8"/>
      <c r="H829" s="8"/>
      <c r="I829" s="8"/>
      <c r="J829" s="8"/>
      <c r="K829" s="9"/>
      <c r="L829" s="9"/>
      <c r="M829" s="10" t="s">
        <v>10</v>
      </c>
    </row>
    <row r="830" spans="2:13" x14ac:dyDescent="0.25">
      <c r="B830" s="8"/>
      <c r="C830" s="8"/>
      <c r="D830" s="8"/>
      <c r="E830" s="8"/>
      <c r="F830" s="8"/>
      <c r="G830" s="8"/>
      <c r="H830" s="8"/>
      <c r="I830" s="8"/>
      <c r="J830" s="8"/>
      <c r="K830" s="9"/>
      <c r="L830" s="9"/>
      <c r="M830" s="10" t="s">
        <v>10</v>
      </c>
    </row>
    <row r="831" spans="2:13" x14ac:dyDescent="0.25">
      <c r="B831" s="8"/>
      <c r="C831" s="8"/>
      <c r="D831" s="8"/>
      <c r="E831" s="8"/>
      <c r="F831" s="8"/>
      <c r="G831" s="8"/>
      <c r="H831" s="8"/>
      <c r="I831" s="8"/>
      <c r="J831" s="8"/>
      <c r="K831" s="9"/>
      <c r="L831" s="9"/>
      <c r="M831" s="10" t="s">
        <v>10</v>
      </c>
    </row>
    <row r="832" spans="2:13" x14ac:dyDescent="0.25">
      <c r="B832" s="8"/>
      <c r="C832" s="8"/>
      <c r="D832" s="8"/>
      <c r="E832" s="8"/>
      <c r="F832" s="8"/>
      <c r="G832" s="8"/>
      <c r="H832" s="8"/>
      <c r="I832" s="8"/>
      <c r="J832" s="8"/>
      <c r="K832" s="9"/>
      <c r="L832" s="9"/>
      <c r="M832" s="10" t="s">
        <v>10</v>
      </c>
    </row>
    <row r="833" spans="2:13" x14ac:dyDescent="0.25">
      <c r="B833" s="8"/>
      <c r="C833" s="8"/>
      <c r="D833" s="8"/>
      <c r="E833" s="8"/>
      <c r="F833" s="8"/>
      <c r="G833" s="8"/>
      <c r="H833" s="8"/>
      <c r="I833" s="8"/>
      <c r="J833" s="8"/>
      <c r="K833" s="9"/>
      <c r="L833" s="9"/>
      <c r="M833" s="10" t="s">
        <v>10</v>
      </c>
    </row>
    <row r="834" spans="2:13" x14ac:dyDescent="0.25">
      <c r="B834" s="8"/>
      <c r="C834" s="8"/>
      <c r="D834" s="8"/>
      <c r="E834" s="8"/>
      <c r="F834" s="8"/>
      <c r="G834" s="8"/>
      <c r="H834" s="8"/>
      <c r="I834" s="8"/>
      <c r="J834" s="8"/>
      <c r="K834" s="9"/>
      <c r="L834" s="9"/>
      <c r="M834" s="10" t="s">
        <v>10</v>
      </c>
    </row>
    <row r="835" spans="2:13" x14ac:dyDescent="0.25">
      <c r="B835" s="8"/>
      <c r="C835" s="8"/>
      <c r="D835" s="8"/>
      <c r="E835" s="8"/>
      <c r="F835" s="8"/>
      <c r="G835" s="8"/>
      <c r="H835" s="8"/>
      <c r="I835" s="8"/>
      <c r="J835" s="8"/>
      <c r="K835" s="9"/>
      <c r="L835" s="9"/>
      <c r="M835" s="10" t="s">
        <v>10</v>
      </c>
    </row>
    <row r="836" spans="2:13" x14ac:dyDescent="0.25">
      <c r="B836" s="8"/>
      <c r="C836" s="8"/>
      <c r="D836" s="8"/>
      <c r="E836" s="8"/>
      <c r="F836" s="8"/>
      <c r="G836" s="8"/>
      <c r="H836" s="8"/>
      <c r="I836" s="8"/>
      <c r="J836" s="8"/>
      <c r="K836" s="9"/>
      <c r="L836" s="9"/>
      <c r="M836" s="10" t="s">
        <v>10</v>
      </c>
    </row>
    <row r="837" spans="2:13" x14ac:dyDescent="0.25">
      <c r="B837" s="8"/>
      <c r="C837" s="8"/>
      <c r="D837" s="8"/>
      <c r="E837" s="8"/>
      <c r="F837" s="8"/>
      <c r="G837" s="8"/>
      <c r="H837" s="8"/>
      <c r="I837" s="8"/>
      <c r="J837" s="8"/>
      <c r="K837" s="9"/>
      <c r="L837" s="9"/>
      <c r="M837" s="10" t="s">
        <v>10</v>
      </c>
    </row>
    <row r="838" spans="2:13" x14ac:dyDescent="0.25">
      <c r="B838" s="8"/>
      <c r="C838" s="8"/>
      <c r="D838" s="8"/>
      <c r="E838" s="8"/>
      <c r="F838" s="8"/>
      <c r="G838" s="8"/>
      <c r="H838" s="8"/>
      <c r="I838" s="8"/>
      <c r="J838" s="8"/>
      <c r="K838" s="9"/>
      <c r="L838" s="9"/>
      <c r="M838" s="10" t="s">
        <v>10</v>
      </c>
    </row>
    <row r="839" spans="2:13" x14ac:dyDescent="0.25">
      <c r="B839" s="8"/>
      <c r="C839" s="8"/>
      <c r="D839" s="8"/>
      <c r="E839" s="8"/>
      <c r="F839" s="8"/>
      <c r="G839" s="8"/>
      <c r="H839" s="8"/>
      <c r="I839" s="8"/>
      <c r="J839" s="8"/>
      <c r="K839" s="9"/>
      <c r="L839" s="9"/>
      <c r="M839" s="10" t="s">
        <v>10</v>
      </c>
    </row>
    <row r="840" spans="2:13" x14ac:dyDescent="0.25">
      <c r="B840" s="8"/>
      <c r="C840" s="8"/>
      <c r="D840" s="8"/>
      <c r="E840" s="8"/>
      <c r="F840" s="8"/>
      <c r="G840" s="8"/>
      <c r="H840" s="8"/>
      <c r="I840" s="8"/>
      <c r="J840" s="8"/>
      <c r="K840" s="9"/>
      <c r="L840" s="9"/>
      <c r="M840" s="10" t="s">
        <v>10</v>
      </c>
    </row>
    <row r="841" spans="2:13" x14ac:dyDescent="0.25">
      <c r="B841" s="8"/>
      <c r="C841" s="8"/>
      <c r="D841" s="8"/>
      <c r="E841" s="8"/>
      <c r="F841" s="8"/>
      <c r="G841" s="8"/>
      <c r="H841" s="8"/>
      <c r="I841" s="8"/>
      <c r="J841" s="8"/>
      <c r="K841" s="9"/>
      <c r="L841" s="9"/>
      <c r="M841" s="10" t="s">
        <v>10</v>
      </c>
    </row>
    <row r="842" spans="2:13" x14ac:dyDescent="0.25">
      <c r="B842" s="8"/>
      <c r="C842" s="8"/>
      <c r="D842" s="8"/>
      <c r="E842" s="8"/>
      <c r="F842" s="8"/>
      <c r="G842" s="8"/>
      <c r="H842" s="8"/>
      <c r="I842" s="8"/>
      <c r="J842" s="8"/>
      <c r="K842" s="9"/>
      <c r="L842" s="9"/>
      <c r="M842" s="10" t="s">
        <v>10</v>
      </c>
    </row>
    <row r="843" spans="2:13" x14ac:dyDescent="0.25">
      <c r="B843" s="8"/>
      <c r="C843" s="8"/>
      <c r="D843" s="8"/>
      <c r="E843" s="8"/>
      <c r="F843" s="8"/>
      <c r="G843" s="8"/>
      <c r="H843" s="8"/>
      <c r="I843" s="8"/>
      <c r="J843" s="8"/>
      <c r="K843" s="9"/>
      <c r="L843" s="9"/>
      <c r="M843" s="10" t="s">
        <v>10</v>
      </c>
    </row>
    <row r="844" spans="2:13" x14ac:dyDescent="0.25">
      <c r="B844" s="8"/>
      <c r="C844" s="8"/>
      <c r="D844" s="8"/>
      <c r="E844" s="8"/>
      <c r="F844" s="8"/>
      <c r="G844" s="8"/>
      <c r="H844" s="8"/>
      <c r="I844" s="8"/>
      <c r="J844" s="8"/>
      <c r="K844" s="9"/>
      <c r="L844" s="9"/>
      <c r="M844" s="10" t="s">
        <v>10</v>
      </c>
    </row>
    <row r="845" spans="2:13" x14ac:dyDescent="0.25">
      <c r="B845" s="8"/>
      <c r="C845" s="8"/>
      <c r="D845" s="8"/>
      <c r="E845" s="8"/>
      <c r="F845" s="8"/>
      <c r="G845" s="8"/>
      <c r="H845" s="8"/>
      <c r="I845" s="8"/>
      <c r="J845" s="8"/>
      <c r="K845" s="9"/>
      <c r="L845" s="9"/>
      <c r="M845" s="10" t="s">
        <v>10</v>
      </c>
    </row>
    <row r="846" spans="2:13" x14ac:dyDescent="0.25">
      <c r="B846" s="8"/>
      <c r="C846" s="8"/>
      <c r="D846" s="8"/>
      <c r="E846" s="8"/>
      <c r="F846" s="8"/>
      <c r="G846" s="8"/>
      <c r="H846" s="8"/>
      <c r="I846" s="8"/>
      <c r="J846" s="8"/>
      <c r="K846" s="9"/>
      <c r="L846" s="9"/>
      <c r="M846" s="10" t="s">
        <v>10</v>
      </c>
    </row>
    <row r="847" spans="2:13" x14ac:dyDescent="0.25">
      <c r="B847" s="8"/>
      <c r="C847" s="8"/>
      <c r="D847" s="8"/>
      <c r="E847" s="8"/>
      <c r="F847" s="8"/>
      <c r="G847" s="8"/>
      <c r="H847" s="8"/>
      <c r="I847" s="8"/>
      <c r="J847" s="8"/>
      <c r="K847" s="9"/>
      <c r="L847" s="9"/>
      <c r="M847" s="10" t="s">
        <v>10</v>
      </c>
    </row>
    <row r="848" spans="2:13" x14ac:dyDescent="0.25">
      <c r="B848" s="8"/>
      <c r="C848" s="8"/>
      <c r="D848" s="8"/>
      <c r="E848" s="8"/>
      <c r="F848" s="8"/>
      <c r="G848" s="8"/>
      <c r="H848" s="8"/>
      <c r="I848" s="8"/>
      <c r="J848" s="8"/>
      <c r="K848" s="9"/>
      <c r="L848" s="9"/>
      <c r="M848" s="10" t="s">
        <v>10</v>
      </c>
    </row>
    <row r="849" spans="2:13" x14ac:dyDescent="0.25">
      <c r="B849" s="8"/>
      <c r="C849" s="8"/>
      <c r="D849" s="8"/>
      <c r="E849" s="8"/>
      <c r="F849" s="8"/>
      <c r="G849" s="8"/>
      <c r="H849" s="8"/>
      <c r="I849" s="8"/>
      <c r="J849" s="8"/>
      <c r="K849" s="9"/>
      <c r="L849" s="9"/>
      <c r="M849" s="10" t="s">
        <v>10</v>
      </c>
    </row>
    <row r="850" spans="2:13" x14ac:dyDescent="0.25">
      <c r="B850" s="8"/>
      <c r="C850" s="8"/>
      <c r="D850" s="8"/>
      <c r="E850" s="8"/>
      <c r="F850" s="8"/>
      <c r="G850" s="8"/>
      <c r="H850" s="8"/>
      <c r="I850" s="8"/>
      <c r="J850" s="8"/>
      <c r="K850" s="9"/>
      <c r="L850" s="9"/>
      <c r="M850" s="10" t="s">
        <v>10</v>
      </c>
    </row>
    <row r="851" spans="2:13" x14ac:dyDescent="0.25">
      <c r="B851" s="8"/>
      <c r="C851" s="8"/>
      <c r="D851" s="8"/>
      <c r="E851" s="8"/>
      <c r="F851" s="8"/>
      <c r="G851" s="8"/>
      <c r="H851" s="8"/>
      <c r="I851" s="8"/>
      <c r="J851" s="8"/>
      <c r="K851" s="9"/>
      <c r="L851" s="9"/>
      <c r="M851" s="10" t="s">
        <v>10</v>
      </c>
    </row>
    <row r="852" spans="2:13" x14ac:dyDescent="0.25">
      <c r="B852" s="8"/>
      <c r="C852" s="8"/>
      <c r="D852" s="8"/>
      <c r="E852" s="8"/>
      <c r="F852" s="8"/>
      <c r="G852" s="8"/>
      <c r="H852" s="8"/>
      <c r="I852" s="8"/>
      <c r="J852" s="8"/>
      <c r="K852" s="9"/>
      <c r="L852" s="9"/>
      <c r="M852" s="10" t="s">
        <v>10</v>
      </c>
    </row>
    <row r="853" spans="2:13" x14ac:dyDescent="0.25">
      <c r="B853" s="8"/>
      <c r="C853" s="8"/>
      <c r="D853" s="8"/>
      <c r="E853" s="8"/>
      <c r="F853" s="8"/>
      <c r="G853" s="8"/>
      <c r="H853" s="8"/>
      <c r="I853" s="8"/>
      <c r="J853" s="8"/>
      <c r="K853" s="9"/>
      <c r="L853" s="9"/>
      <c r="M853" s="10" t="s">
        <v>10</v>
      </c>
    </row>
    <row r="854" spans="2:13" x14ac:dyDescent="0.25">
      <c r="B854" s="8"/>
      <c r="C854" s="8"/>
      <c r="D854" s="8"/>
      <c r="E854" s="8"/>
      <c r="F854" s="8"/>
      <c r="G854" s="8"/>
      <c r="H854" s="8"/>
      <c r="I854" s="8"/>
      <c r="J854" s="8"/>
      <c r="K854" s="9"/>
      <c r="L854" s="9"/>
      <c r="M854" s="10" t="s">
        <v>10</v>
      </c>
    </row>
    <row r="855" spans="2:13" x14ac:dyDescent="0.25">
      <c r="B855" s="8"/>
      <c r="C855" s="8"/>
      <c r="D855" s="8"/>
      <c r="E855" s="8"/>
      <c r="F855" s="8"/>
      <c r="G855" s="8"/>
      <c r="H855" s="8"/>
      <c r="I855" s="8"/>
      <c r="J855" s="8"/>
      <c r="K855" s="9"/>
      <c r="L855" s="9"/>
      <c r="M855" s="10" t="s">
        <v>10</v>
      </c>
    </row>
    <row r="856" spans="2:13" x14ac:dyDescent="0.25">
      <c r="B856" s="8"/>
      <c r="C856" s="8"/>
      <c r="D856" s="8"/>
      <c r="E856" s="8"/>
      <c r="F856" s="8"/>
      <c r="G856" s="8"/>
      <c r="H856" s="8"/>
      <c r="I856" s="8"/>
      <c r="J856" s="8"/>
      <c r="K856" s="9"/>
      <c r="L856" s="9"/>
      <c r="M856" s="10" t="s">
        <v>10</v>
      </c>
    </row>
    <row r="857" spans="2:13" x14ac:dyDescent="0.25">
      <c r="B857" s="8"/>
      <c r="C857" s="8"/>
      <c r="D857" s="8"/>
      <c r="E857" s="8"/>
      <c r="F857" s="8"/>
      <c r="G857" s="8"/>
      <c r="H857" s="8"/>
      <c r="I857" s="8"/>
      <c r="J857" s="8"/>
      <c r="K857" s="9"/>
      <c r="L857" s="9"/>
      <c r="M857" s="10" t="s">
        <v>10</v>
      </c>
    </row>
    <row r="858" spans="2:13" x14ac:dyDescent="0.25">
      <c r="B858" s="8"/>
      <c r="C858" s="8"/>
      <c r="D858" s="8"/>
      <c r="E858" s="8"/>
      <c r="F858" s="8"/>
      <c r="G858" s="8"/>
      <c r="H858" s="8"/>
      <c r="I858" s="8"/>
      <c r="J858" s="8"/>
      <c r="K858" s="9"/>
      <c r="L858" s="9"/>
      <c r="M858" s="10" t="s">
        <v>10</v>
      </c>
    </row>
    <row r="859" spans="2:13" x14ac:dyDescent="0.25">
      <c r="B859" s="8"/>
      <c r="C859" s="8"/>
      <c r="D859" s="8"/>
      <c r="E859" s="8"/>
      <c r="F859" s="8"/>
      <c r="G859" s="8"/>
      <c r="H859" s="8"/>
      <c r="I859" s="8"/>
      <c r="J859" s="8"/>
      <c r="K859" s="9"/>
      <c r="L859" s="9"/>
      <c r="M859" s="10" t="s">
        <v>10</v>
      </c>
    </row>
    <row r="860" spans="2:13" x14ac:dyDescent="0.25">
      <c r="B860" s="8"/>
      <c r="C860" s="8"/>
      <c r="D860" s="8"/>
      <c r="E860" s="8"/>
      <c r="F860" s="8"/>
      <c r="G860" s="8"/>
      <c r="H860" s="8"/>
      <c r="I860" s="8"/>
      <c r="J860" s="8"/>
      <c r="K860" s="9"/>
      <c r="L860" s="9"/>
      <c r="M860" s="10" t="s">
        <v>10</v>
      </c>
    </row>
    <row r="861" spans="2:13" x14ac:dyDescent="0.25">
      <c r="B861" s="8"/>
      <c r="C861" s="8"/>
      <c r="D861" s="8"/>
      <c r="E861" s="8"/>
      <c r="F861" s="8"/>
      <c r="G861" s="8"/>
      <c r="H861" s="8"/>
      <c r="I861" s="8"/>
      <c r="J861" s="8"/>
      <c r="K861" s="9"/>
      <c r="L861" s="9"/>
      <c r="M861" s="10" t="s">
        <v>10</v>
      </c>
    </row>
    <row r="862" spans="2:13" x14ac:dyDescent="0.25">
      <c r="B862" s="8"/>
      <c r="C862" s="8"/>
      <c r="D862" s="8"/>
      <c r="E862" s="8"/>
      <c r="F862" s="8"/>
      <c r="G862" s="8"/>
      <c r="H862" s="8"/>
      <c r="I862" s="8"/>
      <c r="J862" s="8"/>
      <c r="K862" s="9"/>
      <c r="L862" s="9"/>
      <c r="M862" s="10" t="s">
        <v>10</v>
      </c>
    </row>
    <row r="863" spans="2:13" x14ac:dyDescent="0.25">
      <c r="B863" s="8"/>
      <c r="C863" s="8"/>
      <c r="D863" s="8"/>
      <c r="E863" s="8"/>
      <c r="F863" s="8"/>
      <c r="G863" s="8"/>
      <c r="H863" s="8"/>
      <c r="I863" s="8"/>
      <c r="J863" s="8"/>
      <c r="K863" s="9"/>
      <c r="L863" s="9"/>
      <c r="M863" s="10" t="s">
        <v>10</v>
      </c>
    </row>
    <row r="864" spans="2:13" x14ac:dyDescent="0.25">
      <c r="B864" s="8"/>
      <c r="C864" s="8"/>
      <c r="D864" s="8"/>
      <c r="E864" s="8"/>
      <c r="F864" s="8"/>
      <c r="G864" s="8"/>
      <c r="H864" s="8"/>
      <c r="I864" s="8"/>
      <c r="J864" s="8"/>
      <c r="K864" s="9"/>
      <c r="L864" s="9"/>
      <c r="M864" s="10" t="s">
        <v>10</v>
      </c>
    </row>
    <row r="865" spans="2:13" x14ac:dyDescent="0.25">
      <c r="B865" s="8"/>
      <c r="C865" s="8"/>
      <c r="D865" s="8"/>
      <c r="E865" s="8"/>
      <c r="F865" s="8"/>
      <c r="G865" s="8"/>
      <c r="H865" s="8"/>
      <c r="I865" s="8"/>
      <c r="J865" s="8"/>
      <c r="K865" s="9"/>
      <c r="L865" s="9"/>
      <c r="M865" s="10" t="s">
        <v>10</v>
      </c>
    </row>
    <row r="866" spans="2:13" x14ac:dyDescent="0.25">
      <c r="B866" s="8"/>
      <c r="C866" s="8"/>
      <c r="D866" s="8"/>
      <c r="E866" s="8"/>
      <c r="F866" s="8"/>
      <c r="G866" s="8"/>
      <c r="H866" s="8"/>
      <c r="I866" s="8"/>
      <c r="J866" s="8"/>
      <c r="K866" s="9"/>
      <c r="L866" s="9"/>
      <c r="M866" s="10" t="s">
        <v>10</v>
      </c>
    </row>
    <row r="867" spans="2:13" x14ac:dyDescent="0.25">
      <c r="B867" s="8"/>
      <c r="C867" s="8"/>
      <c r="D867" s="8"/>
      <c r="E867" s="8"/>
      <c r="F867" s="8"/>
      <c r="G867" s="8"/>
      <c r="H867" s="8"/>
      <c r="I867" s="8"/>
      <c r="J867" s="8"/>
      <c r="K867" s="9"/>
      <c r="L867" s="9"/>
      <c r="M867" s="10" t="s">
        <v>10</v>
      </c>
    </row>
    <row r="868" spans="2:13" x14ac:dyDescent="0.25">
      <c r="B868" s="8"/>
      <c r="C868" s="8"/>
      <c r="D868" s="8"/>
      <c r="E868" s="8"/>
      <c r="F868" s="8"/>
      <c r="G868" s="8"/>
      <c r="H868" s="8"/>
      <c r="I868" s="8"/>
      <c r="J868" s="8"/>
      <c r="K868" s="9"/>
      <c r="L868" s="9"/>
      <c r="M868" s="10" t="s">
        <v>10</v>
      </c>
    </row>
    <row r="869" spans="2:13" x14ac:dyDescent="0.25">
      <c r="B869" s="8"/>
      <c r="C869" s="8"/>
      <c r="D869" s="8"/>
      <c r="E869" s="8"/>
      <c r="F869" s="8"/>
      <c r="G869" s="8"/>
      <c r="H869" s="8"/>
      <c r="I869" s="8"/>
      <c r="J869" s="8"/>
      <c r="K869" s="9"/>
      <c r="L869" s="9"/>
      <c r="M869" s="10" t="s">
        <v>10</v>
      </c>
    </row>
    <row r="870" spans="2:13" x14ac:dyDescent="0.25">
      <c r="B870" s="8"/>
      <c r="C870" s="8"/>
      <c r="D870" s="8"/>
      <c r="E870" s="8"/>
      <c r="F870" s="8"/>
      <c r="G870" s="8"/>
      <c r="H870" s="8"/>
      <c r="I870" s="8"/>
      <c r="J870" s="8"/>
      <c r="K870" s="9"/>
      <c r="L870" s="9"/>
      <c r="M870" s="10" t="s">
        <v>10</v>
      </c>
    </row>
    <row r="871" spans="2:13" x14ac:dyDescent="0.25">
      <c r="B871" s="8"/>
      <c r="C871" s="8"/>
      <c r="D871" s="8"/>
      <c r="E871" s="8"/>
      <c r="F871" s="8"/>
      <c r="G871" s="8"/>
      <c r="H871" s="8"/>
      <c r="I871" s="8"/>
      <c r="J871" s="8"/>
      <c r="K871" s="9"/>
      <c r="L871" s="9"/>
      <c r="M871" s="10" t="s">
        <v>10</v>
      </c>
    </row>
    <row r="872" spans="2:13" x14ac:dyDescent="0.25">
      <c r="B872" s="8"/>
      <c r="C872" s="8"/>
      <c r="D872" s="8"/>
      <c r="E872" s="8"/>
      <c r="F872" s="8"/>
      <c r="G872" s="8"/>
      <c r="H872" s="8"/>
      <c r="I872" s="8"/>
      <c r="J872" s="8"/>
      <c r="K872" s="9"/>
      <c r="L872" s="9"/>
      <c r="M872" s="10" t="s">
        <v>10</v>
      </c>
    </row>
    <row r="873" spans="2:13" x14ac:dyDescent="0.25">
      <c r="B873" s="8"/>
      <c r="C873" s="8"/>
      <c r="D873" s="8"/>
      <c r="E873" s="8"/>
      <c r="F873" s="8"/>
      <c r="G873" s="8"/>
      <c r="H873" s="8"/>
      <c r="I873" s="8"/>
      <c r="J873" s="8"/>
      <c r="K873" s="9"/>
      <c r="L873" s="9"/>
      <c r="M873" s="10" t="s">
        <v>10</v>
      </c>
    </row>
    <row r="874" spans="2:13" x14ac:dyDescent="0.25">
      <c r="B874" s="8"/>
      <c r="C874" s="8"/>
      <c r="D874" s="8"/>
      <c r="E874" s="8"/>
      <c r="F874" s="8"/>
      <c r="G874" s="8"/>
      <c r="H874" s="8"/>
      <c r="I874" s="8"/>
      <c r="J874" s="8"/>
      <c r="K874" s="9"/>
      <c r="L874" s="9"/>
      <c r="M874" s="10" t="s">
        <v>10</v>
      </c>
    </row>
    <row r="875" spans="2:13" x14ac:dyDescent="0.25">
      <c r="B875" s="8"/>
      <c r="C875" s="8"/>
      <c r="D875" s="8"/>
      <c r="E875" s="8"/>
      <c r="F875" s="8"/>
      <c r="G875" s="8"/>
      <c r="H875" s="8"/>
      <c r="I875" s="8"/>
      <c r="J875" s="8"/>
      <c r="K875" s="9"/>
      <c r="L875" s="9"/>
      <c r="M875" s="10" t="s">
        <v>10</v>
      </c>
    </row>
    <row r="876" spans="2:13" x14ac:dyDescent="0.25">
      <c r="B876" s="8"/>
      <c r="C876" s="8"/>
      <c r="D876" s="8"/>
      <c r="E876" s="8"/>
      <c r="F876" s="8"/>
      <c r="G876" s="8"/>
      <c r="H876" s="8"/>
      <c r="I876" s="8"/>
      <c r="J876" s="8"/>
      <c r="K876" s="9"/>
      <c r="L876" s="9"/>
      <c r="M876" s="10" t="s">
        <v>10</v>
      </c>
    </row>
    <row r="877" spans="2:13" x14ac:dyDescent="0.25">
      <c r="B877" s="8"/>
      <c r="C877" s="8"/>
      <c r="D877" s="8"/>
      <c r="E877" s="8"/>
      <c r="F877" s="8"/>
      <c r="G877" s="8"/>
      <c r="H877" s="8"/>
      <c r="I877" s="8"/>
      <c r="J877" s="8"/>
      <c r="K877" s="9"/>
      <c r="L877" s="9"/>
      <c r="M877" s="10" t="s">
        <v>10</v>
      </c>
    </row>
    <row r="878" spans="2:13" x14ac:dyDescent="0.25">
      <c r="B878" s="8"/>
      <c r="C878" s="8"/>
      <c r="D878" s="8"/>
      <c r="E878" s="8"/>
      <c r="F878" s="8"/>
      <c r="G878" s="8"/>
      <c r="H878" s="8"/>
      <c r="I878" s="8"/>
      <c r="J878" s="8"/>
      <c r="K878" s="9"/>
      <c r="L878" s="9"/>
      <c r="M878" s="10" t="s">
        <v>10</v>
      </c>
    </row>
    <row r="879" spans="2:13" x14ac:dyDescent="0.25">
      <c r="B879" s="8"/>
      <c r="C879" s="8"/>
      <c r="D879" s="8"/>
      <c r="E879" s="8"/>
      <c r="F879" s="8"/>
      <c r="G879" s="8"/>
      <c r="H879" s="8"/>
      <c r="I879" s="8"/>
      <c r="J879" s="8"/>
      <c r="K879" s="9"/>
      <c r="L879" s="9"/>
      <c r="M879" s="10" t="s">
        <v>10</v>
      </c>
    </row>
    <row r="880" spans="2:13" x14ac:dyDescent="0.25">
      <c r="B880" s="8"/>
      <c r="C880" s="8"/>
      <c r="D880" s="8"/>
      <c r="E880" s="8"/>
      <c r="F880" s="8"/>
      <c r="G880" s="8"/>
      <c r="H880" s="8"/>
      <c r="I880" s="8"/>
      <c r="J880" s="8"/>
      <c r="K880" s="9"/>
      <c r="L880" s="9"/>
      <c r="M880" s="10" t="s">
        <v>10</v>
      </c>
    </row>
    <row r="881" spans="2:13" x14ac:dyDescent="0.25">
      <c r="B881" s="8"/>
      <c r="C881" s="8"/>
      <c r="D881" s="8"/>
      <c r="E881" s="8"/>
      <c r="F881" s="8"/>
      <c r="G881" s="8"/>
      <c r="H881" s="8"/>
      <c r="I881" s="8"/>
      <c r="J881" s="8"/>
      <c r="K881" s="9"/>
      <c r="L881" s="9"/>
      <c r="M881" s="10" t="s">
        <v>10</v>
      </c>
    </row>
    <row r="882" spans="2:13" x14ac:dyDescent="0.25">
      <c r="B882" s="8"/>
      <c r="C882" s="8"/>
      <c r="D882" s="8"/>
      <c r="E882" s="8"/>
      <c r="F882" s="8"/>
      <c r="G882" s="8"/>
      <c r="H882" s="8"/>
      <c r="I882" s="8"/>
      <c r="J882" s="8"/>
      <c r="K882" s="9"/>
      <c r="L882" s="9"/>
      <c r="M882" s="10" t="s">
        <v>10</v>
      </c>
    </row>
    <row r="883" spans="2:13" x14ac:dyDescent="0.25">
      <c r="B883" s="8"/>
      <c r="C883" s="8"/>
      <c r="D883" s="8"/>
      <c r="E883" s="8"/>
      <c r="F883" s="8"/>
      <c r="G883" s="8"/>
      <c r="H883" s="8"/>
      <c r="I883" s="8"/>
      <c r="J883" s="8"/>
      <c r="K883" s="9"/>
      <c r="L883" s="9"/>
      <c r="M883" s="10" t="s">
        <v>10</v>
      </c>
    </row>
    <row r="884" spans="2:13" x14ac:dyDescent="0.25">
      <c r="B884" s="8"/>
      <c r="C884" s="8"/>
      <c r="D884" s="8"/>
      <c r="E884" s="8"/>
      <c r="F884" s="8"/>
      <c r="G884" s="8"/>
      <c r="H884" s="8"/>
      <c r="I884" s="8"/>
      <c r="J884" s="8"/>
      <c r="K884" s="9"/>
      <c r="L884" s="9"/>
      <c r="M884" s="10" t="s">
        <v>10</v>
      </c>
    </row>
    <row r="885" spans="2:13" x14ac:dyDescent="0.25">
      <c r="B885" s="8"/>
      <c r="C885" s="8"/>
      <c r="D885" s="8"/>
      <c r="E885" s="8"/>
      <c r="F885" s="8"/>
      <c r="G885" s="8"/>
      <c r="H885" s="8"/>
      <c r="I885" s="8"/>
      <c r="J885" s="8"/>
      <c r="K885" s="9"/>
      <c r="L885" s="9"/>
      <c r="M885" s="10" t="s">
        <v>10</v>
      </c>
    </row>
    <row r="886" spans="2:13" x14ac:dyDescent="0.25">
      <c r="B886" s="8"/>
      <c r="C886" s="8"/>
      <c r="D886" s="8"/>
      <c r="E886" s="8"/>
      <c r="F886" s="8"/>
      <c r="G886" s="8"/>
      <c r="H886" s="8"/>
      <c r="I886" s="8"/>
      <c r="J886" s="8"/>
      <c r="K886" s="9"/>
      <c r="L886" s="9"/>
      <c r="M886" s="10" t="s">
        <v>10</v>
      </c>
    </row>
    <row r="887" spans="2:13" x14ac:dyDescent="0.25">
      <c r="B887" s="8"/>
      <c r="C887" s="8"/>
      <c r="D887" s="8"/>
      <c r="E887" s="8"/>
      <c r="F887" s="8"/>
      <c r="G887" s="8"/>
      <c r="H887" s="8"/>
      <c r="I887" s="8"/>
      <c r="J887" s="8"/>
      <c r="K887" s="9"/>
      <c r="L887" s="9"/>
      <c r="M887" s="10" t="s">
        <v>10</v>
      </c>
    </row>
    <row r="888" spans="2:13" x14ac:dyDescent="0.25">
      <c r="B888" s="8"/>
      <c r="C888" s="8"/>
      <c r="D888" s="8"/>
      <c r="E888" s="8"/>
      <c r="F888" s="8"/>
      <c r="G888" s="8"/>
      <c r="H888" s="8"/>
      <c r="I888" s="8"/>
      <c r="J888" s="8"/>
      <c r="K888" s="9"/>
      <c r="L888" s="9"/>
      <c r="M888" s="10" t="s">
        <v>10</v>
      </c>
    </row>
    <row r="889" spans="2:13" x14ac:dyDescent="0.25">
      <c r="B889" s="8"/>
      <c r="C889" s="8"/>
      <c r="D889" s="8"/>
      <c r="E889" s="8"/>
      <c r="F889" s="8"/>
      <c r="G889" s="8"/>
      <c r="H889" s="8"/>
      <c r="I889" s="8"/>
      <c r="J889" s="8"/>
      <c r="K889" s="9"/>
      <c r="L889" s="9"/>
      <c r="M889" s="10" t="s">
        <v>10</v>
      </c>
    </row>
    <row r="890" spans="2:13" x14ac:dyDescent="0.25">
      <c r="B890" s="8"/>
      <c r="C890" s="8"/>
      <c r="D890" s="8"/>
      <c r="E890" s="8"/>
      <c r="F890" s="8"/>
      <c r="G890" s="8"/>
      <c r="H890" s="8"/>
      <c r="I890" s="8"/>
      <c r="J890" s="8"/>
      <c r="K890" s="9"/>
      <c r="L890" s="9"/>
      <c r="M890" s="10" t="s">
        <v>10</v>
      </c>
    </row>
    <row r="891" spans="2:13" x14ac:dyDescent="0.25">
      <c r="B891" s="8"/>
      <c r="C891" s="8"/>
      <c r="D891" s="8"/>
      <c r="E891" s="8"/>
      <c r="F891" s="8"/>
      <c r="G891" s="8"/>
      <c r="H891" s="8"/>
      <c r="I891" s="8"/>
      <c r="J891" s="8"/>
      <c r="K891" s="9"/>
      <c r="L891" s="9"/>
      <c r="M891" s="10" t="s">
        <v>10</v>
      </c>
    </row>
    <row r="892" spans="2:13" x14ac:dyDescent="0.25">
      <c r="B892" s="8"/>
      <c r="C892" s="8"/>
      <c r="D892" s="8"/>
      <c r="E892" s="8"/>
      <c r="F892" s="8"/>
      <c r="G892" s="8"/>
      <c r="H892" s="8"/>
      <c r="I892" s="8"/>
      <c r="J892" s="8"/>
      <c r="K892" s="9"/>
      <c r="L892" s="9"/>
      <c r="M892" s="10" t="s">
        <v>10</v>
      </c>
    </row>
    <row r="893" spans="2:13" x14ac:dyDescent="0.25">
      <c r="B893" s="8"/>
      <c r="C893" s="8"/>
      <c r="D893" s="8"/>
      <c r="E893" s="8"/>
      <c r="F893" s="8"/>
      <c r="G893" s="8"/>
      <c r="H893" s="8"/>
      <c r="I893" s="8"/>
      <c r="J893" s="8"/>
      <c r="K893" s="9"/>
      <c r="L893" s="9"/>
      <c r="M893" s="10" t="s">
        <v>10</v>
      </c>
    </row>
    <row r="894" spans="2:13" x14ac:dyDescent="0.25">
      <c r="B894" s="8"/>
      <c r="C894" s="8"/>
      <c r="D894" s="8"/>
      <c r="E894" s="8"/>
      <c r="F894" s="8"/>
      <c r="G894" s="8"/>
      <c r="H894" s="8"/>
      <c r="I894" s="8"/>
      <c r="J894" s="8"/>
      <c r="K894" s="9"/>
      <c r="L894" s="9"/>
      <c r="M894" s="10" t="s">
        <v>10</v>
      </c>
    </row>
    <row r="895" spans="2:13" x14ac:dyDescent="0.25">
      <c r="B895" s="8"/>
      <c r="C895" s="8"/>
      <c r="D895" s="8"/>
      <c r="E895" s="8"/>
      <c r="F895" s="8"/>
      <c r="G895" s="8"/>
      <c r="H895" s="8"/>
      <c r="I895" s="8"/>
      <c r="J895" s="8"/>
      <c r="K895" s="9"/>
      <c r="L895" s="9"/>
      <c r="M895" s="10" t="s">
        <v>10</v>
      </c>
    </row>
    <row r="896" spans="2:13" x14ac:dyDescent="0.25">
      <c r="B896" s="8"/>
      <c r="C896" s="8"/>
      <c r="D896" s="8"/>
      <c r="E896" s="8"/>
      <c r="F896" s="8"/>
      <c r="G896" s="8"/>
      <c r="H896" s="8"/>
      <c r="I896" s="8"/>
      <c r="J896" s="8"/>
      <c r="K896" s="9"/>
      <c r="L896" s="9"/>
      <c r="M896" s="10" t="s">
        <v>10</v>
      </c>
    </row>
    <row r="897" spans="2:13" x14ac:dyDescent="0.25">
      <c r="B897" s="8"/>
      <c r="C897" s="8"/>
      <c r="D897" s="8"/>
      <c r="E897" s="8"/>
      <c r="F897" s="8"/>
      <c r="G897" s="8"/>
      <c r="H897" s="8"/>
      <c r="I897" s="8"/>
      <c r="J897" s="8"/>
      <c r="K897" s="9"/>
      <c r="L897" s="9"/>
      <c r="M897" s="10" t="s">
        <v>10</v>
      </c>
    </row>
    <row r="898" spans="2:13" x14ac:dyDescent="0.25">
      <c r="B898" s="8"/>
      <c r="C898" s="8"/>
      <c r="D898" s="8"/>
      <c r="E898" s="8"/>
      <c r="F898" s="8"/>
      <c r="G898" s="8"/>
      <c r="H898" s="8"/>
      <c r="I898" s="8"/>
      <c r="J898" s="8"/>
      <c r="K898" s="9"/>
      <c r="L898" s="9"/>
      <c r="M898" s="10" t="s">
        <v>10</v>
      </c>
    </row>
    <row r="899" spans="2:13" x14ac:dyDescent="0.25">
      <c r="B899" s="8"/>
      <c r="C899" s="8"/>
      <c r="D899" s="8"/>
      <c r="E899" s="8"/>
      <c r="F899" s="8"/>
      <c r="G899" s="8"/>
      <c r="H899" s="8"/>
      <c r="I899" s="8"/>
      <c r="J899" s="8"/>
      <c r="K899" s="9"/>
      <c r="L899" s="9"/>
      <c r="M899" s="10" t="s">
        <v>10</v>
      </c>
    </row>
    <row r="900" spans="2:13" x14ac:dyDescent="0.25">
      <c r="B900" s="8"/>
      <c r="C900" s="8"/>
      <c r="D900" s="8"/>
      <c r="E900" s="8"/>
      <c r="F900" s="8"/>
      <c r="G900" s="8"/>
      <c r="H900" s="8"/>
      <c r="I900" s="8"/>
      <c r="J900" s="8"/>
      <c r="K900" s="9"/>
      <c r="L900" s="9"/>
      <c r="M900" s="10" t="s">
        <v>10</v>
      </c>
    </row>
    <row r="901" spans="2:13" x14ac:dyDescent="0.25">
      <c r="B901" s="8"/>
      <c r="C901" s="8"/>
      <c r="D901" s="8"/>
      <c r="E901" s="8"/>
      <c r="F901" s="8"/>
      <c r="G901" s="8"/>
      <c r="H901" s="8"/>
      <c r="I901" s="8"/>
      <c r="J901" s="8"/>
      <c r="K901" s="9"/>
      <c r="L901" s="9"/>
      <c r="M901" s="10" t="s">
        <v>10</v>
      </c>
    </row>
    <row r="902" spans="2:13" x14ac:dyDescent="0.25">
      <c r="B902" s="8"/>
      <c r="C902" s="8"/>
      <c r="D902" s="8"/>
      <c r="E902" s="8"/>
      <c r="F902" s="8"/>
      <c r="G902" s="8"/>
      <c r="H902" s="8"/>
      <c r="I902" s="8"/>
      <c r="J902" s="8"/>
      <c r="K902" s="9"/>
      <c r="L902" s="9"/>
      <c r="M902" s="10" t="s">
        <v>10</v>
      </c>
    </row>
    <row r="903" spans="2:13" x14ac:dyDescent="0.25">
      <c r="B903" s="8"/>
      <c r="C903" s="8"/>
      <c r="D903" s="8"/>
      <c r="E903" s="8"/>
      <c r="F903" s="8"/>
      <c r="G903" s="8"/>
      <c r="H903" s="8"/>
      <c r="I903" s="8"/>
      <c r="J903" s="8"/>
      <c r="K903" s="9"/>
      <c r="L903" s="9"/>
      <c r="M903" s="10" t="s">
        <v>10</v>
      </c>
    </row>
    <row r="904" spans="2:13" x14ac:dyDescent="0.25">
      <c r="B904" s="8"/>
      <c r="C904" s="8"/>
      <c r="D904" s="8"/>
      <c r="E904" s="8"/>
      <c r="F904" s="8"/>
      <c r="G904" s="8"/>
      <c r="H904" s="8"/>
      <c r="I904" s="8"/>
      <c r="J904" s="8"/>
      <c r="K904" s="9"/>
      <c r="L904" s="9"/>
      <c r="M904" s="10" t="s">
        <v>10</v>
      </c>
    </row>
    <row r="905" spans="2:13" x14ac:dyDescent="0.25">
      <c r="B905" s="8"/>
      <c r="C905" s="8"/>
      <c r="D905" s="8"/>
      <c r="E905" s="8"/>
      <c r="F905" s="8"/>
      <c r="G905" s="8"/>
      <c r="H905" s="8"/>
      <c r="I905" s="8"/>
      <c r="J905" s="8"/>
      <c r="K905" s="9"/>
      <c r="L905" s="9"/>
      <c r="M905" s="10" t="s">
        <v>10</v>
      </c>
    </row>
    <row r="906" spans="2:13" x14ac:dyDescent="0.25">
      <c r="B906" s="8"/>
      <c r="C906" s="8"/>
      <c r="D906" s="8"/>
      <c r="E906" s="8"/>
      <c r="F906" s="8"/>
      <c r="G906" s="8"/>
      <c r="H906" s="8"/>
      <c r="I906" s="8"/>
      <c r="J906" s="8"/>
      <c r="K906" s="9"/>
      <c r="L906" s="9"/>
      <c r="M906" s="10" t="s">
        <v>10</v>
      </c>
    </row>
    <row r="907" spans="2:13" x14ac:dyDescent="0.25">
      <c r="B907" s="8"/>
      <c r="C907" s="8"/>
      <c r="D907" s="8"/>
      <c r="E907" s="8"/>
      <c r="F907" s="8"/>
      <c r="G907" s="8"/>
      <c r="H907" s="8"/>
      <c r="I907" s="8"/>
      <c r="J907" s="8"/>
      <c r="K907" s="9"/>
      <c r="L907" s="9"/>
      <c r="M907" s="10" t="s">
        <v>10</v>
      </c>
    </row>
    <row r="908" spans="2:13" x14ac:dyDescent="0.25">
      <c r="B908" s="8"/>
      <c r="C908" s="8"/>
      <c r="D908" s="8"/>
      <c r="E908" s="8"/>
      <c r="F908" s="8"/>
      <c r="G908" s="8"/>
      <c r="H908" s="8"/>
      <c r="I908" s="8"/>
      <c r="J908" s="8"/>
      <c r="K908" s="9"/>
      <c r="L908" s="9"/>
      <c r="M908" s="10" t="s">
        <v>10</v>
      </c>
    </row>
    <row r="909" spans="2:13" x14ac:dyDescent="0.25">
      <c r="B909" s="8"/>
      <c r="C909" s="8"/>
      <c r="D909" s="8"/>
      <c r="E909" s="8"/>
      <c r="F909" s="8"/>
      <c r="G909" s="8"/>
      <c r="H909" s="8"/>
      <c r="I909" s="8"/>
      <c r="J909" s="8"/>
      <c r="K909" s="9"/>
      <c r="L909" s="9"/>
      <c r="M909" s="10" t="s">
        <v>10</v>
      </c>
    </row>
    <row r="910" spans="2:13" x14ac:dyDescent="0.25">
      <c r="B910" s="8"/>
      <c r="C910" s="8"/>
      <c r="D910" s="8"/>
      <c r="E910" s="8"/>
      <c r="F910" s="8"/>
      <c r="G910" s="8"/>
      <c r="H910" s="8"/>
      <c r="I910" s="8"/>
      <c r="J910" s="8"/>
      <c r="K910" s="9"/>
      <c r="L910" s="9"/>
      <c r="M910" s="10" t="s">
        <v>10</v>
      </c>
    </row>
    <row r="911" spans="2:13" x14ac:dyDescent="0.25">
      <c r="B911" s="8"/>
      <c r="C911" s="8"/>
      <c r="D911" s="8"/>
      <c r="E911" s="8"/>
      <c r="F911" s="8"/>
      <c r="G911" s="8"/>
      <c r="H911" s="8"/>
      <c r="I911" s="8"/>
      <c r="J911" s="8"/>
      <c r="K911" s="9"/>
      <c r="L911" s="9"/>
      <c r="M911" s="10" t="s">
        <v>10</v>
      </c>
    </row>
    <row r="912" spans="2:13" x14ac:dyDescent="0.25">
      <c r="B912" s="8"/>
      <c r="C912" s="8"/>
      <c r="D912" s="8"/>
      <c r="E912" s="8"/>
      <c r="F912" s="8"/>
      <c r="G912" s="8"/>
      <c r="H912" s="8"/>
      <c r="I912" s="8"/>
      <c r="J912" s="8"/>
      <c r="K912" s="9"/>
      <c r="L912" s="9"/>
      <c r="M912" s="10" t="s">
        <v>10</v>
      </c>
    </row>
    <row r="913" spans="2:13" x14ac:dyDescent="0.25">
      <c r="B913" s="8"/>
      <c r="C913" s="8"/>
      <c r="D913" s="8"/>
      <c r="E913" s="8"/>
      <c r="F913" s="8"/>
      <c r="G913" s="8"/>
      <c r="H913" s="8"/>
      <c r="I913" s="8"/>
      <c r="J913" s="8"/>
      <c r="K913" s="9"/>
      <c r="L913" s="9"/>
      <c r="M913" s="10" t="s">
        <v>10</v>
      </c>
    </row>
    <row r="914" spans="2:13" x14ac:dyDescent="0.25">
      <c r="B914" s="8"/>
      <c r="C914" s="8"/>
      <c r="D914" s="8"/>
      <c r="E914" s="8"/>
      <c r="F914" s="8"/>
      <c r="G914" s="8"/>
      <c r="H914" s="8"/>
      <c r="I914" s="8"/>
      <c r="J914" s="8"/>
      <c r="K914" s="9"/>
      <c r="L914" s="9"/>
      <c r="M914" s="10" t="s">
        <v>10</v>
      </c>
    </row>
    <row r="915" spans="2:13" x14ac:dyDescent="0.25">
      <c r="B915" s="8"/>
      <c r="C915" s="8"/>
      <c r="D915" s="8"/>
      <c r="E915" s="8"/>
      <c r="F915" s="8"/>
      <c r="G915" s="8"/>
      <c r="H915" s="8"/>
      <c r="I915" s="8"/>
      <c r="J915" s="8"/>
      <c r="K915" s="9"/>
      <c r="L915" s="9"/>
      <c r="M915" s="10" t="s">
        <v>10</v>
      </c>
    </row>
    <row r="916" spans="2:13" x14ac:dyDescent="0.25">
      <c r="B916" s="8"/>
      <c r="C916" s="8"/>
      <c r="D916" s="8"/>
      <c r="E916" s="8"/>
      <c r="F916" s="8"/>
      <c r="G916" s="8"/>
      <c r="H916" s="8"/>
      <c r="I916" s="8"/>
      <c r="J916" s="8"/>
      <c r="K916" s="9"/>
      <c r="L916" s="9"/>
      <c r="M916" s="10" t="s">
        <v>10</v>
      </c>
    </row>
    <row r="917" spans="2:13" x14ac:dyDescent="0.25">
      <c r="B917" s="8"/>
      <c r="C917" s="8"/>
      <c r="D917" s="8"/>
      <c r="E917" s="8"/>
      <c r="F917" s="8"/>
      <c r="G917" s="8"/>
      <c r="H917" s="8"/>
      <c r="I917" s="8"/>
      <c r="J917" s="8"/>
      <c r="K917" s="9"/>
      <c r="L917" s="9"/>
      <c r="M917" s="10" t="s">
        <v>10</v>
      </c>
    </row>
    <row r="918" spans="2:13" x14ac:dyDescent="0.25">
      <c r="B918" s="8"/>
      <c r="C918" s="8"/>
      <c r="D918" s="8"/>
      <c r="E918" s="8"/>
      <c r="F918" s="8"/>
      <c r="G918" s="8"/>
      <c r="H918" s="8"/>
      <c r="I918" s="8"/>
      <c r="J918" s="8"/>
      <c r="K918" s="9"/>
      <c r="L918" s="9"/>
      <c r="M918" s="10" t="s">
        <v>10</v>
      </c>
    </row>
    <row r="919" spans="2:13" x14ac:dyDescent="0.25">
      <c r="B919" s="8"/>
      <c r="C919" s="8"/>
      <c r="D919" s="8"/>
      <c r="E919" s="8"/>
      <c r="F919" s="8"/>
      <c r="G919" s="8"/>
      <c r="H919" s="8"/>
      <c r="I919" s="8"/>
      <c r="J919" s="8"/>
      <c r="K919" s="9"/>
      <c r="L919" s="9"/>
      <c r="M919" s="10" t="s">
        <v>10</v>
      </c>
    </row>
    <row r="920" spans="2:13" x14ac:dyDescent="0.25">
      <c r="B920" s="8"/>
      <c r="C920" s="8"/>
      <c r="D920" s="8"/>
      <c r="E920" s="8"/>
      <c r="F920" s="8"/>
      <c r="G920" s="8"/>
      <c r="H920" s="8"/>
      <c r="I920" s="8"/>
      <c r="J920" s="8"/>
      <c r="K920" s="9"/>
      <c r="L920" s="9"/>
      <c r="M920" s="10" t="s">
        <v>10</v>
      </c>
    </row>
    <row r="921" spans="2:13" x14ac:dyDescent="0.25">
      <c r="B921" s="8"/>
      <c r="C921" s="8"/>
      <c r="D921" s="8"/>
      <c r="E921" s="8"/>
      <c r="F921" s="8"/>
      <c r="G921" s="8"/>
      <c r="H921" s="8"/>
      <c r="I921" s="8"/>
      <c r="J921" s="8"/>
      <c r="K921" s="9"/>
      <c r="L921" s="9"/>
      <c r="M921" s="10" t="s">
        <v>10</v>
      </c>
    </row>
    <row r="922" spans="2:13" x14ac:dyDescent="0.25">
      <c r="B922" s="8"/>
      <c r="C922" s="8"/>
      <c r="D922" s="8"/>
      <c r="E922" s="8"/>
      <c r="F922" s="8"/>
      <c r="G922" s="8"/>
      <c r="H922" s="8"/>
      <c r="I922" s="8"/>
      <c r="J922" s="8"/>
      <c r="K922" s="9"/>
      <c r="L922" s="9"/>
      <c r="M922" s="10" t="s">
        <v>10</v>
      </c>
    </row>
    <row r="923" spans="2:13" x14ac:dyDescent="0.25">
      <c r="B923" s="8"/>
      <c r="C923" s="8"/>
      <c r="D923" s="8"/>
      <c r="E923" s="8"/>
      <c r="F923" s="8"/>
      <c r="G923" s="8"/>
      <c r="H923" s="8"/>
      <c r="I923" s="8"/>
      <c r="J923" s="8"/>
      <c r="K923" s="9"/>
      <c r="L923" s="9"/>
      <c r="M923" s="10" t="s">
        <v>10</v>
      </c>
    </row>
    <row r="924" spans="2:13" x14ac:dyDescent="0.25">
      <c r="B924" s="8"/>
      <c r="C924" s="8"/>
      <c r="D924" s="8"/>
      <c r="E924" s="8"/>
      <c r="F924" s="8"/>
      <c r="G924" s="8"/>
      <c r="H924" s="8"/>
      <c r="I924" s="8"/>
      <c r="J924" s="8"/>
      <c r="K924" s="9"/>
      <c r="L924" s="9"/>
      <c r="M924" s="10" t="s">
        <v>10</v>
      </c>
    </row>
    <row r="925" spans="2:13" x14ac:dyDescent="0.25">
      <c r="B925" s="8"/>
      <c r="C925" s="8"/>
      <c r="D925" s="8"/>
      <c r="E925" s="8"/>
      <c r="F925" s="8"/>
      <c r="G925" s="8"/>
      <c r="H925" s="8"/>
      <c r="I925" s="8"/>
      <c r="J925" s="8"/>
      <c r="K925" s="9"/>
      <c r="L925" s="9"/>
      <c r="M925" s="10" t="s">
        <v>10</v>
      </c>
    </row>
    <row r="926" spans="2:13" x14ac:dyDescent="0.25">
      <c r="B926" s="8"/>
      <c r="C926" s="8"/>
      <c r="D926" s="8"/>
      <c r="E926" s="8"/>
      <c r="F926" s="8"/>
      <c r="G926" s="8"/>
      <c r="H926" s="8"/>
      <c r="I926" s="8"/>
      <c r="J926" s="8"/>
      <c r="K926" s="9"/>
      <c r="L926" s="9"/>
      <c r="M926" s="10" t="s">
        <v>10</v>
      </c>
    </row>
    <row r="927" spans="2:13" x14ac:dyDescent="0.25">
      <c r="B927" s="8"/>
      <c r="C927" s="8"/>
      <c r="D927" s="8"/>
      <c r="E927" s="8"/>
      <c r="F927" s="8"/>
      <c r="G927" s="8"/>
      <c r="H927" s="8"/>
      <c r="I927" s="8"/>
      <c r="J927" s="8"/>
      <c r="K927" s="9"/>
      <c r="L927" s="9"/>
      <c r="M927" s="10" t="s">
        <v>10</v>
      </c>
    </row>
    <row r="928" spans="2:13" x14ac:dyDescent="0.25">
      <c r="B928" s="8"/>
      <c r="C928" s="8"/>
      <c r="D928" s="8"/>
      <c r="E928" s="8"/>
      <c r="F928" s="8"/>
      <c r="G928" s="8"/>
      <c r="H928" s="8"/>
      <c r="I928" s="8"/>
      <c r="J928" s="8"/>
      <c r="K928" s="9"/>
      <c r="L928" s="9"/>
      <c r="M928" s="10" t="s">
        <v>10</v>
      </c>
    </row>
    <row r="929" spans="2:13" x14ac:dyDescent="0.25">
      <c r="B929" s="8"/>
      <c r="C929" s="8"/>
      <c r="D929" s="8"/>
      <c r="E929" s="8"/>
      <c r="F929" s="8"/>
      <c r="G929" s="8"/>
      <c r="H929" s="8"/>
      <c r="I929" s="8"/>
      <c r="J929" s="8"/>
      <c r="K929" s="9"/>
      <c r="L929" s="9"/>
      <c r="M929" s="10" t="s">
        <v>10</v>
      </c>
    </row>
    <row r="930" spans="2:13" x14ac:dyDescent="0.25">
      <c r="B930" s="8"/>
      <c r="C930" s="8"/>
      <c r="D930" s="8"/>
      <c r="E930" s="8"/>
      <c r="F930" s="8"/>
      <c r="G930" s="8"/>
      <c r="H930" s="8"/>
      <c r="I930" s="8"/>
      <c r="J930" s="8"/>
      <c r="K930" s="9"/>
      <c r="L930" s="9"/>
      <c r="M930" s="10" t="s">
        <v>10</v>
      </c>
    </row>
    <row r="931" spans="2:13" x14ac:dyDescent="0.25">
      <c r="B931" s="8"/>
      <c r="C931" s="8"/>
      <c r="D931" s="8"/>
      <c r="E931" s="8"/>
      <c r="F931" s="8"/>
      <c r="G931" s="8"/>
      <c r="H931" s="8"/>
      <c r="I931" s="8"/>
      <c r="J931" s="8"/>
      <c r="K931" s="9"/>
      <c r="L931" s="9"/>
      <c r="M931" s="10" t="s">
        <v>10</v>
      </c>
    </row>
    <row r="932" spans="2:13" x14ac:dyDescent="0.25">
      <c r="B932" s="8"/>
      <c r="C932" s="8"/>
      <c r="D932" s="8"/>
      <c r="E932" s="8"/>
      <c r="F932" s="8"/>
      <c r="G932" s="8"/>
      <c r="H932" s="8"/>
      <c r="I932" s="8"/>
      <c r="J932" s="8"/>
      <c r="K932" s="9"/>
      <c r="L932" s="9"/>
      <c r="M932" s="10" t="s">
        <v>10</v>
      </c>
    </row>
    <row r="933" spans="2:13" x14ac:dyDescent="0.25">
      <c r="B933" s="8"/>
      <c r="C933" s="8"/>
      <c r="D933" s="8"/>
      <c r="E933" s="8"/>
      <c r="F933" s="8"/>
      <c r="G933" s="8"/>
      <c r="H933" s="8"/>
      <c r="I933" s="8"/>
      <c r="J933" s="8"/>
      <c r="K933" s="9"/>
      <c r="L933" s="9"/>
      <c r="M933" s="10" t="s">
        <v>10</v>
      </c>
    </row>
    <row r="934" spans="2:13" x14ac:dyDescent="0.25">
      <c r="B934" s="8"/>
      <c r="C934" s="8"/>
      <c r="D934" s="8"/>
      <c r="E934" s="8"/>
      <c r="F934" s="8"/>
      <c r="G934" s="8"/>
      <c r="H934" s="8"/>
      <c r="I934" s="8"/>
      <c r="J934" s="8"/>
      <c r="K934" s="9"/>
      <c r="L934" s="9"/>
      <c r="M934" s="10" t="s">
        <v>10</v>
      </c>
    </row>
    <row r="935" spans="2:13" x14ac:dyDescent="0.25">
      <c r="B935" s="8"/>
      <c r="C935" s="8"/>
      <c r="D935" s="8"/>
      <c r="E935" s="8"/>
      <c r="F935" s="8"/>
      <c r="G935" s="8"/>
      <c r="H935" s="8"/>
      <c r="I935" s="8"/>
      <c r="J935" s="8"/>
      <c r="K935" s="9"/>
      <c r="L935" s="9"/>
      <c r="M935" s="10" t="s">
        <v>10</v>
      </c>
    </row>
    <row r="936" spans="2:13" x14ac:dyDescent="0.25">
      <c r="B936" s="8"/>
      <c r="C936" s="8"/>
      <c r="D936" s="8"/>
      <c r="E936" s="8"/>
      <c r="F936" s="8"/>
      <c r="G936" s="8"/>
      <c r="H936" s="8"/>
      <c r="I936" s="8"/>
      <c r="J936" s="8"/>
      <c r="K936" s="9"/>
      <c r="L936" s="9"/>
      <c r="M936" s="10" t="s">
        <v>10</v>
      </c>
    </row>
    <row r="937" spans="2:13" x14ac:dyDescent="0.25">
      <c r="B937" s="8"/>
      <c r="C937" s="8"/>
      <c r="D937" s="8"/>
      <c r="E937" s="8"/>
      <c r="F937" s="8"/>
      <c r="G937" s="8"/>
      <c r="H937" s="8"/>
      <c r="I937" s="8"/>
      <c r="J937" s="8"/>
      <c r="K937" s="9"/>
      <c r="L937" s="9"/>
      <c r="M937" s="10" t="s">
        <v>10</v>
      </c>
    </row>
    <row r="938" spans="2:13" x14ac:dyDescent="0.25">
      <c r="B938" s="8"/>
      <c r="C938" s="8"/>
      <c r="D938" s="8"/>
      <c r="E938" s="8"/>
      <c r="F938" s="8"/>
      <c r="G938" s="8"/>
      <c r="H938" s="8"/>
      <c r="I938" s="8"/>
      <c r="J938" s="8"/>
      <c r="K938" s="9"/>
      <c r="L938" s="9"/>
      <c r="M938" s="10" t="s">
        <v>10</v>
      </c>
    </row>
    <row r="939" spans="2:13" x14ac:dyDescent="0.25">
      <c r="B939" s="8"/>
      <c r="C939" s="8"/>
      <c r="D939" s="8"/>
      <c r="E939" s="8"/>
      <c r="F939" s="8"/>
      <c r="G939" s="8"/>
      <c r="H939" s="8"/>
      <c r="I939" s="8"/>
      <c r="J939" s="8"/>
      <c r="K939" s="9"/>
      <c r="L939" s="9"/>
      <c r="M939" s="10" t="s">
        <v>10</v>
      </c>
    </row>
    <row r="940" spans="2:13" x14ac:dyDescent="0.25">
      <c r="B940" s="8"/>
      <c r="C940" s="8"/>
      <c r="D940" s="8"/>
      <c r="E940" s="8"/>
      <c r="F940" s="8"/>
      <c r="G940" s="8"/>
      <c r="H940" s="8"/>
      <c r="I940" s="8"/>
      <c r="J940" s="8"/>
      <c r="K940" s="9"/>
      <c r="L940" s="9"/>
      <c r="M940" s="10" t="s">
        <v>10</v>
      </c>
    </row>
    <row r="941" spans="2:13" x14ac:dyDescent="0.25">
      <c r="B941" s="8"/>
      <c r="C941" s="8"/>
      <c r="D941" s="8"/>
      <c r="E941" s="8"/>
      <c r="F941" s="8"/>
      <c r="G941" s="8"/>
      <c r="H941" s="8"/>
      <c r="I941" s="8"/>
      <c r="J941" s="8"/>
      <c r="K941" s="9"/>
      <c r="L941" s="9"/>
      <c r="M941" s="10" t="s">
        <v>10</v>
      </c>
    </row>
    <row r="942" spans="2:13" x14ac:dyDescent="0.25">
      <c r="B942" s="8"/>
      <c r="C942" s="8"/>
      <c r="D942" s="8"/>
      <c r="E942" s="8"/>
      <c r="F942" s="8"/>
      <c r="G942" s="8"/>
      <c r="H942" s="8"/>
      <c r="I942" s="8"/>
      <c r="J942" s="8"/>
      <c r="K942" s="9"/>
      <c r="L942" s="9"/>
      <c r="M942" s="10" t="s">
        <v>10</v>
      </c>
    </row>
    <row r="943" spans="2:13" x14ac:dyDescent="0.25">
      <c r="B943" s="8"/>
      <c r="C943" s="8"/>
      <c r="D943" s="8"/>
      <c r="E943" s="8"/>
      <c r="F943" s="8"/>
      <c r="G943" s="8"/>
      <c r="H943" s="8"/>
      <c r="I943" s="8"/>
      <c r="J943" s="8"/>
      <c r="K943" s="9"/>
      <c r="L943" s="9"/>
      <c r="M943" s="10" t="s">
        <v>10</v>
      </c>
    </row>
    <row r="944" spans="2:13" x14ac:dyDescent="0.25">
      <c r="B944" s="8"/>
      <c r="C944" s="8"/>
      <c r="D944" s="8"/>
      <c r="E944" s="8"/>
      <c r="F944" s="8"/>
      <c r="G944" s="8"/>
      <c r="H944" s="8"/>
      <c r="I944" s="8"/>
      <c r="J944" s="8"/>
      <c r="K944" s="9"/>
      <c r="L944" s="9"/>
      <c r="M944" s="10" t="s">
        <v>10</v>
      </c>
    </row>
    <row r="945" spans="2:13" x14ac:dyDescent="0.25">
      <c r="B945" s="8"/>
      <c r="C945" s="8"/>
      <c r="D945" s="8"/>
      <c r="E945" s="8"/>
      <c r="F945" s="8"/>
      <c r="G945" s="8"/>
      <c r="H945" s="8"/>
      <c r="I945" s="8"/>
      <c r="J945" s="8"/>
      <c r="K945" s="9"/>
      <c r="L945" s="9"/>
      <c r="M945" s="10" t="s">
        <v>10</v>
      </c>
    </row>
    <row r="946" spans="2:13" x14ac:dyDescent="0.25">
      <c r="B946" s="8"/>
      <c r="C946" s="8"/>
      <c r="D946" s="8"/>
      <c r="E946" s="8"/>
      <c r="F946" s="8"/>
      <c r="G946" s="8"/>
      <c r="H946" s="8"/>
      <c r="I946" s="8"/>
      <c r="J946" s="8"/>
      <c r="K946" s="9"/>
      <c r="L946" s="9"/>
      <c r="M946" s="10" t="s">
        <v>10</v>
      </c>
    </row>
    <row r="947" spans="2:13" x14ac:dyDescent="0.25">
      <c r="B947" s="8"/>
      <c r="C947" s="8"/>
      <c r="D947" s="8"/>
      <c r="E947" s="8"/>
      <c r="F947" s="8"/>
      <c r="G947" s="8"/>
      <c r="H947" s="8"/>
      <c r="I947" s="8"/>
      <c r="J947" s="8"/>
      <c r="K947" s="9"/>
      <c r="L947" s="9"/>
      <c r="M947" s="10" t="s">
        <v>10</v>
      </c>
    </row>
    <row r="948" spans="2:13" x14ac:dyDescent="0.25">
      <c r="B948" s="8"/>
      <c r="C948" s="8"/>
      <c r="D948" s="8"/>
      <c r="E948" s="8"/>
      <c r="F948" s="8"/>
      <c r="G948" s="8"/>
      <c r="H948" s="8"/>
      <c r="I948" s="8"/>
      <c r="J948" s="8"/>
      <c r="K948" s="9"/>
      <c r="L948" s="9"/>
      <c r="M948" s="10" t="s">
        <v>10</v>
      </c>
    </row>
    <row r="949" spans="2:13" x14ac:dyDescent="0.25">
      <c r="B949" s="8"/>
      <c r="C949" s="8"/>
      <c r="D949" s="8"/>
      <c r="E949" s="8"/>
      <c r="F949" s="8"/>
      <c r="G949" s="8"/>
      <c r="H949" s="8"/>
      <c r="I949" s="8"/>
      <c r="J949" s="8"/>
      <c r="K949" s="9"/>
      <c r="L949" s="9"/>
      <c r="M949" s="10" t="s">
        <v>10</v>
      </c>
    </row>
    <row r="950" spans="2:13" x14ac:dyDescent="0.25">
      <c r="B950" s="8"/>
      <c r="C950" s="8"/>
      <c r="D950" s="8"/>
      <c r="E950" s="8"/>
      <c r="F950" s="8"/>
      <c r="G950" s="8"/>
      <c r="H950" s="8"/>
      <c r="I950" s="8"/>
      <c r="J950" s="8"/>
      <c r="K950" s="9"/>
      <c r="L950" s="9"/>
      <c r="M950" s="10" t="s">
        <v>10</v>
      </c>
    </row>
    <row r="951" spans="2:13" x14ac:dyDescent="0.25">
      <c r="B951" s="8"/>
      <c r="C951" s="8"/>
      <c r="D951" s="8"/>
      <c r="E951" s="8"/>
      <c r="F951" s="8"/>
      <c r="G951" s="8"/>
      <c r="H951" s="8"/>
      <c r="I951" s="8"/>
      <c r="J951" s="8"/>
      <c r="K951" s="9"/>
      <c r="L951" s="9"/>
      <c r="M951" s="10" t="s">
        <v>10</v>
      </c>
    </row>
    <row r="952" spans="2:13" x14ac:dyDescent="0.25">
      <c r="B952" s="8"/>
      <c r="C952" s="8"/>
      <c r="D952" s="8"/>
      <c r="E952" s="8"/>
      <c r="F952" s="8"/>
      <c r="G952" s="8"/>
      <c r="H952" s="8"/>
      <c r="I952" s="8"/>
      <c r="J952" s="8"/>
      <c r="K952" s="9"/>
      <c r="L952" s="9"/>
      <c r="M952" s="10" t="s">
        <v>10</v>
      </c>
    </row>
    <row r="953" spans="2:13" x14ac:dyDescent="0.25">
      <c r="B953" s="8"/>
      <c r="C953" s="8"/>
      <c r="D953" s="8"/>
      <c r="E953" s="8"/>
      <c r="F953" s="8"/>
      <c r="G953" s="8"/>
      <c r="H953" s="8"/>
      <c r="I953" s="8"/>
      <c r="J953" s="8"/>
      <c r="K953" s="9"/>
      <c r="L953" s="9"/>
      <c r="M953" s="10" t="s">
        <v>10</v>
      </c>
    </row>
    <row r="954" spans="2:13" x14ac:dyDescent="0.25">
      <c r="B954" s="8"/>
      <c r="C954" s="8"/>
      <c r="D954" s="8"/>
      <c r="E954" s="8"/>
      <c r="F954" s="8"/>
      <c r="G954" s="8"/>
      <c r="H954" s="8"/>
      <c r="I954" s="8"/>
      <c r="J954" s="8"/>
      <c r="K954" s="9"/>
      <c r="L954" s="9"/>
      <c r="M954" s="10" t="s">
        <v>10</v>
      </c>
    </row>
    <row r="955" spans="2:13" x14ac:dyDescent="0.25">
      <c r="B955" s="8"/>
      <c r="C955" s="8"/>
      <c r="D955" s="8"/>
      <c r="E955" s="8"/>
      <c r="F955" s="8"/>
      <c r="G955" s="8"/>
      <c r="H955" s="8"/>
      <c r="I955" s="8"/>
      <c r="J955" s="8"/>
      <c r="K955" s="9"/>
      <c r="L955" s="9"/>
      <c r="M955" s="10" t="s">
        <v>10</v>
      </c>
    </row>
    <row r="956" spans="2:13" x14ac:dyDescent="0.25">
      <c r="B956" s="8"/>
      <c r="C956" s="8"/>
      <c r="D956" s="8"/>
      <c r="E956" s="8"/>
      <c r="F956" s="8"/>
      <c r="G956" s="8"/>
      <c r="H956" s="8"/>
      <c r="I956" s="8"/>
      <c r="J956" s="8"/>
      <c r="K956" s="9"/>
      <c r="L956" s="9"/>
      <c r="M956" s="10" t="s">
        <v>10</v>
      </c>
    </row>
    <row r="957" spans="2:13" x14ac:dyDescent="0.25">
      <c r="B957" s="8"/>
      <c r="C957" s="8"/>
      <c r="D957" s="8"/>
      <c r="E957" s="8"/>
      <c r="F957" s="8"/>
      <c r="G957" s="8"/>
      <c r="H957" s="8"/>
      <c r="I957" s="8"/>
      <c r="J957" s="8"/>
      <c r="K957" s="9"/>
      <c r="L957" s="9"/>
      <c r="M957" s="10" t="s">
        <v>10</v>
      </c>
    </row>
    <row r="958" spans="2:13" x14ac:dyDescent="0.25">
      <c r="B958" s="8"/>
      <c r="C958" s="8"/>
      <c r="D958" s="8"/>
      <c r="E958" s="8"/>
      <c r="F958" s="8"/>
      <c r="G958" s="8"/>
      <c r="H958" s="8"/>
      <c r="I958" s="8"/>
      <c r="J958" s="8"/>
      <c r="K958" s="9"/>
      <c r="L958" s="9"/>
      <c r="M958" s="10" t="s">
        <v>10</v>
      </c>
    </row>
    <row r="959" spans="2:13" x14ac:dyDescent="0.25">
      <c r="B959" s="8"/>
      <c r="C959" s="8"/>
      <c r="D959" s="8"/>
      <c r="E959" s="8"/>
      <c r="F959" s="8"/>
      <c r="G959" s="8"/>
      <c r="H959" s="8"/>
      <c r="I959" s="8"/>
      <c r="J959" s="8"/>
      <c r="K959" s="9"/>
      <c r="L959" s="9"/>
      <c r="M959" s="10" t="s">
        <v>10</v>
      </c>
    </row>
    <row r="960" spans="2:13" x14ac:dyDescent="0.25">
      <c r="B960" s="8"/>
      <c r="C960" s="8"/>
      <c r="D960" s="8"/>
      <c r="E960" s="8"/>
      <c r="F960" s="8"/>
      <c r="G960" s="8"/>
      <c r="H960" s="8"/>
      <c r="I960" s="8"/>
      <c r="J960" s="8"/>
      <c r="K960" s="9"/>
      <c r="L960" s="9"/>
      <c r="M960" s="10" t="s">
        <v>10</v>
      </c>
    </row>
    <row r="961" spans="2:13" x14ac:dyDescent="0.25">
      <c r="B961" s="8"/>
      <c r="C961" s="8"/>
      <c r="D961" s="8"/>
      <c r="E961" s="8"/>
      <c r="F961" s="8"/>
      <c r="G961" s="8"/>
      <c r="H961" s="8"/>
      <c r="I961" s="8"/>
      <c r="J961" s="8"/>
      <c r="K961" s="9"/>
      <c r="L961" s="9"/>
      <c r="M961" s="10" t="s">
        <v>10</v>
      </c>
    </row>
    <row r="962" spans="2:13" x14ac:dyDescent="0.25">
      <c r="B962" s="8"/>
      <c r="C962" s="8"/>
      <c r="D962" s="8"/>
      <c r="E962" s="8"/>
      <c r="F962" s="8"/>
      <c r="G962" s="8"/>
      <c r="H962" s="8"/>
      <c r="I962" s="8"/>
      <c r="J962" s="8"/>
      <c r="K962" s="9"/>
      <c r="L962" s="9"/>
      <c r="M962" s="10" t="s">
        <v>10</v>
      </c>
    </row>
    <row r="963" spans="2:13" x14ac:dyDescent="0.25">
      <c r="B963" s="8"/>
      <c r="C963" s="8"/>
      <c r="D963" s="8"/>
      <c r="E963" s="8"/>
      <c r="F963" s="8"/>
      <c r="G963" s="8"/>
      <c r="H963" s="8"/>
      <c r="I963" s="8"/>
      <c r="J963" s="8"/>
      <c r="K963" s="9"/>
      <c r="L963" s="9"/>
      <c r="M963" s="10" t="s">
        <v>10</v>
      </c>
    </row>
    <row r="964" spans="2:13" x14ac:dyDescent="0.25">
      <c r="B964" s="8"/>
      <c r="C964" s="8"/>
      <c r="D964" s="8"/>
      <c r="E964" s="8"/>
      <c r="F964" s="8"/>
      <c r="G964" s="8"/>
      <c r="H964" s="8"/>
      <c r="I964" s="8"/>
      <c r="J964" s="8"/>
      <c r="K964" s="9"/>
      <c r="L964" s="9"/>
      <c r="M964" s="10" t="s">
        <v>10</v>
      </c>
    </row>
    <row r="965" spans="2:13" x14ac:dyDescent="0.25">
      <c r="B965" s="8"/>
      <c r="C965" s="8"/>
      <c r="D965" s="8"/>
      <c r="E965" s="8"/>
      <c r="F965" s="8"/>
      <c r="G965" s="8"/>
      <c r="H965" s="8"/>
      <c r="I965" s="8"/>
      <c r="J965" s="8"/>
      <c r="K965" s="9"/>
      <c r="L965" s="9"/>
      <c r="M965" s="10" t="s">
        <v>10</v>
      </c>
    </row>
    <row r="966" spans="2:13" x14ac:dyDescent="0.25">
      <c r="B966" s="8"/>
      <c r="C966" s="8"/>
      <c r="D966" s="8"/>
      <c r="E966" s="8"/>
      <c r="F966" s="8"/>
      <c r="G966" s="8"/>
      <c r="H966" s="8"/>
      <c r="I966" s="8"/>
      <c r="J966" s="8"/>
      <c r="K966" s="9"/>
      <c r="L966" s="9"/>
      <c r="M966" s="10" t="s">
        <v>10</v>
      </c>
    </row>
    <row r="967" spans="2:13" x14ac:dyDescent="0.25">
      <c r="B967" s="8"/>
      <c r="C967" s="8"/>
      <c r="D967" s="8"/>
      <c r="E967" s="8"/>
      <c r="F967" s="8"/>
      <c r="G967" s="8"/>
      <c r="H967" s="8"/>
      <c r="I967" s="8"/>
      <c r="J967" s="8"/>
      <c r="K967" s="9"/>
      <c r="L967" s="9"/>
      <c r="M967" s="10" t="s">
        <v>10</v>
      </c>
    </row>
    <row r="968" spans="2:13" x14ac:dyDescent="0.25">
      <c r="B968" s="8"/>
      <c r="C968" s="8"/>
      <c r="D968" s="8"/>
      <c r="E968" s="8"/>
      <c r="F968" s="8"/>
      <c r="G968" s="8"/>
      <c r="H968" s="8"/>
      <c r="I968" s="8"/>
      <c r="J968" s="8"/>
      <c r="K968" s="9"/>
      <c r="L968" s="9"/>
      <c r="M968" s="10" t="s">
        <v>10</v>
      </c>
    </row>
    <row r="969" spans="2:13" x14ac:dyDescent="0.25">
      <c r="B969" s="8"/>
      <c r="C969" s="8"/>
      <c r="D969" s="8"/>
      <c r="E969" s="8"/>
      <c r="F969" s="8"/>
      <c r="G969" s="8"/>
      <c r="H969" s="8"/>
      <c r="I969" s="8"/>
      <c r="J969" s="8"/>
      <c r="K969" s="9"/>
      <c r="L969" s="9"/>
      <c r="M969" s="10" t="s">
        <v>10</v>
      </c>
    </row>
    <row r="970" spans="2:13" x14ac:dyDescent="0.25">
      <c r="B970" s="8"/>
      <c r="C970" s="8"/>
      <c r="D970" s="8"/>
      <c r="E970" s="8"/>
      <c r="F970" s="8"/>
      <c r="G970" s="8"/>
      <c r="H970" s="8"/>
      <c r="I970" s="8"/>
      <c r="J970" s="8"/>
      <c r="K970" s="9"/>
      <c r="L970" s="9"/>
      <c r="M970" s="10" t="s">
        <v>10</v>
      </c>
    </row>
    <row r="971" spans="2:13" x14ac:dyDescent="0.25">
      <c r="B971" s="8"/>
      <c r="C971" s="8"/>
      <c r="D971" s="8"/>
      <c r="E971" s="8"/>
      <c r="F971" s="8"/>
      <c r="G971" s="8"/>
      <c r="H971" s="8"/>
      <c r="I971" s="8"/>
      <c r="J971" s="8"/>
      <c r="K971" s="9"/>
      <c r="L971" s="9"/>
      <c r="M971" s="10" t="s">
        <v>10</v>
      </c>
    </row>
    <row r="972" spans="2:13" x14ac:dyDescent="0.25">
      <c r="B972" s="8"/>
      <c r="C972" s="8"/>
      <c r="D972" s="8"/>
      <c r="E972" s="8"/>
      <c r="F972" s="8"/>
      <c r="G972" s="8"/>
      <c r="H972" s="8"/>
      <c r="I972" s="8"/>
      <c r="J972" s="8"/>
      <c r="K972" s="9"/>
      <c r="L972" s="9"/>
      <c r="M972" s="10" t="s">
        <v>10</v>
      </c>
    </row>
    <row r="973" spans="2:13" x14ac:dyDescent="0.25">
      <c r="B973" s="8"/>
      <c r="C973" s="8"/>
      <c r="D973" s="8"/>
      <c r="E973" s="8"/>
      <c r="F973" s="8"/>
      <c r="G973" s="8"/>
      <c r="H973" s="8"/>
      <c r="I973" s="8"/>
      <c r="J973" s="8"/>
      <c r="K973" s="9"/>
      <c r="L973" s="9"/>
      <c r="M973" s="10" t="s">
        <v>10</v>
      </c>
    </row>
    <row r="974" spans="2:13" x14ac:dyDescent="0.25">
      <c r="B974" s="8"/>
      <c r="C974" s="8"/>
      <c r="D974" s="8"/>
      <c r="E974" s="8"/>
      <c r="F974" s="8"/>
      <c r="G974" s="8"/>
      <c r="H974" s="8"/>
      <c r="I974" s="8"/>
      <c r="J974" s="8"/>
      <c r="K974" s="9"/>
      <c r="L974" s="9"/>
      <c r="M974" s="10" t="s">
        <v>10</v>
      </c>
    </row>
    <row r="975" spans="2:13" x14ac:dyDescent="0.25">
      <c r="B975" s="8"/>
      <c r="C975" s="8"/>
      <c r="D975" s="8"/>
      <c r="E975" s="8"/>
      <c r="F975" s="8"/>
      <c r="G975" s="8"/>
      <c r="H975" s="8"/>
      <c r="I975" s="8"/>
      <c r="J975" s="8"/>
      <c r="K975" s="9"/>
      <c r="L975" s="9"/>
      <c r="M975" s="10" t="s">
        <v>10</v>
      </c>
    </row>
    <row r="976" spans="2:13" x14ac:dyDescent="0.25">
      <c r="B976" s="8"/>
      <c r="C976" s="8"/>
      <c r="D976" s="8"/>
      <c r="E976" s="8"/>
      <c r="F976" s="8"/>
      <c r="G976" s="8"/>
      <c r="H976" s="8"/>
      <c r="I976" s="8"/>
      <c r="J976" s="8"/>
      <c r="K976" s="9"/>
      <c r="L976" s="9"/>
      <c r="M976" s="10" t="s">
        <v>10</v>
      </c>
    </row>
    <row r="977" spans="2:13" x14ac:dyDescent="0.25">
      <c r="B977" s="8"/>
      <c r="C977" s="8"/>
      <c r="D977" s="8"/>
      <c r="E977" s="8"/>
      <c r="F977" s="8"/>
      <c r="G977" s="8"/>
      <c r="H977" s="8"/>
      <c r="I977" s="8"/>
      <c r="J977" s="8"/>
      <c r="K977" s="9"/>
      <c r="L977" s="9"/>
      <c r="M977" s="10" t="s">
        <v>10</v>
      </c>
    </row>
    <row r="978" spans="2:13" x14ac:dyDescent="0.25">
      <c r="B978" s="8"/>
      <c r="C978" s="8"/>
      <c r="D978" s="8"/>
      <c r="E978" s="8"/>
      <c r="F978" s="8"/>
      <c r="G978" s="8"/>
      <c r="H978" s="8"/>
      <c r="I978" s="8"/>
      <c r="J978" s="8"/>
      <c r="K978" s="9"/>
      <c r="L978" s="9"/>
      <c r="M978" s="10" t="s">
        <v>10</v>
      </c>
    </row>
    <row r="979" spans="2:13" x14ac:dyDescent="0.25">
      <c r="B979" s="8"/>
      <c r="C979" s="8"/>
      <c r="D979" s="8"/>
      <c r="E979" s="8"/>
      <c r="F979" s="8"/>
      <c r="G979" s="8"/>
      <c r="H979" s="8"/>
      <c r="I979" s="8"/>
      <c r="J979" s="8"/>
      <c r="K979" s="9"/>
      <c r="L979" s="9"/>
      <c r="M979" s="10" t="s">
        <v>10</v>
      </c>
    </row>
    <row r="980" spans="2:13" x14ac:dyDescent="0.25">
      <c r="B980" s="8"/>
      <c r="C980" s="8"/>
      <c r="D980" s="8"/>
      <c r="E980" s="8"/>
      <c r="F980" s="8"/>
      <c r="G980" s="8"/>
      <c r="H980" s="8"/>
      <c r="I980" s="8"/>
      <c r="J980" s="8"/>
      <c r="K980" s="9"/>
      <c r="L980" s="9"/>
      <c r="M980" s="10" t="s">
        <v>10</v>
      </c>
    </row>
    <row r="981" spans="2:13" x14ac:dyDescent="0.25">
      <c r="B981" s="8"/>
      <c r="C981" s="8"/>
      <c r="D981" s="8"/>
      <c r="E981" s="8"/>
      <c r="F981" s="8"/>
      <c r="G981" s="8"/>
      <c r="H981" s="8"/>
      <c r="I981" s="8"/>
      <c r="J981" s="8"/>
      <c r="K981" s="9"/>
      <c r="L981" s="9"/>
      <c r="M981" s="10" t="s">
        <v>10</v>
      </c>
    </row>
    <row r="982" spans="2:13" x14ac:dyDescent="0.25">
      <c r="B982" s="8"/>
      <c r="C982" s="8"/>
      <c r="D982" s="8"/>
      <c r="E982" s="8"/>
      <c r="F982" s="8"/>
      <c r="G982" s="8"/>
      <c r="H982" s="8"/>
      <c r="I982" s="8"/>
      <c r="J982" s="8"/>
      <c r="K982" s="9"/>
      <c r="L982" s="9"/>
      <c r="M982" s="10" t="s">
        <v>10</v>
      </c>
    </row>
    <row r="983" spans="2:13" x14ac:dyDescent="0.25">
      <c r="B983" s="8"/>
      <c r="C983" s="8"/>
      <c r="D983" s="8"/>
      <c r="E983" s="8"/>
      <c r="F983" s="8"/>
      <c r="G983" s="8"/>
      <c r="H983" s="8"/>
      <c r="I983" s="8"/>
      <c r="J983" s="8"/>
      <c r="K983" s="9"/>
      <c r="L983" s="9"/>
      <c r="M983" s="10" t="s">
        <v>10</v>
      </c>
    </row>
    <row r="984" spans="2:13" x14ac:dyDescent="0.25">
      <c r="B984" s="8"/>
      <c r="C984" s="8"/>
      <c r="D984" s="8"/>
      <c r="E984" s="8"/>
      <c r="F984" s="8"/>
      <c r="G984" s="8"/>
      <c r="H984" s="8"/>
      <c r="I984" s="8"/>
      <c r="J984" s="8"/>
      <c r="K984" s="9"/>
      <c r="L984" s="9"/>
      <c r="M984" s="10" t="s">
        <v>10</v>
      </c>
    </row>
    <row r="985" spans="2:13" x14ac:dyDescent="0.25">
      <c r="B985" s="8"/>
      <c r="C985" s="8"/>
      <c r="D985" s="8"/>
      <c r="E985" s="8"/>
      <c r="F985" s="8"/>
      <c r="G985" s="8"/>
      <c r="H985" s="8"/>
      <c r="I985" s="8"/>
      <c r="J985" s="8"/>
      <c r="K985" s="9"/>
      <c r="L985" s="9"/>
      <c r="M985" s="10" t="s">
        <v>10</v>
      </c>
    </row>
    <row r="986" spans="2:13" x14ac:dyDescent="0.25">
      <c r="B986" s="8"/>
      <c r="C986" s="8"/>
      <c r="D986" s="8"/>
      <c r="E986" s="8"/>
      <c r="F986" s="8"/>
      <c r="G986" s="8"/>
      <c r="H986" s="8"/>
      <c r="I986" s="8"/>
      <c r="J986" s="8"/>
      <c r="K986" s="9"/>
      <c r="L986" s="9"/>
      <c r="M986" s="10" t="s">
        <v>10</v>
      </c>
    </row>
    <row r="987" spans="2:13" x14ac:dyDescent="0.25">
      <c r="B987" s="8"/>
      <c r="C987" s="8"/>
      <c r="D987" s="8"/>
      <c r="E987" s="8"/>
      <c r="F987" s="8"/>
      <c r="G987" s="8"/>
      <c r="H987" s="8"/>
      <c r="I987" s="8"/>
      <c r="J987" s="8"/>
      <c r="K987" s="9"/>
      <c r="L987" s="9"/>
      <c r="M987" s="10" t="s">
        <v>10</v>
      </c>
    </row>
    <row r="988" spans="2:13" x14ac:dyDescent="0.25">
      <c r="B988" s="8"/>
      <c r="C988" s="8"/>
      <c r="D988" s="8"/>
      <c r="E988" s="8"/>
      <c r="F988" s="8"/>
      <c r="G988" s="8"/>
      <c r="H988" s="8"/>
      <c r="I988" s="8"/>
      <c r="J988" s="8"/>
      <c r="K988" s="9"/>
      <c r="L988" s="9"/>
      <c r="M988" s="10" t="s">
        <v>10</v>
      </c>
    </row>
    <row r="989" spans="2:13" x14ac:dyDescent="0.25">
      <c r="B989" s="8"/>
      <c r="C989" s="8"/>
      <c r="D989" s="8"/>
      <c r="E989" s="8"/>
      <c r="F989" s="8"/>
      <c r="G989" s="8"/>
      <c r="H989" s="8"/>
      <c r="I989" s="8"/>
      <c r="J989" s="8"/>
      <c r="K989" s="9"/>
      <c r="L989" s="9"/>
      <c r="M989" s="10" t="s">
        <v>10</v>
      </c>
    </row>
    <row r="990" spans="2:13" x14ac:dyDescent="0.25">
      <c r="B990" s="8"/>
      <c r="C990" s="8"/>
      <c r="D990" s="8"/>
      <c r="E990" s="8"/>
      <c r="F990" s="8"/>
      <c r="G990" s="8"/>
      <c r="H990" s="8"/>
      <c r="I990" s="8"/>
      <c r="J990" s="8"/>
      <c r="K990" s="9"/>
      <c r="L990" s="9"/>
      <c r="M990" s="10" t="s">
        <v>10</v>
      </c>
    </row>
    <row r="991" spans="2:13" x14ac:dyDescent="0.25">
      <c r="B991" s="8"/>
      <c r="C991" s="8"/>
      <c r="D991" s="8"/>
      <c r="E991" s="8"/>
      <c r="F991" s="8"/>
      <c r="G991" s="8"/>
      <c r="H991" s="8"/>
      <c r="I991" s="8"/>
      <c r="J991" s="8"/>
      <c r="K991" s="9"/>
      <c r="L991" s="9"/>
      <c r="M991" s="10" t="s">
        <v>10</v>
      </c>
    </row>
    <row r="992" spans="2:13" x14ac:dyDescent="0.25">
      <c r="B992" s="8"/>
      <c r="C992" s="8"/>
      <c r="D992" s="8"/>
      <c r="E992" s="8"/>
      <c r="F992" s="8"/>
      <c r="G992" s="8"/>
      <c r="H992" s="8"/>
      <c r="I992" s="8"/>
      <c r="J992" s="8"/>
      <c r="K992" s="9"/>
      <c r="L992" s="9"/>
      <c r="M992" s="10" t="s">
        <v>10</v>
      </c>
    </row>
    <row r="993" spans="2:13" x14ac:dyDescent="0.25">
      <c r="B993" s="8"/>
      <c r="C993" s="8"/>
      <c r="D993" s="8"/>
      <c r="E993" s="8"/>
      <c r="F993" s="8"/>
      <c r="G993" s="8"/>
      <c r="H993" s="8"/>
      <c r="I993" s="8"/>
      <c r="J993" s="8"/>
      <c r="K993" s="9"/>
      <c r="L993" s="9"/>
      <c r="M993" s="10" t="s">
        <v>10</v>
      </c>
    </row>
    <row r="994" spans="2:13" x14ac:dyDescent="0.25">
      <c r="B994" s="8"/>
      <c r="C994" s="8"/>
      <c r="D994" s="8"/>
      <c r="E994" s="8"/>
      <c r="F994" s="8"/>
      <c r="G994" s="8"/>
      <c r="H994" s="8"/>
      <c r="I994" s="8"/>
      <c r="J994" s="8"/>
      <c r="K994" s="9"/>
      <c r="L994" s="9"/>
      <c r="M994" s="10" t="s">
        <v>10</v>
      </c>
    </row>
    <row r="995" spans="2:13" x14ac:dyDescent="0.25">
      <c r="B995" s="8"/>
      <c r="C995" s="8"/>
      <c r="D995" s="8"/>
      <c r="E995" s="8"/>
      <c r="F995" s="8"/>
      <c r="G995" s="8"/>
      <c r="H995" s="8"/>
      <c r="I995" s="8"/>
      <c r="J995" s="8"/>
      <c r="K995" s="9"/>
      <c r="L995" s="9"/>
      <c r="M995" s="10" t="s">
        <v>10</v>
      </c>
    </row>
    <row r="996" spans="2:13" x14ac:dyDescent="0.25">
      <c r="B996" s="8"/>
      <c r="C996" s="8"/>
      <c r="D996" s="8"/>
      <c r="E996" s="8"/>
      <c r="F996" s="8"/>
      <c r="G996" s="8"/>
      <c r="H996" s="8"/>
      <c r="I996" s="8"/>
      <c r="J996" s="8"/>
      <c r="K996" s="9"/>
      <c r="L996" s="9"/>
      <c r="M996" s="10" t="s">
        <v>10</v>
      </c>
    </row>
    <row r="997" spans="2:13" x14ac:dyDescent="0.25">
      <c r="B997" s="8"/>
      <c r="C997" s="8"/>
      <c r="D997" s="8"/>
      <c r="E997" s="8"/>
      <c r="F997" s="8"/>
      <c r="G997" s="8"/>
      <c r="H997" s="8"/>
      <c r="I997" s="8"/>
      <c r="J997" s="8"/>
      <c r="K997" s="9"/>
      <c r="L997" s="9"/>
      <c r="M997" s="10" t="s">
        <v>10</v>
      </c>
    </row>
    <row r="998" spans="2:13" x14ac:dyDescent="0.25">
      <c r="B998" s="8"/>
      <c r="C998" s="8"/>
      <c r="D998" s="8"/>
      <c r="E998" s="8"/>
      <c r="F998" s="8"/>
      <c r="G998" s="8"/>
      <c r="H998" s="8"/>
      <c r="I998" s="8"/>
      <c r="J998" s="8"/>
      <c r="K998" s="9"/>
      <c r="L998" s="9"/>
      <c r="M998" s="10" t="s">
        <v>10</v>
      </c>
    </row>
    <row r="999" spans="2:13" x14ac:dyDescent="0.25">
      <c r="B999" s="8"/>
      <c r="C999" s="8"/>
      <c r="D999" s="8"/>
      <c r="E999" s="8"/>
      <c r="F999" s="8"/>
      <c r="G999" s="8"/>
      <c r="H999" s="8"/>
      <c r="I999" s="8"/>
      <c r="J999" s="8"/>
      <c r="K999" s="9"/>
      <c r="L999" s="9"/>
      <c r="M999" s="10" t="s">
        <v>10</v>
      </c>
    </row>
    <row r="1000" spans="2:13" x14ac:dyDescent="0.25">
      <c r="B1000" s="8"/>
      <c r="C1000" s="8"/>
      <c r="D1000" s="8"/>
      <c r="E1000" s="8"/>
      <c r="F1000" s="8"/>
      <c r="G1000" s="8"/>
      <c r="H1000" s="8"/>
      <c r="I1000" s="8"/>
      <c r="J1000" s="8"/>
      <c r="K1000" s="9"/>
      <c r="L1000" s="9"/>
      <c r="M1000" s="10" t="s">
        <v>10</v>
      </c>
    </row>
    <row r="1001" spans="2:13" x14ac:dyDescent="0.25">
      <c r="B1001" s="8"/>
      <c r="C1001" s="8"/>
      <c r="D1001" s="8"/>
      <c r="E1001" s="8"/>
      <c r="F1001" s="8"/>
      <c r="G1001" s="8"/>
      <c r="H1001" s="8"/>
      <c r="I1001" s="8"/>
      <c r="J1001" s="8"/>
      <c r="K1001" s="9"/>
      <c r="L1001" s="9"/>
      <c r="M1001" s="10" t="s">
        <v>10</v>
      </c>
    </row>
    <row r="1002" spans="2:13" x14ac:dyDescent="0.25">
      <c r="B1002" s="8"/>
      <c r="C1002" s="8"/>
      <c r="D1002" s="8"/>
      <c r="E1002" s="8"/>
      <c r="F1002" s="8"/>
      <c r="G1002" s="8"/>
      <c r="H1002" s="8"/>
      <c r="I1002" s="8"/>
      <c r="J1002" s="8"/>
      <c r="K1002" s="9"/>
      <c r="L1002" s="9"/>
      <c r="M1002" s="10" t="s">
        <v>10</v>
      </c>
    </row>
    <row r="1003" spans="2:13" x14ac:dyDescent="0.25">
      <c r="B1003" s="8"/>
      <c r="C1003" s="8"/>
      <c r="D1003" s="8"/>
      <c r="E1003" s="8"/>
      <c r="F1003" s="8"/>
      <c r="G1003" s="8"/>
      <c r="H1003" s="8"/>
      <c r="I1003" s="8"/>
      <c r="J1003" s="8"/>
      <c r="K1003" s="9"/>
      <c r="L1003" s="9"/>
      <c r="M1003" s="10" t="s">
        <v>10</v>
      </c>
    </row>
    <row r="1004" spans="2:13" x14ac:dyDescent="0.25">
      <c r="B1004" s="8"/>
      <c r="C1004" s="8"/>
      <c r="D1004" s="8"/>
      <c r="E1004" s="8"/>
      <c r="F1004" s="8"/>
      <c r="G1004" s="8"/>
      <c r="H1004" s="8"/>
      <c r="I1004" s="8"/>
      <c r="J1004" s="8"/>
      <c r="K1004" s="9"/>
      <c r="L1004" s="9"/>
      <c r="M1004" s="10" t="s">
        <v>10</v>
      </c>
    </row>
    <row r="1005" spans="2:13" x14ac:dyDescent="0.25">
      <c r="B1005" s="8"/>
      <c r="C1005" s="8"/>
      <c r="D1005" s="8"/>
      <c r="E1005" s="8"/>
      <c r="F1005" s="8"/>
      <c r="G1005" s="8"/>
      <c r="H1005" s="8"/>
      <c r="I1005" s="8"/>
      <c r="J1005" s="8"/>
      <c r="K1005" s="9"/>
      <c r="L1005" s="9"/>
      <c r="M1005" s="10" t="s">
        <v>10</v>
      </c>
    </row>
    <row r="1006" spans="2:13" x14ac:dyDescent="0.25">
      <c r="B1006" s="8"/>
      <c r="C1006" s="8"/>
      <c r="D1006" s="8"/>
      <c r="E1006" s="8"/>
      <c r="F1006" s="8"/>
      <c r="G1006" s="8"/>
      <c r="H1006" s="8"/>
      <c r="I1006" s="8"/>
      <c r="J1006" s="8"/>
      <c r="K1006" s="9"/>
      <c r="L1006" s="9"/>
      <c r="M1006" s="10" t="s">
        <v>10</v>
      </c>
    </row>
    <row r="1007" spans="2:13" x14ac:dyDescent="0.25">
      <c r="B1007" s="8"/>
      <c r="C1007" s="8"/>
      <c r="D1007" s="8"/>
      <c r="E1007" s="8"/>
      <c r="F1007" s="8"/>
      <c r="G1007" s="8"/>
      <c r="H1007" s="8"/>
      <c r="I1007" s="8"/>
      <c r="J1007" s="8"/>
      <c r="K1007" s="9"/>
      <c r="L1007" s="9"/>
      <c r="M1007" s="10" t="s">
        <v>10</v>
      </c>
    </row>
  </sheetData>
  <protectedRanges>
    <protectedRange sqref="B15:C36 K37:K64" name="DetailLine_2"/>
    <protectedRange sqref="B37:C45 C46 B47:C64" name="DetailLine_3"/>
    <protectedRange sqref="K9:L9 K10:K14 L10:L99" name="DetailLine_2_1"/>
    <protectedRange sqref="G37:H45 G47:H63" name="DetailLine_3_2"/>
    <protectedRange sqref="G9:H14 E9:F45 E82:F97 E47:F80" name="DetailLine_3_1_1"/>
    <protectedRange sqref="G46:H46" name="DetailLine_3_4"/>
    <protectedRange sqref="B46" name="DetailLine_3_5"/>
    <protectedRange sqref="B81:C81 G81:H81" name="DetailLine_3_1"/>
  </protectedRanges>
  <mergeCells count="12">
    <mergeCell ref="L7:L8"/>
    <mergeCell ref="M7:M8"/>
    <mergeCell ref="C2:F2"/>
    <mergeCell ref="C3:K3"/>
    <mergeCell ref="B7:C7"/>
    <mergeCell ref="D7:D8"/>
    <mergeCell ref="E7:E8"/>
    <mergeCell ref="F7:F8"/>
    <mergeCell ref="G7:G8"/>
    <mergeCell ref="H7:H8"/>
    <mergeCell ref="I7:I8"/>
    <mergeCell ref="J7:K7"/>
  </mergeCells>
  <dataValidations count="2">
    <dataValidation allowBlank="1" showInputMessage="1" showErrorMessage="1" errorTitle="INVALID FIRST NAME" error="First Name too long." sqref="C1 C9:C25 C27:C1007" xr:uid="{4FD2A474-FDDD-4253-B34D-12C52C4C0517}"/>
    <dataValidation type="textLength" operator="equal" allowBlank="1" showInputMessage="1" showErrorMessage="1" errorTitle="Invalid Value" error="Please enter 12-digit value with the following starting series based on Pay Type:_x000a_• 1 - MC, ST, CL _x000a_• 5 – M2_x000a_• 3 - HL_x000a_" promptTitle="Mandatory Field" prompt="Starting Series based on PayType_x000a_• 1 - MC, ST, CL _x000a_• 5 – M2_x000a_• 3 - HL" sqref="C26" xr:uid="{AF5C04E4-D032-47BC-8BE5-E7A9163DCC01}">
      <formula1>12</formula1>
    </dataValidation>
  </dataValidations>
  <hyperlinks>
    <hyperlink ref="C5" r:id="rId1" xr:uid="{C3E9D0CC-7610-4655-8940-4FAED4A7C046}"/>
  </hyperlinks>
  <pageMargins left="0.70866141732283472" right="0.70866141732283472" top="0.74803149606299213" bottom="0.74803149606299213" header="0.31496062992125984" footer="0.31496062992125984"/>
  <pageSetup scale="66" orientation="landscape" r:id="rId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8D14-C162-44C2-9486-9AFE4FAA72D1}">
  <dimension ref="A2:B14"/>
  <sheetViews>
    <sheetView workbookViewId="0">
      <selection activeCell="D19" sqref="D19"/>
    </sheetView>
  </sheetViews>
  <sheetFormatPr defaultRowHeight="15" x14ac:dyDescent="0.25"/>
  <cols>
    <col min="1" max="2" width="28.28515625" customWidth="1"/>
  </cols>
  <sheetData>
    <row r="2" spans="1:2" x14ac:dyDescent="0.25">
      <c r="A2" s="166" t="s">
        <v>8</v>
      </c>
      <c r="B2" s="166"/>
    </row>
    <row r="3" spans="1:2" ht="2.25" customHeight="1" x14ac:dyDescent="0.25">
      <c r="A3" s="18"/>
      <c r="B3" s="18"/>
    </row>
    <row r="4" spans="1:2" x14ac:dyDescent="0.25">
      <c r="A4" t="s">
        <v>21</v>
      </c>
      <c r="B4" t="s">
        <v>33</v>
      </c>
    </row>
    <row r="5" spans="1:2" x14ac:dyDescent="0.25">
      <c r="A5" t="s">
        <v>22</v>
      </c>
      <c r="B5" t="s">
        <v>34</v>
      </c>
    </row>
    <row r="8" spans="1:2" x14ac:dyDescent="0.25">
      <c r="A8" s="166" t="s">
        <v>7</v>
      </c>
      <c r="B8" s="166"/>
    </row>
    <row r="9" spans="1:2" ht="2.25" customHeight="1" x14ac:dyDescent="0.25">
      <c r="A9" s="18"/>
      <c r="B9" s="18"/>
    </row>
    <row r="10" spans="1:2" x14ac:dyDescent="0.25">
      <c r="A10" t="s">
        <v>23</v>
      </c>
      <c r="B10" t="s">
        <v>24</v>
      </c>
    </row>
    <row r="11" spans="1:2" x14ac:dyDescent="0.25">
      <c r="A11" t="s">
        <v>25</v>
      </c>
      <c r="B11" t="s">
        <v>26</v>
      </c>
    </row>
    <row r="12" spans="1:2" x14ac:dyDescent="0.25">
      <c r="A12" t="s">
        <v>27</v>
      </c>
      <c r="B12" t="s">
        <v>28</v>
      </c>
    </row>
    <row r="13" spans="1:2" ht="30" x14ac:dyDescent="0.25">
      <c r="A13" s="19" t="s">
        <v>29</v>
      </c>
      <c r="B13" t="s">
        <v>30</v>
      </c>
    </row>
    <row r="14" spans="1:2" x14ac:dyDescent="0.25">
      <c r="A14" t="s">
        <v>31</v>
      </c>
      <c r="B14" t="s">
        <v>32</v>
      </c>
    </row>
  </sheetData>
  <mergeCells count="2">
    <mergeCell ref="A2:B2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D295-D02A-44FB-AA7E-C31D84A30BBD}">
  <dimension ref="A1:WWB98"/>
  <sheetViews>
    <sheetView view="pageBreakPreview" zoomScale="85" zoomScaleNormal="85" zoomScaleSheetLayoutView="85" workbookViewId="0">
      <pane ySplit="7" topLeftCell="A76" activePane="bottomLeft" state="frozenSplit"/>
      <selection pane="bottomLeft" activeCell="BA1" sqref="BA1:BC1048576"/>
    </sheetView>
  </sheetViews>
  <sheetFormatPr defaultRowHeight="14.25" outlineLevelCol="2" x14ac:dyDescent="0.2"/>
  <cols>
    <col min="1" max="1" width="6.85546875" style="21" customWidth="1"/>
    <col min="2" max="2" width="21.42578125" style="21" bestFit="1" customWidth="1"/>
    <col min="3" max="3" width="21.5703125" style="21" customWidth="1"/>
    <col min="4" max="4" width="9.85546875" style="21" customWidth="1"/>
    <col min="5" max="5" width="15.85546875" style="21" customWidth="1"/>
    <col min="6" max="6" width="12.28515625" style="21" customWidth="1"/>
    <col min="7" max="7" width="15.85546875" style="22" customWidth="1" outlineLevel="1"/>
    <col min="8" max="8" width="15" style="23" customWidth="1" outlineLevel="1"/>
    <col min="9" max="9" width="22.28515625" style="24" customWidth="1" outlineLevel="1"/>
    <col min="10" max="10" width="14.5703125" style="22" customWidth="1" outlineLevel="1"/>
    <col min="11" max="11" width="13.85546875" style="22" customWidth="1" outlineLevel="1"/>
    <col min="12" max="12" width="12.85546875" style="25" customWidth="1" outlineLevel="1"/>
    <col min="13" max="13" width="11.5703125" style="22" customWidth="1" outlineLevel="1"/>
    <col min="14" max="14" width="14.42578125" style="22" customWidth="1" outlineLevel="1"/>
    <col min="15" max="15" width="10.7109375" style="22" customWidth="1" outlineLevel="1"/>
    <col min="16" max="16" width="12.28515625" style="22" customWidth="1" outlineLevel="1"/>
    <col min="17" max="18" width="15.7109375" style="22" customWidth="1" outlineLevel="1"/>
    <col min="19" max="19" width="12.28515625" style="22" customWidth="1" outlineLevel="1"/>
    <col min="20" max="20" width="15" style="22" customWidth="1" outlineLevel="1"/>
    <col min="21" max="21" width="15.85546875" style="22" customWidth="1"/>
    <col min="22" max="22" width="14.85546875" style="21" customWidth="1"/>
    <col min="23" max="23" width="13.42578125" style="27" customWidth="1"/>
    <col min="24" max="25" width="13.5703125" style="21" customWidth="1" outlineLevel="1"/>
    <col min="26" max="26" width="14" style="21" customWidth="1" outlineLevel="1"/>
    <col min="27" max="27" width="13.5703125" style="21" customWidth="1"/>
    <col min="28" max="28" width="12.7109375" style="21" customWidth="1" outlineLevel="1"/>
    <col min="29" max="30" width="12.28515625" style="21" customWidth="1" outlineLevel="1"/>
    <col min="31" max="31" width="11.42578125" style="21" customWidth="1" outlineLevel="1"/>
    <col min="32" max="32" width="14.7109375" style="21" customWidth="1" outlineLevel="1"/>
    <col min="33" max="33" width="11.5703125" style="21" customWidth="1" outlineLevel="2" collapsed="1"/>
    <col min="34" max="34" width="12.7109375" style="21" customWidth="1" outlineLevel="2"/>
    <col min="35" max="39" width="14.5703125" style="21" customWidth="1" outlineLevel="1"/>
    <col min="40" max="40" width="14.5703125" style="21" customWidth="1"/>
    <col min="41" max="42" width="12.7109375" style="21" customWidth="1"/>
    <col min="43" max="43" width="12.42578125" style="21" customWidth="1" outlineLevel="1"/>
    <col min="44" max="44" width="14.85546875" style="21" customWidth="1" outlineLevel="1"/>
    <col min="45" max="45" width="13.85546875" style="21" customWidth="1" outlineLevel="1"/>
    <col min="46" max="49" width="16" style="21" customWidth="1"/>
    <col min="50" max="50" width="16.42578125" style="21" customWidth="1"/>
    <col min="51" max="51" width="12.5703125" style="21" customWidth="1"/>
    <col min="52" max="52" width="18" style="21" customWidth="1"/>
    <col min="53" max="54" width="17.5703125" style="21" customWidth="1"/>
    <col min="55" max="55" width="17.5703125" style="23" customWidth="1"/>
    <col min="56" max="260" width="9.140625" style="21"/>
    <col min="261" max="261" width="32.28515625" style="21" customWidth="1"/>
    <col min="262" max="263" width="9.140625" style="21"/>
    <col min="264" max="264" width="11.5703125" style="21" customWidth="1"/>
    <col min="265" max="265" width="16" style="21" customWidth="1"/>
    <col min="266" max="266" width="14.28515625" style="21" customWidth="1"/>
    <col min="267" max="267" width="17.7109375" style="21" customWidth="1"/>
    <col min="268" max="268" width="15.28515625" style="21" customWidth="1"/>
    <col min="269" max="269" width="13.7109375" style="21" customWidth="1"/>
    <col min="270" max="271" width="12.140625" style="21" customWidth="1"/>
    <col min="272" max="272" width="14.28515625" style="21" customWidth="1"/>
    <col min="273" max="275" width="12.140625" style="21" customWidth="1"/>
    <col min="276" max="276" width="0" style="21" hidden="1" customWidth="1"/>
    <col min="277" max="277" width="13.7109375" style="21" customWidth="1"/>
    <col min="278" max="278" width="12.85546875" style="21" customWidth="1"/>
    <col min="279" max="295" width="14.42578125" style="21" customWidth="1"/>
    <col min="296" max="298" width="16" style="21" bestFit="1" customWidth="1"/>
    <col min="299" max="516" width="9.140625" style="21"/>
    <col min="517" max="517" width="32.28515625" style="21" customWidth="1"/>
    <col min="518" max="519" width="9.140625" style="21"/>
    <col min="520" max="520" width="11.5703125" style="21" customWidth="1"/>
    <col min="521" max="521" width="16" style="21" customWidth="1"/>
    <col min="522" max="522" width="14.28515625" style="21" customWidth="1"/>
    <col min="523" max="523" width="17.7109375" style="21" customWidth="1"/>
    <col min="524" max="524" width="15.28515625" style="21" customWidth="1"/>
    <col min="525" max="525" width="13.7109375" style="21" customWidth="1"/>
    <col min="526" max="527" width="12.140625" style="21" customWidth="1"/>
    <col min="528" max="528" width="14.28515625" style="21" customWidth="1"/>
    <col min="529" max="531" width="12.140625" style="21" customWidth="1"/>
    <col min="532" max="532" width="0" style="21" hidden="1" customWidth="1"/>
    <col min="533" max="533" width="13.7109375" style="21" customWidth="1"/>
    <col min="534" max="534" width="12.85546875" style="21" customWidth="1"/>
    <col min="535" max="551" width="14.42578125" style="21" customWidth="1"/>
    <col min="552" max="554" width="16" style="21" bestFit="1" customWidth="1"/>
    <col min="555" max="772" width="9.140625" style="21"/>
    <col min="773" max="773" width="32.28515625" style="21" customWidth="1"/>
    <col min="774" max="775" width="9.140625" style="21"/>
    <col min="776" max="776" width="11.5703125" style="21" customWidth="1"/>
    <col min="777" max="777" width="16" style="21" customWidth="1"/>
    <col min="778" max="778" width="14.28515625" style="21" customWidth="1"/>
    <col min="779" max="779" width="17.7109375" style="21" customWidth="1"/>
    <col min="780" max="780" width="15.28515625" style="21" customWidth="1"/>
    <col min="781" max="781" width="13.7109375" style="21" customWidth="1"/>
    <col min="782" max="783" width="12.140625" style="21" customWidth="1"/>
    <col min="784" max="784" width="14.28515625" style="21" customWidth="1"/>
    <col min="785" max="787" width="12.140625" style="21" customWidth="1"/>
    <col min="788" max="788" width="0" style="21" hidden="1" customWidth="1"/>
    <col min="789" max="789" width="13.7109375" style="21" customWidth="1"/>
    <col min="790" max="790" width="12.85546875" style="21" customWidth="1"/>
    <col min="791" max="807" width="14.42578125" style="21" customWidth="1"/>
    <col min="808" max="810" width="16" style="21" bestFit="1" customWidth="1"/>
    <col min="811" max="1028" width="9.140625" style="21"/>
    <col min="1029" max="1029" width="32.28515625" style="21" customWidth="1"/>
    <col min="1030" max="1031" width="9.140625" style="21"/>
    <col min="1032" max="1032" width="11.5703125" style="21" customWidth="1"/>
    <col min="1033" max="1033" width="16" style="21" customWidth="1"/>
    <col min="1034" max="1034" width="14.28515625" style="21" customWidth="1"/>
    <col min="1035" max="1035" width="17.7109375" style="21" customWidth="1"/>
    <col min="1036" max="1036" width="15.28515625" style="21" customWidth="1"/>
    <col min="1037" max="1037" width="13.7109375" style="21" customWidth="1"/>
    <col min="1038" max="1039" width="12.140625" style="21" customWidth="1"/>
    <col min="1040" max="1040" width="14.28515625" style="21" customWidth="1"/>
    <col min="1041" max="1043" width="12.140625" style="21" customWidth="1"/>
    <col min="1044" max="1044" width="0" style="21" hidden="1" customWidth="1"/>
    <col min="1045" max="1045" width="13.7109375" style="21" customWidth="1"/>
    <col min="1046" max="1046" width="12.85546875" style="21" customWidth="1"/>
    <col min="1047" max="1063" width="14.42578125" style="21" customWidth="1"/>
    <col min="1064" max="1066" width="16" style="21" bestFit="1" customWidth="1"/>
    <col min="1067" max="1284" width="9.140625" style="21"/>
    <col min="1285" max="1285" width="32.28515625" style="21" customWidth="1"/>
    <col min="1286" max="1287" width="9.140625" style="21"/>
    <col min="1288" max="1288" width="11.5703125" style="21" customWidth="1"/>
    <col min="1289" max="1289" width="16" style="21" customWidth="1"/>
    <col min="1290" max="1290" width="14.28515625" style="21" customWidth="1"/>
    <col min="1291" max="1291" width="17.7109375" style="21" customWidth="1"/>
    <col min="1292" max="1292" width="15.28515625" style="21" customWidth="1"/>
    <col min="1293" max="1293" width="13.7109375" style="21" customWidth="1"/>
    <col min="1294" max="1295" width="12.140625" style="21" customWidth="1"/>
    <col min="1296" max="1296" width="14.28515625" style="21" customWidth="1"/>
    <col min="1297" max="1299" width="12.140625" style="21" customWidth="1"/>
    <col min="1300" max="1300" width="0" style="21" hidden="1" customWidth="1"/>
    <col min="1301" max="1301" width="13.7109375" style="21" customWidth="1"/>
    <col min="1302" max="1302" width="12.85546875" style="21" customWidth="1"/>
    <col min="1303" max="1319" width="14.42578125" style="21" customWidth="1"/>
    <col min="1320" max="1322" width="16" style="21" bestFit="1" customWidth="1"/>
    <col min="1323" max="1540" width="9.140625" style="21"/>
    <col min="1541" max="1541" width="32.28515625" style="21" customWidth="1"/>
    <col min="1542" max="1543" width="9.140625" style="21"/>
    <col min="1544" max="1544" width="11.5703125" style="21" customWidth="1"/>
    <col min="1545" max="1545" width="16" style="21" customWidth="1"/>
    <col min="1546" max="1546" width="14.28515625" style="21" customWidth="1"/>
    <col min="1547" max="1547" width="17.7109375" style="21" customWidth="1"/>
    <col min="1548" max="1548" width="15.28515625" style="21" customWidth="1"/>
    <col min="1549" max="1549" width="13.7109375" style="21" customWidth="1"/>
    <col min="1550" max="1551" width="12.140625" style="21" customWidth="1"/>
    <col min="1552" max="1552" width="14.28515625" style="21" customWidth="1"/>
    <col min="1553" max="1555" width="12.140625" style="21" customWidth="1"/>
    <col min="1556" max="1556" width="0" style="21" hidden="1" customWidth="1"/>
    <col min="1557" max="1557" width="13.7109375" style="21" customWidth="1"/>
    <col min="1558" max="1558" width="12.85546875" style="21" customWidth="1"/>
    <col min="1559" max="1575" width="14.42578125" style="21" customWidth="1"/>
    <col min="1576" max="1578" width="16" style="21" bestFit="1" customWidth="1"/>
    <col min="1579" max="1796" width="9.140625" style="21"/>
    <col min="1797" max="1797" width="32.28515625" style="21" customWidth="1"/>
    <col min="1798" max="1799" width="9.140625" style="21"/>
    <col min="1800" max="1800" width="11.5703125" style="21" customWidth="1"/>
    <col min="1801" max="1801" width="16" style="21" customWidth="1"/>
    <col min="1802" max="1802" width="14.28515625" style="21" customWidth="1"/>
    <col min="1803" max="1803" width="17.7109375" style="21" customWidth="1"/>
    <col min="1804" max="1804" width="15.28515625" style="21" customWidth="1"/>
    <col min="1805" max="1805" width="13.7109375" style="21" customWidth="1"/>
    <col min="1806" max="1807" width="12.140625" style="21" customWidth="1"/>
    <col min="1808" max="1808" width="14.28515625" style="21" customWidth="1"/>
    <col min="1809" max="1811" width="12.140625" style="21" customWidth="1"/>
    <col min="1812" max="1812" width="0" style="21" hidden="1" customWidth="1"/>
    <col min="1813" max="1813" width="13.7109375" style="21" customWidth="1"/>
    <col min="1814" max="1814" width="12.85546875" style="21" customWidth="1"/>
    <col min="1815" max="1831" width="14.42578125" style="21" customWidth="1"/>
    <col min="1832" max="1834" width="16" style="21" bestFit="1" customWidth="1"/>
    <col min="1835" max="2052" width="9.140625" style="21"/>
    <col min="2053" max="2053" width="32.28515625" style="21" customWidth="1"/>
    <col min="2054" max="2055" width="9.140625" style="21"/>
    <col min="2056" max="2056" width="11.5703125" style="21" customWidth="1"/>
    <col min="2057" max="2057" width="16" style="21" customWidth="1"/>
    <col min="2058" max="2058" width="14.28515625" style="21" customWidth="1"/>
    <col min="2059" max="2059" width="17.7109375" style="21" customWidth="1"/>
    <col min="2060" max="2060" width="15.28515625" style="21" customWidth="1"/>
    <col min="2061" max="2061" width="13.7109375" style="21" customWidth="1"/>
    <col min="2062" max="2063" width="12.140625" style="21" customWidth="1"/>
    <col min="2064" max="2064" width="14.28515625" style="21" customWidth="1"/>
    <col min="2065" max="2067" width="12.140625" style="21" customWidth="1"/>
    <col min="2068" max="2068" width="0" style="21" hidden="1" customWidth="1"/>
    <col min="2069" max="2069" width="13.7109375" style="21" customWidth="1"/>
    <col min="2070" max="2070" width="12.85546875" style="21" customWidth="1"/>
    <col min="2071" max="2087" width="14.42578125" style="21" customWidth="1"/>
    <col min="2088" max="2090" width="16" style="21" bestFit="1" customWidth="1"/>
    <col min="2091" max="2308" width="9.140625" style="21"/>
    <col min="2309" max="2309" width="32.28515625" style="21" customWidth="1"/>
    <col min="2310" max="2311" width="9.140625" style="21"/>
    <col min="2312" max="2312" width="11.5703125" style="21" customWidth="1"/>
    <col min="2313" max="2313" width="16" style="21" customWidth="1"/>
    <col min="2314" max="2314" width="14.28515625" style="21" customWidth="1"/>
    <col min="2315" max="2315" width="17.7109375" style="21" customWidth="1"/>
    <col min="2316" max="2316" width="15.28515625" style="21" customWidth="1"/>
    <col min="2317" max="2317" width="13.7109375" style="21" customWidth="1"/>
    <col min="2318" max="2319" width="12.140625" style="21" customWidth="1"/>
    <col min="2320" max="2320" width="14.28515625" style="21" customWidth="1"/>
    <col min="2321" max="2323" width="12.140625" style="21" customWidth="1"/>
    <col min="2324" max="2324" width="0" style="21" hidden="1" customWidth="1"/>
    <col min="2325" max="2325" width="13.7109375" style="21" customWidth="1"/>
    <col min="2326" max="2326" width="12.85546875" style="21" customWidth="1"/>
    <col min="2327" max="2343" width="14.42578125" style="21" customWidth="1"/>
    <col min="2344" max="2346" width="16" style="21" bestFit="1" customWidth="1"/>
    <col min="2347" max="2564" width="9.140625" style="21"/>
    <col min="2565" max="2565" width="32.28515625" style="21" customWidth="1"/>
    <col min="2566" max="2567" width="9.140625" style="21"/>
    <col min="2568" max="2568" width="11.5703125" style="21" customWidth="1"/>
    <col min="2569" max="2569" width="16" style="21" customWidth="1"/>
    <col min="2570" max="2570" width="14.28515625" style="21" customWidth="1"/>
    <col min="2571" max="2571" width="17.7109375" style="21" customWidth="1"/>
    <col min="2572" max="2572" width="15.28515625" style="21" customWidth="1"/>
    <col min="2573" max="2573" width="13.7109375" style="21" customWidth="1"/>
    <col min="2574" max="2575" width="12.140625" style="21" customWidth="1"/>
    <col min="2576" max="2576" width="14.28515625" style="21" customWidth="1"/>
    <col min="2577" max="2579" width="12.140625" style="21" customWidth="1"/>
    <col min="2580" max="2580" width="0" style="21" hidden="1" customWidth="1"/>
    <col min="2581" max="2581" width="13.7109375" style="21" customWidth="1"/>
    <col min="2582" max="2582" width="12.85546875" style="21" customWidth="1"/>
    <col min="2583" max="2599" width="14.42578125" style="21" customWidth="1"/>
    <col min="2600" max="2602" width="16" style="21" bestFit="1" customWidth="1"/>
    <col min="2603" max="2820" width="9.140625" style="21"/>
    <col min="2821" max="2821" width="32.28515625" style="21" customWidth="1"/>
    <col min="2822" max="2823" width="9.140625" style="21"/>
    <col min="2824" max="2824" width="11.5703125" style="21" customWidth="1"/>
    <col min="2825" max="2825" width="16" style="21" customWidth="1"/>
    <col min="2826" max="2826" width="14.28515625" style="21" customWidth="1"/>
    <col min="2827" max="2827" width="17.7109375" style="21" customWidth="1"/>
    <col min="2828" max="2828" width="15.28515625" style="21" customWidth="1"/>
    <col min="2829" max="2829" width="13.7109375" style="21" customWidth="1"/>
    <col min="2830" max="2831" width="12.140625" style="21" customWidth="1"/>
    <col min="2832" max="2832" width="14.28515625" style="21" customWidth="1"/>
    <col min="2833" max="2835" width="12.140625" style="21" customWidth="1"/>
    <col min="2836" max="2836" width="0" style="21" hidden="1" customWidth="1"/>
    <col min="2837" max="2837" width="13.7109375" style="21" customWidth="1"/>
    <col min="2838" max="2838" width="12.85546875" style="21" customWidth="1"/>
    <col min="2839" max="2855" width="14.42578125" style="21" customWidth="1"/>
    <col min="2856" max="2858" width="16" style="21" bestFit="1" customWidth="1"/>
    <col min="2859" max="3076" width="9.140625" style="21"/>
    <col min="3077" max="3077" width="32.28515625" style="21" customWidth="1"/>
    <col min="3078" max="3079" width="9.140625" style="21"/>
    <col min="3080" max="3080" width="11.5703125" style="21" customWidth="1"/>
    <col min="3081" max="3081" width="16" style="21" customWidth="1"/>
    <col min="3082" max="3082" width="14.28515625" style="21" customWidth="1"/>
    <col min="3083" max="3083" width="17.7109375" style="21" customWidth="1"/>
    <col min="3084" max="3084" width="15.28515625" style="21" customWidth="1"/>
    <col min="3085" max="3085" width="13.7109375" style="21" customWidth="1"/>
    <col min="3086" max="3087" width="12.140625" style="21" customWidth="1"/>
    <col min="3088" max="3088" width="14.28515625" style="21" customWidth="1"/>
    <col min="3089" max="3091" width="12.140625" style="21" customWidth="1"/>
    <col min="3092" max="3092" width="0" style="21" hidden="1" customWidth="1"/>
    <col min="3093" max="3093" width="13.7109375" style="21" customWidth="1"/>
    <col min="3094" max="3094" width="12.85546875" style="21" customWidth="1"/>
    <col min="3095" max="3111" width="14.42578125" style="21" customWidth="1"/>
    <col min="3112" max="3114" width="16" style="21" bestFit="1" customWidth="1"/>
    <col min="3115" max="3332" width="9.140625" style="21"/>
    <col min="3333" max="3333" width="32.28515625" style="21" customWidth="1"/>
    <col min="3334" max="3335" width="9.140625" style="21"/>
    <col min="3336" max="3336" width="11.5703125" style="21" customWidth="1"/>
    <col min="3337" max="3337" width="16" style="21" customWidth="1"/>
    <col min="3338" max="3338" width="14.28515625" style="21" customWidth="1"/>
    <col min="3339" max="3339" width="17.7109375" style="21" customWidth="1"/>
    <col min="3340" max="3340" width="15.28515625" style="21" customWidth="1"/>
    <col min="3341" max="3341" width="13.7109375" style="21" customWidth="1"/>
    <col min="3342" max="3343" width="12.140625" style="21" customWidth="1"/>
    <col min="3344" max="3344" width="14.28515625" style="21" customWidth="1"/>
    <col min="3345" max="3347" width="12.140625" style="21" customWidth="1"/>
    <col min="3348" max="3348" width="0" style="21" hidden="1" customWidth="1"/>
    <col min="3349" max="3349" width="13.7109375" style="21" customWidth="1"/>
    <col min="3350" max="3350" width="12.85546875" style="21" customWidth="1"/>
    <col min="3351" max="3367" width="14.42578125" style="21" customWidth="1"/>
    <col min="3368" max="3370" width="16" style="21" bestFit="1" customWidth="1"/>
    <col min="3371" max="3588" width="9.140625" style="21"/>
    <col min="3589" max="3589" width="32.28515625" style="21" customWidth="1"/>
    <col min="3590" max="3591" width="9.140625" style="21"/>
    <col min="3592" max="3592" width="11.5703125" style="21" customWidth="1"/>
    <col min="3593" max="3593" width="16" style="21" customWidth="1"/>
    <col min="3594" max="3594" width="14.28515625" style="21" customWidth="1"/>
    <col min="3595" max="3595" width="17.7109375" style="21" customWidth="1"/>
    <col min="3596" max="3596" width="15.28515625" style="21" customWidth="1"/>
    <col min="3597" max="3597" width="13.7109375" style="21" customWidth="1"/>
    <col min="3598" max="3599" width="12.140625" style="21" customWidth="1"/>
    <col min="3600" max="3600" width="14.28515625" style="21" customWidth="1"/>
    <col min="3601" max="3603" width="12.140625" style="21" customWidth="1"/>
    <col min="3604" max="3604" width="0" style="21" hidden="1" customWidth="1"/>
    <col min="3605" max="3605" width="13.7109375" style="21" customWidth="1"/>
    <col min="3606" max="3606" width="12.85546875" style="21" customWidth="1"/>
    <col min="3607" max="3623" width="14.42578125" style="21" customWidth="1"/>
    <col min="3624" max="3626" width="16" style="21" bestFit="1" customWidth="1"/>
    <col min="3627" max="3844" width="9.140625" style="21"/>
    <col min="3845" max="3845" width="32.28515625" style="21" customWidth="1"/>
    <col min="3846" max="3847" width="9.140625" style="21"/>
    <col min="3848" max="3848" width="11.5703125" style="21" customWidth="1"/>
    <col min="3849" max="3849" width="16" style="21" customWidth="1"/>
    <col min="3850" max="3850" width="14.28515625" style="21" customWidth="1"/>
    <col min="3851" max="3851" width="17.7109375" style="21" customWidth="1"/>
    <col min="3852" max="3852" width="15.28515625" style="21" customWidth="1"/>
    <col min="3853" max="3853" width="13.7109375" style="21" customWidth="1"/>
    <col min="3854" max="3855" width="12.140625" style="21" customWidth="1"/>
    <col min="3856" max="3856" width="14.28515625" style="21" customWidth="1"/>
    <col min="3857" max="3859" width="12.140625" style="21" customWidth="1"/>
    <col min="3860" max="3860" width="0" style="21" hidden="1" customWidth="1"/>
    <col min="3861" max="3861" width="13.7109375" style="21" customWidth="1"/>
    <col min="3862" max="3862" width="12.85546875" style="21" customWidth="1"/>
    <col min="3863" max="3879" width="14.42578125" style="21" customWidth="1"/>
    <col min="3880" max="3882" width="16" style="21" bestFit="1" customWidth="1"/>
    <col min="3883" max="4100" width="9.140625" style="21"/>
    <col min="4101" max="4101" width="32.28515625" style="21" customWidth="1"/>
    <col min="4102" max="4103" width="9.140625" style="21"/>
    <col min="4104" max="4104" width="11.5703125" style="21" customWidth="1"/>
    <col min="4105" max="4105" width="16" style="21" customWidth="1"/>
    <col min="4106" max="4106" width="14.28515625" style="21" customWidth="1"/>
    <col min="4107" max="4107" width="17.7109375" style="21" customWidth="1"/>
    <col min="4108" max="4108" width="15.28515625" style="21" customWidth="1"/>
    <col min="4109" max="4109" width="13.7109375" style="21" customWidth="1"/>
    <col min="4110" max="4111" width="12.140625" style="21" customWidth="1"/>
    <col min="4112" max="4112" width="14.28515625" style="21" customWidth="1"/>
    <col min="4113" max="4115" width="12.140625" style="21" customWidth="1"/>
    <col min="4116" max="4116" width="0" style="21" hidden="1" customWidth="1"/>
    <col min="4117" max="4117" width="13.7109375" style="21" customWidth="1"/>
    <col min="4118" max="4118" width="12.85546875" style="21" customWidth="1"/>
    <col min="4119" max="4135" width="14.42578125" style="21" customWidth="1"/>
    <col min="4136" max="4138" width="16" style="21" bestFit="1" customWidth="1"/>
    <col min="4139" max="4356" width="9.140625" style="21"/>
    <col min="4357" max="4357" width="32.28515625" style="21" customWidth="1"/>
    <col min="4358" max="4359" width="9.140625" style="21"/>
    <col min="4360" max="4360" width="11.5703125" style="21" customWidth="1"/>
    <col min="4361" max="4361" width="16" style="21" customWidth="1"/>
    <col min="4362" max="4362" width="14.28515625" style="21" customWidth="1"/>
    <col min="4363" max="4363" width="17.7109375" style="21" customWidth="1"/>
    <col min="4364" max="4364" width="15.28515625" style="21" customWidth="1"/>
    <col min="4365" max="4365" width="13.7109375" style="21" customWidth="1"/>
    <col min="4366" max="4367" width="12.140625" style="21" customWidth="1"/>
    <col min="4368" max="4368" width="14.28515625" style="21" customWidth="1"/>
    <col min="4369" max="4371" width="12.140625" style="21" customWidth="1"/>
    <col min="4372" max="4372" width="0" style="21" hidden="1" customWidth="1"/>
    <col min="4373" max="4373" width="13.7109375" style="21" customWidth="1"/>
    <col min="4374" max="4374" width="12.85546875" style="21" customWidth="1"/>
    <col min="4375" max="4391" width="14.42578125" style="21" customWidth="1"/>
    <col min="4392" max="4394" width="16" style="21" bestFit="1" customWidth="1"/>
    <col min="4395" max="4612" width="9.140625" style="21"/>
    <col min="4613" max="4613" width="32.28515625" style="21" customWidth="1"/>
    <col min="4614" max="4615" width="9.140625" style="21"/>
    <col min="4616" max="4616" width="11.5703125" style="21" customWidth="1"/>
    <col min="4617" max="4617" width="16" style="21" customWidth="1"/>
    <col min="4618" max="4618" width="14.28515625" style="21" customWidth="1"/>
    <col min="4619" max="4619" width="17.7109375" style="21" customWidth="1"/>
    <col min="4620" max="4620" width="15.28515625" style="21" customWidth="1"/>
    <col min="4621" max="4621" width="13.7109375" style="21" customWidth="1"/>
    <col min="4622" max="4623" width="12.140625" style="21" customWidth="1"/>
    <col min="4624" max="4624" width="14.28515625" style="21" customWidth="1"/>
    <col min="4625" max="4627" width="12.140625" style="21" customWidth="1"/>
    <col min="4628" max="4628" width="0" style="21" hidden="1" customWidth="1"/>
    <col min="4629" max="4629" width="13.7109375" style="21" customWidth="1"/>
    <col min="4630" max="4630" width="12.85546875" style="21" customWidth="1"/>
    <col min="4631" max="4647" width="14.42578125" style="21" customWidth="1"/>
    <col min="4648" max="4650" width="16" style="21" bestFit="1" customWidth="1"/>
    <col min="4651" max="4868" width="9.140625" style="21"/>
    <col min="4869" max="4869" width="32.28515625" style="21" customWidth="1"/>
    <col min="4870" max="4871" width="9.140625" style="21"/>
    <col min="4872" max="4872" width="11.5703125" style="21" customWidth="1"/>
    <col min="4873" max="4873" width="16" style="21" customWidth="1"/>
    <col min="4874" max="4874" width="14.28515625" style="21" customWidth="1"/>
    <col min="4875" max="4875" width="17.7109375" style="21" customWidth="1"/>
    <col min="4876" max="4876" width="15.28515625" style="21" customWidth="1"/>
    <col min="4877" max="4877" width="13.7109375" style="21" customWidth="1"/>
    <col min="4878" max="4879" width="12.140625" style="21" customWidth="1"/>
    <col min="4880" max="4880" width="14.28515625" style="21" customWidth="1"/>
    <col min="4881" max="4883" width="12.140625" style="21" customWidth="1"/>
    <col min="4884" max="4884" width="0" style="21" hidden="1" customWidth="1"/>
    <col min="4885" max="4885" width="13.7109375" style="21" customWidth="1"/>
    <col min="4886" max="4886" width="12.85546875" style="21" customWidth="1"/>
    <col min="4887" max="4903" width="14.42578125" style="21" customWidth="1"/>
    <col min="4904" max="4906" width="16" style="21" bestFit="1" customWidth="1"/>
    <col min="4907" max="5124" width="9.140625" style="21"/>
    <col min="5125" max="5125" width="32.28515625" style="21" customWidth="1"/>
    <col min="5126" max="5127" width="9.140625" style="21"/>
    <col min="5128" max="5128" width="11.5703125" style="21" customWidth="1"/>
    <col min="5129" max="5129" width="16" style="21" customWidth="1"/>
    <col min="5130" max="5130" width="14.28515625" style="21" customWidth="1"/>
    <col min="5131" max="5131" width="17.7109375" style="21" customWidth="1"/>
    <col min="5132" max="5132" width="15.28515625" style="21" customWidth="1"/>
    <col min="5133" max="5133" width="13.7109375" style="21" customWidth="1"/>
    <col min="5134" max="5135" width="12.140625" style="21" customWidth="1"/>
    <col min="5136" max="5136" width="14.28515625" style="21" customWidth="1"/>
    <col min="5137" max="5139" width="12.140625" style="21" customWidth="1"/>
    <col min="5140" max="5140" width="0" style="21" hidden="1" customWidth="1"/>
    <col min="5141" max="5141" width="13.7109375" style="21" customWidth="1"/>
    <col min="5142" max="5142" width="12.85546875" style="21" customWidth="1"/>
    <col min="5143" max="5159" width="14.42578125" style="21" customWidth="1"/>
    <col min="5160" max="5162" width="16" style="21" bestFit="1" customWidth="1"/>
    <col min="5163" max="5380" width="9.140625" style="21"/>
    <col min="5381" max="5381" width="32.28515625" style="21" customWidth="1"/>
    <col min="5382" max="5383" width="9.140625" style="21"/>
    <col min="5384" max="5384" width="11.5703125" style="21" customWidth="1"/>
    <col min="5385" max="5385" width="16" style="21" customWidth="1"/>
    <col min="5386" max="5386" width="14.28515625" style="21" customWidth="1"/>
    <col min="5387" max="5387" width="17.7109375" style="21" customWidth="1"/>
    <col min="5388" max="5388" width="15.28515625" style="21" customWidth="1"/>
    <col min="5389" max="5389" width="13.7109375" style="21" customWidth="1"/>
    <col min="5390" max="5391" width="12.140625" style="21" customWidth="1"/>
    <col min="5392" max="5392" width="14.28515625" style="21" customWidth="1"/>
    <col min="5393" max="5395" width="12.140625" style="21" customWidth="1"/>
    <col min="5396" max="5396" width="0" style="21" hidden="1" customWidth="1"/>
    <col min="5397" max="5397" width="13.7109375" style="21" customWidth="1"/>
    <col min="5398" max="5398" width="12.85546875" style="21" customWidth="1"/>
    <col min="5399" max="5415" width="14.42578125" style="21" customWidth="1"/>
    <col min="5416" max="5418" width="16" style="21" bestFit="1" customWidth="1"/>
    <col min="5419" max="5636" width="9.140625" style="21"/>
    <col min="5637" max="5637" width="32.28515625" style="21" customWidth="1"/>
    <col min="5638" max="5639" width="9.140625" style="21"/>
    <col min="5640" max="5640" width="11.5703125" style="21" customWidth="1"/>
    <col min="5641" max="5641" width="16" style="21" customWidth="1"/>
    <col min="5642" max="5642" width="14.28515625" style="21" customWidth="1"/>
    <col min="5643" max="5643" width="17.7109375" style="21" customWidth="1"/>
    <col min="5644" max="5644" width="15.28515625" style="21" customWidth="1"/>
    <col min="5645" max="5645" width="13.7109375" style="21" customWidth="1"/>
    <col min="5646" max="5647" width="12.140625" style="21" customWidth="1"/>
    <col min="5648" max="5648" width="14.28515625" style="21" customWidth="1"/>
    <col min="5649" max="5651" width="12.140625" style="21" customWidth="1"/>
    <col min="5652" max="5652" width="0" style="21" hidden="1" customWidth="1"/>
    <col min="5653" max="5653" width="13.7109375" style="21" customWidth="1"/>
    <col min="5654" max="5654" width="12.85546875" style="21" customWidth="1"/>
    <col min="5655" max="5671" width="14.42578125" style="21" customWidth="1"/>
    <col min="5672" max="5674" width="16" style="21" bestFit="1" customWidth="1"/>
    <col min="5675" max="5892" width="9.140625" style="21"/>
    <col min="5893" max="5893" width="32.28515625" style="21" customWidth="1"/>
    <col min="5894" max="5895" width="9.140625" style="21"/>
    <col min="5896" max="5896" width="11.5703125" style="21" customWidth="1"/>
    <col min="5897" max="5897" width="16" style="21" customWidth="1"/>
    <col min="5898" max="5898" width="14.28515625" style="21" customWidth="1"/>
    <col min="5899" max="5899" width="17.7109375" style="21" customWidth="1"/>
    <col min="5900" max="5900" width="15.28515625" style="21" customWidth="1"/>
    <col min="5901" max="5901" width="13.7109375" style="21" customWidth="1"/>
    <col min="5902" max="5903" width="12.140625" style="21" customWidth="1"/>
    <col min="5904" max="5904" width="14.28515625" style="21" customWidth="1"/>
    <col min="5905" max="5907" width="12.140625" style="21" customWidth="1"/>
    <col min="5908" max="5908" width="0" style="21" hidden="1" customWidth="1"/>
    <col min="5909" max="5909" width="13.7109375" style="21" customWidth="1"/>
    <col min="5910" max="5910" width="12.85546875" style="21" customWidth="1"/>
    <col min="5911" max="5927" width="14.42578125" style="21" customWidth="1"/>
    <col min="5928" max="5930" width="16" style="21" bestFit="1" customWidth="1"/>
    <col min="5931" max="6148" width="9.140625" style="21"/>
    <col min="6149" max="6149" width="32.28515625" style="21" customWidth="1"/>
    <col min="6150" max="6151" width="9.140625" style="21"/>
    <col min="6152" max="6152" width="11.5703125" style="21" customWidth="1"/>
    <col min="6153" max="6153" width="16" style="21" customWidth="1"/>
    <col min="6154" max="6154" width="14.28515625" style="21" customWidth="1"/>
    <col min="6155" max="6155" width="17.7109375" style="21" customWidth="1"/>
    <col min="6156" max="6156" width="15.28515625" style="21" customWidth="1"/>
    <col min="6157" max="6157" width="13.7109375" style="21" customWidth="1"/>
    <col min="6158" max="6159" width="12.140625" style="21" customWidth="1"/>
    <col min="6160" max="6160" width="14.28515625" style="21" customWidth="1"/>
    <col min="6161" max="6163" width="12.140625" style="21" customWidth="1"/>
    <col min="6164" max="6164" width="0" style="21" hidden="1" customWidth="1"/>
    <col min="6165" max="6165" width="13.7109375" style="21" customWidth="1"/>
    <col min="6166" max="6166" width="12.85546875" style="21" customWidth="1"/>
    <col min="6167" max="6183" width="14.42578125" style="21" customWidth="1"/>
    <col min="6184" max="6186" width="16" style="21" bestFit="1" customWidth="1"/>
    <col min="6187" max="6404" width="9.140625" style="21"/>
    <col min="6405" max="6405" width="32.28515625" style="21" customWidth="1"/>
    <col min="6406" max="6407" width="9.140625" style="21"/>
    <col min="6408" max="6408" width="11.5703125" style="21" customWidth="1"/>
    <col min="6409" max="6409" width="16" style="21" customWidth="1"/>
    <col min="6410" max="6410" width="14.28515625" style="21" customWidth="1"/>
    <col min="6411" max="6411" width="17.7109375" style="21" customWidth="1"/>
    <col min="6412" max="6412" width="15.28515625" style="21" customWidth="1"/>
    <col min="6413" max="6413" width="13.7109375" style="21" customWidth="1"/>
    <col min="6414" max="6415" width="12.140625" style="21" customWidth="1"/>
    <col min="6416" max="6416" width="14.28515625" style="21" customWidth="1"/>
    <col min="6417" max="6419" width="12.140625" style="21" customWidth="1"/>
    <col min="6420" max="6420" width="0" style="21" hidden="1" customWidth="1"/>
    <col min="6421" max="6421" width="13.7109375" style="21" customWidth="1"/>
    <col min="6422" max="6422" width="12.85546875" style="21" customWidth="1"/>
    <col min="6423" max="6439" width="14.42578125" style="21" customWidth="1"/>
    <col min="6440" max="6442" width="16" style="21" bestFit="1" customWidth="1"/>
    <col min="6443" max="6660" width="9.140625" style="21"/>
    <col min="6661" max="6661" width="32.28515625" style="21" customWidth="1"/>
    <col min="6662" max="6663" width="9.140625" style="21"/>
    <col min="6664" max="6664" width="11.5703125" style="21" customWidth="1"/>
    <col min="6665" max="6665" width="16" style="21" customWidth="1"/>
    <col min="6666" max="6666" width="14.28515625" style="21" customWidth="1"/>
    <col min="6667" max="6667" width="17.7109375" style="21" customWidth="1"/>
    <col min="6668" max="6668" width="15.28515625" style="21" customWidth="1"/>
    <col min="6669" max="6669" width="13.7109375" style="21" customWidth="1"/>
    <col min="6670" max="6671" width="12.140625" style="21" customWidth="1"/>
    <col min="6672" max="6672" width="14.28515625" style="21" customWidth="1"/>
    <col min="6673" max="6675" width="12.140625" style="21" customWidth="1"/>
    <col min="6676" max="6676" width="0" style="21" hidden="1" customWidth="1"/>
    <col min="6677" max="6677" width="13.7109375" style="21" customWidth="1"/>
    <col min="6678" max="6678" width="12.85546875" style="21" customWidth="1"/>
    <col min="6679" max="6695" width="14.42578125" style="21" customWidth="1"/>
    <col min="6696" max="6698" width="16" style="21" bestFit="1" customWidth="1"/>
    <col min="6699" max="6916" width="9.140625" style="21"/>
    <col min="6917" max="6917" width="32.28515625" style="21" customWidth="1"/>
    <col min="6918" max="6919" width="9.140625" style="21"/>
    <col min="6920" max="6920" width="11.5703125" style="21" customWidth="1"/>
    <col min="6921" max="6921" width="16" style="21" customWidth="1"/>
    <col min="6922" max="6922" width="14.28515625" style="21" customWidth="1"/>
    <col min="6923" max="6923" width="17.7109375" style="21" customWidth="1"/>
    <col min="6924" max="6924" width="15.28515625" style="21" customWidth="1"/>
    <col min="6925" max="6925" width="13.7109375" style="21" customWidth="1"/>
    <col min="6926" max="6927" width="12.140625" style="21" customWidth="1"/>
    <col min="6928" max="6928" width="14.28515625" style="21" customWidth="1"/>
    <col min="6929" max="6931" width="12.140625" style="21" customWidth="1"/>
    <col min="6932" max="6932" width="0" style="21" hidden="1" customWidth="1"/>
    <col min="6933" max="6933" width="13.7109375" style="21" customWidth="1"/>
    <col min="6934" max="6934" width="12.85546875" style="21" customWidth="1"/>
    <col min="6935" max="6951" width="14.42578125" style="21" customWidth="1"/>
    <col min="6952" max="6954" width="16" style="21" bestFit="1" customWidth="1"/>
    <col min="6955" max="7172" width="9.140625" style="21"/>
    <col min="7173" max="7173" width="32.28515625" style="21" customWidth="1"/>
    <col min="7174" max="7175" width="9.140625" style="21"/>
    <col min="7176" max="7176" width="11.5703125" style="21" customWidth="1"/>
    <col min="7177" max="7177" width="16" style="21" customWidth="1"/>
    <col min="7178" max="7178" width="14.28515625" style="21" customWidth="1"/>
    <col min="7179" max="7179" width="17.7109375" style="21" customWidth="1"/>
    <col min="7180" max="7180" width="15.28515625" style="21" customWidth="1"/>
    <col min="7181" max="7181" width="13.7109375" style="21" customWidth="1"/>
    <col min="7182" max="7183" width="12.140625" style="21" customWidth="1"/>
    <col min="7184" max="7184" width="14.28515625" style="21" customWidth="1"/>
    <col min="7185" max="7187" width="12.140625" style="21" customWidth="1"/>
    <col min="7188" max="7188" width="0" style="21" hidden="1" customWidth="1"/>
    <col min="7189" max="7189" width="13.7109375" style="21" customWidth="1"/>
    <col min="7190" max="7190" width="12.85546875" style="21" customWidth="1"/>
    <col min="7191" max="7207" width="14.42578125" style="21" customWidth="1"/>
    <col min="7208" max="7210" width="16" style="21" bestFit="1" customWidth="1"/>
    <col min="7211" max="7428" width="9.140625" style="21"/>
    <col min="7429" max="7429" width="32.28515625" style="21" customWidth="1"/>
    <col min="7430" max="7431" width="9.140625" style="21"/>
    <col min="7432" max="7432" width="11.5703125" style="21" customWidth="1"/>
    <col min="7433" max="7433" width="16" style="21" customWidth="1"/>
    <col min="7434" max="7434" width="14.28515625" style="21" customWidth="1"/>
    <col min="7435" max="7435" width="17.7109375" style="21" customWidth="1"/>
    <col min="7436" max="7436" width="15.28515625" style="21" customWidth="1"/>
    <col min="7437" max="7437" width="13.7109375" style="21" customWidth="1"/>
    <col min="7438" max="7439" width="12.140625" style="21" customWidth="1"/>
    <col min="7440" max="7440" width="14.28515625" style="21" customWidth="1"/>
    <col min="7441" max="7443" width="12.140625" style="21" customWidth="1"/>
    <col min="7444" max="7444" width="0" style="21" hidden="1" customWidth="1"/>
    <col min="7445" max="7445" width="13.7109375" style="21" customWidth="1"/>
    <col min="7446" max="7446" width="12.85546875" style="21" customWidth="1"/>
    <col min="7447" max="7463" width="14.42578125" style="21" customWidth="1"/>
    <col min="7464" max="7466" width="16" style="21" bestFit="1" customWidth="1"/>
    <col min="7467" max="7684" width="9.140625" style="21"/>
    <col min="7685" max="7685" width="32.28515625" style="21" customWidth="1"/>
    <col min="7686" max="7687" width="9.140625" style="21"/>
    <col min="7688" max="7688" width="11.5703125" style="21" customWidth="1"/>
    <col min="7689" max="7689" width="16" style="21" customWidth="1"/>
    <col min="7690" max="7690" width="14.28515625" style="21" customWidth="1"/>
    <col min="7691" max="7691" width="17.7109375" style="21" customWidth="1"/>
    <col min="7692" max="7692" width="15.28515625" style="21" customWidth="1"/>
    <col min="7693" max="7693" width="13.7109375" style="21" customWidth="1"/>
    <col min="7694" max="7695" width="12.140625" style="21" customWidth="1"/>
    <col min="7696" max="7696" width="14.28515625" style="21" customWidth="1"/>
    <col min="7697" max="7699" width="12.140625" style="21" customWidth="1"/>
    <col min="7700" max="7700" width="0" style="21" hidden="1" customWidth="1"/>
    <col min="7701" max="7701" width="13.7109375" style="21" customWidth="1"/>
    <col min="7702" max="7702" width="12.85546875" style="21" customWidth="1"/>
    <col min="7703" max="7719" width="14.42578125" style="21" customWidth="1"/>
    <col min="7720" max="7722" width="16" style="21" bestFit="1" customWidth="1"/>
    <col min="7723" max="7940" width="9.140625" style="21"/>
    <col min="7941" max="7941" width="32.28515625" style="21" customWidth="1"/>
    <col min="7942" max="7943" width="9.140625" style="21"/>
    <col min="7944" max="7944" width="11.5703125" style="21" customWidth="1"/>
    <col min="7945" max="7945" width="16" style="21" customWidth="1"/>
    <col min="7946" max="7946" width="14.28515625" style="21" customWidth="1"/>
    <col min="7947" max="7947" width="17.7109375" style="21" customWidth="1"/>
    <col min="7948" max="7948" width="15.28515625" style="21" customWidth="1"/>
    <col min="7949" max="7949" width="13.7109375" style="21" customWidth="1"/>
    <col min="7950" max="7951" width="12.140625" style="21" customWidth="1"/>
    <col min="7952" max="7952" width="14.28515625" style="21" customWidth="1"/>
    <col min="7953" max="7955" width="12.140625" style="21" customWidth="1"/>
    <col min="7956" max="7956" width="0" style="21" hidden="1" customWidth="1"/>
    <col min="7957" max="7957" width="13.7109375" style="21" customWidth="1"/>
    <col min="7958" max="7958" width="12.85546875" style="21" customWidth="1"/>
    <col min="7959" max="7975" width="14.42578125" style="21" customWidth="1"/>
    <col min="7976" max="7978" width="16" style="21" bestFit="1" customWidth="1"/>
    <col min="7979" max="8196" width="9.140625" style="21"/>
    <col min="8197" max="8197" width="32.28515625" style="21" customWidth="1"/>
    <col min="8198" max="8199" width="9.140625" style="21"/>
    <col min="8200" max="8200" width="11.5703125" style="21" customWidth="1"/>
    <col min="8201" max="8201" width="16" style="21" customWidth="1"/>
    <col min="8202" max="8202" width="14.28515625" style="21" customWidth="1"/>
    <col min="8203" max="8203" width="17.7109375" style="21" customWidth="1"/>
    <col min="8204" max="8204" width="15.28515625" style="21" customWidth="1"/>
    <col min="8205" max="8205" width="13.7109375" style="21" customWidth="1"/>
    <col min="8206" max="8207" width="12.140625" style="21" customWidth="1"/>
    <col min="8208" max="8208" width="14.28515625" style="21" customWidth="1"/>
    <col min="8209" max="8211" width="12.140625" style="21" customWidth="1"/>
    <col min="8212" max="8212" width="0" style="21" hidden="1" customWidth="1"/>
    <col min="8213" max="8213" width="13.7109375" style="21" customWidth="1"/>
    <col min="8214" max="8214" width="12.85546875" style="21" customWidth="1"/>
    <col min="8215" max="8231" width="14.42578125" style="21" customWidth="1"/>
    <col min="8232" max="8234" width="16" style="21" bestFit="1" customWidth="1"/>
    <col min="8235" max="8452" width="9.140625" style="21"/>
    <col min="8453" max="8453" width="32.28515625" style="21" customWidth="1"/>
    <col min="8454" max="8455" width="9.140625" style="21"/>
    <col min="8456" max="8456" width="11.5703125" style="21" customWidth="1"/>
    <col min="8457" max="8457" width="16" style="21" customWidth="1"/>
    <col min="8458" max="8458" width="14.28515625" style="21" customWidth="1"/>
    <col min="8459" max="8459" width="17.7109375" style="21" customWidth="1"/>
    <col min="8460" max="8460" width="15.28515625" style="21" customWidth="1"/>
    <col min="8461" max="8461" width="13.7109375" style="21" customWidth="1"/>
    <col min="8462" max="8463" width="12.140625" style="21" customWidth="1"/>
    <col min="8464" max="8464" width="14.28515625" style="21" customWidth="1"/>
    <col min="8465" max="8467" width="12.140625" style="21" customWidth="1"/>
    <col min="8468" max="8468" width="0" style="21" hidden="1" customWidth="1"/>
    <col min="8469" max="8469" width="13.7109375" style="21" customWidth="1"/>
    <col min="8470" max="8470" width="12.85546875" style="21" customWidth="1"/>
    <col min="8471" max="8487" width="14.42578125" style="21" customWidth="1"/>
    <col min="8488" max="8490" width="16" style="21" bestFit="1" customWidth="1"/>
    <col min="8491" max="8708" width="9.140625" style="21"/>
    <col min="8709" max="8709" width="32.28515625" style="21" customWidth="1"/>
    <col min="8710" max="8711" width="9.140625" style="21"/>
    <col min="8712" max="8712" width="11.5703125" style="21" customWidth="1"/>
    <col min="8713" max="8713" width="16" style="21" customWidth="1"/>
    <col min="8714" max="8714" width="14.28515625" style="21" customWidth="1"/>
    <col min="8715" max="8715" width="17.7109375" style="21" customWidth="1"/>
    <col min="8716" max="8716" width="15.28515625" style="21" customWidth="1"/>
    <col min="8717" max="8717" width="13.7109375" style="21" customWidth="1"/>
    <col min="8718" max="8719" width="12.140625" style="21" customWidth="1"/>
    <col min="8720" max="8720" width="14.28515625" style="21" customWidth="1"/>
    <col min="8721" max="8723" width="12.140625" style="21" customWidth="1"/>
    <col min="8724" max="8724" width="0" style="21" hidden="1" customWidth="1"/>
    <col min="8725" max="8725" width="13.7109375" style="21" customWidth="1"/>
    <col min="8726" max="8726" width="12.85546875" style="21" customWidth="1"/>
    <col min="8727" max="8743" width="14.42578125" style="21" customWidth="1"/>
    <col min="8744" max="8746" width="16" style="21" bestFit="1" customWidth="1"/>
    <col min="8747" max="8964" width="9.140625" style="21"/>
    <col min="8965" max="8965" width="32.28515625" style="21" customWidth="1"/>
    <col min="8966" max="8967" width="9.140625" style="21"/>
    <col min="8968" max="8968" width="11.5703125" style="21" customWidth="1"/>
    <col min="8969" max="8969" width="16" style="21" customWidth="1"/>
    <col min="8970" max="8970" width="14.28515625" style="21" customWidth="1"/>
    <col min="8971" max="8971" width="17.7109375" style="21" customWidth="1"/>
    <col min="8972" max="8972" width="15.28515625" style="21" customWidth="1"/>
    <col min="8973" max="8973" width="13.7109375" style="21" customWidth="1"/>
    <col min="8974" max="8975" width="12.140625" style="21" customWidth="1"/>
    <col min="8976" max="8976" width="14.28515625" style="21" customWidth="1"/>
    <col min="8977" max="8979" width="12.140625" style="21" customWidth="1"/>
    <col min="8980" max="8980" width="0" style="21" hidden="1" customWidth="1"/>
    <col min="8981" max="8981" width="13.7109375" style="21" customWidth="1"/>
    <col min="8982" max="8982" width="12.85546875" style="21" customWidth="1"/>
    <col min="8983" max="8999" width="14.42578125" style="21" customWidth="1"/>
    <col min="9000" max="9002" width="16" style="21" bestFit="1" customWidth="1"/>
    <col min="9003" max="9220" width="9.140625" style="21"/>
    <col min="9221" max="9221" width="32.28515625" style="21" customWidth="1"/>
    <col min="9222" max="9223" width="9.140625" style="21"/>
    <col min="9224" max="9224" width="11.5703125" style="21" customWidth="1"/>
    <col min="9225" max="9225" width="16" style="21" customWidth="1"/>
    <col min="9226" max="9226" width="14.28515625" style="21" customWidth="1"/>
    <col min="9227" max="9227" width="17.7109375" style="21" customWidth="1"/>
    <col min="9228" max="9228" width="15.28515625" style="21" customWidth="1"/>
    <col min="9229" max="9229" width="13.7109375" style="21" customWidth="1"/>
    <col min="9230" max="9231" width="12.140625" style="21" customWidth="1"/>
    <col min="9232" max="9232" width="14.28515625" style="21" customWidth="1"/>
    <col min="9233" max="9235" width="12.140625" style="21" customWidth="1"/>
    <col min="9236" max="9236" width="0" style="21" hidden="1" customWidth="1"/>
    <col min="9237" max="9237" width="13.7109375" style="21" customWidth="1"/>
    <col min="9238" max="9238" width="12.85546875" style="21" customWidth="1"/>
    <col min="9239" max="9255" width="14.42578125" style="21" customWidth="1"/>
    <col min="9256" max="9258" width="16" style="21" bestFit="1" customWidth="1"/>
    <col min="9259" max="9476" width="9.140625" style="21"/>
    <col min="9477" max="9477" width="32.28515625" style="21" customWidth="1"/>
    <col min="9478" max="9479" width="9.140625" style="21"/>
    <col min="9480" max="9480" width="11.5703125" style="21" customWidth="1"/>
    <col min="9481" max="9481" width="16" style="21" customWidth="1"/>
    <col min="9482" max="9482" width="14.28515625" style="21" customWidth="1"/>
    <col min="9483" max="9483" width="17.7109375" style="21" customWidth="1"/>
    <col min="9484" max="9484" width="15.28515625" style="21" customWidth="1"/>
    <col min="9485" max="9485" width="13.7109375" style="21" customWidth="1"/>
    <col min="9486" max="9487" width="12.140625" style="21" customWidth="1"/>
    <col min="9488" max="9488" width="14.28515625" style="21" customWidth="1"/>
    <col min="9489" max="9491" width="12.140625" style="21" customWidth="1"/>
    <col min="9492" max="9492" width="0" style="21" hidden="1" customWidth="1"/>
    <col min="9493" max="9493" width="13.7109375" style="21" customWidth="1"/>
    <col min="9494" max="9494" width="12.85546875" style="21" customWidth="1"/>
    <col min="9495" max="9511" width="14.42578125" style="21" customWidth="1"/>
    <col min="9512" max="9514" width="16" style="21" bestFit="1" customWidth="1"/>
    <col min="9515" max="9732" width="9.140625" style="21"/>
    <col min="9733" max="9733" width="32.28515625" style="21" customWidth="1"/>
    <col min="9734" max="9735" width="9.140625" style="21"/>
    <col min="9736" max="9736" width="11.5703125" style="21" customWidth="1"/>
    <col min="9737" max="9737" width="16" style="21" customWidth="1"/>
    <col min="9738" max="9738" width="14.28515625" style="21" customWidth="1"/>
    <col min="9739" max="9739" width="17.7109375" style="21" customWidth="1"/>
    <col min="9740" max="9740" width="15.28515625" style="21" customWidth="1"/>
    <col min="9741" max="9741" width="13.7109375" style="21" customWidth="1"/>
    <col min="9742" max="9743" width="12.140625" style="21" customWidth="1"/>
    <col min="9744" max="9744" width="14.28515625" style="21" customWidth="1"/>
    <col min="9745" max="9747" width="12.140625" style="21" customWidth="1"/>
    <col min="9748" max="9748" width="0" style="21" hidden="1" customWidth="1"/>
    <col min="9749" max="9749" width="13.7109375" style="21" customWidth="1"/>
    <col min="9750" max="9750" width="12.85546875" style="21" customWidth="1"/>
    <col min="9751" max="9767" width="14.42578125" style="21" customWidth="1"/>
    <col min="9768" max="9770" width="16" style="21" bestFit="1" customWidth="1"/>
    <col min="9771" max="9988" width="9.140625" style="21"/>
    <col min="9989" max="9989" width="32.28515625" style="21" customWidth="1"/>
    <col min="9990" max="9991" width="9.140625" style="21"/>
    <col min="9992" max="9992" width="11.5703125" style="21" customWidth="1"/>
    <col min="9993" max="9993" width="16" style="21" customWidth="1"/>
    <col min="9994" max="9994" width="14.28515625" style="21" customWidth="1"/>
    <col min="9995" max="9995" width="17.7109375" style="21" customWidth="1"/>
    <col min="9996" max="9996" width="15.28515625" style="21" customWidth="1"/>
    <col min="9997" max="9997" width="13.7109375" style="21" customWidth="1"/>
    <col min="9998" max="9999" width="12.140625" style="21" customWidth="1"/>
    <col min="10000" max="10000" width="14.28515625" style="21" customWidth="1"/>
    <col min="10001" max="10003" width="12.140625" style="21" customWidth="1"/>
    <col min="10004" max="10004" width="0" style="21" hidden="1" customWidth="1"/>
    <col min="10005" max="10005" width="13.7109375" style="21" customWidth="1"/>
    <col min="10006" max="10006" width="12.85546875" style="21" customWidth="1"/>
    <col min="10007" max="10023" width="14.42578125" style="21" customWidth="1"/>
    <col min="10024" max="10026" width="16" style="21" bestFit="1" customWidth="1"/>
    <col min="10027" max="10244" width="9.140625" style="21"/>
    <col min="10245" max="10245" width="32.28515625" style="21" customWidth="1"/>
    <col min="10246" max="10247" width="9.140625" style="21"/>
    <col min="10248" max="10248" width="11.5703125" style="21" customWidth="1"/>
    <col min="10249" max="10249" width="16" style="21" customWidth="1"/>
    <col min="10250" max="10250" width="14.28515625" style="21" customWidth="1"/>
    <col min="10251" max="10251" width="17.7109375" style="21" customWidth="1"/>
    <col min="10252" max="10252" width="15.28515625" style="21" customWidth="1"/>
    <col min="10253" max="10253" width="13.7109375" style="21" customWidth="1"/>
    <col min="10254" max="10255" width="12.140625" style="21" customWidth="1"/>
    <col min="10256" max="10256" width="14.28515625" style="21" customWidth="1"/>
    <col min="10257" max="10259" width="12.140625" style="21" customWidth="1"/>
    <col min="10260" max="10260" width="0" style="21" hidden="1" customWidth="1"/>
    <col min="10261" max="10261" width="13.7109375" style="21" customWidth="1"/>
    <col min="10262" max="10262" width="12.85546875" style="21" customWidth="1"/>
    <col min="10263" max="10279" width="14.42578125" style="21" customWidth="1"/>
    <col min="10280" max="10282" width="16" style="21" bestFit="1" customWidth="1"/>
    <col min="10283" max="10500" width="9.140625" style="21"/>
    <col min="10501" max="10501" width="32.28515625" style="21" customWidth="1"/>
    <col min="10502" max="10503" width="9.140625" style="21"/>
    <col min="10504" max="10504" width="11.5703125" style="21" customWidth="1"/>
    <col min="10505" max="10505" width="16" style="21" customWidth="1"/>
    <col min="10506" max="10506" width="14.28515625" style="21" customWidth="1"/>
    <col min="10507" max="10507" width="17.7109375" style="21" customWidth="1"/>
    <col min="10508" max="10508" width="15.28515625" style="21" customWidth="1"/>
    <col min="10509" max="10509" width="13.7109375" style="21" customWidth="1"/>
    <col min="10510" max="10511" width="12.140625" style="21" customWidth="1"/>
    <col min="10512" max="10512" width="14.28515625" style="21" customWidth="1"/>
    <col min="10513" max="10515" width="12.140625" style="21" customWidth="1"/>
    <col min="10516" max="10516" width="0" style="21" hidden="1" customWidth="1"/>
    <col min="10517" max="10517" width="13.7109375" style="21" customWidth="1"/>
    <col min="10518" max="10518" width="12.85546875" style="21" customWidth="1"/>
    <col min="10519" max="10535" width="14.42578125" style="21" customWidth="1"/>
    <col min="10536" max="10538" width="16" style="21" bestFit="1" customWidth="1"/>
    <col min="10539" max="10756" width="9.140625" style="21"/>
    <col min="10757" max="10757" width="32.28515625" style="21" customWidth="1"/>
    <col min="10758" max="10759" width="9.140625" style="21"/>
    <col min="10760" max="10760" width="11.5703125" style="21" customWidth="1"/>
    <col min="10761" max="10761" width="16" style="21" customWidth="1"/>
    <col min="10762" max="10762" width="14.28515625" style="21" customWidth="1"/>
    <col min="10763" max="10763" width="17.7109375" style="21" customWidth="1"/>
    <col min="10764" max="10764" width="15.28515625" style="21" customWidth="1"/>
    <col min="10765" max="10765" width="13.7109375" style="21" customWidth="1"/>
    <col min="10766" max="10767" width="12.140625" style="21" customWidth="1"/>
    <col min="10768" max="10768" width="14.28515625" style="21" customWidth="1"/>
    <col min="10769" max="10771" width="12.140625" style="21" customWidth="1"/>
    <col min="10772" max="10772" width="0" style="21" hidden="1" customWidth="1"/>
    <col min="10773" max="10773" width="13.7109375" style="21" customWidth="1"/>
    <col min="10774" max="10774" width="12.85546875" style="21" customWidth="1"/>
    <col min="10775" max="10791" width="14.42578125" style="21" customWidth="1"/>
    <col min="10792" max="10794" width="16" style="21" bestFit="1" customWidth="1"/>
    <col min="10795" max="11012" width="9.140625" style="21"/>
    <col min="11013" max="11013" width="32.28515625" style="21" customWidth="1"/>
    <col min="11014" max="11015" width="9.140625" style="21"/>
    <col min="11016" max="11016" width="11.5703125" style="21" customWidth="1"/>
    <col min="11017" max="11017" width="16" style="21" customWidth="1"/>
    <col min="11018" max="11018" width="14.28515625" style="21" customWidth="1"/>
    <col min="11019" max="11019" width="17.7109375" style="21" customWidth="1"/>
    <col min="11020" max="11020" width="15.28515625" style="21" customWidth="1"/>
    <col min="11021" max="11021" width="13.7109375" style="21" customWidth="1"/>
    <col min="11022" max="11023" width="12.140625" style="21" customWidth="1"/>
    <col min="11024" max="11024" width="14.28515625" style="21" customWidth="1"/>
    <col min="11025" max="11027" width="12.140625" style="21" customWidth="1"/>
    <col min="11028" max="11028" width="0" style="21" hidden="1" customWidth="1"/>
    <col min="11029" max="11029" width="13.7109375" style="21" customWidth="1"/>
    <col min="11030" max="11030" width="12.85546875" style="21" customWidth="1"/>
    <col min="11031" max="11047" width="14.42578125" style="21" customWidth="1"/>
    <col min="11048" max="11050" width="16" style="21" bestFit="1" customWidth="1"/>
    <col min="11051" max="11268" width="9.140625" style="21"/>
    <col min="11269" max="11269" width="32.28515625" style="21" customWidth="1"/>
    <col min="11270" max="11271" width="9.140625" style="21"/>
    <col min="11272" max="11272" width="11.5703125" style="21" customWidth="1"/>
    <col min="11273" max="11273" width="16" style="21" customWidth="1"/>
    <col min="11274" max="11274" width="14.28515625" style="21" customWidth="1"/>
    <col min="11275" max="11275" width="17.7109375" style="21" customWidth="1"/>
    <col min="11276" max="11276" width="15.28515625" style="21" customWidth="1"/>
    <col min="11277" max="11277" width="13.7109375" style="21" customWidth="1"/>
    <col min="11278" max="11279" width="12.140625" style="21" customWidth="1"/>
    <col min="11280" max="11280" width="14.28515625" style="21" customWidth="1"/>
    <col min="11281" max="11283" width="12.140625" style="21" customWidth="1"/>
    <col min="11284" max="11284" width="0" style="21" hidden="1" customWidth="1"/>
    <col min="11285" max="11285" width="13.7109375" style="21" customWidth="1"/>
    <col min="11286" max="11286" width="12.85546875" style="21" customWidth="1"/>
    <col min="11287" max="11303" width="14.42578125" style="21" customWidth="1"/>
    <col min="11304" max="11306" width="16" style="21" bestFit="1" customWidth="1"/>
    <col min="11307" max="11524" width="9.140625" style="21"/>
    <col min="11525" max="11525" width="32.28515625" style="21" customWidth="1"/>
    <col min="11526" max="11527" width="9.140625" style="21"/>
    <col min="11528" max="11528" width="11.5703125" style="21" customWidth="1"/>
    <col min="11529" max="11529" width="16" style="21" customWidth="1"/>
    <col min="11530" max="11530" width="14.28515625" style="21" customWidth="1"/>
    <col min="11531" max="11531" width="17.7109375" style="21" customWidth="1"/>
    <col min="11532" max="11532" width="15.28515625" style="21" customWidth="1"/>
    <col min="11533" max="11533" width="13.7109375" style="21" customWidth="1"/>
    <col min="11534" max="11535" width="12.140625" style="21" customWidth="1"/>
    <col min="11536" max="11536" width="14.28515625" style="21" customWidth="1"/>
    <col min="11537" max="11539" width="12.140625" style="21" customWidth="1"/>
    <col min="11540" max="11540" width="0" style="21" hidden="1" customWidth="1"/>
    <col min="11541" max="11541" width="13.7109375" style="21" customWidth="1"/>
    <col min="11542" max="11542" width="12.85546875" style="21" customWidth="1"/>
    <col min="11543" max="11559" width="14.42578125" style="21" customWidth="1"/>
    <col min="11560" max="11562" width="16" style="21" bestFit="1" customWidth="1"/>
    <col min="11563" max="11780" width="9.140625" style="21"/>
    <col min="11781" max="11781" width="32.28515625" style="21" customWidth="1"/>
    <col min="11782" max="11783" width="9.140625" style="21"/>
    <col min="11784" max="11784" width="11.5703125" style="21" customWidth="1"/>
    <col min="11785" max="11785" width="16" style="21" customWidth="1"/>
    <col min="11786" max="11786" width="14.28515625" style="21" customWidth="1"/>
    <col min="11787" max="11787" width="17.7109375" style="21" customWidth="1"/>
    <col min="11788" max="11788" width="15.28515625" style="21" customWidth="1"/>
    <col min="11789" max="11789" width="13.7109375" style="21" customWidth="1"/>
    <col min="11790" max="11791" width="12.140625" style="21" customWidth="1"/>
    <col min="11792" max="11792" width="14.28515625" style="21" customWidth="1"/>
    <col min="11793" max="11795" width="12.140625" style="21" customWidth="1"/>
    <col min="11796" max="11796" width="0" style="21" hidden="1" customWidth="1"/>
    <col min="11797" max="11797" width="13.7109375" style="21" customWidth="1"/>
    <col min="11798" max="11798" width="12.85546875" style="21" customWidth="1"/>
    <col min="11799" max="11815" width="14.42578125" style="21" customWidth="1"/>
    <col min="11816" max="11818" width="16" style="21" bestFit="1" customWidth="1"/>
    <col min="11819" max="12036" width="9.140625" style="21"/>
    <col min="12037" max="12037" width="32.28515625" style="21" customWidth="1"/>
    <col min="12038" max="12039" width="9.140625" style="21"/>
    <col min="12040" max="12040" width="11.5703125" style="21" customWidth="1"/>
    <col min="12041" max="12041" width="16" style="21" customWidth="1"/>
    <col min="12042" max="12042" width="14.28515625" style="21" customWidth="1"/>
    <col min="12043" max="12043" width="17.7109375" style="21" customWidth="1"/>
    <col min="12044" max="12044" width="15.28515625" style="21" customWidth="1"/>
    <col min="12045" max="12045" width="13.7109375" style="21" customWidth="1"/>
    <col min="12046" max="12047" width="12.140625" style="21" customWidth="1"/>
    <col min="12048" max="12048" width="14.28515625" style="21" customWidth="1"/>
    <col min="12049" max="12051" width="12.140625" style="21" customWidth="1"/>
    <col min="12052" max="12052" width="0" style="21" hidden="1" customWidth="1"/>
    <col min="12053" max="12053" width="13.7109375" style="21" customWidth="1"/>
    <col min="12054" max="12054" width="12.85546875" style="21" customWidth="1"/>
    <col min="12055" max="12071" width="14.42578125" style="21" customWidth="1"/>
    <col min="12072" max="12074" width="16" style="21" bestFit="1" customWidth="1"/>
    <col min="12075" max="12292" width="9.140625" style="21"/>
    <col min="12293" max="12293" width="32.28515625" style="21" customWidth="1"/>
    <col min="12294" max="12295" width="9.140625" style="21"/>
    <col min="12296" max="12296" width="11.5703125" style="21" customWidth="1"/>
    <col min="12297" max="12297" width="16" style="21" customWidth="1"/>
    <col min="12298" max="12298" width="14.28515625" style="21" customWidth="1"/>
    <col min="12299" max="12299" width="17.7109375" style="21" customWidth="1"/>
    <col min="12300" max="12300" width="15.28515625" style="21" customWidth="1"/>
    <col min="12301" max="12301" width="13.7109375" style="21" customWidth="1"/>
    <col min="12302" max="12303" width="12.140625" style="21" customWidth="1"/>
    <col min="12304" max="12304" width="14.28515625" style="21" customWidth="1"/>
    <col min="12305" max="12307" width="12.140625" style="21" customWidth="1"/>
    <col min="12308" max="12308" width="0" style="21" hidden="1" customWidth="1"/>
    <col min="12309" max="12309" width="13.7109375" style="21" customWidth="1"/>
    <col min="12310" max="12310" width="12.85546875" style="21" customWidth="1"/>
    <col min="12311" max="12327" width="14.42578125" style="21" customWidth="1"/>
    <col min="12328" max="12330" width="16" style="21" bestFit="1" customWidth="1"/>
    <col min="12331" max="12548" width="9.140625" style="21"/>
    <col min="12549" max="12549" width="32.28515625" style="21" customWidth="1"/>
    <col min="12550" max="12551" width="9.140625" style="21"/>
    <col min="12552" max="12552" width="11.5703125" style="21" customWidth="1"/>
    <col min="12553" max="12553" width="16" style="21" customWidth="1"/>
    <col min="12554" max="12554" width="14.28515625" style="21" customWidth="1"/>
    <col min="12555" max="12555" width="17.7109375" style="21" customWidth="1"/>
    <col min="12556" max="12556" width="15.28515625" style="21" customWidth="1"/>
    <col min="12557" max="12557" width="13.7109375" style="21" customWidth="1"/>
    <col min="12558" max="12559" width="12.140625" style="21" customWidth="1"/>
    <col min="12560" max="12560" width="14.28515625" style="21" customWidth="1"/>
    <col min="12561" max="12563" width="12.140625" style="21" customWidth="1"/>
    <col min="12564" max="12564" width="0" style="21" hidden="1" customWidth="1"/>
    <col min="12565" max="12565" width="13.7109375" style="21" customWidth="1"/>
    <col min="12566" max="12566" width="12.85546875" style="21" customWidth="1"/>
    <col min="12567" max="12583" width="14.42578125" style="21" customWidth="1"/>
    <col min="12584" max="12586" width="16" style="21" bestFit="1" customWidth="1"/>
    <col min="12587" max="12804" width="9.140625" style="21"/>
    <col min="12805" max="12805" width="32.28515625" style="21" customWidth="1"/>
    <col min="12806" max="12807" width="9.140625" style="21"/>
    <col min="12808" max="12808" width="11.5703125" style="21" customWidth="1"/>
    <col min="12809" max="12809" width="16" style="21" customWidth="1"/>
    <col min="12810" max="12810" width="14.28515625" style="21" customWidth="1"/>
    <col min="12811" max="12811" width="17.7109375" style="21" customWidth="1"/>
    <col min="12812" max="12812" width="15.28515625" style="21" customWidth="1"/>
    <col min="12813" max="12813" width="13.7109375" style="21" customWidth="1"/>
    <col min="12814" max="12815" width="12.140625" style="21" customWidth="1"/>
    <col min="12816" max="12816" width="14.28515625" style="21" customWidth="1"/>
    <col min="12817" max="12819" width="12.140625" style="21" customWidth="1"/>
    <col min="12820" max="12820" width="0" style="21" hidden="1" customWidth="1"/>
    <col min="12821" max="12821" width="13.7109375" style="21" customWidth="1"/>
    <col min="12822" max="12822" width="12.85546875" style="21" customWidth="1"/>
    <col min="12823" max="12839" width="14.42578125" style="21" customWidth="1"/>
    <col min="12840" max="12842" width="16" style="21" bestFit="1" customWidth="1"/>
    <col min="12843" max="13060" width="9.140625" style="21"/>
    <col min="13061" max="13061" width="32.28515625" style="21" customWidth="1"/>
    <col min="13062" max="13063" width="9.140625" style="21"/>
    <col min="13064" max="13064" width="11.5703125" style="21" customWidth="1"/>
    <col min="13065" max="13065" width="16" style="21" customWidth="1"/>
    <col min="13066" max="13066" width="14.28515625" style="21" customWidth="1"/>
    <col min="13067" max="13067" width="17.7109375" style="21" customWidth="1"/>
    <col min="13068" max="13068" width="15.28515625" style="21" customWidth="1"/>
    <col min="13069" max="13069" width="13.7109375" style="21" customWidth="1"/>
    <col min="13070" max="13071" width="12.140625" style="21" customWidth="1"/>
    <col min="13072" max="13072" width="14.28515625" style="21" customWidth="1"/>
    <col min="13073" max="13075" width="12.140625" style="21" customWidth="1"/>
    <col min="13076" max="13076" width="0" style="21" hidden="1" customWidth="1"/>
    <col min="13077" max="13077" width="13.7109375" style="21" customWidth="1"/>
    <col min="13078" max="13078" width="12.85546875" style="21" customWidth="1"/>
    <col min="13079" max="13095" width="14.42578125" style="21" customWidth="1"/>
    <col min="13096" max="13098" width="16" style="21" bestFit="1" customWidth="1"/>
    <col min="13099" max="13316" width="9.140625" style="21"/>
    <col min="13317" max="13317" width="32.28515625" style="21" customWidth="1"/>
    <col min="13318" max="13319" width="9.140625" style="21"/>
    <col min="13320" max="13320" width="11.5703125" style="21" customWidth="1"/>
    <col min="13321" max="13321" width="16" style="21" customWidth="1"/>
    <col min="13322" max="13322" width="14.28515625" style="21" customWidth="1"/>
    <col min="13323" max="13323" width="17.7109375" style="21" customWidth="1"/>
    <col min="13324" max="13324" width="15.28515625" style="21" customWidth="1"/>
    <col min="13325" max="13325" width="13.7109375" style="21" customWidth="1"/>
    <col min="13326" max="13327" width="12.140625" style="21" customWidth="1"/>
    <col min="13328" max="13328" width="14.28515625" style="21" customWidth="1"/>
    <col min="13329" max="13331" width="12.140625" style="21" customWidth="1"/>
    <col min="13332" max="13332" width="0" style="21" hidden="1" customWidth="1"/>
    <col min="13333" max="13333" width="13.7109375" style="21" customWidth="1"/>
    <col min="13334" max="13334" width="12.85546875" style="21" customWidth="1"/>
    <col min="13335" max="13351" width="14.42578125" style="21" customWidth="1"/>
    <col min="13352" max="13354" width="16" style="21" bestFit="1" customWidth="1"/>
    <col min="13355" max="13572" width="9.140625" style="21"/>
    <col min="13573" max="13573" width="32.28515625" style="21" customWidth="1"/>
    <col min="13574" max="13575" width="9.140625" style="21"/>
    <col min="13576" max="13576" width="11.5703125" style="21" customWidth="1"/>
    <col min="13577" max="13577" width="16" style="21" customWidth="1"/>
    <col min="13578" max="13578" width="14.28515625" style="21" customWidth="1"/>
    <col min="13579" max="13579" width="17.7109375" style="21" customWidth="1"/>
    <col min="13580" max="13580" width="15.28515625" style="21" customWidth="1"/>
    <col min="13581" max="13581" width="13.7109375" style="21" customWidth="1"/>
    <col min="13582" max="13583" width="12.140625" style="21" customWidth="1"/>
    <col min="13584" max="13584" width="14.28515625" style="21" customWidth="1"/>
    <col min="13585" max="13587" width="12.140625" style="21" customWidth="1"/>
    <col min="13588" max="13588" width="0" style="21" hidden="1" customWidth="1"/>
    <col min="13589" max="13589" width="13.7109375" style="21" customWidth="1"/>
    <col min="13590" max="13590" width="12.85546875" style="21" customWidth="1"/>
    <col min="13591" max="13607" width="14.42578125" style="21" customWidth="1"/>
    <col min="13608" max="13610" width="16" style="21" bestFit="1" customWidth="1"/>
    <col min="13611" max="13828" width="9.140625" style="21"/>
    <col min="13829" max="13829" width="32.28515625" style="21" customWidth="1"/>
    <col min="13830" max="13831" width="9.140625" style="21"/>
    <col min="13832" max="13832" width="11.5703125" style="21" customWidth="1"/>
    <col min="13833" max="13833" width="16" style="21" customWidth="1"/>
    <col min="13834" max="13834" width="14.28515625" style="21" customWidth="1"/>
    <col min="13835" max="13835" width="17.7109375" style="21" customWidth="1"/>
    <col min="13836" max="13836" width="15.28515625" style="21" customWidth="1"/>
    <col min="13837" max="13837" width="13.7109375" style="21" customWidth="1"/>
    <col min="13838" max="13839" width="12.140625" style="21" customWidth="1"/>
    <col min="13840" max="13840" width="14.28515625" style="21" customWidth="1"/>
    <col min="13841" max="13843" width="12.140625" style="21" customWidth="1"/>
    <col min="13844" max="13844" width="0" style="21" hidden="1" customWidth="1"/>
    <col min="13845" max="13845" width="13.7109375" style="21" customWidth="1"/>
    <col min="13846" max="13846" width="12.85546875" style="21" customWidth="1"/>
    <col min="13847" max="13863" width="14.42578125" style="21" customWidth="1"/>
    <col min="13864" max="13866" width="16" style="21" bestFit="1" customWidth="1"/>
    <col min="13867" max="14084" width="9.140625" style="21"/>
    <col min="14085" max="14085" width="32.28515625" style="21" customWidth="1"/>
    <col min="14086" max="14087" width="9.140625" style="21"/>
    <col min="14088" max="14088" width="11.5703125" style="21" customWidth="1"/>
    <col min="14089" max="14089" width="16" style="21" customWidth="1"/>
    <col min="14090" max="14090" width="14.28515625" style="21" customWidth="1"/>
    <col min="14091" max="14091" width="17.7109375" style="21" customWidth="1"/>
    <col min="14092" max="14092" width="15.28515625" style="21" customWidth="1"/>
    <col min="14093" max="14093" width="13.7109375" style="21" customWidth="1"/>
    <col min="14094" max="14095" width="12.140625" style="21" customWidth="1"/>
    <col min="14096" max="14096" width="14.28515625" style="21" customWidth="1"/>
    <col min="14097" max="14099" width="12.140625" style="21" customWidth="1"/>
    <col min="14100" max="14100" width="0" style="21" hidden="1" customWidth="1"/>
    <col min="14101" max="14101" width="13.7109375" style="21" customWidth="1"/>
    <col min="14102" max="14102" width="12.85546875" style="21" customWidth="1"/>
    <col min="14103" max="14119" width="14.42578125" style="21" customWidth="1"/>
    <col min="14120" max="14122" width="16" style="21" bestFit="1" customWidth="1"/>
    <col min="14123" max="14340" width="9.140625" style="21"/>
    <col min="14341" max="14341" width="32.28515625" style="21" customWidth="1"/>
    <col min="14342" max="14343" width="9.140625" style="21"/>
    <col min="14344" max="14344" width="11.5703125" style="21" customWidth="1"/>
    <col min="14345" max="14345" width="16" style="21" customWidth="1"/>
    <col min="14346" max="14346" width="14.28515625" style="21" customWidth="1"/>
    <col min="14347" max="14347" width="17.7109375" style="21" customWidth="1"/>
    <col min="14348" max="14348" width="15.28515625" style="21" customWidth="1"/>
    <col min="14349" max="14349" width="13.7109375" style="21" customWidth="1"/>
    <col min="14350" max="14351" width="12.140625" style="21" customWidth="1"/>
    <col min="14352" max="14352" width="14.28515625" style="21" customWidth="1"/>
    <col min="14353" max="14355" width="12.140625" style="21" customWidth="1"/>
    <col min="14356" max="14356" width="0" style="21" hidden="1" customWidth="1"/>
    <col min="14357" max="14357" width="13.7109375" style="21" customWidth="1"/>
    <col min="14358" max="14358" width="12.85546875" style="21" customWidth="1"/>
    <col min="14359" max="14375" width="14.42578125" style="21" customWidth="1"/>
    <col min="14376" max="14378" width="16" style="21" bestFit="1" customWidth="1"/>
    <col min="14379" max="14596" width="9.140625" style="21"/>
    <col min="14597" max="14597" width="32.28515625" style="21" customWidth="1"/>
    <col min="14598" max="14599" width="9.140625" style="21"/>
    <col min="14600" max="14600" width="11.5703125" style="21" customWidth="1"/>
    <col min="14601" max="14601" width="16" style="21" customWidth="1"/>
    <col min="14602" max="14602" width="14.28515625" style="21" customWidth="1"/>
    <col min="14603" max="14603" width="17.7109375" style="21" customWidth="1"/>
    <col min="14604" max="14604" width="15.28515625" style="21" customWidth="1"/>
    <col min="14605" max="14605" width="13.7109375" style="21" customWidth="1"/>
    <col min="14606" max="14607" width="12.140625" style="21" customWidth="1"/>
    <col min="14608" max="14608" width="14.28515625" style="21" customWidth="1"/>
    <col min="14609" max="14611" width="12.140625" style="21" customWidth="1"/>
    <col min="14612" max="14612" width="0" style="21" hidden="1" customWidth="1"/>
    <col min="14613" max="14613" width="13.7109375" style="21" customWidth="1"/>
    <col min="14614" max="14614" width="12.85546875" style="21" customWidth="1"/>
    <col min="14615" max="14631" width="14.42578125" style="21" customWidth="1"/>
    <col min="14632" max="14634" width="16" style="21" bestFit="1" customWidth="1"/>
    <col min="14635" max="14852" width="9.140625" style="21"/>
    <col min="14853" max="14853" width="32.28515625" style="21" customWidth="1"/>
    <col min="14854" max="14855" width="9.140625" style="21"/>
    <col min="14856" max="14856" width="11.5703125" style="21" customWidth="1"/>
    <col min="14857" max="14857" width="16" style="21" customWidth="1"/>
    <col min="14858" max="14858" width="14.28515625" style="21" customWidth="1"/>
    <col min="14859" max="14859" width="17.7109375" style="21" customWidth="1"/>
    <col min="14860" max="14860" width="15.28515625" style="21" customWidth="1"/>
    <col min="14861" max="14861" width="13.7109375" style="21" customWidth="1"/>
    <col min="14862" max="14863" width="12.140625" style="21" customWidth="1"/>
    <col min="14864" max="14864" width="14.28515625" style="21" customWidth="1"/>
    <col min="14865" max="14867" width="12.140625" style="21" customWidth="1"/>
    <col min="14868" max="14868" width="0" style="21" hidden="1" customWidth="1"/>
    <col min="14869" max="14869" width="13.7109375" style="21" customWidth="1"/>
    <col min="14870" max="14870" width="12.85546875" style="21" customWidth="1"/>
    <col min="14871" max="14887" width="14.42578125" style="21" customWidth="1"/>
    <col min="14888" max="14890" width="16" style="21" bestFit="1" customWidth="1"/>
    <col min="14891" max="15108" width="9.140625" style="21"/>
    <col min="15109" max="15109" width="32.28515625" style="21" customWidth="1"/>
    <col min="15110" max="15111" width="9.140625" style="21"/>
    <col min="15112" max="15112" width="11.5703125" style="21" customWidth="1"/>
    <col min="15113" max="15113" width="16" style="21" customWidth="1"/>
    <col min="15114" max="15114" width="14.28515625" style="21" customWidth="1"/>
    <col min="15115" max="15115" width="17.7109375" style="21" customWidth="1"/>
    <col min="15116" max="15116" width="15.28515625" style="21" customWidth="1"/>
    <col min="15117" max="15117" width="13.7109375" style="21" customWidth="1"/>
    <col min="15118" max="15119" width="12.140625" style="21" customWidth="1"/>
    <col min="15120" max="15120" width="14.28515625" style="21" customWidth="1"/>
    <col min="15121" max="15123" width="12.140625" style="21" customWidth="1"/>
    <col min="15124" max="15124" width="0" style="21" hidden="1" customWidth="1"/>
    <col min="15125" max="15125" width="13.7109375" style="21" customWidth="1"/>
    <col min="15126" max="15126" width="12.85546875" style="21" customWidth="1"/>
    <col min="15127" max="15143" width="14.42578125" style="21" customWidth="1"/>
    <col min="15144" max="15146" width="16" style="21" bestFit="1" customWidth="1"/>
    <col min="15147" max="15364" width="9.140625" style="21"/>
    <col min="15365" max="15365" width="32.28515625" style="21" customWidth="1"/>
    <col min="15366" max="15367" width="9.140625" style="21"/>
    <col min="15368" max="15368" width="11.5703125" style="21" customWidth="1"/>
    <col min="15369" max="15369" width="16" style="21" customWidth="1"/>
    <col min="15370" max="15370" width="14.28515625" style="21" customWidth="1"/>
    <col min="15371" max="15371" width="17.7109375" style="21" customWidth="1"/>
    <col min="15372" max="15372" width="15.28515625" style="21" customWidth="1"/>
    <col min="15373" max="15373" width="13.7109375" style="21" customWidth="1"/>
    <col min="15374" max="15375" width="12.140625" style="21" customWidth="1"/>
    <col min="15376" max="15376" width="14.28515625" style="21" customWidth="1"/>
    <col min="15377" max="15379" width="12.140625" style="21" customWidth="1"/>
    <col min="15380" max="15380" width="0" style="21" hidden="1" customWidth="1"/>
    <col min="15381" max="15381" width="13.7109375" style="21" customWidth="1"/>
    <col min="15382" max="15382" width="12.85546875" style="21" customWidth="1"/>
    <col min="15383" max="15399" width="14.42578125" style="21" customWidth="1"/>
    <col min="15400" max="15402" width="16" style="21" bestFit="1" customWidth="1"/>
    <col min="15403" max="15620" width="9.140625" style="21"/>
    <col min="15621" max="15621" width="32.28515625" style="21" customWidth="1"/>
    <col min="15622" max="15623" width="9.140625" style="21"/>
    <col min="15624" max="15624" width="11.5703125" style="21" customWidth="1"/>
    <col min="15625" max="15625" width="16" style="21" customWidth="1"/>
    <col min="15626" max="15626" width="14.28515625" style="21" customWidth="1"/>
    <col min="15627" max="15627" width="17.7109375" style="21" customWidth="1"/>
    <col min="15628" max="15628" width="15.28515625" style="21" customWidth="1"/>
    <col min="15629" max="15629" width="13.7109375" style="21" customWidth="1"/>
    <col min="15630" max="15631" width="12.140625" style="21" customWidth="1"/>
    <col min="15632" max="15632" width="14.28515625" style="21" customWidth="1"/>
    <col min="15633" max="15635" width="12.140625" style="21" customWidth="1"/>
    <col min="15636" max="15636" width="0" style="21" hidden="1" customWidth="1"/>
    <col min="15637" max="15637" width="13.7109375" style="21" customWidth="1"/>
    <col min="15638" max="15638" width="12.85546875" style="21" customWidth="1"/>
    <col min="15639" max="15655" width="14.42578125" style="21" customWidth="1"/>
    <col min="15656" max="15658" width="16" style="21" bestFit="1" customWidth="1"/>
    <col min="15659" max="15876" width="9.140625" style="21"/>
    <col min="15877" max="15877" width="32.28515625" style="21" customWidth="1"/>
    <col min="15878" max="15879" width="9.140625" style="21"/>
    <col min="15880" max="15880" width="11.5703125" style="21" customWidth="1"/>
    <col min="15881" max="15881" width="16" style="21" customWidth="1"/>
    <col min="15882" max="15882" width="14.28515625" style="21" customWidth="1"/>
    <col min="15883" max="15883" width="17.7109375" style="21" customWidth="1"/>
    <col min="15884" max="15884" width="15.28515625" style="21" customWidth="1"/>
    <col min="15885" max="15885" width="13.7109375" style="21" customWidth="1"/>
    <col min="15886" max="15887" width="12.140625" style="21" customWidth="1"/>
    <col min="15888" max="15888" width="14.28515625" style="21" customWidth="1"/>
    <col min="15889" max="15891" width="12.140625" style="21" customWidth="1"/>
    <col min="15892" max="15892" width="0" style="21" hidden="1" customWidth="1"/>
    <col min="15893" max="15893" width="13.7109375" style="21" customWidth="1"/>
    <col min="15894" max="15894" width="12.85546875" style="21" customWidth="1"/>
    <col min="15895" max="15911" width="14.42578125" style="21" customWidth="1"/>
    <col min="15912" max="15914" width="16" style="21" bestFit="1" customWidth="1"/>
    <col min="15915" max="16132" width="9.140625" style="21"/>
    <col min="16133" max="16133" width="32.28515625" style="21" customWidth="1"/>
    <col min="16134" max="16135" width="9.140625" style="21"/>
    <col min="16136" max="16136" width="11.5703125" style="21" customWidth="1"/>
    <col min="16137" max="16137" width="16" style="21" customWidth="1"/>
    <col min="16138" max="16138" width="14.28515625" style="21" customWidth="1"/>
    <col min="16139" max="16139" width="17.7109375" style="21" customWidth="1"/>
    <col min="16140" max="16140" width="15.28515625" style="21" customWidth="1"/>
    <col min="16141" max="16141" width="13.7109375" style="21" customWidth="1"/>
    <col min="16142" max="16143" width="12.140625" style="21" customWidth="1"/>
    <col min="16144" max="16144" width="14.28515625" style="21" customWidth="1"/>
    <col min="16145" max="16147" width="12.140625" style="21" customWidth="1"/>
    <col min="16148" max="16148" width="0" style="21" hidden="1" customWidth="1"/>
    <col min="16149" max="16149" width="13.7109375" style="21" customWidth="1"/>
    <col min="16150" max="16150" width="12.85546875" style="21" customWidth="1"/>
    <col min="16151" max="16167" width="14.42578125" style="21" customWidth="1"/>
    <col min="16168" max="16170" width="16" style="21" bestFit="1" customWidth="1"/>
    <col min="16171" max="16384" width="9.140625" style="21"/>
  </cols>
  <sheetData>
    <row r="1" spans="1:55" x14ac:dyDescent="0.2">
      <c r="N1" s="22" t="s">
        <v>51</v>
      </c>
      <c r="V1" s="26" t="s">
        <v>51</v>
      </c>
      <c r="X1" s="21" t="s">
        <v>51</v>
      </c>
    </row>
    <row r="2" spans="1:55" ht="41.25" customHeight="1" x14ac:dyDescent="0.2"/>
    <row r="3" spans="1:55" ht="45" customHeight="1" x14ac:dyDescent="0.2">
      <c r="H3" s="22"/>
      <c r="V3" s="21" t="s">
        <v>52</v>
      </c>
    </row>
    <row r="4" spans="1:55" ht="28.5" customHeight="1" x14ac:dyDescent="0.3">
      <c r="A4" s="69" t="str">
        <f>'[1]PER DIVISION'!A4</f>
        <v>GENERAL PAYROLL FOR THE MONTH OF MARCH 2026</v>
      </c>
      <c r="B4" s="70"/>
      <c r="C4" s="70"/>
      <c r="D4" s="70"/>
      <c r="E4" s="70"/>
      <c r="F4" s="70"/>
      <c r="G4" s="70"/>
      <c r="H4" s="71"/>
      <c r="I4" s="71"/>
      <c r="J4" s="70"/>
      <c r="K4" s="70"/>
      <c r="L4" s="72"/>
      <c r="M4" s="73"/>
      <c r="N4" s="74"/>
      <c r="O4" s="70"/>
      <c r="P4" s="70"/>
      <c r="Q4" s="75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5"/>
      <c r="AD4" s="75"/>
      <c r="AE4" s="75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5"/>
      <c r="AT4" s="70"/>
      <c r="AU4" s="70"/>
      <c r="AV4" s="70"/>
      <c r="AW4" s="70"/>
      <c r="AX4" s="70"/>
      <c r="AY4" s="70"/>
      <c r="AZ4" s="70"/>
      <c r="BA4" s="70"/>
      <c r="BB4" s="70"/>
      <c r="BC4" s="70"/>
    </row>
    <row r="5" spans="1:55" s="27" customFormat="1" ht="19.5" customHeight="1" thickBot="1" x14ac:dyDescent="0.3">
      <c r="A5" s="76"/>
      <c r="B5" s="75"/>
      <c r="C5" s="75"/>
      <c r="D5" s="75"/>
      <c r="E5" s="75"/>
      <c r="F5" s="75"/>
      <c r="G5" s="75"/>
      <c r="H5" s="77"/>
      <c r="I5" s="77"/>
      <c r="J5" s="75"/>
      <c r="K5" s="75"/>
      <c r="L5" s="78"/>
      <c r="M5" s="79"/>
      <c r="N5" s="80"/>
      <c r="O5" s="75"/>
      <c r="P5" s="81"/>
      <c r="Q5" s="81"/>
      <c r="R5" s="81"/>
      <c r="S5" s="81"/>
      <c r="T5" s="81"/>
      <c r="U5" s="81"/>
      <c r="V5" s="81"/>
      <c r="W5" s="81"/>
      <c r="X5" s="81"/>
      <c r="Y5" s="81"/>
      <c r="Z5" s="75"/>
      <c r="AA5" s="81"/>
      <c r="AB5" s="81"/>
      <c r="AC5" s="81"/>
      <c r="AD5" s="75"/>
      <c r="AE5" s="75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75"/>
      <c r="AT5" s="81"/>
      <c r="AU5" s="81"/>
      <c r="AV5" s="75"/>
      <c r="AW5" s="81"/>
      <c r="AX5" s="81"/>
      <c r="AY5" s="81"/>
      <c r="AZ5" s="75"/>
      <c r="BA5" s="75"/>
      <c r="BB5" s="75"/>
      <c r="BC5" s="75"/>
    </row>
    <row r="6" spans="1:55" s="28" customFormat="1" ht="15.75" customHeight="1" x14ac:dyDescent="0.25">
      <c r="A6" s="167"/>
      <c r="B6" s="82" t="s">
        <v>53</v>
      </c>
      <c r="C6" s="83"/>
      <c r="D6" s="84"/>
      <c r="E6" s="85"/>
      <c r="F6" s="85"/>
      <c r="G6" s="85"/>
      <c r="H6" s="86"/>
      <c r="I6" s="86"/>
      <c r="J6" s="85"/>
      <c r="K6" s="85"/>
      <c r="L6" s="87"/>
      <c r="M6" s="88"/>
      <c r="N6" s="89"/>
      <c r="O6" s="90" t="s">
        <v>54</v>
      </c>
      <c r="P6" s="91"/>
      <c r="Q6" s="92"/>
      <c r="R6" s="91"/>
      <c r="S6" s="91"/>
      <c r="T6" s="91"/>
      <c r="U6" s="91"/>
      <c r="V6" s="91"/>
      <c r="W6" s="91"/>
      <c r="X6" s="91"/>
      <c r="Y6" s="93"/>
      <c r="Z6" s="89"/>
      <c r="AA6" s="85"/>
      <c r="AB6" s="94"/>
      <c r="AC6" s="82" t="s">
        <v>55</v>
      </c>
      <c r="AD6" s="83"/>
      <c r="AE6" s="95" t="s">
        <v>56</v>
      </c>
      <c r="AF6" s="85"/>
      <c r="AG6" s="82" t="s">
        <v>57</v>
      </c>
      <c r="AH6" s="83"/>
      <c r="AI6" s="83"/>
      <c r="AJ6" s="83"/>
      <c r="AK6" s="84"/>
      <c r="AL6" s="82" t="s">
        <v>58</v>
      </c>
      <c r="AM6" s="84"/>
      <c r="AN6" s="96" t="s">
        <v>59</v>
      </c>
      <c r="AO6" s="97"/>
      <c r="AP6" s="97"/>
      <c r="AQ6" s="98"/>
      <c r="AR6" s="98"/>
      <c r="AS6" s="99"/>
      <c r="AT6" s="85"/>
      <c r="AU6" s="85"/>
      <c r="AV6" s="85"/>
      <c r="AW6" s="96" t="s">
        <v>60</v>
      </c>
      <c r="AX6" s="97"/>
      <c r="AY6" s="98"/>
      <c r="AZ6" s="85"/>
      <c r="BA6" s="85"/>
      <c r="BB6" s="100"/>
      <c r="BC6" s="100"/>
    </row>
    <row r="7" spans="1:55" s="29" customFormat="1" ht="42.75" customHeight="1" x14ac:dyDescent="0.2">
      <c r="A7" s="168"/>
      <c r="B7" s="101" t="s">
        <v>62</v>
      </c>
      <c r="C7" s="101" t="s">
        <v>1</v>
      </c>
      <c r="D7" s="101" t="s">
        <v>63</v>
      </c>
      <c r="E7" s="101" t="s">
        <v>64</v>
      </c>
      <c r="F7" s="101" t="s">
        <v>65</v>
      </c>
      <c r="G7" s="101" t="s">
        <v>735</v>
      </c>
      <c r="H7" s="102" t="s">
        <v>736</v>
      </c>
      <c r="I7" s="102" t="s">
        <v>737</v>
      </c>
      <c r="J7" s="101" t="s">
        <v>738</v>
      </c>
      <c r="K7" s="101" t="s">
        <v>739</v>
      </c>
      <c r="L7" s="103" t="s">
        <v>66</v>
      </c>
      <c r="M7" s="104" t="s">
        <v>67</v>
      </c>
      <c r="N7" s="105" t="s">
        <v>68</v>
      </c>
      <c r="O7" s="105" t="s">
        <v>69</v>
      </c>
      <c r="P7" s="106" t="s">
        <v>70</v>
      </c>
      <c r="Q7" s="107" t="s">
        <v>71</v>
      </c>
      <c r="R7" s="105" t="s">
        <v>72</v>
      </c>
      <c r="S7" s="105" t="s">
        <v>73</v>
      </c>
      <c r="T7" s="105" t="s">
        <v>74</v>
      </c>
      <c r="U7" s="105" t="s">
        <v>75</v>
      </c>
      <c r="V7" s="105" t="s">
        <v>76</v>
      </c>
      <c r="W7" s="105" t="s">
        <v>77</v>
      </c>
      <c r="X7" s="105" t="s">
        <v>78</v>
      </c>
      <c r="Y7" s="105" t="s">
        <v>79</v>
      </c>
      <c r="Z7" s="105" t="s">
        <v>80</v>
      </c>
      <c r="AA7" s="101" t="s">
        <v>81</v>
      </c>
      <c r="AB7" s="108" t="s">
        <v>82</v>
      </c>
      <c r="AC7" s="101" t="s">
        <v>83</v>
      </c>
      <c r="AD7" s="101" t="s">
        <v>84</v>
      </c>
      <c r="AE7" s="101" t="s">
        <v>85</v>
      </c>
      <c r="AF7" s="101" t="s">
        <v>86</v>
      </c>
      <c r="AG7" s="101" t="s">
        <v>87</v>
      </c>
      <c r="AH7" s="101" t="s">
        <v>88</v>
      </c>
      <c r="AI7" s="101" t="s">
        <v>89</v>
      </c>
      <c r="AJ7" s="109" t="s">
        <v>90</v>
      </c>
      <c r="AK7" s="101" t="s">
        <v>91</v>
      </c>
      <c r="AL7" s="110" t="s">
        <v>92</v>
      </c>
      <c r="AM7" s="101" t="s">
        <v>93</v>
      </c>
      <c r="AN7" s="101" t="s">
        <v>94</v>
      </c>
      <c r="AO7" s="101" t="s">
        <v>95</v>
      </c>
      <c r="AP7" s="101" t="s">
        <v>96</v>
      </c>
      <c r="AQ7" s="101" t="s">
        <v>97</v>
      </c>
      <c r="AR7" s="101" t="s">
        <v>98</v>
      </c>
      <c r="AS7" s="109" t="s">
        <v>61</v>
      </c>
      <c r="AT7" s="101" t="s">
        <v>99</v>
      </c>
      <c r="AU7" s="101" t="s">
        <v>734</v>
      </c>
      <c r="AV7" s="110" t="s">
        <v>100</v>
      </c>
      <c r="AW7" s="110" t="s">
        <v>101</v>
      </c>
      <c r="AX7" s="101" t="s">
        <v>102</v>
      </c>
      <c r="AY7" s="101" t="s">
        <v>103</v>
      </c>
      <c r="AZ7" s="101" t="s">
        <v>104</v>
      </c>
      <c r="BA7" s="101" t="s">
        <v>105</v>
      </c>
      <c r="BB7" s="111" t="s">
        <v>106</v>
      </c>
      <c r="BC7" s="111" t="s">
        <v>107</v>
      </c>
    </row>
    <row r="8" spans="1:55" ht="14.25" customHeight="1" x14ac:dyDescent="0.2">
      <c r="A8" s="112">
        <v>1</v>
      </c>
      <c r="B8" s="113" t="s">
        <v>108</v>
      </c>
      <c r="C8" s="113" t="s">
        <v>109</v>
      </c>
      <c r="D8" s="113" t="s">
        <v>110</v>
      </c>
      <c r="E8" s="114" t="s">
        <v>111</v>
      </c>
      <c r="F8" s="113" t="s">
        <v>112</v>
      </c>
      <c r="G8" s="115" t="s">
        <v>740</v>
      </c>
      <c r="H8" s="116">
        <v>45376</v>
      </c>
      <c r="I8" s="116">
        <v>45376</v>
      </c>
      <c r="J8" s="115">
        <v>11</v>
      </c>
      <c r="K8" s="115">
        <v>1</v>
      </c>
      <c r="L8" s="117">
        <f>IFERROR(VLOOKUP(J8, [1]DATA!$A$4:$I$36, MATCH(K8, [1]DATA!$B$3:$I$3, 0)+1, FALSE), "")</f>
        <v>31705</v>
      </c>
      <c r="M8" s="118">
        <v>2000</v>
      </c>
      <c r="N8" s="119">
        <f>L8+M8</f>
        <v>33705</v>
      </c>
      <c r="O8" s="120">
        <f>ROUND(L8*9%,2)</f>
        <v>2853.45</v>
      </c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>
        <v>1468.9</v>
      </c>
      <c r="AB8" s="120">
        <f>ROUND(IF(L8&gt;79999.99,900,IF(L8&lt;10000.01,137.5,IF(10000&lt;L8&gt;80000,L8*2.5%))),2)-0.01</f>
        <v>792.62</v>
      </c>
      <c r="AC8" s="120"/>
      <c r="AD8" s="120">
        <v>1000</v>
      </c>
      <c r="AE8" s="120">
        <v>200</v>
      </c>
      <c r="AF8" s="120"/>
      <c r="AG8" s="120">
        <v>100</v>
      </c>
      <c r="AH8" s="120"/>
      <c r="AI8" s="120"/>
      <c r="AJ8" s="120"/>
      <c r="AK8" s="120"/>
      <c r="AL8" s="120"/>
      <c r="AM8" s="120"/>
      <c r="AN8" s="120">
        <v>2000</v>
      </c>
      <c r="AO8" s="120">
        <v>395.48</v>
      </c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1">
        <f>ROUND(SUM(O8:AY8),2)</f>
        <v>8810.4500000000007</v>
      </c>
      <c r="BA8" s="122">
        <f>ROUND(N8-AZ8,2)</f>
        <v>24894.55</v>
      </c>
      <c r="BB8" s="122">
        <f>ROUND(BA8/2,2)</f>
        <v>12447.28</v>
      </c>
      <c r="BC8" s="122">
        <f>BA8-BB8</f>
        <v>12447.269999999999</v>
      </c>
    </row>
    <row r="9" spans="1:55" ht="14.25" customHeight="1" x14ac:dyDescent="0.2">
      <c r="A9" s="112">
        <f t="shared" ref="A9:A72" si="0">A8+1</f>
        <v>2</v>
      </c>
      <c r="B9" s="113" t="s">
        <v>113</v>
      </c>
      <c r="C9" s="113" t="s">
        <v>114</v>
      </c>
      <c r="D9" s="113" t="s">
        <v>115</v>
      </c>
      <c r="E9" s="113" t="s">
        <v>116</v>
      </c>
      <c r="F9" s="113" t="s">
        <v>117</v>
      </c>
      <c r="G9" s="115" t="s">
        <v>741</v>
      </c>
      <c r="H9" s="116">
        <v>45236</v>
      </c>
      <c r="I9" s="116">
        <v>45236</v>
      </c>
      <c r="J9" s="115">
        <v>11</v>
      </c>
      <c r="K9" s="115">
        <v>1</v>
      </c>
      <c r="L9" s="117">
        <f>IFERROR(VLOOKUP(J9, [1]DATA!$A$4:$I$36, MATCH(K9, [1]DATA!$B$3:$I$3, 0)+1, FALSE), "")</f>
        <v>31705</v>
      </c>
      <c r="M9" s="118">
        <v>2000</v>
      </c>
      <c r="N9" s="119">
        <f t="shared" ref="N9:N72" si="1">L9+M9</f>
        <v>33705</v>
      </c>
      <c r="O9" s="120">
        <f t="shared" ref="O9:O72" si="2">ROUND(L9*9%,2)</f>
        <v>2853.45</v>
      </c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>
        <v>1468.9</v>
      </c>
      <c r="AB9" s="120">
        <f>ROUND(IF(L9&gt;79999.99,900,IF(L9&lt;10000.01,137.5,IF(10000&lt;L9&gt;80000,L9*2.5%))),2)-0.01</f>
        <v>792.62</v>
      </c>
      <c r="AC9" s="120"/>
      <c r="AD9" s="120"/>
      <c r="AE9" s="120">
        <v>200</v>
      </c>
      <c r="AF9" s="120">
        <v>0</v>
      </c>
      <c r="AG9" s="120">
        <v>100</v>
      </c>
      <c r="AH9" s="120"/>
      <c r="AI9" s="120"/>
      <c r="AJ9" s="120"/>
      <c r="AK9" s="120"/>
      <c r="AL9" s="120"/>
      <c r="AM9" s="120"/>
      <c r="AN9" s="120">
        <v>2000</v>
      </c>
      <c r="AO9" s="120"/>
      <c r="AP9" s="120">
        <v>449.15</v>
      </c>
      <c r="AQ9" s="120"/>
      <c r="AR9" s="120"/>
      <c r="AS9" s="120"/>
      <c r="AT9" s="120"/>
      <c r="AU9" s="120"/>
      <c r="AV9" s="120"/>
      <c r="AW9" s="120"/>
      <c r="AX9" s="120"/>
      <c r="AY9" s="120"/>
      <c r="AZ9" s="121">
        <f>ROUND(SUM(O9:AY9),2)</f>
        <v>7864.12</v>
      </c>
      <c r="BA9" s="122">
        <f>ROUND(N9-AZ9,2)</f>
        <v>25840.880000000001</v>
      </c>
      <c r="BB9" s="122">
        <f t="shared" ref="BB9:BB72" si="3">ROUND(BA9/2,2)</f>
        <v>12920.44</v>
      </c>
      <c r="BC9" s="122">
        <f t="shared" ref="BC9:BC72" si="4">BA9-BB9</f>
        <v>12920.44</v>
      </c>
    </row>
    <row r="10" spans="1:55" ht="14.25" customHeight="1" x14ac:dyDescent="0.2">
      <c r="A10" s="112">
        <f t="shared" si="0"/>
        <v>3</v>
      </c>
      <c r="B10" s="123" t="s">
        <v>118</v>
      </c>
      <c r="C10" s="123" t="s">
        <v>119</v>
      </c>
      <c r="D10" s="123" t="s">
        <v>120</v>
      </c>
      <c r="E10" s="123" t="s">
        <v>121</v>
      </c>
      <c r="F10" s="123" t="s">
        <v>122</v>
      </c>
      <c r="G10" s="123" t="s">
        <v>742</v>
      </c>
      <c r="H10" s="124">
        <v>35282</v>
      </c>
      <c r="I10" s="124">
        <v>42383</v>
      </c>
      <c r="J10" s="123">
        <v>11</v>
      </c>
      <c r="K10" s="123">
        <v>4</v>
      </c>
      <c r="L10" s="117">
        <f>IFERROR(VLOOKUP(J10, [1]DATA!$A$4:$I$36, MATCH(K10, [1]DATA!$B$3:$I$3, 0)+1, FALSE), "")</f>
        <v>32401</v>
      </c>
      <c r="M10" s="118">
        <v>2000</v>
      </c>
      <c r="N10" s="119">
        <f t="shared" si="1"/>
        <v>34401</v>
      </c>
      <c r="O10" s="120">
        <f t="shared" si="2"/>
        <v>2916.09</v>
      </c>
      <c r="P10" s="120"/>
      <c r="Q10" s="120"/>
      <c r="R10" s="120"/>
      <c r="S10" s="120">
        <v>3649.18</v>
      </c>
      <c r="T10" s="120"/>
      <c r="U10" s="120"/>
      <c r="V10" s="120"/>
      <c r="W10" s="120"/>
      <c r="X10" s="120"/>
      <c r="Y10" s="120"/>
      <c r="Z10" s="120"/>
      <c r="AA10" s="120">
        <v>1587.48</v>
      </c>
      <c r="AB10" s="120">
        <f>ROUND(IF(L10&gt;79999.99,900,IF(L10&lt;10000.01,137.5,IF(10000&lt;L10&gt;80000,L10*2.5%))),2)-0.01</f>
        <v>810.02</v>
      </c>
      <c r="AC10" s="120">
        <v>6012.73</v>
      </c>
      <c r="AD10" s="120">
        <v>500</v>
      </c>
      <c r="AE10" s="120">
        <v>200</v>
      </c>
      <c r="AF10" s="120">
        <v>0</v>
      </c>
      <c r="AG10" s="120">
        <v>100</v>
      </c>
      <c r="AH10" s="120"/>
      <c r="AI10" s="120"/>
      <c r="AJ10" s="120"/>
      <c r="AK10" s="120"/>
      <c r="AL10" s="120"/>
      <c r="AM10" s="120">
        <v>1000</v>
      </c>
      <c r="AN10" s="120"/>
      <c r="AO10" s="120"/>
      <c r="AP10" s="120"/>
      <c r="AQ10" s="120"/>
      <c r="AR10" s="120"/>
      <c r="AS10" s="120">
        <v>0</v>
      </c>
      <c r="AT10" s="120"/>
      <c r="AU10" s="120"/>
      <c r="AV10" s="120"/>
      <c r="AW10" s="120">
        <v>0</v>
      </c>
      <c r="AX10" s="120"/>
      <c r="AY10" s="120">
        <v>5162.5</v>
      </c>
      <c r="AZ10" s="121">
        <f>ROUND(SUM(O10:AY10),2)</f>
        <v>21938</v>
      </c>
      <c r="BA10" s="122">
        <f>ROUND(N10-AZ10,2)</f>
        <v>12463</v>
      </c>
      <c r="BB10" s="122">
        <f t="shared" si="3"/>
        <v>6231.5</v>
      </c>
      <c r="BC10" s="122">
        <f t="shared" si="4"/>
        <v>6231.5</v>
      </c>
    </row>
    <row r="11" spans="1:55" ht="14.25" customHeight="1" x14ac:dyDescent="0.2">
      <c r="A11" s="112">
        <f t="shared" si="0"/>
        <v>4</v>
      </c>
      <c r="B11" s="123" t="s">
        <v>123</v>
      </c>
      <c r="C11" s="123" t="s">
        <v>124</v>
      </c>
      <c r="D11" s="123" t="s">
        <v>125</v>
      </c>
      <c r="E11" s="123" t="s">
        <v>121</v>
      </c>
      <c r="F11" s="123" t="s">
        <v>122</v>
      </c>
      <c r="G11" s="123" t="s">
        <v>743</v>
      </c>
      <c r="H11" s="124">
        <v>45665</v>
      </c>
      <c r="I11" s="124">
        <v>45665</v>
      </c>
      <c r="J11" s="123">
        <v>11</v>
      </c>
      <c r="K11" s="123">
        <v>1</v>
      </c>
      <c r="L11" s="117">
        <f>IFERROR(VLOOKUP(J11, [1]DATA!$A$4:$I$36, MATCH(K11, [1]DATA!$B$3:$I$3, 0)+1, FALSE), "")</f>
        <v>31705</v>
      </c>
      <c r="M11" s="118">
        <v>2000</v>
      </c>
      <c r="N11" s="119">
        <f t="shared" si="1"/>
        <v>33705</v>
      </c>
      <c r="O11" s="120">
        <f t="shared" si="2"/>
        <v>2853.45</v>
      </c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>
        <v>1468.9</v>
      </c>
      <c r="AB11" s="120">
        <f>ROUND(IF(L11&gt;79999.99,900,IF(L11&lt;10000.01,137.5,IF(10000&lt;L11&gt;80000,L11*2.5%))),2)-0.01</f>
        <v>792.62</v>
      </c>
      <c r="AC11" s="120"/>
      <c r="AD11" s="120"/>
      <c r="AE11" s="120">
        <v>200</v>
      </c>
      <c r="AF11" s="120"/>
      <c r="AG11" s="120">
        <v>100</v>
      </c>
      <c r="AH11" s="120"/>
      <c r="AI11" s="120"/>
      <c r="AJ11" s="120"/>
      <c r="AK11" s="120"/>
      <c r="AL11" s="120"/>
      <c r="AM11" s="120"/>
      <c r="AN11" s="120">
        <v>2000</v>
      </c>
      <c r="AO11" s="120">
        <v>461.39</v>
      </c>
      <c r="AP11" s="120">
        <v>704.35</v>
      </c>
      <c r="AQ11" s="120"/>
      <c r="AR11" s="120"/>
      <c r="AS11" s="120"/>
      <c r="AT11" s="120"/>
      <c r="AU11" s="120"/>
      <c r="AV11" s="120"/>
      <c r="AW11" s="120"/>
      <c r="AX11" s="120"/>
      <c r="AY11" s="120"/>
      <c r="AZ11" s="121">
        <f>ROUND(SUM(O11:AY11),2)</f>
        <v>8580.7099999999991</v>
      </c>
      <c r="BA11" s="122">
        <f>ROUND(N11-AZ11,2)</f>
        <v>25124.29</v>
      </c>
      <c r="BB11" s="122">
        <f t="shared" si="3"/>
        <v>12562.15</v>
      </c>
      <c r="BC11" s="122">
        <f t="shared" si="4"/>
        <v>12562.140000000001</v>
      </c>
    </row>
    <row r="12" spans="1:55" ht="14.25" customHeight="1" x14ac:dyDescent="0.2">
      <c r="A12" s="112">
        <f t="shared" si="0"/>
        <v>5</v>
      </c>
      <c r="B12" s="114" t="s">
        <v>126</v>
      </c>
      <c r="C12" s="114" t="s">
        <v>127</v>
      </c>
      <c r="D12" s="114" t="s">
        <v>125</v>
      </c>
      <c r="E12" s="114" t="s">
        <v>128</v>
      </c>
      <c r="F12" s="114" t="s">
        <v>117</v>
      </c>
      <c r="G12" s="114" t="s">
        <v>744</v>
      </c>
      <c r="H12" s="125">
        <v>42278</v>
      </c>
      <c r="I12" s="170">
        <v>45737</v>
      </c>
      <c r="J12" s="114">
        <v>18</v>
      </c>
      <c r="K12" s="114">
        <v>1</v>
      </c>
      <c r="L12" s="117">
        <f>IFERROR(VLOOKUP(J12, [1]DATA!$A$4:$I$36, MATCH(K12, [1]DATA!$B$3:$I$3, 0)+1, FALSE), "")</f>
        <v>53818</v>
      </c>
      <c r="M12" s="126">
        <v>2000</v>
      </c>
      <c r="N12" s="119">
        <f t="shared" si="1"/>
        <v>55818</v>
      </c>
      <c r="O12" s="120">
        <f t="shared" si="2"/>
        <v>4843.62</v>
      </c>
      <c r="P12" s="127"/>
      <c r="Q12" s="127"/>
      <c r="R12" s="127"/>
      <c r="S12" s="127"/>
      <c r="T12" s="127"/>
      <c r="U12" s="127"/>
      <c r="V12" s="127"/>
      <c r="W12" s="127"/>
      <c r="X12" s="127"/>
      <c r="Y12" s="127">
        <v>9634.44</v>
      </c>
      <c r="Z12" s="127"/>
      <c r="AA12" s="120">
        <v>5936.18</v>
      </c>
      <c r="AB12" s="127">
        <f>ROUND(IF(L12&gt;79999.99,900,IF(L12&lt;10000.01,137.5,IF(10000&lt;L12&gt;80000,L12*2.5%))),2)</f>
        <v>1345.45</v>
      </c>
      <c r="AC12" s="127"/>
      <c r="AD12" s="127"/>
      <c r="AE12" s="120">
        <v>200</v>
      </c>
      <c r="AF12" s="127">
        <v>0</v>
      </c>
      <c r="AG12" s="127">
        <v>100</v>
      </c>
      <c r="AH12" s="127"/>
      <c r="AI12" s="127"/>
      <c r="AJ12" s="127"/>
      <c r="AK12" s="120"/>
      <c r="AL12" s="127"/>
      <c r="AM12" s="127"/>
      <c r="AN12" s="127"/>
      <c r="AO12" s="120"/>
      <c r="AP12" s="120"/>
      <c r="AQ12" s="120"/>
      <c r="AR12" s="120"/>
      <c r="AS12" s="127">
        <v>500</v>
      </c>
      <c r="AT12" s="127"/>
      <c r="AU12" s="127"/>
      <c r="AV12" s="127"/>
      <c r="AW12" s="127">
        <v>0</v>
      </c>
      <c r="AX12" s="127"/>
      <c r="AY12" s="127"/>
      <c r="AZ12" s="121">
        <f>ROUND(SUM(O12:AY12),2)</f>
        <v>22559.69</v>
      </c>
      <c r="BA12" s="122">
        <f>ROUND(N12-AZ12,2)</f>
        <v>33258.31</v>
      </c>
      <c r="BB12" s="122">
        <f t="shared" si="3"/>
        <v>16629.16</v>
      </c>
      <c r="BC12" s="122">
        <f t="shared" si="4"/>
        <v>16629.149999999998</v>
      </c>
    </row>
    <row r="13" spans="1:55" ht="14.25" customHeight="1" x14ac:dyDescent="0.2">
      <c r="A13" s="112">
        <f t="shared" si="0"/>
        <v>6</v>
      </c>
      <c r="B13" s="114" t="s">
        <v>129</v>
      </c>
      <c r="C13" s="114" t="s">
        <v>130</v>
      </c>
      <c r="D13" s="114" t="s">
        <v>131</v>
      </c>
      <c r="E13" s="114" t="s">
        <v>132</v>
      </c>
      <c r="F13" s="114" t="s">
        <v>117</v>
      </c>
      <c r="G13" s="114" t="s">
        <v>745</v>
      </c>
      <c r="H13" s="125">
        <v>42451</v>
      </c>
      <c r="I13" s="125">
        <v>44090</v>
      </c>
      <c r="J13" s="114">
        <v>15</v>
      </c>
      <c r="K13" s="114">
        <v>2</v>
      </c>
      <c r="L13" s="117">
        <f>IFERROR(VLOOKUP(J13, [1]DATA!$A$4:$I$36, MATCH(K13, [1]DATA!$B$3:$I$3, 0)+1, FALSE), "")</f>
        <v>42594</v>
      </c>
      <c r="M13" s="126">
        <v>2000</v>
      </c>
      <c r="N13" s="119">
        <f t="shared" si="1"/>
        <v>44594</v>
      </c>
      <c r="O13" s="120">
        <f t="shared" si="2"/>
        <v>3833.46</v>
      </c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0">
        <v>3791.96</v>
      </c>
      <c r="AB13" s="120">
        <f>ROUND(IF(L13&gt;79999.99,900,IF(L13&lt;10000.01,137.5,IF(10000&lt;L13&gt;80000,L13*2.5%))),2)</f>
        <v>1064.8499999999999</v>
      </c>
      <c r="AC13" s="127"/>
      <c r="AD13" s="127">
        <v>3000</v>
      </c>
      <c r="AE13" s="127">
        <v>1000</v>
      </c>
      <c r="AF13" s="127">
        <v>0</v>
      </c>
      <c r="AG13" s="127">
        <v>100</v>
      </c>
      <c r="AH13" s="127"/>
      <c r="AI13" s="127"/>
      <c r="AJ13" s="127"/>
      <c r="AK13" s="120"/>
      <c r="AL13" s="127">
        <v>1000</v>
      </c>
      <c r="AM13" s="127"/>
      <c r="AN13" s="127"/>
      <c r="AO13" s="120"/>
      <c r="AP13" s="120"/>
      <c r="AQ13" s="120"/>
      <c r="AR13" s="120"/>
      <c r="AS13" s="127">
        <v>0</v>
      </c>
      <c r="AT13" s="127"/>
      <c r="AU13" s="127"/>
      <c r="AV13" s="127"/>
      <c r="AW13" s="127">
        <v>0</v>
      </c>
      <c r="AX13" s="127"/>
      <c r="AY13" s="127"/>
      <c r="AZ13" s="121">
        <f>ROUND(SUM(O13:AY13),2)</f>
        <v>13790.27</v>
      </c>
      <c r="BA13" s="122">
        <f>ROUND(N13-AZ13,2)</f>
        <v>30803.73</v>
      </c>
      <c r="BB13" s="122">
        <f t="shared" si="3"/>
        <v>15401.87</v>
      </c>
      <c r="BC13" s="122">
        <f t="shared" si="4"/>
        <v>15401.859999999999</v>
      </c>
    </row>
    <row r="14" spans="1:55" ht="14.25" customHeight="1" x14ac:dyDescent="0.2">
      <c r="A14" s="112">
        <f t="shared" si="0"/>
        <v>7</v>
      </c>
      <c r="B14" s="114" t="s">
        <v>133</v>
      </c>
      <c r="C14" s="114" t="s">
        <v>134</v>
      </c>
      <c r="D14" s="114" t="s">
        <v>120</v>
      </c>
      <c r="E14" s="114" t="s">
        <v>135</v>
      </c>
      <c r="F14" s="114" t="s">
        <v>136</v>
      </c>
      <c r="G14" s="114" t="s">
        <v>746</v>
      </c>
      <c r="H14" s="125">
        <v>45700</v>
      </c>
      <c r="I14" s="125">
        <v>45700</v>
      </c>
      <c r="J14" s="114">
        <v>9</v>
      </c>
      <c r="K14" s="114">
        <v>1</v>
      </c>
      <c r="L14" s="117">
        <f>IFERROR(VLOOKUP(J14, [1]DATA!$A$4:$I$36, MATCH(K14, [1]DATA!$B$3:$I$3, 0)+1, FALSE), "")</f>
        <v>24329</v>
      </c>
      <c r="M14" s="126">
        <v>2000</v>
      </c>
      <c r="N14" s="119">
        <f t="shared" si="1"/>
        <v>26329</v>
      </c>
      <c r="O14" s="120">
        <f t="shared" si="2"/>
        <v>2189.61</v>
      </c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0">
        <v>593.27</v>
      </c>
      <c r="AB14" s="120">
        <f>ROUND(IF(L14&gt;79999.99,900,IF(L14&lt;10000.01,137.5,IF(10000&lt;L14&gt;80000,L14*2.5%))),2)-0.01</f>
        <v>608.22</v>
      </c>
      <c r="AC14" s="127"/>
      <c r="AD14" s="127"/>
      <c r="AE14" s="127">
        <v>200</v>
      </c>
      <c r="AF14" s="127">
        <v>0</v>
      </c>
      <c r="AG14" s="127">
        <v>100</v>
      </c>
      <c r="AH14" s="127"/>
      <c r="AI14" s="127"/>
      <c r="AJ14" s="127"/>
      <c r="AK14" s="120"/>
      <c r="AL14" s="127"/>
      <c r="AM14" s="127"/>
      <c r="AN14" s="127"/>
      <c r="AO14" s="120"/>
      <c r="AP14" s="120"/>
      <c r="AQ14" s="120"/>
      <c r="AR14" s="120"/>
      <c r="AS14" s="127">
        <v>0</v>
      </c>
      <c r="AT14" s="127"/>
      <c r="AU14" s="127"/>
      <c r="AV14" s="127"/>
      <c r="AW14" s="127">
        <v>0</v>
      </c>
      <c r="AX14" s="127"/>
      <c r="AY14" s="127"/>
      <c r="AZ14" s="121">
        <f>ROUND(SUM(O14:AY14),2)</f>
        <v>3691.1</v>
      </c>
      <c r="BA14" s="122">
        <f>ROUND(N14-AZ14,2)</f>
        <v>22637.9</v>
      </c>
      <c r="BB14" s="122">
        <f t="shared" si="3"/>
        <v>11318.95</v>
      </c>
      <c r="BC14" s="122">
        <f t="shared" si="4"/>
        <v>11318.95</v>
      </c>
    </row>
    <row r="15" spans="1:55" ht="14.25" customHeight="1" x14ac:dyDescent="0.2">
      <c r="A15" s="112">
        <f t="shared" si="0"/>
        <v>8</v>
      </c>
      <c r="B15" s="114" t="s">
        <v>133</v>
      </c>
      <c r="C15" s="114" t="s">
        <v>137</v>
      </c>
      <c r="D15" s="114" t="s">
        <v>138</v>
      </c>
      <c r="E15" s="114" t="s">
        <v>139</v>
      </c>
      <c r="F15" s="114" t="s">
        <v>112</v>
      </c>
      <c r="G15" s="114" t="s">
        <v>747</v>
      </c>
      <c r="H15" s="125">
        <v>42278</v>
      </c>
      <c r="I15" s="125">
        <v>44986</v>
      </c>
      <c r="J15" s="114">
        <v>15</v>
      </c>
      <c r="K15" s="114">
        <v>1</v>
      </c>
      <c r="L15" s="117">
        <f>IFERROR(VLOOKUP(J15, [1]DATA!$A$4:$I$36, MATCH(K15, [1]DATA!$B$3:$I$3, 0)+1, FALSE), "")</f>
        <v>42178</v>
      </c>
      <c r="M15" s="126">
        <v>2000</v>
      </c>
      <c r="N15" s="119">
        <f t="shared" si="1"/>
        <v>44178</v>
      </c>
      <c r="O15" s="120">
        <f t="shared" si="2"/>
        <v>3796.02</v>
      </c>
      <c r="P15" s="127"/>
      <c r="Q15" s="127"/>
      <c r="R15" s="127"/>
      <c r="S15" s="127"/>
      <c r="T15" s="127"/>
      <c r="U15" s="127"/>
      <c r="V15" s="127">
        <v>9317.65</v>
      </c>
      <c r="W15" s="127"/>
      <c r="X15" s="127"/>
      <c r="Y15" s="127"/>
      <c r="Z15" s="127"/>
      <c r="AA15" s="120">
        <v>3695.42</v>
      </c>
      <c r="AB15" s="120">
        <f>ROUND(IF(L15&gt;79999.99,900,IF(L15&lt;10000.01,137.5,IF(10000&lt;L15&gt;80000,L15*2.5%))),2)</f>
        <v>1054.45</v>
      </c>
      <c r="AC15" s="127"/>
      <c r="AD15" s="127">
        <v>2000</v>
      </c>
      <c r="AE15" s="127">
        <v>500</v>
      </c>
      <c r="AF15" s="127">
        <v>0</v>
      </c>
      <c r="AG15" s="127">
        <v>100</v>
      </c>
      <c r="AH15" s="127"/>
      <c r="AI15" s="127"/>
      <c r="AJ15" s="127"/>
      <c r="AK15" s="120"/>
      <c r="AL15" s="127"/>
      <c r="AM15" s="127"/>
      <c r="AN15" s="127"/>
      <c r="AO15" s="120"/>
      <c r="AP15" s="120"/>
      <c r="AQ15" s="120"/>
      <c r="AR15" s="120"/>
      <c r="AS15" s="127">
        <v>0</v>
      </c>
      <c r="AT15" s="127"/>
      <c r="AU15" s="127"/>
      <c r="AV15" s="127"/>
      <c r="AW15" s="127"/>
      <c r="AX15" s="127"/>
      <c r="AY15" s="127"/>
      <c r="AZ15" s="121">
        <f>ROUND(SUM(O15:AY15),2)</f>
        <v>20463.54</v>
      </c>
      <c r="BA15" s="122">
        <f>ROUND(N15-AZ15,2)</f>
        <v>23714.46</v>
      </c>
      <c r="BB15" s="122">
        <f t="shared" si="3"/>
        <v>11857.23</v>
      </c>
      <c r="BC15" s="122">
        <f t="shared" si="4"/>
        <v>11857.23</v>
      </c>
    </row>
    <row r="16" spans="1:55" ht="14.25" customHeight="1" x14ac:dyDescent="0.2">
      <c r="A16" s="112">
        <f t="shared" si="0"/>
        <v>9</v>
      </c>
      <c r="B16" s="114" t="s">
        <v>140</v>
      </c>
      <c r="C16" s="114" t="s">
        <v>141</v>
      </c>
      <c r="D16" s="114" t="s">
        <v>142</v>
      </c>
      <c r="E16" s="114" t="s">
        <v>143</v>
      </c>
      <c r="F16" s="114" t="s">
        <v>117</v>
      </c>
      <c r="G16" s="114" t="s">
        <v>748</v>
      </c>
      <c r="H16" s="125">
        <v>43549</v>
      </c>
      <c r="I16" s="125">
        <v>44271</v>
      </c>
      <c r="J16" s="114">
        <v>15</v>
      </c>
      <c r="K16" s="114">
        <v>2</v>
      </c>
      <c r="L16" s="117">
        <f>IFERROR(VLOOKUP(J16, [1]DATA!$A$4:$I$36, MATCH(K16, [1]DATA!$B$3:$I$3, 0)+1, FALSE), "")</f>
        <v>42594</v>
      </c>
      <c r="M16" s="126">
        <v>2000</v>
      </c>
      <c r="N16" s="119">
        <f t="shared" si="1"/>
        <v>44594</v>
      </c>
      <c r="O16" s="120">
        <f t="shared" si="2"/>
        <v>3833.46</v>
      </c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0">
        <v>3791.96</v>
      </c>
      <c r="AB16" s="120">
        <f>ROUND(IF(L16&gt;79999.99,900,IF(L16&lt;10000.01,137.5,IF(10000&lt;L16&gt;80000,L16*2.5%))),2)</f>
        <v>1064.8499999999999</v>
      </c>
      <c r="AC16" s="127"/>
      <c r="AD16" s="127"/>
      <c r="AE16" s="120">
        <v>200</v>
      </c>
      <c r="AF16" s="127">
        <v>0</v>
      </c>
      <c r="AG16" s="127">
        <v>100</v>
      </c>
      <c r="AH16" s="127"/>
      <c r="AI16" s="127"/>
      <c r="AJ16" s="127"/>
      <c r="AK16" s="120"/>
      <c r="AL16" s="127"/>
      <c r="AM16" s="127"/>
      <c r="AN16" s="127"/>
      <c r="AO16" s="120"/>
      <c r="AP16" s="120"/>
      <c r="AQ16" s="120"/>
      <c r="AR16" s="120"/>
      <c r="AS16" s="127">
        <v>0</v>
      </c>
      <c r="AT16" s="127"/>
      <c r="AU16" s="127"/>
      <c r="AV16" s="127"/>
      <c r="AW16" s="127"/>
      <c r="AX16" s="127"/>
      <c r="AY16" s="127"/>
      <c r="AZ16" s="121">
        <f>ROUND(SUM(O16:AY16),2)</f>
        <v>8990.27</v>
      </c>
      <c r="BA16" s="122">
        <f>ROUND(N16-AZ16,2)</f>
        <v>35603.730000000003</v>
      </c>
      <c r="BB16" s="122">
        <f t="shared" si="3"/>
        <v>17801.87</v>
      </c>
      <c r="BC16" s="122">
        <f t="shared" si="4"/>
        <v>17801.860000000004</v>
      </c>
    </row>
    <row r="17" spans="1:55" ht="14.25" customHeight="1" x14ac:dyDescent="0.2">
      <c r="A17" s="112">
        <f t="shared" si="0"/>
        <v>10</v>
      </c>
      <c r="B17" s="114" t="s">
        <v>144</v>
      </c>
      <c r="C17" s="114" t="s">
        <v>145</v>
      </c>
      <c r="D17" s="114" t="s">
        <v>120</v>
      </c>
      <c r="E17" s="114" t="s">
        <v>146</v>
      </c>
      <c r="F17" s="114" t="s">
        <v>147</v>
      </c>
      <c r="G17" s="114" t="s">
        <v>749</v>
      </c>
      <c r="H17" s="125">
        <v>45376</v>
      </c>
      <c r="I17" s="125">
        <v>45376</v>
      </c>
      <c r="J17" s="114">
        <v>7</v>
      </c>
      <c r="K17" s="114">
        <v>1</v>
      </c>
      <c r="L17" s="117">
        <f>IFERROR(VLOOKUP(J17, [1]DATA!$A$4:$I$36, MATCH(K17, [1]DATA!$B$3:$I$3, 0)+1, FALSE), "")</f>
        <v>20914</v>
      </c>
      <c r="M17" s="118">
        <v>2000</v>
      </c>
      <c r="N17" s="119">
        <f t="shared" si="1"/>
        <v>22914</v>
      </c>
      <c r="O17" s="120">
        <f t="shared" si="2"/>
        <v>1882.26</v>
      </c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0">
        <v>0</v>
      </c>
      <c r="AB17" s="120">
        <f>ROUND(IF(L17&gt;79999.99,900,IF(L17&lt;10000.01,137.5,IF(10000&lt;L17&gt;80000,L17*2.5%))),2)</f>
        <v>522.85</v>
      </c>
      <c r="AC17" s="127"/>
      <c r="AD17" s="127">
        <v>1000</v>
      </c>
      <c r="AE17" s="120">
        <v>200</v>
      </c>
      <c r="AF17" s="127"/>
      <c r="AG17" s="127">
        <v>100</v>
      </c>
      <c r="AH17" s="127"/>
      <c r="AI17" s="127"/>
      <c r="AJ17" s="127"/>
      <c r="AK17" s="120">
        <v>1000</v>
      </c>
      <c r="AL17" s="127"/>
      <c r="AM17" s="127"/>
      <c r="AN17" s="127"/>
      <c r="AO17" s="120"/>
      <c r="AP17" s="120"/>
      <c r="AQ17" s="120"/>
      <c r="AR17" s="120"/>
      <c r="AS17" s="127"/>
      <c r="AT17" s="127"/>
      <c r="AU17" s="127"/>
      <c r="AV17" s="127"/>
      <c r="AW17" s="127"/>
      <c r="AX17" s="127"/>
      <c r="AY17" s="127"/>
      <c r="AZ17" s="121">
        <f>ROUND(SUM(O17:AY17),2)</f>
        <v>4705.1099999999997</v>
      </c>
      <c r="BA17" s="122">
        <f>ROUND(N17-AZ17,2)</f>
        <v>18208.89</v>
      </c>
      <c r="BB17" s="122">
        <f>ROUND(BA17/2,2)</f>
        <v>9104.4500000000007</v>
      </c>
      <c r="BC17" s="122">
        <f t="shared" si="4"/>
        <v>9104.4399999999987</v>
      </c>
    </row>
    <row r="18" spans="1:55" ht="14.25" customHeight="1" x14ac:dyDescent="0.2">
      <c r="A18" s="112">
        <f t="shared" si="0"/>
        <v>11</v>
      </c>
      <c r="B18" s="114" t="s">
        <v>148</v>
      </c>
      <c r="C18" s="114" t="s">
        <v>149</v>
      </c>
      <c r="D18" s="114" t="s">
        <v>150</v>
      </c>
      <c r="E18" s="114" t="s">
        <v>151</v>
      </c>
      <c r="F18" s="114" t="s">
        <v>152</v>
      </c>
      <c r="G18" s="114" t="s">
        <v>750</v>
      </c>
      <c r="H18" s="125">
        <v>34243</v>
      </c>
      <c r="I18" s="125">
        <v>44998</v>
      </c>
      <c r="J18" s="114">
        <v>27</v>
      </c>
      <c r="K18" s="114">
        <v>1</v>
      </c>
      <c r="L18" s="117">
        <f>IFERROR(VLOOKUP(J18, [1]DATA!$A$4:$I$36, MATCH(K18, [1]DATA!$B$3:$I$3, 0)+1, FALSE), "")</f>
        <v>148940</v>
      </c>
      <c r="M18" s="126">
        <v>2000</v>
      </c>
      <c r="N18" s="119">
        <f t="shared" si="1"/>
        <v>150940</v>
      </c>
      <c r="O18" s="120">
        <f t="shared" si="2"/>
        <v>13404.6</v>
      </c>
      <c r="P18" s="127">
        <v>500</v>
      </c>
      <c r="Q18" s="127">
        <v>655.56</v>
      </c>
      <c r="R18" s="127"/>
      <c r="S18" s="127"/>
      <c r="T18" s="127"/>
      <c r="U18" s="127"/>
      <c r="V18" s="127">
        <v>21327.3</v>
      </c>
      <c r="W18" s="127">
        <v>2333.33</v>
      </c>
      <c r="X18" s="127"/>
      <c r="Y18" s="127"/>
      <c r="Z18" s="127"/>
      <c r="AA18" s="120">
        <v>33536.75</v>
      </c>
      <c r="AB18" s="127">
        <v>2500</v>
      </c>
      <c r="AC18" s="127"/>
      <c r="AD18" s="127">
        <v>0</v>
      </c>
      <c r="AE18" s="120">
        <v>200</v>
      </c>
      <c r="AF18" s="127">
        <v>3000</v>
      </c>
      <c r="AG18" s="127"/>
      <c r="AH18" s="127"/>
      <c r="AI18" s="127"/>
      <c r="AJ18" s="127"/>
      <c r="AK18" s="120"/>
      <c r="AL18" s="127"/>
      <c r="AM18" s="127"/>
      <c r="AN18" s="127"/>
      <c r="AO18" s="120"/>
      <c r="AP18" s="120"/>
      <c r="AQ18" s="120"/>
      <c r="AR18" s="120"/>
      <c r="AS18" s="127">
        <v>0</v>
      </c>
      <c r="AT18" s="127">
        <v>9470.26</v>
      </c>
      <c r="AU18" s="127"/>
      <c r="AV18" s="127"/>
      <c r="AW18" s="127">
        <v>0</v>
      </c>
      <c r="AX18" s="127"/>
      <c r="AY18" s="127">
        <v>7364.14</v>
      </c>
      <c r="AZ18" s="121">
        <f>ROUND(SUM(O18:AY18),2)</f>
        <v>94291.94</v>
      </c>
      <c r="BA18" s="122">
        <f>ROUND(N18-AZ18,2)</f>
        <v>56648.06</v>
      </c>
      <c r="BB18" s="122">
        <f t="shared" si="3"/>
        <v>28324.03</v>
      </c>
      <c r="BC18" s="122">
        <f t="shared" si="4"/>
        <v>28324.03</v>
      </c>
    </row>
    <row r="19" spans="1:55" ht="14.25" customHeight="1" x14ac:dyDescent="0.2">
      <c r="A19" s="112">
        <f t="shared" si="0"/>
        <v>12</v>
      </c>
      <c r="B19" s="114" t="s">
        <v>153</v>
      </c>
      <c r="C19" s="114" t="s">
        <v>154</v>
      </c>
      <c r="D19" s="114" t="s">
        <v>142</v>
      </c>
      <c r="E19" s="114" t="s">
        <v>155</v>
      </c>
      <c r="F19" s="114" t="s">
        <v>147</v>
      </c>
      <c r="G19" s="114" t="s">
        <v>751</v>
      </c>
      <c r="H19" s="125">
        <v>34078</v>
      </c>
      <c r="I19" s="125">
        <v>38628</v>
      </c>
      <c r="J19" s="114">
        <v>8</v>
      </c>
      <c r="K19" s="114">
        <v>7</v>
      </c>
      <c r="L19" s="117">
        <f>IFERROR(VLOOKUP(J19, [1]DATA!$A$4:$I$36, MATCH(K19, [1]DATA!$B$3:$I$3, 0)+1, FALSE), "")</f>
        <v>23668</v>
      </c>
      <c r="M19" s="118">
        <v>2000</v>
      </c>
      <c r="N19" s="119">
        <f t="shared" si="1"/>
        <v>25668</v>
      </c>
      <c r="O19" s="120">
        <f t="shared" si="2"/>
        <v>2130.12</v>
      </c>
      <c r="P19" s="127">
        <v>200</v>
      </c>
      <c r="Q19" s="127"/>
      <c r="R19" s="127"/>
      <c r="S19" s="127"/>
      <c r="T19" s="127"/>
      <c r="U19" s="127"/>
      <c r="V19" s="127">
        <v>4847.84</v>
      </c>
      <c r="W19" s="127"/>
      <c r="X19" s="127"/>
      <c r="Y19" s="127"/>
      <c r="Z19" s="127"/>
      <c r="AA19" s="120">
        <v>23.91</v>
      </c>
      <c r="AB19" s="120">
        <f>ROUND(IF(L19&gt;79999.99,900,IF(L19&lt;10000.01,137.5,IF(10000&lt;L19&gt;80000,L19*2.5%))),2)</f>
        <v>591.70000000000005</v>
      </c>
      <c r="AC19" s="127">
        <v>4679.53</v>
      </c>
      <c r="AD19" s="127"/>
      <c r="AE19" s="120">
        <v>200</v>
      </c>
      <c r="AF19" s="127">
        <v>0</v>
      </c>
      <c r="AG19" s="127">
        <v>100</v>
      </c>
      <c r="AH19" s="127"/>
      <c r="AI19" s="127"/>
      <c r="AJ19" s="127"/>
      <c r="AK19" s="120"/>
      <c r="AL19" s="127">
        <v>300</v>
      </c>
      <c r="AM19" s="127">
        <v>1000</v>
      </c>
      <c r="AN19" s="127"/>
      <c r="AO19" s="120"/>
      <c r="AP19" s="120"/>
      <c r="AQ19" s="120"/>
      <c r="AR19" s="120"/>
      <c r="AS19" s="127">
        <v>0</v>
      </c>
      <c r="AT19" s="127"/>
      <c r="AU19" s="127"/>
      <c r="AV19" s="127"/>
      <c r="AW19" s="127">
        <v>0</v>
      </c>
      <c r="AX19" s="127"/>
      <c r="AY19" s="128">
        <v>4325.3500000000004</v>
      </c>
      <c r="AZ19" s="121">
        <f>ROUND(SUM(O19:AY19),2)</f>
        <v>18398.45</v>
      </c>
      <c r="BA19" s="122">
        <f>ROUND(N19-AZ19,2)</f>
        <v>7269.55</v>
      </c>
      <c r="BB19" s="122">
        <f t="shared" si="3"/>
        <v>3634.78</v>
      </c>
      <c r="BC19" s="122">
        <f t="shared" si="4"/>
        <v>3634.77</v>
      </c>
    </row>
    <row r="20" spans="1:55" ht="14.25" customHeight="1" x14ac:dyDescent="0.2">
      <c r="A20" s="112">
        <f t="shared" si="0"/>
        <v>13</v>
      </c>
      <c r="B20" s="114" t="s">
        <v>156</v>
      </c>
      <c r="C20" s="114" t="s">
        <v>157</v>
      </c>
      <c r="D20" s="114" t="s">
        <v>120</v>
      </c>
      <c r="E20" s="114" t="s">
        <v>121</v>
      </c>
      <c r="F20" s="114" t="s">
        <v>122</v>
      </c>
      <c r="G20" s="114" t="s">
        <v>752</v>
      </c>
      <c r="H20" s="125">
        <v>45376</v>
      </c>
      <c r="I20" s="125">
        <v>45376</v>
      </c>
      <c r="J20" s="114">
        <v>11</v>
      </c>
      <c r="K20" s="114">
        <v>1</v>
      </c>
      <c r="L20" s="117">
        <f>IFERROR(VLOOKUP(J20, [1]DATA!$A$4:$I$36, MATCH(K20, [1]DATA!$B$3:$I$3, 0)+1, FALSE), "")</f>
        <v>31705</v>
      </c>
      <c r="M20" s="118">
        <v>2000</v>
      </c>
      <c r="N20" s="119">
        <f t="shared" si="1"/>
        <v>33705</v>
      </c>
      <c r="O20" s="120">
        <f t="shared" si="2"/>
        <v>2853.45</v>
      </c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0">
        <v>1468.9</v>
      </c>
      <c r="AB20" s="120">
        <f>ROUND(IF(L20&gt;79999.99,900,IF(L20&lt;10000.01,137.5,IF(10000&lt;L20&gt;80000,L20*2.5%))),2)-0.01</f>
        <v>792.62</v>
      </c>
      <c r="AC20" s="127"/>
      <c r="AD20" s="127"/>
      <c r="AE20" s="120">
        <v>200</v>
      </c>
      <c r="AF20" s="127"/>
      <c r="AG20" s="127">
        <v>100</v>
      </c>
      <c r="AH20" s="127"/>
      <c r="AI20" s="127"/>
      <c r="AJ20" s="127"/>
      <c r="AK20" s="120"/>
      <c r="AL20" s="127"/>
      <c r="AM20" s="127"/>
      <c r="AN20" s="127"/>
      <c r="AO20" s="120"/>
      <c r="AP20" s="120"/>
      <c r="AQ20" s="120"/>
      <c r="AR20" s="120"/>
      <c r="AS20" s="127"/>
      <c r="AT20" s="127"/>
      <c r="AU20" s="127"/>
      <c r="AV20" s="127"/>
      <c r="AW20" s="127"/>
      <c r="AX20" s="127"/>
      <c r="AY20" s="128"/>
      <c r="AZ20" s="121">
        <f>ROUND(SUM(O20:AY20),2)</f>
        <v>5414.97</v>
      </c>
      <c r="BA20" s="122">
        <f>ROUND(N20-AZ20,2)</f>
        <v>28290.03</v>
      </c>
      <c r="BB20" s="122">
        <f t="shared" si="3"/>
        <v>14145.02</v>
      </c>
      <c r="BC20" s="122">
        <f t="shared" si="4"/>
        <v>14145.009999999998</v>
      </c>
    </row>
    <row r="21" spans="1:55" ht="14.25" customHeight="1" x14ac:dyDescent="0.2">
      <c r="A21" s="112">
        <f t="shared" si="0"/>
        <v>14</v>
      </c>
      <c r="B21" s="114" t="s">
        <v>158</v>
      </c>
      <c r="C21" s="114" t="s">
        <v>159</v>
      </c>
      <c r="D21" s="114" t="s">
        <v>150</v>
      </c>
      <c r="E21" s="114" t="s">
        <v>160</v>
      </c>
      <c r="F21" s="114" t="s">
        <v>136</v>
      </c>
      <c r="G21" s="114" t="s">
        <v>753</v>
      </c>
      <c r="H21" s="125">
        <v>34121</v>
      </c>
      <c r="I21" s="125">
        <v>34121</v>
      </c>
      <c r="J21" s="114">
        <v>3</v>
      </c>
      <c r="K21" s="114">
        <v>8</v>
      </c>
      <c r="L21" s="117">
        <f>IFERROR(VLOOKUP(J21, [1]DATA!$A$4:$I$36, MATCH(K21, [1]DATA!$B$3:$I$3, 0)+1, FALSE), "")</f>
        <v>17360</v>
      </c>
      <c r="M21" s="126">
        <v>2000</v>
      </c>
      <c r="N21" s="119">
        <f t="shared" si="1"/>
        <v>19360</v>
      </c>
      <c r="O21" s="120">
        <f t="shared" si="2"/>
        <v>1562.4</v>
      </c>
      <c r="P21" s="127"/>
      <c r="Q21" s="127">
        <v>655.56</v>
      </c>
      <c r="R21" s="127"/>
      <c r="S21" s="127">
        <v>2100.56</v>
      </c>
      <c r="T21" s="128">
        <v>0</v>
      </c>
      <c r="U21" s="127">
        <v>0</v>
      </c>
      <c r="V21" s="127"/>
      <c r="W21" s="127"/>
      <c r="X21" s="127"/>
      <c r="Y21" s="127">
        <v>2837.17</v>
      </c>
      <c r="Z21" s="127"/>
      <c r="AA21" s="120">
        <v>0</v>
      </c>
      <c r="AB21" s="127">
        <f>ROUND(IF(L21&gt;79999.99,900,IF(L21&lt;10000.01,137.5,IF(10000&lt;L21&gt;80000,L21*2.5%))),2)</f>
        <v>434</v>
      </c>
      <c r="AC21" s="127"/>
      <c r="AD21" s="127"/>
      <c r="AE21" s="127">
        <v>500</v>
      </c>
      <c r="AF21" s="127">
        <v>1200</v>
      </c>
      <c r="AG21" s="127">
        <v>100</v>
      </c>
      <c r="AH21" s="127"/>
      <c r="AI21" s="127"/>
      <c r="AJ21" s="127"/>
      <c r="AK21" s="120"/>
      <c r="AL21" s="127"/>
      <c r="AM21" s="127"/>
      <c r="AN21" s="127"/>
      <c r="AO21" s="120"/>
      <c r="AP21" s="120"/>
      <c r="AQ21" s="120"/>
      <c r="AR21" s="120"/>
      <c r="AS21" s="127">
        <v>1000</v>
      </c>
      <c r="AT21" s="127"/>
      <c r="AU21" s="127"/>
      <c r="AV21" s="127"/>
      <c r="AW21" s="127">
        <v>0</v>
      </c>
      <c r="AX21" s="127"/>
      <c r="AY21" s="127">
        <v>1820.83</v>
      </c>
      <c r="AZ21" s="121">
        <f>ROUND(SUM(O21:AY21),2)</f>
        <v>12210.52</v>
      </c>
      <c r="BA21" s="122">
        <f>ROUND(N21-AZ21,2)</f>
        <v>7149.48</v>
      </c>
      <c r="BB21" s="122">
        <f t="shared" si="3"/>
        <v>3574.74</v>
      </c>
      <c r="BC21" s="122">
        <f t="shared" si="4"/>
        <v>3574.74</v>
      </c>
    </row>
    <row r="22" spans="1:55" ht="14.25" customHeight="1" x14ac:dyDescent="0.2">
      <c r="A22" s="112">
        <f t="shared" si="0"/>
        <v>15</v>
      </c>
      <c r="B22" s="114" t="s">
        <v>163</v>
      </c>
      <c r="C22" s="114" t="s">
        <v>164</v>
      </c>
      <c r="D22" s="114" t="s">
        <v>120</v>
      </c>
      <c r="E22" s="114" t="s">
        <v>165</v>
      </c>
      <c r="F22" s="114" t="s">
        <v>122</v>
      </c>
      <c r="G22" s="114" t="s">
        <v>754</v>
      </c>
      <c r="H22" s="125">
        <v>42451</v>
      </c>
      <c r="I22" s="125">
        <v>45397</v>
      </c>
      <c r="J22" s="114">
        <v>18</v>
      </c>
      <c r="K22" s="114">
        <v>1</v>
      </c>
      <c r="L22" s="117">
        <f>IFERROR(VLOOKUP(J22, [1]DATA!$A$4:$I$36, MATCH(K22, [1]DATA!$B$3:$I$3, 0)+1, FALSE), "")</f>
        <v>53818</v>
      </c>
      <c r="M22" s="126">
        <v>2000</v>
      </c>
      <c r="N22" s="119">
        <f t="shared" si="1"/>
        <v>55818</v>
      </c>
      <c r="O22" s="120">
        <f t="shared" si="2"/>
        <v>4843.62</v>
      </c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0">
        <v>6395.7</v>
      </c>
      <c r="AB22" s="120">
        <f>ROUND(IF(L22&gt;79999.99,900,IF(L22&lt;10000.01,137.5,IF(10000&lt;L22&gt;80000,L22*2.5%))),2)</f>
        <v>1345.45</v>
      </c>
      <c r="AC22" s="127"/>
      <c r="AD22" s="127"/>
      <c r="AE22" s="120">
        <v>200</v>
      </c>
      <c r="AF22" s="127">
        <v>0</v>
      </c>
      <c r="AG22" s="127">
        <v>100</v>
      </c>
      <c r="AH22" s="127"/>
      <c r="AI22" s="127"/>
      <c r="AJ22" s="127"/>
      <c r="AK22" s="120"/>
      <c r="AL22" s="127"/>
      <c r="AM22" s="127"/>
      <c r="AN22" s="127"/>
      <c r="AO22" s="120"/>
      <c r="AP22" s="120"/>
      <c r="AQ22" s="120"/>
      <c r="AR22" s="120"/>
      <c r="AS22" s="127">
        <v>1135.55</v>
      </c>
      <c r="AT22" s="127"/>
      <c r="AU22" s="127"/>
      <c r="AV22" s="127"/>
      <c r="AW22" s="127"/>
      <c r="AX22" s="127">
        <v>891.15</v>
      </c>
      <c r="AY22" s="127">
        <v>3034.72</v>
      </c>
      <c r="AZ22" s="121">
        <f>ROUND(SUM(O22:AY22),2)</f>
        <v>17946.189999999999</v>
      </c>
      <c r="BA22" s="122">
        <f>ROUND(N22-AZ22,2)</f>
        <v>37871.81</v>
      </c>
      <c r="BB22" s="122">
        <f>ROUND(BA22/2,2)</f>
        <v>18935.91</v>
      </c>
      <c r="BC22" s="122">
        <f>BA22-BB22</f>
        <v>18935.899999999998</v>
      </c>
    </row>
    <row r="23" spans="1:55" ht="14.25" customHeight="1" x14ac:dyDescent="0.2">
      <c r="A23" s="112">
        <f t="shared" si="0"/>
        <v>16</v>
      </c>
      <c r="B23" s="114" t="s">
        <v>166</v>
      </c>
      <c r="C23" s="114" t="s">
        <v>167</v>
      </c>
      <c r="D23" s="114" t="s">
        <v>125</v>
      </c>
      <c r="E23" s="114" t="s">
        <v>168</v>
      </c>
      <c r="F23" s="114" t="s">
        <v>147</v>
      </c>
      <c r="G23" s="114" t="s">
        <v>755</v>
      </c>
      <c r="H23" s="125">
        <v>34073</v>
      </c>
      <c r="I23" s="125">
        <v>34073</v>
      </c>
      <c r="J23" s="114">
        <v>8</v>
      </c>
      <c r="K23" s="114">
        <v>8</v>
      </c>
      <c r="L23" s="117">
        <f>IFERROR(VLOOKUP(J23, [1]DATA!$A$4:$I$36, MATCH(K23, [1]DATA!$B$3:$I$3, 0)+1, FALSE), "")</f>
        <v>23883</v>
      </c>
      <c r="M23" s="126">
        <v>2000</v>
      </c>
      <c r="N23" s="119">
        <f t="shared" si="1"/>
        <v>25883</v>
      </c>
      <c r="O23" s="120">
        <f t="shared" si="2"/>
        <v>2149.4699999999998</v>
      </c>
      <c r="P23" s="127">
        <v>320</v>
      </c>
      <c r="Q23" s="128"/>
      <c r="R23" s="128"/>
      <c r="S23" s="128">
        <v>0</v>
      </c>
      <c r="T23" s="127"/>
      <c r="U23" s="127"/>
      <c r="V23" s="127">
        <v>3558.84</v>
      </c>
      <c r="W23" s="127"/>
      <c r="X23" s="127"/>
      <c r="Y23" s="127">
        <v>5648.41</v>
      </c>
      <c r="Z23" s="127"/>
      <c r="AA23" s="120">
        <v>73.05</v>
      </c>
      <c r="AB23" s="120">
        <f>ROUND(IF(L23&gt;79999.99,900,IF(L23&lt;10000.01,137.5,IF(10000&lt;L23&gt;80000,L23*2.5%))),2)-0.01</f>
        <v>597.07000000000005</v>
      </c>
      <c r="AC23" s="127">
        <v>1195.45</v>
      </c>
      <c r="AD23" s="127"/>
      <c r="AE23" s="120">
        <v>200</v>
      </c>
      <c r="AF23" s="127">
        <v>0</v>
      </c>
      <c r="AG23" s="127">
        <v>100</v>
      </c>
      <c r="AH23" s="127"/>
      <c r="AI23" s="127"/>
      <c r="AJ23" s="127"/>
      <c r="AK23" s="120"/>
      <c r="AL23" s="127">
        <v>100</v>
      </c>
      <c r="AM23" s="127">
        <v>3750</v>
      </c>
      <c r="AN23" s="127"/>
      <c r="AO23" s="120">
        <v>922.78</v>
      </c>
      <c r="AP23" s="120">
        <v>1408.7</v>
      </c>
      <c r="AQ23" s="120"/>
      <c r="AR23" s="120"/>
      <c r="AS23" s="127">
        <v>0</v>
      </c>
      <c r="AT23" s="127"/>
      <c r="AU23" s="127"/>
      <c r="AV23" s="127"/>
      <c r="AW23" s="127">
        <v>0</v>
      </c>
      <c r="AX23" s="127"/>
      <c r="AY23" s="127"/>
      <c r="AZ23" s="121">
        <f>ROUND(SUM(O23:AY23),2)</f>
        <v>20023.77</v>
      </c>
      <c r="BA23" s="122">
        <f>ROUND(N23-AZ23,2)</f>
        <v>5859.23</v>
      </c>
      <c r="BB23" s="122">
        <f t="shared" si="3"/>
        <v>2929.62</v>
      </c>
      <c r="BC23" s="122">
        <f t="shared" si="4"/>
        <v>2929.6099999999997</v>
      </c>
    </row>
    <row r="24" spans="1:55" ht="14.25" customHeight="1" x14ac:dyDescent="0.2">
      <c r="A24" s="112">
        <f t="shared" si="0"/>
        <v>17</v>
      </c>
      <c r="B24" s="114" t="s">
        <v>169</v>
      </c>
      <c r="C24" s="114" t="s">
        <v>170</v>
      </c>
      <c r="D24" s="114" t="s">
        <v>171</v>
      </c>
      <c r="E24" s="114" t="s">
        <v>172</v>
      </c>
      <c r="F24" s="114" t="s">
        <v>136</v>
      </c>
      <c r="G24" s="114" t="s">
        <v>756</v>
      </c>
      <c r="H24" s="125">
        <v>37712</v>
      </c>
      <c r="I24" s="125">
        <v>37712</v>
      </c>
      <c r="J24" s="114">
        <v>5</v>
      </c>
      <c r="K24" s="114">
        <v>8</v>
      </c>
      <c r="L24" s="117">
        <f>IFERROR(VLOOKUP(J24, [1]DATA!$A$4:$I$36, MATCH(K24, [1]DATA!$B$3:$I$3, 0)+1, FALSE), "")</f>
        <v>19565</v>
      </c>
      <c r="M24" s="126">
        <v>2000</v>
      </c>
      <c r="N24" s="119">
        <f t="shared" si="1"/>
        <v>21565</v>
      </c>
      <c r="O24" s="120">
        <f t="shared" si="2"/>
        <v>1760.85</v>
      </c>
      <c r="P24" s="127">
        <v>300</v>
      </c>
      <c r="Q24" s="127">
        <v>655.56</v>
      </c>
      <c r="R24" s="127"/>
      <c r="S24" s="127"/>
      <c r="T24" s="127"/>
      <c r="U24" s="127"/>
      <c r="V24" s="127">
        <v>2698.53</v>
      </c>
      <c r="W24" s="127">
        <v>1166.67</v>
      </c>
      <c r="X24" s="127"/>
      <c r="Y24" s="127">
        <v>3372.06</v>
      </c>
      <c r="Z24" s="127"/>
      <c r="AA24" s="120">
        <v>0</v>
      </c>
      <c r="AB24" s="120">
        <f>ROUND(IF(L24&gt;79999.99,900,IF(L24&lt;10000.01,137.5,IF(10000&lt;L24&gt;80000,L24*2.5%))),2)-0.01</f>
        <v>489.12</v>
      </c>
      <c r="AC24" s="127">
        <v>279.7</v>
      </c>
      <c r="AD24" s="127">
        <v>0</v>
      </c>
      <c r="AE24" s="120">
        <v>200</v>
      </c>
      <c r="AF24" s="127">
        <v>0</v>
      </c>
      <c r="AG24" s="127">
        <v>100</v>
      </c>
      <c r="AH24" s="127">
        <v>1336</v>
      </c>
      <c r="AI24" s="127"/>
      <c r="AJ24" s="127"/>
      <c r="AK24" s="120"/>
      <c r="AL24" s="127"/>
      <c r="AM24" s="127"/>
      <c r="AN24" s="127"/>
      <c r="AO24" s="120"/>
      <c r="AP24" s="120"/>
      <c r="AQ24" s="120"/>
      <c r="AR24" s="120"/>
      <c r="AS24" s="127">
        <v>500</v>
      </c>
      <c r="AT24" s="127"/>
      <c r="AU24" s="127"/>
      <c r="AV24" s="127"/>
      <c r="AW24" s="127">
        <v>0</v>
      </c>
      <c r="AX24" s="127"/>
      <c r="AY24" s="127">
        <v>2994.22</v>
      </c>
      <c r="AZ24" s="121">
        <f>ROUND(SUM(O24:AY24),2)</f>
        <v>15852.71</v>
      </c>
      <c r="BA24" s="122">
        <f>ROUND(N24-AZ24,2)</f>
        <v>5712.29</v>
      </c>
      <c r="BB24" s="122">
        <f t="shared" si="3"/>
        <v>2856.15</v>
      </c>
      <c r="BC24" s="122">
        <f t="shared" si="4"/>
        <v>2856.14</v>
      </c>
    </row>
    <row r="25" spans="1:55" ht="14.25" customHeight="1" x14ac:dyDescent="0.2">
      <c r="A25" s="112">
        <f t="shared" si="0"/>
        <v>18</v>
      </c>
      <c r="B25" s="114" t="s">
        <v>173</v>
      </c>
      <c r="C25" s="114" t="s">
        <v>174</v>
      </c>
      <c r="D25" s="114" t="s">
        <v>110</v>
      </c>
      <c r="E25" s="114" t="s">
        <v>175</v>
      </c>
      <c r="F25" s="114" t="s">
        <v>122</v>
      </c>
      <c r="G25" s="114" t="s">
        <v>757</v>
      </c>
      <c r="H25" s="125">
        <v>44291</v>
      </c>
      <c r="I25" s="125">
        <v>45719</v>
      </c>
      <c r="J25" s="114">
        <v>15</v>
      </c>
      <c r="K25" s="114">
        <v>1</v>
      </c>
      <c r="L25" s="117">
        <f>IFERROR(VLOOKUP(J25, [1]DATA!$A$4:$I$36, MATCH(K25, [1]DATA!$B$3:$I$3, 0)+1, FALSE), "")</f>
        <v>42178</v>
      </c>
      <c r="M25" s="126">
        <v>2000</v>
      </c>
      <c r="N25" s="119">
        <f t="shared" si="1"/>
        <v>44178</v>
      </c>
      <c r="O25" s="120">
        <f t="shared" si="2"/>
        <v>3796.02</v>
      </c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0">
        <v>3335.99</v>
      </c>
      <c r="AB25" s="127">
        <f>ROUND(IF(L25&gt;79999.99,900,IF(L25&lt;10000.01,137.5,IF(10000&lt;L25&gt;80000,L25*2.5%))),2)</f>
        <v>1054.45</v>
      </c>
      <c r="AC25" s="127"/>
      <c r="AD25" s="127"/>
      <c r="AE25" s="120">
        <v>200</v>
      </c>
      <c r="AF25" s="127">
        <v>0</v>
      </c>
      <c r="AG25" s="127">
        <v>100</v>
      </c>
      <c r="AH25" s="127"/>
      <c r="AI25" s="127"/>
      <c r="AJ25" s="127"/>
      <c r="AK25" s="120"/>
      <c r="AL25" s="127"/>
      <c r="AM25" s="127"/>
      <c r="AN25" s="127"/>
      <c r="AO25" s="120"/>
      <c r="AP25" s="120"/>
      <c r="AQ25" s="120"/>
      <c r="AR25" s="120"/>
      <c r="AS25" s="127">
        <v>0</v>
      </c>
      <c r="AT25" s="127">
        <v>6313.51</v>
      </c>
      <c r="AU25" s="127"/>
      <c r="AV25" s="127"/>
      <c r="AW25" s="127"/>
      <c r="AX25" s="127"/>
      <c r="AY25" s="127"/>
      <c r="AZ25" s="121">
        <f>ROUND(SUM(O25:AY25),2)</f>
        <v>14799.97</v>
      </c>
      <c r="BA25" s="122">
        <f>ROUND(N25-AZ25,2)</f>
        <v>29378.03</v>
      </c>
      <c r="BB25" s="122">
        <f t="shared" si="3"/>
        <v>14689.02</v>
      </c>
      <c r="BC25" s="122">
        <f t="shared" si="4"/>
        <v>14689.009999999998</v>
      </c>
    </row>
    <row r="26" spans="1:55" ht="14.25" customHeight="1" x14ac:dyDescent="0.2">
      <c r="A26" s="112">
        <f t="shared" si="0"/>
        <v>19</v>
      </c>
      <c r="B26" s="114" t="s">
        <v>176</v>
      </c>
      <c r="C26" s="114" t="s">
        <v>177</v>
      </c>
      <c r="D26" s="114" t="s">
        <v>110</v>
      </c>
      <c r="E26" s="114" t="s">
        <v>178</v>
      </c>
      <c r="F26" s="114" t="s">
        <v>147</v>
      </c>
      <c r="G26" s="114" t="s">
        <v>758</v>
      </c>
      <c r="H26" s="125">
        <v>42451</v>
      </c>
      <c r="I26" s="125">
        <v>44271</v>
      </c>
      <c r="J26" s="114">
        <v>17</v>
      </c>
      <c r="K26" s="114">
        <v>2</v>
      </c>
      <c r="L26" s="117">
        <f>IFERROR(VLOOKUP(J26, [1]DATA!$A$4:$I$36, MATCH(K26, [1]DATA!$B$3:$I$3, 0)+1, FALSE), "")</f>
        <v>50066</v>
      </c>
      <c r="M26" s="126">
        <v>2000</v>
      </c>
      <c r="N26" s="119">
        <f t="shared" si="1"/>
        <v>52066</v>
      </c>
      <c r="O26" s="120">
        <f t="shared" si="2"/>
        <v>4505.9399999999996</v>
      </c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0">
        <v>5537.02</v>
      </c>
      <c r="AB26" s="127">
        <f>ROUND(IF(L26&gt;79999.99,900,IF(L26&lt;10000.01,137.5,IF(10000&lt;L26&gt;80000,L26*2.5%))),2)</f>
        <v>1251.6500000000001</v>
      </c>
      <c r="AC26" s="127"/>
      <c r="AD26" s="127">
        <v>1000</v>
      </c>
      <c r="AE26" s="120">
        <v>200</v>
      </c>
      <c r="AF26" s="127">
        <v>0</v>
      </c>
      <c r="AG26" s="127">
        <v>100</v>
      </c>
      <c r="AH26" s="127"/>
      <c r="AI26" s="127"/>
      <c r="AJ26" s="127"/>
      <c r="AK26" s="120"/>
      <c r="AL26" s="127"/>
      <c r="AM26" s="127"/>
      <c r="AN26" s="127"/>
      <c r="AO26" s="120"/>
      <c r="AP26" s="120"/>
      <c r="AQ26" s="120"/>
      <c r="AR26" s="120"/>
      <c r="AS26" s="127">
        <v>0</v>
      </c>
      <c r="AT26" s="127"/>
      <c r="AU26" s="127"/>
      <c r="AV26" s="127"/>
      <c r="AW26" s="127">
        <v>0</v>
      </c>
      <c r="AX26" s="127"/>
      <c r="AY26" s="127"/>
      <c r="AZ26" s="121">
        <f>ROUND(SUM(O26:AY26),2)</f>
        <v>12594.61</v>
      </c>
      <c r="BA26" s="122">
        <f>ROUND(N26-AZ26,2)</f>
        <v>39471.39</v>
      </c>
      <c r="BB26" s="122">
        <f t="shared" si="3"/>
        <v>19735.7</v>
      </c>
      <c r="BC26" s="122">
        <f t="shared" si="4"/>
        <v>19735.689999999999</v>
      </c>
    </row>
    <row r="27" spans="1:55" ht="14.25" customHeight="1" x14ac:dyDescent="0.2">
      <c r="A27" s="112">
        <f t="shared" si="0"/>
        <v>20</v>
      </c>
      <c r="B27" s="114" t="s">
        <v>179</v>
      </c>
      <c r="C27" s="114" t="s">
        <v>180</v>
      </c>
      <c r="D27" s="114" t="s">
        <v>120</v>
      </c>
      <c r="E27" s="114" t="s">
        <v>165</v>
      </c>
      <c r="F27" s="114" t="s">
        <v>122</v>
      </c>
      <c r="G27" s="114" t="s">
        <v>759</v>
      </c>
      <c r="H27" s="125">
        <v>42383</v>
      </c>
      <c r="I27" s="125">
        <v>45027</v>
      </c>
      <c r="J27" s="114">
        <v>18</v>
      </c>
      <c r="K27" s="114">
        <v>1</v>
      </c>
      <c r="L27" s="117">
        <f>IFERROR(VLOOKUP(J27, [1]DATA!$A$4:$I$36, MATCH(K27, [1]DATA!$B$3:$I$3, 0)+1, FALSE), "")</f>
        <v>53818</v>
      </c>
      <c r="M27" s="126">
        <v>2000</v>
      </c>
      <c r="N27" s="119">
        <f t="shared" si="1"/>
        <v>55818</v>
      </c>
      <c r="O27" s="120">
        <f t="shared" si="2"/>
        <v>4843.62</v>
      </c>
      <c r="P27" s="127"/>
      <c r="Q27" s="127">
        <v>655.56</v>
      </c>
      <c r="R27" s="127"/>
      <c r="S27" s="127"/>
      <c r="T27" s="127"/>
      <c r="U27" s="127"/>
      <c r="V27" s="127">
        <v>6918.77</v>
      </c>
      <c r="W27" s="127"/>
      <c r="X27" s="127">
        <v>1966.67</v>
      </c>
      <c r="Y27" s="127"/>
      <c r="Z27" s="127"/>
      <c r="AA27" s="120">
        <v>6395.7</v>
      </c>
      <c r="AB27" s="120">
        <f>ROUND(IF(L27&gt;79999.99,900,IF(L27&lt;10000.01,137.5,IF(10000&lt;L27&gt;80000,L27*2.5%))),2)</f>
        <v>1345.45</v>
      </c>
      <c r="AC27" s="127"/>
      <c r="AD27" s="127">
        <v>0</v>
      </c>
      <c r="AE27" s="127">
        <v>1500</v>
      </c>
      <c r="AF27" s="127">
        <v>0</v>
      </c>
      <c r="AG27" s="127">
        <v>100</v>
      </c>
      <c r="AH27" s="127"/>
      <c r="AI27" s="127"/>
      <c r="AJ27" s="127"/>
      <c r="AK27" s="120"/>
      <c r="AL27" s="127">
        <v>500</v>
      </c>
      <c r="AM27" s="127"/>
      <c r="AN27" s="127"/>
      <c r="AO27" s="120"/>
      <c r="AP27" s="120"/>
      <c r="AQ27" s="120"/>
      <c r="AR27" s="120"/>
      <c r="AS27" s="127">
        <v>707.29</v>
      </c>
      <c r="AT27" s="127"/>
      <c r="AU27" s="127"/>
      <c r="AV27" s="127"/>
      <c r="AW27" s="127"/>
      <c r="AX27" s="127"/>
      <c r="AY27" s="127">
        <v>6165.86</v>
      </c>
      <c r="AZ27" s="121">
        <f>ROUND(SUM(O27:AY27),2)</f>
        <v>31098.92</v>
      </c>
      <c r="BA27" s="122">
        <f>ROUND(N27-AZ27,2)</f>
        <v>24719.08</v>
      </c>
      <c r="BB27" s="122">
        <f t="shared" si="3"/>
        <v>12359.54</v>
      </c>
      <c r="BC27" s="122">
        <f t="shared" si="4"/>
        <v>12359.54</v>
      </c>
    </row>
    <row r="28" spans="1:55" ht="14.25" customHeight="1" x14ac:dyDescent="0.2">
      <c r="A28" s="112">
        <f t="shared" si="0"/>
        <v>21</v>
      </c>
      <c r="B28" s="114" t="s">
        <v>181</v>
      </c>
      <c r="C28" s="114" t="s">
        <v>182</v>
      </c>
      <c r="D28" s="114" t="s">
        <v>115</v>
      </c>
      <c r="E28" s="114" t="s">
        <v>116</v>
      </c>
      <c r="F28" s="114" t="s">
        <v>117</v>
      </c>
      <c r="G28" s="114" t="s">
        <v>760</v>
      </c>
      <c r="H28" s="125">
        <v>42278</v>
      </c>
      <c r="I28" s="125">
        <v>42278</v>
      </c>
      <c r="J28" s="114">
        <v>11</v>
      </c>
      <c r="K28" s="114">
        <v>4</v>
      </c>
      <c r="L28" s="117">
        <f>IFERROR(VLOOKUP(J28, [1]DATA!$A$4:$I$36, MATCH(K28, [1]DATA!$B$3:$I$3, 0)+1, FALSE), "")</f>
        <v>32401</v>
      </c>
      <c r="M28" s="126">
        <v>2000</v>
      </c>
      <c r="N28" s="119">
        <f t="shared" si="1"/>
        <v>34401</v>
      </c>
      <c r="O28" s="120">
        <f t="shared" si="2"/>
        <v>2916.09</v>
      </c>
      <c r="P28" s="127"/>
      <c r="Q28" s="127">
        <v>1152.4100000000001</v>
      </c>
      <c r="R28" s="127"/>
      <c r="S28" s="127"/>
      <c r="T28" s="127"/>
      <c r="U28" s="127"/>
      <c r="V28" s="127">
        <v>4165.63</v>
      </c>
      <c r="W28" s="127">
        <v>1166.67</v>
      </c>
      <c r="X28" s="127"/>
      <c r="Y28" s="127"/>
      <c r="Z28" s="127"/>
      <c r="AA28" s="120">
        <v>1587.48</v>
      </c>
      <c r="AB28" s="120">
        <f>ROUND(IF(L28&gt;79999.99,900,IF(L28&lt;10000.01,137.5,IF(10000&lt;L28&gt;80000,L28*2.5%))),2)-0.01</f>
        <v>810.02</v>
      </c>
      <c r="AC28" s="127"/>
      <c r="AD28" s="127">
        <v>0</v>
      </c>
      <c r="AE28" s="120">
        <v>200</v>
      </c>
      <c r="AF28" s="127">
        <v>0</v>
      </c>
      <c r="AG28" s="127">
        <v>100</v>
      </c>
      <c r="AH28" s="127"/>
      <c r="AI28" s="127"/>
      <c r="AJ28" s="127"/>
      <c r="AK28" s="120"/>
      <c r="AL28" s="127">
        <v>100</v>
      </c>
      <c r="AM28" s="127"/>
      <c r="AN28" s="127"/>
      <c r="AO28" s="120"/>
      <c r="AP28" s="120"/>
      <c r="AQ28" s="120"/>
      <c r="AR28" s="120"/>
      <c r="AS28" s="127">
        <v>0</v>
      </c>
      <c r="AT28" s="127"/>
      <c r="AU28" s="127"/>
      <c r="AV28" s="127"/>
      <c r="AW28" s="127">
        <v>0</v>
      </c>
      <c r="AX28" s="127"/>
      <c r="AY28" s="127"/>
      <c r="AZ28" s="121">
        <f>ROUND(SUM(O28:AY28),2)</f>
        <v>12198.3</v>
      </c>
      <c r="BA28" s="122">
        <f>ROUND(N28-AZ28,2)</f>
        <v>22202.7</v>
      </c>
      <c r="BB28" s="122">
        <f t="shared" si="3"/>
        <v>11101.35</v>
      </c>
      <c r="BC28" s="122">
        <f t="shared" si="4"/>
        <v>11101.35</v>
      </c>
    </row>
    <row r="29" spans="1:55" ht="14.25" customHeight="1" x14ac:dyDescent="0.2">
      <c r="A29" s="112">
        <f t="shared" si="0"/>
        <v>22</v>
      </c>
      <c r="B29" s="114" t="s">
        <v>183</v>
      </c>
      <c r="C29" s="114" t="s">
        <v>184</v>
      </c>
      <c r="D29" s="114" t="s">
        <v>125</v>
      </c>
      <c r="E29" s="114" t="s">
        <v>185</v>
      </c>
      <c r="F29" s="114" t="s">
        <v>112</v>
      </c>
      <c r="G29" s="114" t="s">
        <v>761</v>
      </c>
      <c r="H29" s="125">
        <v>42278</v>
      </c>
      <c r="I29" s="125">
        <v>45607</v>
      </c>
      <c r="J29" s="114">
        <v>22</v>
      </c>
      <c r="K29" s="114">
        <v>1</v>
      </c>
      <c r="L29" s="117">
        <f>IFERROR(VLOOKUP(J29, [1]DATA!$A$4:$I$36, MATCH(K29, [1]DATA!$B$3:$I$3, 0)+1, FALSE), "")</f>
        <v>81796</v>
      </c>
      <c r="M29" s="126">
        <v>2000</v>
      </c>
      <c r="N29" s="119">
        <f t="shared" si="1"/>
        <v>83796</v>
      </c>
      <c r="O29" s="120">
        <f t="shared" si="2"/>
        <v>7361.64</v>
      </c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0">
        <v>13765.43</v>
      </c>
      <c r="AB29" s="30">
        <f>L29*2.5%</f>
        <v>2044.9</v>
      </c>
      <c r="AC29" s="127"/>
      <c r="AD29" s="127">
        <v>0</v>
      </c>
      <c r="AE29" s="127">
        <v>500</v>
      </c>
      <c r="AF29" s="120"/>
      <c r="AG29" s="127">
        <v>100</v>
      </c>
      <c r="AH29" s="127"/>
      <c r="AI29" s="127"/>
      <c r="AJ29" s="127"/>
      <c r="AK29" s="120"/>
      <c r="AL29" s="127">
        <v>500</v>
      </c>
      <c r="AM29" s="127"/>
      <c r="AN29" s="127"/>
      <c r="AO29" s="120"/>
      <c r="AP29" s="120"/>
      <c r="AQ29" s="120"/>
      <c r="AR29" s="120"/>
      <c r="AS29" s="127">
        <v>388.51</v>
      </c>
      <c r="AT29" s="127"/>
      <c r="AU29" s="127"/>
      <c r="AV29" s="127"/>
      <c r="AW29" s="127">
        <v>0</v>
      </c>
      <c r="AX29" s="127">
        <v>1201.31</v>
      </c>
      <c r="AY29" s="127">
        <v>3034.72</v>
      </c>
      <c r="AZ29" s="121">
        <f>ROUND(SUM(O29:AY29),2)</f>
        <v>28896.51</v>
      </c>
      <c r="BA29" s="122">
        <f>ROUND(N29-AZ29,2)</f>
        <v>54899.49</v>
      </c>
      <c r="BB29" s="122">
        <f t="shared" si="3"/>
        <v>27449.75</v>
      </c>
      <c r="BC29" s="122">
        <f t="shared" si="4"/>
        <v>27449.739999999998</v>
      </c>
    </row>
    <row r="30" spans="1:55" ht="14.25" customHeight="1" x14ac:dyDescent="0.2">
      <c r="A30" s="112">
        <f t="shared" si="0"/>
        <v>23</v>
      </c>
      <c r="B30" s="114" t="s">
        <v>186</v>
      </c>
      <c r="C30" s="114" t="s">
        <v>187</v>
      </c>
      <c r="D30" s="114" t="s">
        <v>110</v>
      </c>
      <c r="E30" s="114" t="s">
        <v>188</v>
      </c>
      <c r="F30" s="114" t="s">
        <v>147</v>
      </c>
      <c r="G30" s="114" t="s">
        <v>762</v>
      </c>
      <c r="H30" s="125">
        <v>43481</v>
      </c>
      <c r="I30" s="125">
        <v>45027</v>
      </c>
      <c r="J30" s="114">
        <v>15</v>
      </c>
      <c r="K30" s="114">
        <v>1</v>
      </c>
      <c r="L30" s="117">
        <f>IFERROR(VLOOKUP(J30, [1]DATA!$A$4:$I$36, MATCH(K30, [1]DATA!$B$3:$I$3, 0)+1, FALSE), "")</f>
        <v>42178</v>
      </c>
      <c r="M30" s="126">
        <v>2000</v>
      </c>
      <c r="N30" s="119">
        <f t="shared" si="1"/>
        <v>44178</v>
      </c>
      <c r="O30" s="120">
        <f t="shared" si="2"/>
        <v>3796.02</v>
      </c>
      <c r="P30" s="127"/>
      <c r="Q30" s="127">
        <v>1311.12</v>
      </c>
      <c r="R30" s="127"/>
      <c r="S30" s="127"/>
      <c r="T30" s="127"/>
      <c r="U30" s="127"/>
      <c r="V30" s="127">
        <v>5422.38</v>
      </c>
      <c r="W30" s="127">
        <v>1400</v>
      </c>
      <c r="X30" s="127">
        <v>1966.67</v>
      </c>
      <c r="Y30" s="127"/>
      <c r="Z30" s="127"/>
      <c r="AA30" s="120">
        <v>3695.42</v>
      </c>
      <c r="AB30" s="120">
        <f>ROUND(IF(L30&gt;79999.99,900,IF(L30&lt;10000.01,137.5,IF(10000&lt;L30&gt;80000,L30*2.5%))),2)</f>
        <v>1054.45</v>
      </c>
      <c r="AC30" s="127">
        <v>984.58</v>
      </c>
      <c r="AD30" s="127">
        <v>1000</v>
      </c>
      <c r="AE30" s="120">
        <v>200</v>
      </c>
      <c r="AF30" s="127">
        <v>0</v>
      </c>
      <c r="AG30" s="127">
        <v>100</v>
      </c>
      <c r="AH30" s="127"/>
      <c r="AI30" s="127"/>
      <c r="AJ30" s="127"/>
      <c r="AK30" s="120"/>
      <c r="AL30" s="127"/>
      <c r="AM30" s="127"/>
      <c r="AN30" s="127">
        <v>2000</v>
      </c>
      <c r="AO30" s="120">
        <v>527.29999999999995</v>
      </c>
      <c r="AP30" s="120">
        <v>272.20999999999998</v>
      </c>
      <c r="AQ30" s="120"/>
      <c r="AR30" s="120"/>
      <c r="AS30" s="127">
        <v>0</v>
      </c>
      <c r="AT30" s="127"/>
      <c r="AU30" s="127"/>
      <c r="AV30" s="127"/>
      <c r="AW30" s="127">
        <v>0</v>
      </c>
      <c r="AX30" s="127"/>
      <c r="AY30" s="127">
        <v>3034.72</v>
      </c>
      <c r="AZ30" s="121">
        <f>ROUND(SUM(O30:AY30),2)</f>
        <v>26764.87</v>
      </c>
      <c r="BA30" s="122">
        <f>ROUND(N30-AZ30,2)</f>
        <v>17413.13</v>
      </c>
      <c r="BB30" s="122">
        <f t="shared" si="3"/>
        <v>8706.57</v>
      </c>
      <c r="BC30" s="122">
        <f t="shared" si="4"/>
        <v>8706.5600000000013</v>
      </c>
    </row>
    <row r="31" spans="1:55" ht="14.25" customHeight="1" x14ac:dyDescent="0.2">
      <c r="A31" s="112">
        <f t="shared" si="0"/>
        <v>24</v>
      </c>
      <c r="B31" s="114" t="s">
        <v>189</v>
      </c>
      <c r="C31" s="114" t="s">
        <v>190</v>
      </c>
      <c r="D31" s="114" t="s">
        <v>138</v>
      </c>
      <c r="E31" s="114" t="s">
        <v>165</v>
      </c>
      <c r="F31" s="114" t="s">
        <v>122</v>
      </c>
      <c r="G31" s="114" t="s">
        <v>763</v>
      </c>
      <c r="H31" s="125">
        <v>37494</v>
      </c>
      <c r="I31" s="125">
        <v>42278</v>
      </c>
      <c r="J31" s="114">
        <v>18</v>
      </c>
      <c r="K31" s="114">
        <v>4</v>
      </c>
      <c r="L31" s="117">
        <f>IFERROR(VLOOKUP(J31, [1]DATA!$A$4:$I$36, MATCH(K31, [1]DATA!$B$3:$I$3, 0)+1, FALSE), "")</f>
        <v>55499</v>
      </c>
      <c r="M31" s="126">
        <v>2000</v>
      </c>
      <c r="N31" s="119">
        <f t="shared" si="1"/>
        <v>57499</v>
      </c>
      <c r="O31" s="120">
        <f t="shared" si="2"/>
        <v>4994.91</v>
      </c>
      <c r="P31" s="127">
        <v>300</v>
      </c>
      <c r="Q31" s="127">
        <v>1311.12</v>
      </c>
      <c r="R31" s="127">
        <v>2040.79</v>
      </c>
      <c r="S31" s="127"/>
      <c r="T31" s="127">
        <v>263.20999999999998</v>
      </c>
      <c r="U31" s="127">
        <v>500</v>
      </c>
      <c r="V31" s="127">
        <v>8242.67</v>
      </c>
      <c r="W31" s="127">
        <v>2333.33</v>
      </c>
      <c r="X31" s="127">
        <v>1966.67</v>
      </c>
      <c r="Y31" s="127"/>
      <c r="Z31" s="127"/>
      <c r="AA31" s="120">
        <v>6798.6</v>
      </c>
      <c r="AB31" s="127">
        <f>ROUND(IF(L31&gt;79999.99,900,IF(L31&lt;10000.01,137.5,IF(10000&lt;L31&gt;80000,L31*2.5%))),2)-0.01</f>
        <v>1387.47</v>
      </c>
      <c r="AC31" s="127">
        <v>2509.62</v>
      </c>
      <c r="AD31" s="127"/>
      <c r="AE31" s="120">
        <v>200</v>
      </c>
      <c r="AF31" s="127"/>
      <c r="AG31" s="127">
        <v>100</v>
      </c>
      <c r="AH31" s="127"/>
      <c r="AI31" s="127"/>
      <c r="AJ31" s="127"/>
      <c r="AK31" s="120"/>
      <c r="AL31" s="127">
        <v>100</v>
      </c>
      <c r="AM31" s="127">
        <v>1000</v>
      </c>
      <c r="AN31" s="127"/>
      <c r="AO31" s="120"/>
      <c r="AP31" s="120"/>
      <c r="AQ31" s="120"/>
      <c r="AR31" s="120"/>
      <c r="AS31" s="127">
        <v>0</v>
      </c>
      <c r="AT31" s="127"/>
      <c r="AU31" s="127"/>
      <c r="AV31" s="127"/>
      <c r="AW31" s="127">
        <v>0</v>
      </c>
      <c r="AX31" s="127">
        <v>2024.84</v>
      </c>
      <c r="AY31" s="127">
        <v>5608.24</v>
      </c>
      <c r="AZ31" s="121">
        <f>ROUND(SUM(O31:AY31),2)</f>
        <v>41681.47</v>
      </c>
      <c r="BA31" s="122">
        <f>ROUND(N31-AZ31,2)</f>
        <v>15817.53</v>
      </c>
      <c r="BB31" s="122">
        <f t="shared" si="3"/>
        <v>7908.77</v>
      </c>
      <c r="BC31" s="122">
        <f t="shared" si="4"/>
        <v>7908.76</v>
      </c>
    </row>
    <row r="32" spans="1:55" ht="14.25" customHeight="1" x14ac:dyDescent="0.2">
      <c r="A32" s="112">
        <f t="shared" si="0"/>
        <v>25</v>
      </c>
      <c r="B32" s="114" t="s">
        <v>191</v>
      </c>
      <c r="C32" s="114" t="s">
        <v>192</v>
      </c>
      <c r="D32" s="114" t="s">
        <v>138</v>
      </c>
      <c r="E32" s="114" t="s">
        <v>193</v>
      </c>
      <c r="F32" s="114" t="s">
        <v>147</v>
      </c>
      <c r="G32" s="114" t="s">
        <v>764</v>
      </c>
      <c r="H32" s="125">
        <v>44418</v>
      </c>
      <c r="I32" s="125">
        <v>45062</v>
      </c>
      <c r="J32" s="114">
        <v>15</v>
      </c>
      <c r="K32" s="114">
        <v>1</v>
      </c>
      <c r="L32" s="117">
        <f>IFERROR(VLOOKUP(J32, [1]DATA!$A$4:$I$36, MATCH(K32, [1]DATA!$B$3:$I$3, 0)+1, FALSE), "")</f>
        <v>42178</v>
      </c>
      <c r="M32" s="126">
        <v>2000</v>
      </c>
      <c r="N32" s="119">
        <f t="shared" si="1"/>
        <v>44178</v>
      </c>
      <c r="O32" s="120">
        <f t="shared" si="2"/>
        <v>3796.02</v>
      </c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0">
        <v>3695.42</v>
      </c>
      <c r="AB32" s="120">
        <f>ROUND(IF(L32&gt;79999.99,900,IF(L32&lt;10000.01,137.5,IF(10000&lt;L32&gt;80000,L32*2.5%))),2)</f>
        <v>1054.45</v>
      </c>
      <c r="AC32" s="127"/>
      <c r="AD32" s="127"/>
      <c r="AE32" s="120">
        <v>200</v>
      </c>
      <c r="AF32" s="127">
        <v>0</v>
      </c>
      <c r="AG32" s="127">
        <v>100</v>
      </c>
      <c r="AH32" s="127"/>
      <c r="AI32" s="127"/>
      <c r="AJ32" s="127"/>
      <c r="AK32" s="120"/>
      <c r="AL32" s="127"/>
      <c r="AM32" s="127"/>
      <c r="AN32" s="127"/>
      <c r="AO32" s="120"/>
      <c r="AP32" s="120"/>
      <c r="AQ32" s="120"/>
      <c r="AR32" s="120"/>
      <c r="AS32" s="127"/>
      <c r="AT32" s="127"/>
      <c r="AU32" s="127"/>
      <c r="AV32" s="127"/>
      <c r="AW32" s="127"/>
      <c r="AX32" s="127"/>
      <c r="AY32" s="127">
        <v>3034.72</v>
      </c>
      <c r="AZ32" s="121">
        <f>ROUND(SUM(O32:AY32),2)</f>
        <v>11880.61</v>
      </c>
      <c r="BA32" s="122">
        <f>ROUND(N32-AZ32,2)</f>
        <v>32297.39</v>
      </c>
      <c r="BB32" s="122">
        <f>ROUND(BA32/2,2)</f>
        <v>16148.7</v>
      </c>
      <c r="BC32" s="122">
        <f>BA32-BB32</f>
        <v>16148.689999999999</v>
      </c>
    </row>
    <row r="33" spans="1:788 1044:1812 2068:2836 3092:3860 4116:4884 5140:5908 6164:6932 7188:7956 8212:8980 9236:10004 10260:11028 11284:12052 12308:13076 13332:14100 14356:15124 15380:16148" ht="14.25" customHeight="1" x14ac:dyDescent="0.2">
      <c r="A33" s="112">
        <f t="shared" si="0"/>
        <v>26</v>
      </c>
      <c r="B33" s="114" t="s">
        <v>194</v>
      </c>
      <c r="C33" s="114" t="s">
        <v>195</v>
      </c>
      <c r="D33" s="114" t="s">
        <v>196</v>
      </c>
      <c r="E33" s="114" t="s">
        <v>175</v>
      </c>
      <c r="F33" s="114" t="s">
        <v>122</v>
      </c>
      <c r="G33" s="114" t="s">
        <v>765</v>
      </c>
      <c r="H33" s="125">
        <v>42348</v>
      </c>
      <c r="I33" s="125">
        <v>43466</v>
      </c>
      <c r="J33" s="114">
        <v>15</v>
      </c>
      <c r="K33" s="114">
        <v>3</v>
      </c>
      <c r="L33" s="117">
        <f>IFERROR(VLOOKUP(J33, [1]DATA!$A$4:$I$36, MATCH(K33, [1]DATA!$B$3:$I$3, 0)+1, FALSE), "")</f>
        <v>43015</v>
      </c>
      <c r="M33" s="126">
        <v>2000</v>
      </c>
      <c r="N33" s="119">
        <f t="shared" si="1"/>
        <v>45015</v>
      </c>
      <c r="O33" s="120">
        <f t="shared" si="2"/>
        <v>3871.35</v>
      </c>
      <c r="P33" s="127"/>
      <c r="Q33" s="127"/>
      <c r="R33" s="127"/>
      <c r="S33" s="127"/>
      <c r="T33" s="127"/>
      <c r="U33" s="127"/>
      <c r="V33" s="127"/>
      <c r="W33" s="127"/>
      <c r="X33" s="127"/>
      <c r="Y33" s="128">
        <v>9634.44</v>
      </c>
      <c r="Z33" s="128"/>
      <c r="AA33" s="120">
        <v>3889.58</v>
      </c>
      <c r="AB33" s="120">
        <f>ROUND(IF(L33&gt;79999.99,900,IF(L33&lt;10000.01,137.5,IF(10000&lt;L33&gt;80000,L33*2.5%))),2)-0.01</f>
        <v>1075.3700000000001</v>
      </c>
      <c r="AC33" s="127"/>
      <c r="AD33" s="127"/>
      <c r="AE33" s="120">
        <v>200</v>
      </c>
      <c r="AF33" s="127">
        <v>0</v>
      </c>
      <c r="AG33" s="127">
        <v>100</v>
      </c>
      <c r="AH33" s="127"/>
      <c r="AI33" s="127"/>
      <c r="AJ33" s="127"/>
      <c r="AK33" s="120"/>
      <c r="AL33" s="127"/>
      <c r="AM33" s="127"/>
      <c r="AN33" s="127"/>
      <c r="AO33" s="120"/>
      <c r="AP33" s="120"/>
      <c r="AQ33" s="120"/>
      <c r="AR33" s="120"/>
      <c r="AS33" s="127">
        <v>0</v>
      </c>
      <c r="AT33" s="127"/>
      <c r="AU33" s="127"/>
      <c r="AV33" s="127"/>
      <c r="AW33" s="127"/>
      <c r="AX33" s="127">
        <v>930.05</v>
      </c>
      <c r="AY33" s="127"/>
      <c r="AZ33" s="121">
        <f>ROUND(SUM(O33:AY33),2)</f>
        <v>19700.79</v>
      </c>
      <c r="BA33" s="122">
        <f>ROUND(N33-AZ33,2)</f>
        <v>25314.21</v>
      </c>
      <c r="BB33" s="122">
        <f>ROUND(BA33/2,2)</f>
        <v>12657.11</v>
      </c>
      <c r="BC33" s="122">
        <f>BA33-BB33</f>
        <v>12657.099999999999</v>
      </c>
    </row>
    <row r="34" spans="1:788 1044:1812 2068:2836 3092:3860 4116:4884 5140:5908 6164:6932 7188:7956 8212:8980 9236:10004 10260:11028 11284:12052 12308:13076 13332:14100 14356:15124 15380:16148" ht="14.25" customHeight="1" x14ac:dyDescent="0.2">
      <c r="A34" s="112">
        <f t="shared" si="0"/>
        <v>27</v>
      </c>
      <c r="B34" s="114" t="s">
        <v>197</v>
      </c>
      <c r="C34" s="114" t="s">
        <v>198</v>
      </c>
      <c r="D34" s="114" t="s">
        <v>115</v>
      </c>
      <c r="E34" s="171" t="s">
        <v>831</v>
      </c>
      <c r="F34" s="114" t="s">
        <v>117</v>
      </c>
      <c r="G34" s="171" t="s">
        <v>832</v>
      </c>
      <c r="H34" s="125">
        <v>42348</v>
      </c>
      <c r="I34" s="125">
        <v>46027</v>
      </c>
      <c r="J34" s="114">
        <v>18</v>
      </c>
      <c r="K34" s="114">
        <v>1</v>
      </c>
      <c r="L34" s="117">
        <f>IFERROR(VLOOKUP(J34, [1]DATA!$A$4:$I$36, MATCH(K34, [1]DATA!$B$3:$I$3, 0)+1, FALSE), "")</f>
        <v>53818</v>
      </c>
      <c r="M34" s="126">
        <v>2000</v>
      </c>
      <c r="N34" s="119">
        <f t="shared" si="1"/>
        <v>55818</v>
      </c>
      <c r="O34" s="120">
        <f t="shared" si="2"/>
        <v>4843.62</v>
      </c>
      <c r="P34" s="127"/>
      <c r="Q34" s="127"/>
      <c r="R34" s="127"/>
      <c r="S34" s="127"/>
      <c r="T34" s="127"/>
      <c r="U34" s="127"/>
      <c r="V34" s="127">
        <v>1101.28</v>
      </c>
      <c r="W34" s="127">
        <v>1400</v>
      </c>
      <c r="X34" s="127"/>
      <c r="Y34" s="127">
        <v>9634.44</v>
      </c>
      <c r="Z34" s="127"/>
      <c r="AA34" s="120">
        <v>6974.58</v>
      </c>
      <c r="AB34" s="120">
        <f>ROUND(IF(L34&gt;79999.99,900,IF(L34&lt;10000.01,137.5,IF(10000&lt;L34&gt;80000,L34*2.5%))),2)</f>
        <v>1345.45</v>
      </c>
      <c r="AC34" s="127"/>
      <c r="AD34" s="127">
        <v>0</v>
      </c>
      <c r="AE34" s="127">
        <v>500</v>
      </c>
      <c r="AF34" s="127">
        <v>0</v>
      </c>
      <c r="AG34" s="127">
        <v>100</v>
      </c>
      <c r="AH34" s="127">
        <v>1336</v>
      </c>
      <c r="AI34" s="127"/>
      <c r="AJ34" s="127"/>
      <c r="AK34" s="120"/>
      <c r="AL34" s="127"/>
      <c r="AM34" s="127"/>
      <c r="AN34" s="127"/>
      <c r="AO34" s="120"/>
      <c r="AP34" s="120"/>
      <c r="AQ34" s="120"/>
      <c r="AR34" s="120"/>
      <c r="AS34" s="127">
        <v>910.34</v>
      </c>
      <c r="AT34" s="127"/>
      <c r="AU34" s="127"/>
      <c r="AV34" s="127"/>
      <c r="AW34" s="127">
        <v>0</v>
      </c>
      <c r="AX34" s="127"/>
      <c r="AY34" s="127">
        <v>2124.3000000000002</v>
      </c>
      <c r="AZ34" s="121">
        <f>ROUND(SUM(O34:AY34),2)</f>
        <v>30270.01</v>
      </c>
      <c r="BA34" s="122">
        <f>ROUND(N34-AZ34,2)</f>
        <v>25547.99</v>
      </c>
      <c r="BB34" s="122">
        <f t="shared" si="3"/>
        <v>12774</v>
      </c>
      <c r="BC34" s="122">
        <f t="shared" si="4"/>
        <v>12773.990000000002</v>
      </c>
    </row>
    <row r="35" spans="1:788 1044:1812 2068:2836 3092:3860 4116:4884 5140:5908 6164:6932 7188:7956 8212:8980 9236:10004 10260:11028 11284:12052 12308:13076 13332:14100 14356:15124 15380:16148" ht="14.25" customHeight="1" x14ac:dyDescent="0.2">
      <c r="A35" s="112">
        <f t="shared" si="0"/>
        <v>28</v>
      </c>
      <c r="B35" s="114" t="s">
        <v>199</v>
      </c>
      <c r="C35" s="114" t="s">
        <v>200</v>
      </c>
      <c r="D35" s="114" t="s">
        <v>120</v>
      </c>
      <c r="E35" s="114" t="s">
        <v>111</v>
      </c>
      <c r="F35" s="114" t="s">
        <v>112</v>
      </c>
      <c r="G35" s="123" t="s">
        <v>766</v>
      </c>
      <c r="H35" s="124">
        <v>42998</v>
      </c>
      <c r="I35" s="124">
        <v>42998</v>
      </c>
      <c r="J35" s="123">
        <v>11</v>
      </c>
      <c r="K35" s="123">
        <v>3</v>
      </c>
      <c r="L35" s="117">
        <f>IFERROR(VLOOKUP(J35, [1]DATA!$A$4:$I$36, MATCH(K35, [1]DATA!$B$3:$I$3, 0)+1, FALSE), "")</f>
        <v>32109</v>
      </c>
      <c r="M35" s="126">
        <v>2000</v>
      </c>
      <c r="N35" s="119">
        <f t="shared" si="1"/>
        <v>34109</v>
      </c>
      <c r="O35" s="120">
        <f t="shared" si="2"/>
        <v>2889.81</v>
      </c>
      <c r="P35" s="127"/>
      <c r="Q35" s="127"/>
      <c r="R35" s="127"/>
      <c r="S35" s="127"/>
      <c r="T35" s="127"/>
      <c r="U35" s="127"/>
      <c r="V35" s="127">
        <v>4126.25</v>
      </c>
      <c r="W35" s="127"/>
      <c r="X35" s="127"/>
      <c r="Y35" s="127">
        <v>9634.44</v>
      </c>
      <c r="Z35" s="127"/>
      <c r="AA35" s="120">
        <v>1537.23</v>
      </c>
      <c r="AB35" s="120">
        <f>ROUND(IF(L35&gt;79999.99,900,IF(L35&lt;10000.01,137.5,IF(10000&lt;L35&gt;80000,L35*2.5%))),2)-0.01</f>
        <v>802.72</v>
      </c>
      <c r="AC35" s="127"/>
      <c r="AD35" s="127"/>
      <c r="AE35" s="120">
        <v>200</v>
      </c>
      <c r="AF35" s="127">
        <v>0</v>
      </c>
      <c r="AG35" s="127">
        <v>100</v>
      </c>
      <c r="AH35" s="127"/>
      <c r="AI35" s="127"/>
      <c r="AJ35" s="127"/>
      <c r="AK35" s="120"/>
      <c r="AL35" s="127"/>
      <c r="AM35" s="127"/>
      <c r="AN35" s="127"/>
      <c r="AO35" s="120"/>
      <c r="AP35" s="120"/>
      <c r="AQ35" s="120"/>
      <c r="AR35" s="120"/>
      <c r="AS35" s="127">
        <v>0</v>
      </c>
      <c r="AT35" s="127"/>
      <c r="AU35" s="127"/>
      <c r="AV35" s="127"/>
      <c r="AW35" s="127">
        <v>0</v>
      </c>
      <c r="AX35" s="127"/>
      <c r="AY35" s="127"/>
      <c r="AZ35" s="121">
        <f>ROUND(SUM(O35:AY35),2)</f>
        <v>19290.45</v>
      </c>
      <c r="BA35" s="122">
        <f>ROUND(N35-AZ35,2)</f>
        <v>14818.55</v>
      </c>
      <c r="BB35" s="122">
        <f t="shared" si="3"/>
        <v>7409.28</v>
      </c>
      <c r="BC35" s="122">
        <f t="shared" si="4"/>
        <v>7409.2699999999995</v>
      </c>
    </row>
    <row r="36" spans="1:788 1044:1812 2068:2836 3092:3860 4116:4884 5140:5908 6164:6932 7188:7956 8212:8980 9236:10004 10260:11028 11284:12052 12308:13076 13332:14100 14356:15124 15380:16148" ht="14.25" customHeight="1" x14ac:dyDescent="0.2">
      <c r="A36" s="112">
        <f t="shared" si="0"/>
        <v>29</v>
      </c>
      <c r="B36" s="114" t="s">
        <v>201</v>
      </c>
      <c r="C36" s="114" t="s">
        <v>202</v>
      </c>
      <c r="D36" s="114" t="s">
        <v>203</v>
      </c>
      <c r="E36" s="114" t="s">
        <v>139</v>
      </c>
      <c r="F36" s="114" t="s">
        <v>112</v>
      </c>
      <c r="G36" s="114" t="s">
        <v>767</v>
      </c>
      <c r="H36" s="125">
        <v>42278</v>
      </c>
      <c r="I36" s="125">
        <v>42278</v>
      </c>
      <c r="J36" s="114">
        <v>15</v>
      </c>
      <c r="K36" s="114">
        <v>4</v>
      </c>
      <c r="L36" s="117">
        <f>IFERROR(VLOOKUP(J36, [1]DATA!$A$4:$I$36, MATCH(K36, [1]DATA!$B$3:$I$3, 0)+1, FALSE), "")</f>
        <v>43442</v>
      </c>
      <c r="M36" s="126">
        <v>2000</v>
      </c>
      <c r="N36" s="119">
        <f t="shared" si="1"/>
        <v>45442</v>
      </c>
      <c r="O36" s="120">
        <f t="shared" si="2"/>
        <v>3909.78</v>
      </c>
      <c r="P36" s="127">
        <v>500</v>
      </c>
      <c r="Q36" s="127">
        <v>655.56</v>
      </c>
      <c r="R36" s="127"/>
      <c r="S36" s="127"/>
      <c r="T36" s="127"/>
      <c r="U36" s="127"/>
      <c r="V36" s="127">
        <v>5041</v>
      </c>
      <c r="W36" s="127"/>
      <c r="X36" s="127">
        <v>1966.67</v>
      </c>
      <c r="Y36" s="127"/>
      <c r="Z36" s="127"/>
      <c r="AA36" s="120">
        <v>3998.79</v>
      </c>
      <c r="AB36" s="127">
        <f>ROUND(IF(L36&gt;79999.99,900,IF(L36&lt;10000.01,137.5,IF(10000&lt;L36&gt;80000,L36*2.5%))),2)</f>
        <v>1086.05</v>
      </c>
      <c r="AC36" s="127">
        <v>667.35</v>
      </c>
      <c r="AD36" s="127">
        <v>1000</v>
      </c>
      <c r="AE36" s="120">
        <v>200</v>
      </c>
      <c r="AF36" s="127">
        <v>0</v>
      </c>
      <c r="AG36" s="127">
        <v>100</v>
      </c>
      <c r="AH36" s="127">
        <v>1336</v>
      </c>
      <c r="AI36" s="127"/>
      <c r="AJ36" s="127"/>
      <c r="AK36" s="120"/>
      <c r="AL36" s="127"/>
      <c r="AM36" s="127"/>
      <c r="AN36" s="127"/>
      <c r="AO36" s="120"/>
      <c r="AP36" s="120"/>
      <c r="AQ36" s="120"/>
      <c r="AR36" s="120"/>
      <c r="AS36" s="127">
        <v>1000</v>
      </c>
      <c r="AT36" s="127">
        <v>4735.13</v>
      </c>
      <c r="AU36" s="127"/>
      <c r="AV36" s="127"/>
      <c r="AW36" s="127">
        <v>0</v>
      </c>
      <c r="AX36" s="127"/>
      <c r="AY36" s="127">
        <v>3034.72</v>
      </c>
      <c r="AZ36" s="121">
        <f>ROUND(SUM(O36:AY36),2)</f>
        <v>29231.05</v>
      </c>
      <c r="BA36" s="122">
        <f>ROUND(N36-AZ36,2)</f>
        <v>16210.95</v>
      </c>
      <c r="BB36" s="122">
        <f t="shared" si="3"/>
        <v>8105.48</v>
      </c>
      <c r="BC36" s="122">
        <f t="shared" si="4"/>
        <v>8105.4700000000012</v>
      </c>
    </row>
    <row r="37" spans="1:788 1044:1812 2068:2836 3092:3860 4116:4884 5140:5908 6164:6932 7188:7956 8212:8980 9236:10004 10260:11028 11284:12052 12308:13076 13332:14100 14356:15124 15380:16148" ht="14.25" customHeight="1" x14ac:dyDescent="0.2">
      <c r="A37" s="112">
        <f t="shared" si="0"/>
        <v>30</v>
      </c>
      <c r="B37" s="114" t="s">
        <v>204</v>
      </c>
      <c r="C37" s="114" t="s">
        <v>205</v>
      </c>
      <c r="D37" s="114" t="s">
        <v>206</v>
      </c>
      <c r="E37" s="114" t="s">
        <v>207</v>
      </c>
      <c r="F37" s="114" t="s">
        <v>147</v>
      </c>
      <c r="G37" s="114" t="s">
        <v>768</v>
      </c>
      <c r="H37" s="125">
        <v>43468</v>
      </c>
      <c r="I37" s="125">
        <v>45670</v>
      </c>
      <c r="J37" s="114">
        <v>15</v>
      </c>
      <c r="K37" s="114">
        <v>1</v>
      </c>
      <c r="L37" s="117">
        <f>IFERROR(VLOOKUP(J37, [1]DATA!$A$4:$I$36, MATCH(K37, [1]DATA!$B$3:$I$3, 0)+1, FALSE), "")</f>
        <v>42178</v>
      </c>
      <c r="M37" s="126">
        <v>2000</v>
      </c>
      <c r="N37" s="119">
        <f t="shared" si="1"/>
        <v>44178</v>
      </c>
      <c r="O37" s="120">
        <f t="shared" si="2"/>
        <v>3796.02</v>
      </c>
      <c r="P37" s="127">
        <v>500</v>
      </c>
      <c r="Q37" s="127">
        <v>1311.12</v>
      </c>
      <c r="R37" s="127"/>
      <c r="S37" s="127"/>
      <c r="T37" s="127"/>
      <c r="U37" s="127"/>
      <c r="V37" s="127">
        <v>5422.38</v>
      </c>
      <c r="W37" s="127">
        <v>1400</v>
      </c>
      <c r="X37" s="127">
        <v>1966.67</v>
      </c>
      <c r="Y37" s="127"/>
      <c r="Z37" s="127"/>
      <c r="AA37" s="120">
        <v>3695.42</v>
      </c>
      <c r="AB37" s="127">
        <f>ROUND(IF(L37&gt;79999.99,900,IF(L37&lt;10000.01,137.5,IF(10000&lt;L37&gt;80000,L37*2.5%))),2)</f>
        <v>1054.45</v>
      </c>
      <c r="AC37" s="127"/>
      <c r="AD37" s="127"/>
      <c r="AE37" s="120">
        <v>200</v>
      </c>
      <c r="AF37" s="127">
        <v>0</v>
      </c>
      <c r="AG37" s="127">
        <v>100</v>
      </c>
      <c r="AH37" s="127"/>
      <c r="AI37" s="127"/>
      <c r="AJ37" s="127"/>
      <c r="AK37" s="120"/>
      <c r="AL37" s="127"/>
      <c r="AM37" s="127"/>
      <c r="AN37" s="127"/>
      <c r="AO37" s="120"/>
      <c r="AP37" s="120"/>
      <c r="AQ37" s="120"/>
      <c r="AR37" s="120"/>
      <c r="AS37" s="127">
        <v>0</v>
      </c>
      <c r="AT37" s="127">
        <v>7180.79</v>
      </c>
      <c r="AU37" s="127"/>
      <c r="AV37" s="127"/>
      <c r="AW37" s="127">
        <v>0</v>
      </c>
      <c r="AX37" s="127"/>
      <c r="AY37" s="127">
        <v>4552.08</v>
      </c>
      <c r="AZ37" s="121">
        <f>ROUND(SUM(O37:AY37),2)</f>
        <v>31178.93</v>
      </c>
      <c r="BA37" s="122">
        <f>ROUND(N37-AZ37,2)</f>
        <v>12999.07</v>
      </c>
      <c r="BB37" s="122">
        <f t="shared" si="3"/>
        <v>6499.54</v>
      </c>
      <c r="BC37" s="122">
        <f t="shared" si="4"/>
        <v>6499.53</v>
      </c>
    </row>
    <row r="38" spans="1:788 1044:1812 2068:2836 3092:3860 4116:4884 5140:5908 6164:6932 7188:7956 8212:8980 9236:10004 10260:11028 11284:12052 12308:13076 13332:14100 14356:15124 15380:16148" ht="14.25" customHeight="1" x14ac:dyDescent="0.2">
      <c r="A38" s="112">
        <f t="shared" si="0"/>
        <v>31</v>
      </c>
      <c r="B38" s="114" t="s">
        <v>208</v>
      </c>
      <c r="C38" s="114" t="s">
        <v>209</v>
      </c>
      <c r="D38" s="114" t="s">
        <v>161</v>
      </c>
      <c r="E38" s="114" t="s">
        <v>160</v>
      </c>
      <c r="F38" s="114" t="s">
        <v>136</v>
      </c>
      <c r="G38" s="114" t="s">
        <v>769</v>
      </c>
      <c r="H38" s="125">
        <v>37712</v>
      </c>
      <c r="I38" s="125">
        <v>37712</v>
      </c>
      <c r="J38" s="114">
        <v>3</v>
      </c>
      <c r="K38" s="114">
        <v>8</v>
      </c>
      <c r="L38" s="117">
        <f>IFERROR(VLOOKUP(J38, [1]DATA!$A$4:$I$36, MATCH(K38, [1]DATA!$B$3:$I$3, 0)+1, FALSE), "")</f>
        <v>17360</v>
      </c>
      <c r="M38" s="126">
        <v>2000</v>
      </c>
      <c r="N38" s="119">
        <f t="shared" si="1"/>
        <v>19360</v>
      </c>
      <c r="O38" s="120">
        <f t="shared" si="2"/>
        <v>1562.4</v>
      </c>
      <c r="P38" s="127">
        <v>200</v>
      </c>
      <c r="Q38" s="127"/>
      <c r="R38" s="127"/>
      <c r="S38" s="127"/>
      <c r="T38" s="127"/>
      <c r="U38" s="127"/>
      <c r="V38" s="127">
        <v>2600.69</v>
      </c>
      <c r="W38" s="127"/>
      <c r="X38" s="127"/>
      <c r="Y38" s="127"/>
      <c r="Z38" s="127"/>
      <c r="AA38" s="120">
        <v>0</v>
      </c>
      <c r="AB38" s="120">
        <f>ROUND(IF(L38&gt;79999.99,900,IF(L38&lt;10000.01,137.5,IF(10000&lt;L38&gt;80000,L38*2.5%))),2)</f>
        <v>434</v>
      </c>
      <c r="AC38" s="127">
        <v>3737.95</v>
      </c>
      <c r="AD38" s="127">
        <v>500</v>
      </c>
      <c r="AE38" s="120">
        <v>200</v>
      </c>
      <c r="AF38" s="127">
        <v>0</v>
      </c>
      <c r="AG38" s="127">
        <v>100</v>
      </c>
      <c r="AH38" s="127"/>
      <c r="AI38" s="127"/>
      <c r="AJ38" s="127"/>
      <c r="AK38" s="120"/>
      <c r="AL38" s="127">
        <v>100</v>
      </c>
      <c r="AM38" s="127">
        <v>500</v>
      </c>
      <c r="AN38" s="127"/>
      <c r="AO38" s="120"/>
      <c r="AP38" s="120"/>
      <c r="AQ38" s="120"/>
      <c r="AR38" s="120"/>
      <c r="AS38" s="127">
        <v>400</v>
      </c>
      <c r="AT38" s="127"/>
      <c r="AU38" s="127"/>
      <c r="AV38" s="127"/>
      <c r="AW38" s="127">
        <v>0</v>
      </c>
      <c r="AX38" s="127"/>
      <c r="AY38" s="127">
        <v>3034.72</v>
      </c>
      <c r="AZ38" s="121">
        <f>ROUND(SUM(O38:AY38),2)</f>
        <v>13369.76</v>
      </c>
      <c r="BA38" s="122">
        <f>ROUND(N38-AZ38,2)</f>
        <v>5990.24</v>
      </c>
      <c r="BB38" s="122">
        <f t="shared" si="3"/>
        <v>2995.12</v>
      </c>
      <c r="BC38" s="122">
        <f t="shared" si="4"/>
        <v>2995.12</v>
      </c>
    </row>
    <row r="39" spans="1:788 1044:1812 2068:2836 3092:3860 4116:4884 5140:5908 6164:6932 7188:7956 8212:8980 9236:10004 10260:11028 11284:12052 12308:13076 13332:14100 14356:15124 15380:16148" ht="14.25" customHeight="1" x14ac:dyDescent="0.2">
      <c r="A39" s="112">
        <f t="shared" si="0"/>
        <v>32</v>
      </c>
      <c r="B39" s="114" t="s">
        <v>210</v>
      </c>
      <c r="C39" s="114" t="s">
        <v>211</v>
      </c>
      <c r="D39" s="114" t="s">
        <v>120</v>
      </c>
      <c r="E39" s="114" t="s">
        <v>212</v>
      </c>
      <c r="F39" s="114" t="s">
        <v>136</v>
      </c>
      <c r="G39" s="114" t="s">
        <v>770</v>
      </c>
      <c r="H39" s="125">
        <v>35786</v>
      </c>
      <c r="I39" s="170">
        <v>45737</v>
      </c>
      <c r="J39" s="114">
        <v>10</v>
      </c>
      <c r="K39" s="114">
        <v>1</v>
      </c>
      <c r="L39" s="117">
        <f>IFERROR(VLOOKUP(J39, [1]DATA!$A$4:$I$36, MATCH(K39, [1]DATA!$B$3:$I$3, 0)+1, FALSE), "")</f>
        <v>26917</v>
      </c>
      <c r="M39" s="126">
        <v>2000</v>
      </c>
      <c r="N39" s="119">
        <f t="shared" si="1"/>
        <v>28917</v>
      </c>
      <c r="O39" s="120">
        <f t="shared" si="2"/>
        <v>2422.5300000000002</v>
      </c>
      <c r="P39" s="127">
        <v>400</v>
      </c>
      <c r="Q39" s="127">
        <v>1191.8800000000001</v>
      </c>
      <c r="R39" s="127"/>
      <c r="S39" s="127"/>
      <c r="T39" s="127"/>
      <c r="U39" s="127"/>
      <c r="V39" s="127">
        <v>3986.18</v>
      </c>
      <c r="W39" s="127"/>
      <c r="X39" s="127">
        <v>1966.67</v>
      </c>
      <c r="Y39" s="127">
        <v>2505.4</v>
      </c>
      <c r="Z39" s="127"/>
      <c r="AA39" s="120">
        <v>447.46</v>
      </c>
      <c r="AB39" s="120">
        <f>ROUND(IF(L39&gt;79999.99,900,IF(L39&lt;10000.01,137.5,IF(10000&lt;L39&gt;80000,L39*2.5%))),2)-0.01</f>
        <v>672.92</v>
      </c>
      <c r="AC39" s="127"/>
      <c r="AD39" s="127">
        <v>0</v>
      </c>
      <c r="AE39" s="127">
        <v>300</v>
      </c>
      <c r="AF39" s="127">
        <v>0</v>
      </c>
      <c r="AG39" s="127">
        <v>100</v>
      </c>
      <c r="AH39" s="127"/>
      <c r="AI39" s="127"/>
      <c r="AJ39" s="127"/>
      <c r="AK39" s="120"/>
      <c r="AL39" s="127">
        <v>100</v>
      </c>
      <c r="AM39" s="127"/>
      <c r="AN39" s="127"/>
      <c r="AO39" s="120"/>
      <c r="AP39" s="120"/>
      <c r="AQ39" s="120"/>
      <c r="AR39" s="120"/>
      <c r="AS39" s="127">
        <v>0</v>
      </c>
      <c r="AT39" s="127">
        <v>3156.75</v>
      </c>
      <c r="AU39" s="127"/>
      <c r="AV39" s="127"/>
      <c r="AW39" s="127">
        <v>0</v>
      </c>
      <c r="AX39" s="127"/>
      <c r="AY39" s="127">
        <v>3034.72</v>
      </c>
      <c r="AZ39" s="121">
        <f>ROUND(SUM(O39:AY39),2)</f>
        <v>20284.509999999998</v>
      </c>
      <c r="BA39" s="122">
        <f>ROUND(N39-AZ39,2)</f>
        <v>8632.49</v>
      </c>
      <c r="BB39" s="122">
        <f t="shared" si="3"/>
        <v>4316.25</v>
      </c>
      <c r="BC39" s="122">
        <f t="shared" si="4"/>
        <v>4316.24</v>
      </c>
      <c r="JP39" s="31"/>
      <c r="TL39" s="31"/>
      <c r="ADH39" s="31"/>
      <c r="AND39" s="31"/>
      <c r="AWZ39" s="31"/>
      <c r="BGV39" s="31"/>
      <c r="BQR39" s="31"/>
      <c r="CAN39" s="31"/>
      <c r="CKJ39" s="31"/>
      <c r="CUF39" s="31"/>
      <c r="DEB39" s="31"/>
      <c r="DNX39" s="31"/>
      <c r="DXT39" s="31"/>
      <c r="EHP39" s="31"/>
      <c r="ERL39" s="31"/>
      <c r="FBH39" s="31"/>
      <c r="FLD39" s="31"/>
      <c r="FUZ39" s="31"/>
      <c r="GEV39" s="31"/>
      <c r="GOR39" s="31"/>
      <c r="GYN39" s="31"/>
      <c r="HIJ39" s="31"/>
      <c r="HSF39" s="31"/>
      <c r="ICB39" s="31"/>
      <c r="ILX39" s="31"/>
      <c r="IVT39" s="31"/>
      <c r="JFP39" s="31"/>
      <c r="JPL39" s="31"/>
      <c r="JZH39" s="31"/>
      <c r="KJD39" s="31"/>
      <c r="KSZ39" s="31"/>
      <c r="LCV39" s="31"/>
      <c r="LMR39" s="31"/>
      <c r="LWN39" s="31"/>
      <c r="MGJ39" s="31"/>
      <c r="MQF39" s="31"/>
      <c r="NAB39" s="31"/>
      <c r="NJX39" s="31"/>
      <c r="NTT39" s="31"/>
      <c r="ODP39" s="31"/>
      <c r="ONL39" s="31"/>
      <c r="OXH39" s="31"/>
      <c r="PHD39" s="31"/>
      <c r="PQZ39" s="31"/>
      <c r="QAV39" s="31"/>
      <c r="QKR39" s="31"/>
      <c r="QUN39" s="31"/>
      <c r="REJ39" s="31"/>
      <c r="ROF39" s="31"/>
      <c r="RYB39" s="31"/>
      <c r="SHX39" s="31"/>
      <c r="SRT39" s="31"/>
      <c r="TBP39" s="31"/>
      <c r="TLL39" s="31"/>
      <c r="TVH39" s="31"/>
      <c r="UFD39" s="31"/>
      <c r="UOZ39" s="31"/>
      <c r="UYV39" s="31"/>
      <c r="VIR39" s="31"/>
      <c r="VSN39" s="31"/>
      <c r="WCJ39" s="31"/>
      <c r="WMF39" s="31"/>
      <c r="WWB39" s="31"/>
    </row>
    <row r="40" spans="1:788 1044:1812 2068:2836 3092:3860 4116:4884 5140:5908 6164:6932 7188:7956 8212:8980 9236:10004 10260:11028 11284:12052 12308:13076 13332:14100 14356:15124 15380:16148" ht="14.25" customHeight="1" x14ac:dyDescent="0.2">
      <c r="A40" s="112">
        <f t="shared" si="0"/>
        <v>33</v>
      </c>
      <c r="B40" s="114" t="s">
        <v>213</v>
      </c>
      <c r="C40" s="114" t="s">
        <v>214</v>
      </c>
      <c r="D40" s="114" t="s">
        <v>115</v>
      </c>
      <c r="E40" s="114" t="s">
        <v>139</v>
      </c>
      <c r="F40" s="114" t="s">
        <v>147</v>
      </c>
      <c r="G40" s="114" t="s">
        <v>771</v>
      </c>
      <c r="H40" s="125">
        <v>42451</v>
      </c>
      <c r="I40" s="125">
        <v>42998</v>
      </c>
      <c r="J40" s="114">
        <v>15</v>
      </c>
      <c r="K40" s="114">
        <v>3</v>
      </c>
      <c r="L40" s="117">
        <f>IFERROR(VLOOKUP(J40, [1]DATA!$A$4:$I$36, MATCH(K40, [1]DATA!$B$3:$I$3, 0)+1, FALSE), "")</f>
        <v>43015</v>
      </c>
      <c r="M40" s="126">
        <v>2000</v>
      </c>
      <c r="N40" s="119">
        <f t="shared" si="1"/>
        <v>45015</v>
      </c>
      <c r="O40" s="120">
        <f t="shared" si="2"/>
        <v>3871.35</v>
      </c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120">
        <v>3889.58</v>
      </c>
      <c r="AB40" s="127">
        <f>ROUND(IF(L40&gt;79999.99,900,IF(L40&lt;10000.01,137.5,IF(10000&lt;L40&gt;80000,L40*2.5%))),2)-0.01</f>
        <v>1075.3700000000001</v>
      </c>
      <c r="AC40" s="127"/>
      <c r="AD40" s="127">
        <v>1000</v>
      </c>
      <c r="AE40" s="120">
        <v>200</v>
      </c>
      <c r="AF40" s="127">
        <v>0</v>
      </c>
      <c r="AG40" s="127">
        <v>100</v>
      </c>
      <c r="AH40" s="127"/>
      <c r="AI40" s="127"/>
      <c r="AJ40" s="127"/>
      <c r="AK40" s="120"/>
      <c r="AL40" s="127">
        <v>100</v>
      </c>
      <c r="AM40" s="127">
        <v>7500</v>
      </c>
      <c r="AN40" s="127">
        <v>2000</v>
      </c>
      <c r="AO40" s="120">
        <v>527.29999999999995</v>
      </c>
      <c r="AP40" s="120">
        <v>272.20999999999998</v>
      </c>
      <c r="AQ40" s="120"/>
      <c r="AR40" s="120"/>
      <c r="AS40" s="127">
        <v>0</v>
      </c>
      <c r="AT40" s="127"/>
      <c r="AU40" s="127">
        <v>14749.76</v>
      </c>
      <c r="AV40" s="127"/>
      <c r="AW40" s="127"/>
      <c r="AX40" s="127"/>
      <c r="AY40" s="127">
        <v>3034.72</v>
      </c>
      <c r="AZ40" s="121">
        <f>ROUND(SUM(O40:AY40),2)</f>
        <v>38320.29</v>
      </c>
      <c r="BA40" s="122">
        <f>ROUND(N40-AZ40,2)</f>
        <v>6694.71</v>
      </c>
      <c r="BB40" s="122">
        <f t="shared" si="3"/>
        <v>3347.36</v>
      </c>
      <c r="BC40" s="122">
        <f t="shared" si="4"/>
        <v>3347.35</v>
      </c>
    </row>
    <row r="41" spans="1:788 1044:1812 2068:2836 3092:3860 4116:4884 5140:5908 6164:6932 7188:7956 8212:8980 9236:10004 10260:11028 11284:12052 12308:13076 13332:14100 14356:15124 15380:16148" ht="14.25" customHeight="1" x14ac:dyDescent="0.2">
      <c r="A41" s="112">
        <f t="shared" si="0"/>
        <v>34</v>
      </c>
      <c r="B41" s="114" t="s">
        <v>215</v>
      </c>
      <c r="C41" s="114" t="s">
        <v>216</v>
      </c>
      <c r="D41" s="114" t="s">
        <v>125</v>
      </c>
      <c r="E41" s="114" t="s">
        <v>217</v>
      </c>
      <c r="F41" s="114" t="s">
        <v>112</v>
      </c>
      <c r="G41" s="114" t="s">
        <v>772</v>
      </c>
      <c r="H41" s="125">
        <v>42278</v>
      </c>
      <c r="I41" s="125">
        <v>44929</v>
      </c>
      <c r="J41" s="114">
        <v>18</v>
      </c>
      <c r="K41" s="114">
        <v>2</v>
      </c>
      <c r="L41" s="117">
        <f>IFERROR(VLOOKUP(J41, [1]DATA!$A$4:$I$36, MATCH(K41, [1]DATA!$B$3:$I$3, 0)+1, FALSE), "")</f>
        <v>54371</v>
      </c>
      <c r="M41" s="126">
        <v>2000</v>
      </c>
      <c r="N41" s="119">
        <f t="shared" si="1"/>
        <v>56371</v>
      </c>
      <c r="O41" s="120">
        <f t="shared" si="2"/>
        <v>4893.3900000000003</v>
      </c>
      <c r="P41" s="127"/>
      <c r="Q41" s="127"/>
      <c r="R41" s="127"/>
      <c r="S41" s="127"/>
      <c r="T41" s="127"/>
      <c r="U41" s="127"/>
      <c r="V41" s="127"/>
      <c r="W41" s="127"/>
      <c r="X41" s="127"/>
      <c r="Y41" s="127">
        <v>8646.86</v>
      </c>
      <c r="Z41" s="127"/>
      <c r="AA41" s="120">
        <v>6395.7</v>
      </c>
      <c r="AB41" s="120">
        <f>ROUND(IF(L41&gt;79999.99,900,IF(L41&lt;10000.01,137.5,IF(10000&lt;L41&gt;80000,L41*2.5%))),2)</f>
        <v>1359.28</v>
      </c>
      <c r="AC41" s="127"/>
      <c r="AD41" s="127"/>
      <c r="AE41" s="127">
        <v>500</v>
      </c>
      <c r="AF41" s="127">
        <v>0</v>
      </c>
      <c r="AG41" s="127">
        <v>100</v>
      </c>
      <c r="AH41" s="127"/>
      <c r="AI41" s="127"/>
      <c r="AJ41" s="127"/>
      <c r="AK41" s="120">
        <v>1000</v>
      </c>
      <c r="AL41" s="127"/>
      <c r="AM41" s="127"/>
      <c r="AN41" s="127">
        <v>2000</v>
      </c>
      <c r="AO41" s="120">
        <v>461.39</v>
      </c>
      <c r="AP41" s="120">
        <v>704.35</v>
      </c>
      <c r="AQ41" s="120"/>
      <c r="AR41" s="120"/>
      <c r="AS41" s="127">
        <v>0</v>
      </c>
      <c r="AT41" s="127"/>
      <c r="AU41" s="127"/>
      <c r="AV41" s="127"/>
      <c r="AW41" s="127">
        <v>0</v>
      </c>
      <c r="AX41" s="127"/>
      <c r="AY41" s="127">
        <v>5826.67</v>
      </c>
      <c r="AZ41" s="121">
        <f>ROUND(SUM(O41:AY41),2)</f>
        <v>31887.64</v>
      </c>
      <c r="BA41" s="122">
        <f>ROUND(N41-AZ41,2)</f>
        <v>24483.360000000001</v>
      </c>
      <c r="BB41" s="122">
        <f t="shared" si="3"/>
        <v>12241.68</v>
      </c>
      <c r="BC41" s="122">
        <f t="shared" si="4"/>
        <v>12241.68</v>
      </c>
    </row>
    <row r="42" spans="1:788 1044:1812 2068:2836 3092:3860 4116:4884 5140:5908 6164:6932 7188:7956 8212:8980 9236:10004 10260:11028 11284:12052 12308:13076 13332:14100 14356:15124 15380:16148" ht="14.25" customHeight="1" x14ac:dyDescent="0.2">
      <c r="A42" s="112">
        <f t="shared" si="0"/>
        <v>35</v>
      </c>
      <c r="B42" s="114" t="s">
        <v>218</v>
      </c>
      <c r="C42" s="114" t="s">
        <v>219</v>
      </c>
      <c r="D42" s="114" t="s">
        <v>142</v>
      </c>
      <c r="E42" s="114" t="s">
        <v>175</v>
      </c>
      <c r="F42" s="114" t="s">
        <v>122</v>
      </c>
      <c r="G42" s="114" t="s">
        <v>773</v>
      </c>
      <c r="H42" s="125">
        <v>42293</v>
      </c>
      <c r="I42" s="125">
        <v>42293</v>
      </c>
      <c r="J42" s="114">
        <v>15</v>
      </c>
      <c r="K42" s="114">
        <v>4</v>
      </c>
      <c r="L42" s="117">
        <f>IFERROR(VLOOKUP(J42, [1]DATA!$A$4:$I$36, MATCH(K42, [1]DATA!$B$3:$I$3, 0)+1, FALSE), "")</f>
        <v>43442</v>
      </c>
      <c r="M42" s="126">
        <v>2000</v>
      </c>
      <c r="N42" s="119">
        <f t="shared" si="1"/>
        <v>45442</v>
      </c>
      <c r="O42" s="120">
        <f t="shared" si="2"/>
        <v>3909.78</v>
      </c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  <c r="AA42" s="120">
        <v>3998.79</v>
      </c>
      <c r="AB42" s="127">
        <f>ROUND(IF(L42&gt;79999.99,900,IF(L42&lt;10000.01,137.5,IF(10000&lt;L42&gt;80000,L42*2.5%))),2)</f>
        <v>1086.05</v>
      </c>
      <c r="AC42" s="127"/>
      <c r="AD42" s="127">
        <v>0</v>
      </c>
      <c r="AE42" s="120">
        <v>200</v>
      </c>
      <c r="AF42" s="127">
        <v>0</v>
      </c>
      <c r="AG42" s="127">
        <v>100</v>
      </c>
      <c r="AH42" s="127"/>
      <c r="AI42" s="127"/>
      <c r="AJ42" s="127"/>
      <c r="AK42" s="120"/>
      <c r="AL42" s="127"/>
      <c r="AM42" s="127"/>
      <c r="AN42" s="127"/>
      <c r="AO42" s="120"/>
      <c r="AP42" s="120"/>
      <c r="AQ42" s="120"/>
      <c r="AR42" s="120"/>
      <c r="AS42" s="127">
        <v>1420.64</v>
      </c>
      <c r="AT42" s="127"/>
      <c r="AU42" s="127"/>
      <c r="AV42" s="127"/>
      <c r="AW42" s="127">
        <v>0</v>
      </c>
      <c r="AX42" s="127">
        <v>1476.39</v>
      </c>
      <c r="AY42" s="127"/>
      <c r="AZ42" s="121">
        <f>ROUND(SUM(O42:AY42),2)</f>
        <v>12191.65</v>
      </c>
      <c r="BA42" s="122">
        <f>ROUND(N42-AZ42,2)</f>
        <v>33250.35</v>
      </c>
      <c r="BB42" s="122">
        <f t="shared" si="3"/>
        <v>16625.18</v>
      </c>
      <c r="BC42" s="122">
        <f t="shared" si="4"/>
        <v>16625.169999999998</v>
      </c>
    </row>
    <row r="43" spans="1:788 1044:1812 2068:2836 3092:3860 4116:4884 5140:5908 6164:6932 7188:7956 8212:8980 9236:10004 10260:11028 11284:12052 12308:13076 13332:14100 14356:15124 15380:16148" ht="14.25" customHeight="1" x14ac:dyDescent="0.2">
      <c r="A43" s="112">
        <f t="shared" si="0"/>
        <v>36</v>
      </c>
      <c r="B43" s="114" t="s">
        <v>220</v>
      </c>
      <c r="C43" s="114" t="s">
        <v>221</v>
      </c>
      <c r="D43" s="114" t="s">
        <v>120</v>
      </c>
      <c r="E43" s="114" t="s">
        <v>222</v>
      </c>
      <c r="F43" s="114" t="s">
        <v>117</v>
      </c>
      <c r="G43" s="114" t="s">
        <v>774</v>
      </c>
      <c r="H43" s="125">
        <v>44228</v>
      </c>
      <c r="I43" s="125">
        <v>44228</v>
      </c>
      <c r="J43" s="114">
        <v>11</v>
      </c>
      <c r="K43" s="114">
        <v>2</v>
      </c>
      <c r="L43" s="117">
        <f>IFERROR(VLOOKUP(J43, [1]DATA!$A$4:$I$36, MATCH(K43, [1]DATA!$B$3:$I$3, 0)+1, FALSE), "")</f>
        <v>31820</v>
      </c>
      <c r="M43" s="126">
        <v>2000</v>
      </c>
      <c r="N43" s="119">
        <f t="shared" si="1"/>
        <v>33820</v>
      </c>
      <c r="O43" s="120">
        <f t="shared" si="2"/>
        <v>2863.8</v>
      </c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  <c r="AA43" s="120">
        <v>1481.83</v>
      </c>
      <c r="AB43" s="127">
        <f>ROUND(IF(L43&gt;79999.99,900,IF(L43&lt;10000.01,137.5,IF(10000&lt;L43&gt;80000,L43*2.5%))),2)</f>
        <v>795.5</v>
      </c>
      <c r="AC43" s="127"/>
      <c r="AD43" s="127"/>
      <c r="AE43" s="120">
        <v>200</v>
      </c>
      <c r="AF43" s="127">
        <v>0</v>
      </c>
      <c r="AG43" s="127">
        <v>100</v>
      </c>
      <c r="AH43" s="127"/>
      <c r="AI43" s="127"/>
      <c r="AJ43" s="127"/>
      <c r="AK43" s="120"/>
      <c r="AL43" s="127"/>
      <c r="AM43" s="127"/>
      <c r="AN43" s="127"/>
      <c r="AO43" s="120"/>
      <c r="AP43" s="120"/>
      <c r="AQ43" s="120"/>
      <c r="AR43" s="120"/>
      <c r="AS43" s="127">
        <v>0</v>
      </c>
      <c r="AT43" s="127"/>
      <c r="AU43" s="127"/>
      <c r="AV43" s="127"/>
      <c r="AW43" s="127"/>
      <c r="AX43" s="127"/>
      <c r="AY43" s="127"/>
      <c r="AZ43" s="121">
        <f>ROUND(SUM(O43:AY43),2)</f>
        <v>5441.13</v>
      </c>
      <c r="BA43" s="122">
        <f>ROUND(N43-AZ43,2)</f>
        <v>28378.87</v>
      </c>
      <c r="BB43" s="122">
        <f>ROUND(BA43/2,2)</f>
        <v>14189.44</v>
      </c>
      <c r="BC43" s="122">
        <f t="shared" si="4"/>
        <v>14189.429999999998</v>
      </c>
    </row>
    <row r="44" spans="1:788 1044:1812 2068:2836 3092:3860 4116:4884 5140:5908 6164:6932 7188:7956 8212:8980 9236:10004 10260:11028 11284:12052 12308:13076 13332:14100 14356:15124 15380:16148" ht="14.25" customHeight="1" x14ac:dyDescent="0.2">
      <c r="A44" s="112">
        <f t="shared" si="0"/>
        <v>37</v>
      </c>
      <c r="B44" s="114" t="s">
        <v>223</v>
      </c>
      <c r="C44" s="114" t="s">
        <v>224</v>
      </c>
      <c r="D44" s="114" t="s">
        <v>225</v>
      </c>
      <c r="E44" s="114" t="s">
        <v>226</v>
      </c>
      <c r="F44" s="114" t="s">
        <v>136</v>
      </c>
      <c r="G44" s="114" t="s">
        <v>775</v>
      </c>
      <c r="H44" s="125">
        <v>34704</v>
      </c>
      <c r="I44" s="125">
        <v>34704</v>
      </c>
      <c r="J44" s="114">
        <v>4</v>
      </c>
      <c r="K44" s="114">
        <v>8</v>
      </c>
      <c r="L44" s="117">
        <f>IFERROR(VLOOKUP(J44, [1]DATA!$A$4:$I$36, MATCH(K44, [1]DATA!$B$3:$I$3, 0)+1, FALSE), "")</f>
        <v>18433</v>
      </c>
      <c r="M44" s="126">
        <v>2000</v>
      </c>
      <c r="N44" s="119">
        <f t="shared" si="1"/>
        <v>20433</v>
      </c>
      <c r="O44" s="120">
        <f t="shared" si="2"/>
        <v>1658.97</v>
      </c>
      <c r="P44" s="127">
        <v>200</v>
      </c>
      <c r="Q44" s="127">
        <v>655.56</v>
      </c>
      <c r="R44" s="127"/>
      <c r="S44" s="128"/>
      <c r="T44" s="127"/>
      <c r="U44" s="127"/>
      <c r="V44" s="127">
        <v>2561.7399999999998</v>
      </c>
      <c r="W44" s="127"/>
      <c r="X44" s="127"/>
      <c r="Y44" s="127">
        <v>3797.05</v>
      </c>
      <c r="Z44" s="127"/>
      <c r="AA44" s="120">
        <v>0</v>
      </c>
      <c r="AB44" s="120">
        <f>ROUND(IF(L44&gt;79999.99,900,IF(L44&lt;10000.01,137.5,IF(10000&lt;L44&gt;80000,L44*2.5%))),2)-0.01</f>
        <v>460.82</v>
      </c>
      <c r="AC44" s="127">
        <v>1295.6300000000001</v>
      </c>
      <c r="AD44" s="127">
        <v>0</v>
      </c>
      <c r="AE44" s="120">
        <v>200</v>
      </c>
      <c r="AF44" s="127">
        <v>0</v>
      </c>
      <c r="AG44" s="127">
        <v>100</v>
      </c>
      <c r="AH44" s="127">
        <v>1336</v>
      </c>
      <c r="AI44" s="127"/>
      <c r="AJ44" s="127"/>
      <c r="AK44" s="120"/>
      <c r="AL44" s="127"/>
      <c r="AM44" s="127"/>
      <c r="AN44" s="127"/>
      <c r="AO44" s="120"/>
      <c r="AP44" s="120"/>
      <c r="AQ44" s="120"/>
      <c r="AR44" s="120"/>
      <c r="AS44" s="127">
        <v>0</v>
      </c>
      <c r="AT44" s="127"/>
      <c r="AU44" s="127"/>
      <c r="AV44" s="127"/>
      <c r="AW44" s="127">
        <v>0</v>
      </c>
      <c r="AX44" s="127"/>
      <c r="AY44" s="127">
        <v>2124.3000000000002</v>
      </c>
      <c r="AZ44" s="121">
        <f>ROUND(SUM(O44:AY44),2)</f>
        <v>14390.07</v>
      </c>
      <c r="BA44" s="122">
        <f>ROUND(N44-AZ44,2)</f>
        <v>6042.93</v>
      </c>
      <c r="BB44" s="122">
        <f t="shared" si="3"/>
        <v>3021.47</v>
      </c>
      <c r="BC44" s="122">
        <f t="shared" si="4"/>
        <v>3021.4600000000005</v>
      </c>
    </row>
    <row r="45" spans="1:788 1044:1812 2068:2836 3092:3860 4116:4884 5140:5908 6164:6932 7188:7956 8212:8980 9236:10004 10260:11028 11284:12052 12308:13076 13332:14100 14356:15124 15380:16148" ht="14.25" customHeight="1" x14ac:dyDescent="0.2">
      <c r="A45" s="112">
        <f t="shared" si="0"/>
        <v>38</v>
      </c>
      <c r="B45" s="114" t="s">
        <v>227</v>
      </c>
      <c r="C45" s="114" t="s">
        <v>228</v>
      </c>
      <c r="D45" s="114" t="s">
        <v>229</v>
      </c>
      <c r="E45" s="114" t="s">
        <v>230</v>
      </c>
      <c r="F45" s="114" t="s">
        <v>136</v>
      </c>
      <c r="G45" s="123" t="s">
        <v>776</v>
      </c>
      <c r="H45" s="124">
        <v>42451</v>
      </c>
      <c r="I45" s="124">
        <v>45607</v>
      </c>
      <c r="J45" s="123">
        <v>14</v>
      </c>
      <c r="K45" s="123">
        <v>1</v>
      </c>
      <c r="L45" s="117">
        <f>IFERROR(VLOOKUP(J45, [1]DATA!$A$4:$I$36, MATCH(K45, [1]DATA!$B$3:$I$3, 0)+1, FALSE), "")</f>
        <v>38764</v>
      </c>
      <c r="M45" s="126">
        <v>2000</v>
      </c>
      <c r="N45" s="119">
        <f t="shared" si="1"/>
        <v>40764</v>
      </c>
      <c r="O45" s="120">
        <f t="shared" si="2"/>
        <v>3488.76</v>
      </c>
      <c r="P45" s="127"/>
      <c r="Q45" s="127">
        <v>655.56</v>
      </c>
      <c r="R45" s="127"/>
      <c r="S45" s="127"/>
      <c r="T45" s="127"/>
      <c r="U45" s="127"/>
      <c r="V45" s="127"/>
      <c r="W45" s="127"/>
      <c r="X45" s="127"/>
      <c r="Y45" s="127"/>
      <c r="Z45" s="127"/>
      <c r="AA45" s="120">
        <v>2899.62</v>
      </c>
      <c r="AB45" s="120">
        <f>ROUND(IF(L45&gt;79999.99,900,IF(L45&lt;10000.01,137.5,IF(10000&lt;L45&gt;80000,L45*2.5%))),2)</f>
        <v>969.1</v>
      </c>
      <c r="AC45" s="127"/>
      <c r="AD45" s="127">
        <v>0</v>
      </c>
      <c r="AE45" s="120">
        <v>200</v>
      </c>
      <c r="AF45" s="127">
        <v>0</v>
      </c>
      <c r="AG45" s="127">
        <v>100</v>
      </c>
      <c r="AH45" s="127"/>
      <c r="AI45" s="127"/>
      <c r="AJ45" s="127"/>
      <c r="AK45" s="120"/>
      <c r="AL45" s="127"/>
      <c r="AM45" s="127"/>
      <c r="AN45" s="127"/>
      <c r="AO45" s="120"/>
      <c r="AP45" s="120"/>
      <c r="AQ45" s="120"/>
      <c r="AR45" s="120"/>
      <c r="AS45" s="127">
        <v>500</v>
      </c>
      <c r="AT45" s="127"/>
      <c r="AU45" s="127"/>
      <c r="AV45" s="127"/>
      <c r="AW45" s="127"/>
      <c r="AX45" s="127"/>
      <c r="AY45" s="127"/>
      <c r="AZ45" s="121">
        <f>ROUND(SUM(O45:AY45),2)</f>
        <v>8813.0400000000009</v>
      </c>
      <c r="BA45" s="122">
        <f>ROUND(N45-AZ45,2)</f>
        <v>31950.959999999999</v>
      </c>
      <c r="BB45" s="122">
        <f>ROUND(BA45/2,2)</f>
        <v>15975.48</v>
      </c>
      <c r="BC45" s="122">
        <f>BA45-BB45</f>
        <v>15975.48</v>
      </c>
    </row>
    <row r="46" spans="1:788 1044:1812 2068:2836 3092:3860 4116:4884 5140:5908 6164:6932 7188:7956 8212:8980 9236:10004 10260:11028 11284:12052 12308:13076 13332:14100 14356:15124 15380:16148" ht="14.25" customHeight="1" x14ac:dyDescent="0.2">
      <c r="A46" s="112">
        <f t="shared" si="0"/>
        <v>39</v>
      </c>
      <c r="B46" s="114" t="s">
        <v>231</v>
      </c>
      <c r="C46" s="114" t="s">
        <v>232</v>
      </c>
      <c r="D46" s="114" t="s">
        <v>138</v>
      </c>
      <c r="E46" s="114" t="s">
        <v>233</v>
      </c>
      <c r="F46" s="114" t="s">
        <v>147</v>
      </c>
      <c r="G46" s="114" t="s">
        <v>777</v>
      </c>
      <c r="H46" s="125">
        <v>44950</v>
      </c>
      <c r="I46" s="125">
        <v>44950</v>
      </c>
      <c r="J46" s="114">
        <v>11</v>
      </c>
      <c r="K46" s="114">
        <v>1</v>
      </c>
      <c r="L46" s="117">
        <f>IFERROR(VLOOKUP(J46, [1]DATA!$A$4:$I$36, MATCH(K46, [1]DATA!$B$3:$I$3, 0)+1, FALSE), "")</f>
        <v>31705</v>
      </c>
      <c r="M46" s="126">
        <v>2000</v>
      </c>
      <c r="N46" s="119">
        <f t="shared" si="1"/>
        <v>33705</v>
      </c>
      <c r="O46" s="120">
        <f t="shared" si="2"/>
        <v>2853.45</v>
      </c>
      <c r="P46" s="127"/>
      <c r="Q46" s="127">
        <v>1174.33</v>
      </c>
      <c r="R46" s="127"/>
      <c r="S46" s="127"/>
      <c r="T46" s="127"/>
      <c r="U46" s="127"/>
      <c r="V46" s="127">
        <v>1810.82</v>
      </c>
      <c r="W46" s="127">
        <v>1227.78</v>
      </c>
      <c r="X46" s="127"/>
      <c r="Y46" s="127"/>
      <c r="Z46" s="127"/>
      <c r="AA46" s="120">
        <v>1468.9</v>
      </c>
      <c r="AB46" s="127">
        <f>ROUND(IF(L46&gt;79999.99,900,IF(L46&lt;10000.01,137.5,IF(10000&lt;L46&gt;80000,L46*2.5%))),2)-0.01</f>
        <v>792.62</v>
      </c>
      <c r="AC46" s="127"/>
      <c r="AD46" s="127">
        <v>1000</v>
      </c>
      <c r="AE46" s="120">
        <v>200</v>
      </c>
      <c r="AF46" s="127">
        <v>0</v>
      </c>
      <c r="AG46" s="127">
        <v>100</v>
      </c>
      <c r="AH46" s="127"/>
      <c r="AI46" s="127"/>
      <c r="AJ46" s="127"/>
      <c r="AK46" s="120"/>
      <c r="AL46" s="127"/>
      <c r="AM46" s="127"/>
      <c r="AN46" s="127"/>
      <c r="AO46" s="120"/>
      <c r="AP46" s="120"/>
      <c r="AQ46" s="120"/>
      <c r="AR46" s="120"/>
      <c r="AS46" s="127"/>
      <c r="AT46" s="127">
        <v>8523.24</v>
      </c>
      <c r="AU46" s="127"/>
      <c r="AV46" s="127"/>
      <c r="AW46" s="127"/>
      <c r="AX46" s="127"/>
      <c r="AY46" s="127">
        <v>3034.72</v>
      </c>
      <c r="AZ46" s="121">
        <f>ROUND(SUM(O46:AY46),2)</f>
        <v>22185.86</v>
      </c>
      <c r="BA46" s="122">
        <f>ROUND(N46-AZ46,2)</f>
        <v>11519.14</v>
      </c>
      <c r="BB46" s="122">
        <f>ROUND(BA46/2,2)</f>
        <v>5759.57</v>
      </c>
      <c r="BC46" s="122">
        <f>BA46-BB46</f>
        <v>5759.57</v>
      </c>
    </row>
    <row r="47" spans="1:788 1044:1812 2068:2836 3092:3860 4116:4884 5140:5908 6164:6932 7188:7956 8212:8980 9236:10004 10260:11028 11284:12052 12308:13076 13332:14100 14356:15124 15380:16148" ht="14.25" customHeight="1" x14ac:dyDescent="0.2">
      <c r="A47" s="112">
        <f t="shared" si="0"/>
        <v>40</v>
      </c>
      <c r="B47" s="114" t="s">
        <v>234</v>
      </c>
      <c r="C47" s="114" t="s">
        <v>235</v>
      </c>
      <c r="D47" s="114" t="s">
        <v>236</v>
      </c>
      <c r="E47" s="114" t="s">
        <v>237</v>
      </c>
      <c r="F47" s="114" t="s">
        <v>147</v>
      </c>
      <c r="G47" s="114" t="s">
        <v>778</v>
      </c>
      <c r="H47" s="125">
        <v>32295</v>
      </c>
      <c r="I47" s="125">
        <v>36312</v>
      </c>
      <c r="J47" s="114">
        <v>9</v>
      </c>
      <c r="K47" s="114">
        <v>8</v>
      </c>
      <c r="L47" s="117">
        <f>IFERROR(VLOOKUP(J47, [1]DATA!$A$4:$I$36, MATCH(K47, [1]DATA!$B$3:$I$3, 0)+1, FALSE), "")</f>
        <v>25725</v>
      </c>
      <c r="M47" s="126">
        <v>2000</v>
      </c>
      <c r="N47" s="119">
        <f t="shared" si="1"/>
        <v>27725</v>
      </c>
      <c r="O47" s="120">
        <f t="shared" si="2"/>
        <v>2315.25</v>
      </c>
      <c r="P47" s="127">
        <v>600</v>
      </c>
      <c r="Q47" s="127">
        <v>1209.28</v>
      </c>
      <c r="R47" s="127"/>
      <c r="S47" s="127"/>
      <c r="T47" s="127"/>
      <c r="U47" s="127"/>
      <c r="V47" s="127">
        <v>3826.03</v>
      </c>
      <c r="W47" s="127"/>
      <c r="X47" s="127">
        <v>1966.67</v>
      </c>
      <c r="Y47" s="127">
        <v>5476.25</v>
      </c>
      <c r="Z47" s="127"/>
      <c r="AA47" s="120">
        <v>418.94</v>
      </c>
      <c r="AB47" s="120">
        <f>ROUND(IF(L47&gt;79999.99,900,IF(L47&lt;10000.01,137.5,IF(10000&lt;L47&gt;80000,L47*2.5%))),2)-0.01</f>
        <v>643.12</v>
      </c>
      <c r="AC47" s="127">
        <v>3029.89</v>
      </c>
      <c r="AD47" s="127">
        <v>700</v>
      </c>
      <c r="AE47" s="127">
        <v>200</v>
      </c>
      <c r="AF47" s="127">
        <v>0</v>
      </c>
      <c r="AG47" s="127">
        <v>100</v>
      </c>
      <c r="AH47" s="127"/>
      <c r="AI47" s="127"/>
      <c r="AJ47" s="127"/>
      <c r="AK47" s="120"/>
      <c r="AL47" s="127">
        <v>100</v>
      </c>
      <c r="AM47" s="129"/>
      <c r="AN47" s="127"/>
      <c r="AO47" s="130"/>
      <c r="AP47" s="130"/>
      <c r="AQ47" s="120"/>
      <c r="AR47" s="120"/>
      <c r="AS47" s="129"/>
      <c r="AT47" s="127"/>
      <c r="AU47" s="127"/>
      <c r="AV47" s="127"/>
      <c r="AW47" s="127"/>
      <c r="AX47" s="127"/>
      <c r="AY47" s="127">
        <v>910.41</v>
      </c>
      <c r="AZ47" s="121">
        <f>ROUND(SUM(O47:AY47),2)</f>
        <v>21495.84</v>
      </c>
      <c r="BA47" s="131">
        <f>ROUND(N47-AZ47,2)</f>
        <v>6229.16</v>
      </c>
      <c r="BB47" s="122">
        <f t="shared" si="3"/>
        <v>3114.58</v>
      </c>
      <c r="BC47" s="122">
        <f t="shared" si="4"/>
        <v>3114.58</v>
      </c>
    </row>
    <row r="48" spans="1:788 1044:1812 2068:2836 3092:3860 4116:4884 5140:5908 6164:6932 7188:7956 8212:8980 9236:10004 10260:11028 11284:12052 12308:13076 13332:14100 14356:15124 15380:16148" ht="14.25" customHeight="1" x14ac:dyDescent="0.2">
      <c r="A48" s="112">
        <f t="shared" si="0"/>
        <v>41</v>
      </c>
      <c r="B48" s="114" t="s">
        <v>718</v>
      </c>
      <c r="C48" s="114" t="s">
        <v>719</v>
      </c>
      <c r="D48" s="114" t="s">
        <v>120</v>
      </c>
      <c r="E48" s="114" t="s">
        <v>116</v>
      </c>
      <c r="F48" s="114" t="s">
        <v>117</v>
      </c>
      <c r="G48" s="114" t="s">
        <v>779</v>
      </c>
      <c r="H48" s="125">
        <v>45916</v>
      </c>
      <c r="I48" s="125">
        <v>45916</v>
      </c>
      <c r="J48" s="114">
        <v>11</v>
      </c>
      <c r="K48" s="114">
        <v>1</v>
      </c>
      <c r="L48" s="117">
        <f>IFERROR(VLOOKUP(J48, [1]DATA!$A$4:$I$36, MATCH(K48, [1]DATA!$B$3:$I$3, 0)+1, FALSE), "")</f>
        <v>31705</v>
      </c>
      <c r="M48" s="126">
        <v>2000</v>
      </c>
      <c r="N48" s="119">
        <f t="shared" si="1"/>
        <v>33705</v>
      </c>
      <c r="O48" s="120">
        <f t="shared" si="2"/>
        <v>2853.45</v>
      </c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0">
        <v>1360.33</v>
      </c>
      <c r="AB48" s="120">
        <f>ROUND(IF(L48&gt;79999.99,900,IF(L48&lt;10000.01,137.5,IF(10000&lt;L48&gt;80000,L48*2.5%))),2)-0.01</f>
        <v>792.62</v>
      </c>
      <c r="AC48" s="127"/>
      <c r="AD48" s="127"/>
      <c r="AE48" s="127">
        <v>200</v>
      </c>
      <c r="AF48" s="127">
        <v>0</v>
      </c>
      <c r="AG48" s="127">
        <v>100</v>
      </c>
      <c r="AH48" s="127"/>
      <c r="AI48" s="127"/>
      <c r="AJ48" s="127">
        <v>200</v>
      </c>
      <c r="AK48" s="120"/>
      <c r="AL48" s="127"/>
      <c r="AM48" s="127"/>
      <c r="AN48" s="127"/>
      <c r="AO48" s="120"/>
      <c r="AP48" s="120"/>
      <c r="AQ48" s="120"/>
      <c r="AR48" s="120"/>
      <c r="AS48" s="127"/>
      <c r="AT48" s="127"/>
      <c r="AU48" s="127"/>
      <c r="AV48" s="127"/>
      <c r="AW48" s="127"/>
      <c r="AX48" s="127"/>
      <c r="AY48" s="132"/>
      <c r="AZ48" s="121">
        <f>ROUND(SUM(O48:AY48),2)</f>
        <v>5506.4</v>
      </c>
      <c r="BA48" s="131">
        <f>ROUND(N48-AZ48,2)</f>
        <v>28198.6</v>
      </c>
      <c r="BB48" s="122">
        <f t="shared" si="3"/>
        <v>14099.3</v>
      </c>
      <c r="BC48" s="122">
        <f t="shared" si="4"/>
        <v>14099.3</v>
      </c>
    </row>
    <row r="49" spans="1:55" ht="14.25" customHeight="1" x14ac:dyDescent="0.2">
      <c r="A49" s="112">
        <f t="shared" si="0"/>
        <v>42</v>
      </c>
      <c r="B49" s="114" t="s">
        <v>238</v>
      </c>
      <c r="C49" s="114" t="s">
        <v>239</v>
      </c>
      <c r="D49" s="114" t="s">
        <v>229</v>
      </c>
      <c r="E49" s="114" t="s">
        <v>240</v>
      </c>
      <c r="F49" s="114" t="s">
        <v>136</v>
      </c>
      <c r="G49" s="114" t="s">
        <v>780</v>
      </c>
      <c r="H49" s="125">
        <v>34780</v>
      </c>
      <c r="I49" s="125">
        <v>42293</v>
      </c>
      <c r="J49" s="114">
        <v>18</v>
      </c>
      <c r="K49" s="114">
        <v>4</v>
      </c>
      <c r="L49" s="117">
        <f>IFERROR(VLOOKUP(J49, [1]DATA!$A$4:$I$36, MATCH(K49, [1]DATA!$B$3:$I$3, 0)+1, FALSE), "")</f>
        <v>55499</v>
      </c>
      <c r="M49" s="126">
        <v>2000</v>
      </c>
      <c r="N49" s="119">
        <f t="shared" si="1"/>
        <v>57499</v>
      </c>
      <c r="O49" s="120">
        <f t="shared" si="2"/>
        <v>4994.91</v>
      </c>
      <c r="P49" s="127">
        <v>200</v>
      </c>
      <c r="Q49" s="127">
        <v>1174.33</v>
      </c>
      <c r="R49" s="127"/>
      <c r="S49" s="127"/>
      <c r="T49" s="127"/>
      <c r="U49" s="127"/>
      <c r="V49" s="127">
        <v>7885.9</v>
      </c>
      <c r="W49" s="127">
        <v>2333.33</v>
      </c>
      <c r="X49" s="127">
        <v>1966.67</v>
      </c>
      <c r="Y49" s="127"/>
      <c r="Z49" s="127"/>
      <c r="AA49" s="120">
        <v>6798.6</v>
      </c>
      <c r="AB49" s="127">
        <f>ROUND(IF(L49&gt;79999.99,900,IF(L49&lt;10000.01,137.5,IF(10000&lt;L49&gt;80000,L49*2.5%))),2)-0.01</f>
        <v>1387.47</v>
      </c>
      <c r="AC49" s="127"/>
      <c r="AD49" s="127"/>
      <c r="AE49" s="127">
        <v>200</v>
      </c>
      <c r="AF49" s="129"/>
      <c r="AG49" s="127">
        <v>100</v>
      </c>
      <c r="AH49" s="127"/>
      <c r="AI49" s="127"/>
      <c r="AJ49" s="127"/>
      <c r="AK49" s="120"/>
      <c r="AL49" s="127"/>
      <c r="AM49" s="127"/>
      <c r="AN49" s="127"/>
      <c r="AO49" s="120"/>
      <c r="AP49" s="120"/>
      <c r="AQ49" s="120"/>
      <c r="AR49" s="120"/>
      <c r="AS49" s="127">
        <v>0</v>
      </c>
      <c r="AT49" s="129"/>
      <c r="AU49" s="127">
        <v>23789.93</v>
      </c>
      <c r="AV49" s="127"/>
      <c r="AW49" s="127">
        <v>0</v>
      </c>
      <c r="AX49" s="127"/>
      <c r="AY49" s="129"/>
      <c r="AZ49" s="121">
        <f>ROUND(SUM(O49:AY49),2)</f>
        <v>50831.14</v>
      </c>
      <c r="BA49" s="122">
        <f>ROUND(N49-AZ49,2)</f>
        <v>6667.86</v>
      </c>
      <c r="BB49" s="122">
        <f t="shared" si="3"/>
        <v>3333.93</v>
      </c>
      <c r="BC49" s="122">
        <f t="shared" si="4"/>
        <v>3333.93</v>
      </c>
    </row>
    <row r="50" spans="1:55" ht="14.25" customHeight="1" x14ac:dyDescent="0.2">
      <c r="A50" s="112">
        <f t="shared" si="0"/>
        <v>43</v>
      </c>
      <c r="B50" s="114" t="s">
        <v>241</v>
      </c>
      <c r="C50" s="114" t="s">
        <v>242</v>
      </c>
      <c r="D50" s="114" t="s">
        <v>142</v>
      </c>
      <c r="E50" s="114" t="s">
        <v>243</v>
      </c>
      <c r="F50" s="114" t="s">
        <v>147</v>
      </c>
      <c r="G50" s="114" t="s">
        <v>781</v>
      </c>
      <c r="H50" s="125">
        <v>45695</v>
      </c>
      <c r="I50" s="125">
        <v>45695</v>
      </c>
      <c r="J50" s="114">
        <v>15</v>
      </c>
      <c r="K50" s="114">
        <v>1</v>
      </c>
      <c r="L50" s="117">
        <f>IFERROR(VLOOKUP(J50, [1]DATA!$A$4:$I$36, MATCH(K50, [1]DATA!$B$3:$I$3, 0)+1, FALSE), "")</f>
        <v>42178</v>
      </c>
      <c r="M50" s="126">
        <v>2000</v>
      </c>
      <c r="N50" s="119">
        <f t="shared" si="1"/>
        <v>44178</v>
      </c>
      <c r="O50" s="120">
        <f t="shared" si="2"/>
        <v>3796.02</v>
      </c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0">
        <v>3255.24</v>
      </c>
      <c r="AB50" s="127">
        <f>ROUND(IF(L50&gt;79999.99,900,IF(L50&lt;10000.01,137.5,IF(10000&lt;L50&gt;80000,L50*2.5%))),2)</f>
        <v>1054.45</v>
      </c>
      <c r="AC50" s="127"/>
      <c r="AD50" s="127"/>
      <c r="AE50" s="127">
        <v>200</v>
      </c>
      <c r="AF50" s="127"/>
      <c r="AG50" s="127">
        <v>100</v>
      </c>
      <c r="AH50" s="127">
        <v>1336</v>
      </c>
      <c r="AI50" s="127"/>
      <c r="AJ50" s="127"/>
      <c r="AK50" s="120"/>
      <c r="AL50" s="127"/>
      <c r="AM50" s="127"/>
      <c r="AN50" s="127"/>
      <c r="AO50" s="120"/>
      <c r="AP50" s="120"/>
      <c r="AQ50" s="120"/>
      <c r="AR50" s="120"/>
      <c r="AS50" s="127"/>
      <c r="AT50" s="127"/>
      <c r="AU50" s="127"/>
      <c r="AV50" s="127"/>
      <c r="AW50" s="127"/>
      <c r="AX50" s="127"/>
      <c r="AY50" s="127"/>
      <c r="AZ50" s="121">
        <f>ROUND(SUM(O50:AY50),2)</f>
        <v>9741.7099999999991</v>
      </c>
      <c r="BA50" s="122">
        <f>ROUND(N50-AZ50,2)</f>
        <v>34436.29</v>
      </c>
      <c r="BB50" s="122">
        <f t="shared" si="3"/>
        <v>17218.150000000001</v>
      </c>
      <c r="BC50" s="122">
        <f t="shared" si="4"/>
        <v>17218.14</v>
      </c>
    </row>
    <row r="51" spans="1:55" ht="14.25" customHeight="1" x14ac:dyDescent="0.2">
      <c r="A51" s="112">
        <f t="shared" si="0"/>
        <v>44</v>
      </c>
      <c r="B51" s="114" t="s">
        <v>244</v>
      </c>
      <c r="C51" s="114" t="s">
        <v>245</v>
      </c>
      <c r="D51" s="114" t="s">
        <v>115</v>
      </c>
      <c r="E51" s="114" t="s">
        <v>168</v>
      </c>
      <c r="F51" s="114" t="s">
        <v>147</v>
      </c>
      <c r="G51" s="114" t="s">
        <v>782</v>
      </c>
      <c r="H51" s="125">
        <v>35278</v>
      </c>
      <c r="I51" s="125">
        <v>35278</v>
      </c>
      <c r="J51" s="114">
        <v>8</v>
      </c>
      <c r="K51" s="114">
        <v>8</v>
      </c>
      <c r="L51" s="117">
        <f>IFERROR(VLOOKUP(J51, [1]DATA!$A$4:$I$36, MATCH(K51, [1]DATA!$B$3:$I$3, 0)+1, FALSE), "")</f>
        <v>23883</v>
      </c>
      <c r="M51" s="126">
        <v>2000</v>
      </c>
      <c r="N51" s="119">
        <f t="shared" si="1"/>
        <v>25883</v>
      </c>
      <c r="O51" s="120">
        <f t="shared" si="2"/>
        <v>2149.4699999999998</v>
      </c>
      <c r="P51" s="127">
        <v>100</v>
      </c>
      <c r="Q51" s="127">
        <v>1311.12</v>
      </c>
      <c r="R51" s="127"/>
      <c r="S51" s="127"/>
      <c r="T51" s="127"/>
      <c r="U51" s="127"/>
      <c r="V51" s="127">
        <v>4409.3900000000003</v>
      </c>
      <c r="W51" s="127"/>
      <c r="X51" s="127"/>
      <c r="Y51" s="127"/>
      <c r="Z51" s="127"/>
      <c r="AA51" s="120">
        <v>73.05</v>
      </c>
      <c r="AB51" s="120">
        <f>ROUND(IF(L51&gt;79999.99,900,IF(L51&lt;10000.01,137.5,IF(10000&lt;L51&gt;80000,L51*2.5%))),2)-0.01</f>
        <v>597.07000000000005</v>
      </c>
      <c r="AC51" s="127"/>
      <c r="AD51" s="127"/>
      <c r="AE51" s="120">
        <v>200</v>
      </c>
      <c r="AF51" s="127">
        <v>0</v>
      </c>
      <c r="AG51" s="127">
        <v>100</v>
      </c>
      <c r="AH51" s="127"/>
      <c r="AI51" s="127"/>
      <c r="AJ51" s="127"/>
      <c r="AK51" s="120"/>
      <c r="AL51" s="128">
        <v>100</v>
      </c>
      <c r="AM51" s="127"/>
      <c r="AN51" s="127"/>
      <c r="AO51" s="120"/>
      <c r="AP51" s="120"/>
      <c r="AQ51" s="120"/>
      <c r="AR51" s="120"/>
      <c r="AS51" s="127">
        <v>0</v>
      </c>
      <c r="AT51" s="127"/>
      <c r="AU51" s="127"/>
      <c r="AV51" s="127"/>
      <c r="AW51" s="127">
        <v>0</v>
      </c>
      <c r="AX51" s="127"/>
      <c r="AY51" s="127">
        <v>4703.82</v>
      </c>
      <c r="AZ51" s="121">
        <f>ROUND(SUM(O51:AY51),2)</f>
        <v>13743.92</v>
      </c>
      <c r="BA51" s="122">
        <f>ROUND(N51-AZ51,2)</f>
        <v>12139.08</v>
      </c>
      <c r="BB51" s="122">
        <f t="shared" si="3"/>
        <v>6069.54</v>
      </c>
      <c r="BC51" s="122">
        <f t="shared" si="4"/>
        <v>6069.54</v>
      </c>
    </row>
    <row r="52" spans="1:55" ht="14.25" customHeight="1" x14ac:dyDescent="0.2">
      <c r="A52" s="112">
        <f t="shared" si="0"/>
        <v>45</v>
      </c>
      <c r="B52" s="114" t="s">
        <v>246</v>
      </c>
      <c r="C52" s="114" t="s">
        <v>247</v>
      </c>
      <c r="D52" s="114" t="s">
        <v>248</v>
      </c>
      <c r="E52" s="114" t="s">
        <v>111</v>
      </c>
      <c r="F52" s="114" t="s">
        <v>147</v>
      </c>
      <c r="G52" s="114" t="s">
        <v>783</v>
      </c>
      <c r="H52" s="125">
        <v>43549</v>
      </c>
      <c r="I52" s="125">
        <v>43549</v>
      </c>
      <c r="J52" s="114">
        <v>11</v>
      </c>
      <c r="K52" s="114">
        <v>3</v>
      </c>
      <c r="L52" s="117">
        <f>IFERROR(VLOOKUP(J52, [1]DATA!$A$4:$I$36, MATCH(K52, [1]DATA!$B$3:$I$3, 0)+1, FALSE), "")</f>
        <v>32109</v>
      </c>
      <c r="M52" s="126">
        <v>2000</v>
      </c>
      <c r="N52" s="119">
        <f t="shared" si="1"/>
        <v>34109</v>
      </c>
      <c r="O52" s="120">
        <f t="shared" si="2"/>
        <v>2889.81</v>
      </c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0">
        <v>1353.23</v>
      </c>
      <c r="AB52" s="127">
        <f>ROUND(IF(L52&gt;79999.99,900,IF(L52&lt;10000.01,137.5,IF(10000&lt;L52&gt;80000,L52*2.5%))),2)-0.01</f>
        <v>802.72</v>
      </c>
      <c r="AC52" s="127"/>
      <c r="AD52" s="127"/>
      <c r="AE52" s="120">
        <v>200</v>
      </c>
      <c r="AF52" s="127">
        <v>0</v>
      </c>
      <c r="AG52" s="127">
        <v>100</v>
      </c>
      <c r="AH52" s="127"/>
      <c r="AI52" s="127"/>
      <c r="AJ52" s="127"/>
      <c r="AK52" s="120"/>
      <c r="AL52" s="127"/>
      <c r="AM52" s="127"/>
      <c r="AN52" s="127"/>
      <c r="AO52" s="120"/>
      <c r="AP52" s="120"/>
      <c r="AQ52" s="120"/>
      <c r="AR52" s="120"/>
      <c r="AS52" s="127">
        <v>0</v>
      </c>
      <c r="AT52" s="127"/>
      <c r="AU52" s="127"/>
      <c r="AV52" s="127"/>
      <c r="AW52" s="127"/>
      <c r="AX52" s="127"/>
      <c r="AY52" s="127"/>
      <c r="AZ52" s="121">
        <f>ROUND(SUM(O52:AY52),2)</f>
        <v>5345.76</v>
      </c>
      <c r="BA52" s="122">
        <f>ROUND(N52-AZ52,2)</f>
        <v>28763.24</v>
      </c>
      <c r="BB52" s="122">
        <f t="shared" si="3"/>
        <v>14381.62</v>
      </c>
      <c r="BC52" s="122">
        <f t="shared" si="4"/>
        <v>14381.62</v>
      </c>
    </row>
    <row r="53" spans="1:55" ht="14.25" customHeight="1" x14ac:dyDescent="0.2">
      <c r="A53" s="112">
        <f t="shared" si="0"/>
        <v>46</v>
      </c>
      <c r="B53" s="114" t="s">
        <v>249</v>
      </c>
      <c r="C53" s="114" t="s">
        <v>250</v>
      </c>
      <c r="D53" s="114" t="s">
        <v>24</v>
      </c>
      <c r="E53" s="114" t="s">
        <v>139</v>
      </c>
      <c r="F53" s="114" t="s">
        <v>112</v>
      </c>
      <c r="G53" s="114" t="s">
        <v>784</v>
      </c>
      <c r="H53" s="125">
        <v>45670</v>
      </c>
      <c r="I53" s="125">
        <v>45670</v>
      </c>
      <c r="J53" s="114">
        <v>15</v>
      </c>
      <c r="K53" s="114">
        <v>1</v>
      </c>
      <c r="L53" s="117">
        <f>IFERROR(VLOOKUP(J53, [1]DATA!$A$4:$I$36, MATCH(K53, [1]DATA!$B$3:$I$3, 0)+1, FALSE), "")</f>
        <v>42178</v>
      </c>
      <c r="M53" s="126">
        <v>2000</v>
      </c>
      <c r="N53" s="119">
        <f t="shared" si="1"/>
        <v>44178</v>
      </c>
      <c r="O53" s="120">
        <f t="shared" si="2"/>
        <v>3796.02</v>
      </c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  <c r="AA53" s="120">
        <v>3263.12</v>
      </c>
      <c r="AB53" s="127">
        <f>ROUND(IF(L53&gt;79999.99,900,IF(L53&lt;10000.01,137.5,IF(10000&lt;L53&gt;80000,L53*2.5%))),2)</f>
        <v>1054.45</v>
      </c>
      <c r="AC53" s="127"/>
      <c r="AD53" s="127">
        <v>500</v>
      </c>
      <c r="AE53" s="120">
        <v>200</v>
      </c>
      <c r="AF53" s="127"/>
      <c r="AG53" s="127">
        <v>100</v>
      </c>
      <c r="AH53" s="127">
        <v>1336</v>
      </c>
      <c r="AI53" s="127"/>
      <c r="AJ53" s="127"/>
      <c r="AK53" s="120"/>
      <c r="AL53" s="127"/>
      <c r="AM53" s="127"/>
      <c r="AN53" s="127"/>
      <c r="AO53" s="120"/>
      <c r="AP53" s="120"/>
      <c r="AQ53" s="120"/>
      <c r="AR53" s="120"/>
      <c r="AS53" s="127"/>
      <c r="AT53" s="127"/>
      <c r="AU53" s="127">
        <v>23789.93</v>
      </c>
      <c r="AV53" s="127"/>
      <c r="AW53" s="127"/>
      <c r="AX53" s="127"/>
      <c r="AY53" s="127"/>
      <c r="AZ53" s="121">
        <f>ROUND(SUM(O53:AY53),2)</f>
        <v>34039.519999999997</v>
      </c>
      <c r="BA53" s="122">
        <f>ROUND(N53-AZ53,2)</f>
        <v>10138.48</v>
      </c>
      <c r="BB53" s="122">
        <f t="shared" si="3"/>
        <v>5069.24</v>
      </c>
      <c r="BC53" s="122">
        <f t="shared" si="4"/>
        <v>5069.24</v>
      </c>
    </row>
    <row r="54" spans="1:55" ht="14.25" customHeight="1" x14ac:dyDescent="0.2">
      <c r="A54" s="112">
        <f t="shared" si="0"/>
        <v>47</v>
      </c>
      <c r="B54" s="114" t="s">
        <v>251</v>
      </c>
      <c r="C54" s="114" t="s">
        <v>252</v>
      </c>
      <c r="D54" s="114" t="s">
        <v>115</v>
      </c>
      <c r="E54" s="114" t="s">
        <v>253</v>
      </c>
      <c r="F54" s="114" t="s">
        <v>147</v>
      </c>
      <c r="G54" s="123" t="s">
        <v>785</v>
      </c>
      <c r="H54" s="124">
        <v>42348</v>
      </c>
      <c r="I54" s="124">
        <v>45384</v>
      </c>
      <c r="J54" s="123">
        <v>14</v>
      </c>
      <c r="K54" s="123">
        <v>1</v>
      </c>
      <c r="L54" s="117">
        <f>IFERROR(VLOOKUP(J54, [1]DATA!$A$4:$I$36, MATCH(K54, [1]DATA!$B$3:$I$3, 0)+1, FALSE), "")</f>
        <v>38764</v>
      </c>
      <c r="M54" s="126">
        <v>2000</v>
      </c>
      <c r="N54" s="119">
        <f t="shared" si="1"/>
        <v>40764</v>
      </c>
      <c r="O54" s="120">
        <f t="shared" si="2"/>
        <v>3488.76</v>
      </c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  <c r="AA54" s="120">
        <v>2899.62</v>
      </c>
      <c r="AB54" s="120">
        <f>ROUND(IF(L54&gt;79999.99,900,IF(L54&lt;10000.01,137.5,IF(10000&lt;L54&gt;80000,L54*2.5%))),2)</f>
        <v>969.1</v>
      </c>
      <c r="AC54" s="127"/>
      <c r="AD54" s="127">
        <v>0</v>
      </c>
      <c r="AE54" s="120">
        <v>200</v>
      </c>
      <c r="AF54" s="127">
        <v>0</v>
      </c>
      <c r="AG54" s="127">
        <v>100</v>
      </c>
      <c r="AH54" s="127"/>
      <c r="AI54" s="127"/>
      <c r="AJ54" s="127"/>
      <c r="AK54" s="120"/>
      <c r="AL54" s="127"/>
      <c r="AM54" s="127"/>
      <c r="AN54" s="127"/>
      <c r="AO54" s="120"/>
      <c r="AP54" s="120"/>
      <c r="AQ54" s="120"/>
      <c r="AR54" s="120"/>
      <c r="AS54" s="127">
        <v>0</v>
      </c>
      <c r="AT54" s="127"/>
      <c r="AU54" s="127"/>
      <c r="AV54" s="127"/>
      <c r="AW54" s="127">
        <v>0</v>
      </c>
      <c r="AX54" s="127"/>
      <c r="AY54" s="127"/>
      <c r="AZ54" s="121">
        <f>ROUND(SUM(O54:AY54),2)</f>
        <v>7657.48</v>
      </c>
      <c r="BA54" s="122">
        <f>ROUND(N54-AZ54,2)</f>
        <v>33106.519999999997</v>
      </c>
      <c r="BB54" s="122">
        <f t="shared" si="3"/>
        <v>16553.259999999998</v>
      </c>
      <c r="BC54" s="122">
        <f t="shared" si="4"/>
        <v>16553.259999999998</v>
      </c>
    </row>
    <row r="55" spans="1:55" ht="14.25" customHeight="1" x14ac:dyDescent="0.2">
      <c r="A55" s="112">
        <f t="shared" si="0"/>
        <v>48</v>
      </c>
      <c r="B55" s="114" t="s">
        <v>254</v>
      </c>
      <c r="C55" s="114" t="s">
        <v>255</v>
      </c>
      <c r="D55" s="114" t="s">
        <v>120</v>
      </c>
      <c r="E55" s="114" t="s">
        <v>121</v>
      </c>
      <c r="F55" s="114" t="s">
        <v>122</v>
      </c>
      <c r="G55" s="123" t="s">
        <v>786</v>
      </c>
      <c r="H55" s="124">
        <v>45040</v>
      </c>
      <c r="I55" s="124">
        <v>45040</v>
      </c>
      <c r="J55" s="123">
        <v>11</v>
      </c>
      <c r="K55" s="123">
        <v>1</v>
      </c>
      <c r="L55" s="117">
        <f>IFERROR(VLOOKUP(J55, [1]DATA!$A$4:$I$36, MATCH(K55, [1]DATA!$B$3:$I$3, 0)+1, FALSE), "")</f>
        <v>31705</v>
      </c>
      <c r="M55" s="126">
        <v>2000</v>
      </c>
      <c r="N55" s="119">
        <f t="shared" si="1"/>
        <v>33705</v>
      </c>
      <c r="O55" s="120">
        <f t="shared" si="2"/>
        <v>2853.45</v>
      </c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0">
        <v>1468.9</v>
      </c>
      <c r="AB55" s="127">
        <f>ROUND(IF(L55&gt;79999.99,900,IF(L55&lt;10000.01,137.5,IF(10000&lt;L55&gt;80000,L55*2.5%))),2)-0.01</f>
        <v>792.62</v>
      </c>
      <c r="AC55" s="127"/>
      <c r="AD55" s="127"/>
      <c r="AE55" s="120">
        <v>200</v>
      </c>
      <c r="AF55" s="127">
        <v>0</v>
      </c>
      <c r="AG55" s="127">
        <v>100</v>
      </c>
      <c r="AH55" s="127"/>
      <c r="AI55" s="127"/>
      <c r="AJ55" s="127"/>
      <c r="AK55" s="120"/>
      <c r="AL55" s="127"/>
      <c r="AM55" s="127"/>
      <c r="AN55" s="127"/>
      <c r="AO55" s="120"/>
      <c r="AP55" s="120"/>
      <c r="AQ55" s="120"/>
      <c r="AR55" s="120"/>
      <c r="AS55" s="127"/>
      <c r="AT55" s="127"/>
      <c r="AU55" s="127"/>
      <c r="AV55" s="127"/>
      <c r="AW55" s="127"/>
      <c r="AX55" s="127"/>
      <c r="AY55" s="127"/>
      <c r="AZ55" s="121">
        <f>ROUND(SUM(O55:AY55),2)</f>
        <v>5414.97</v>
      </c>
      <c r="BA55" s="122">
        <f>ROUND(N55-AZ55,2)</f>
        <v>28290.03</v>
      </c>
      <c r="BB55" s="122">
        <f t="shared" si="3"/>
        <v>14145.02</v>
      </c>
      <c r="BC55" s="122">
        <f t="shared" si="4"/>
        <v>14145.009999999998</v>
      </c>
    </row>
    <row r="56" spans="1:55" ht="14.25" customHeight="1" x14ac:dyDescent="0.2">
      <c r="A56" s="112">
        <f t="shared" si="0"/>
        <v>49</v>
      </c>
      <c r="B56" s="114" t="s">
        <v>256</v>
      </c>
      <c r="C56" s="114" t="s">
        <v>257</v>
      </c>
      <c r="D56" s="114" t="s">
        <v>115</v>
      </c>
      <c r="E56" s="114" t="s">
        <v>132</v>
      </c>
      <c r="F56" s="114" t="s">
        <v>117</v>
      </c>
      <c r="G56" s="114" t="s">
        <v>787</v>
      </c>
      <c r="H56" s="125">
        <v>44228</v>
      </c>
      <c r="I56" s="125">
        <v>45607</v>
      </c>
      <c r="J56" s="114">
        <v>15</v>
      </c>
      <c r="K56" s="114">
        <v>1</v>
      </c>
      <c r="L56" s="117">
        <f>IFERROR(VLOOKUP(J56, [1]DATA!$A$4:$I$36, MATCH(K56, [1]DATA!$B$3:$I$3, 0)+1, FALSE), "")</f>
        <v>42178</v>
      </c>
      <c r="M56" s="126">
        <v>2000</v>
      </c>
      <c r="N56" s="119">
        <f t="shared" si="1"/>
        <v>44178</v>
      </c>
      <c r="O56" s="120">
        <f t="shared" si="2"/>
        <v>3796.02</v>
      </c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0">
        <v>3695.42</v>
      </c>
      <c r="AB56" s="127">
        <f>ROUND(IF(L56&gt;79999.99,900,IF(L56&lt;10000.01,137.5,IF(10000&lt;L56&gt;80000,L56*2.5%))),2)</f>
        <v>1054.45</v>
      </c>
      <c r="AC56" s="127"/>
      <c r="AD56" s="127"/>
      <c r="AE56" s="120">
        <v>200</v>
      </c>
      <c r="AF56" s="127">
        <v>0</v>
      </c>
      <c r="AG56" s="127">
        <v>100</v>
      </c>
      <c r="AH56" s="127"/>
      <c r="AI56" s="127"/>
      <c r="AJ56" s="127"/>
      <c r="AK56" s="120"/>
      <c r="AL56" s="127"/>
      <c r="AM56" s="127"/>
      <c r="AN56" s="127"/>
      <c r="AO56" s="120"/>
      <c r="AP56" s="120"/>
      <c r="AQ56" s="120"/>
      <c r="AR56" s="120"/>
      <c r="AS56" s="127">
        <v>0</v>
      </c>
      <c r="AT56" s="127"/>
      <c r="AU56" s="127"/>
      <c r="AV56" s="127"/>
      <c r="AW56" s="127"/>
      <c r="AX56" s="127"/>
      <c r="AY56" s="127"/>
      <c r="AZ56" s="121">
        <f>ROUND(SUM(O56:AY56),2)</f>
        <v>8845.89</v>
      </c>
      <c r="BA56" s="122">
        <f>ROUND(N56-AZ56,2)</f>
        <v>35332.11</v>
      </c>
      <c r="BB56" s="122">
        <f t="shared" si="3"/>
        <v>17666.060000000001</v>
      </c>
      <c r="BC56" s="122">
        <f t="shared" si="4"/>
        <v>17666.05</v>
      </c>
    </row>
    <row r="57" spans="1:55" ht="14.25" customHeight="1" x14ac:dyDescent="0.2">
      <c r="A57" s="112">
        <f t="shared" si="0"/>
        <v>50</v>
      </c>
      <c r="B57" s="114" t="s">
        <v>258</v>
      </c>
      <c r="C57" s="114" t="s">
        <v>259</v>
      </c>
      <c r="D57" s="114" t="s">
        <v>236</v>
      </c>
      <c r="E57" s="114" t="s">
        <v>260</v>
      </c>
      <c r="F57" s="114" t="s">
        <v>112</v>
      </c>
      <c r="G57" s="114" t="s">
        <v>788</v>
      </c>
      <c r="H57" s="125">
        <v>44302</v>
      </c>
      <c r="I57" s="125">
        <v>44986</v>
      </c>
      <c r="J57" s="114">
        <v>15</v>
      </c>
      <c r="K57" s="114">
        <v>1</v>
      </c>
      <c r="L57" s="117">
        <f>IFERROR(VLOOKUP(J57, [1]DATA!$A$4:$I$36, MATCH(K57, [1]DATA!$B$3:$I$3, 0)+1, FALSE), "")</f>
        <v>42178</v>
      </c>
      <c r="M57" s="126">
        <v>2000</v>
      </c>
      <c r="N57" s="119">
        <f t="shared" si="1"/>
        <v>44178</v>
      </c>
      <c r="O57" s="120">
        <f t="shared" si="2"/>
        <v>3796.02</v>
      </c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0">
        <v>3695.42</v>
      </c>
      <c r="AB57" s="120">
        <f>ROUND(IF(L57&gt;79999.99,900,IF(L57&lt;10000.01,137.5,IF(10000&lt;L57&gt;80000,L57*2.5%))),2)</f>
        <v>1054.45</v>
      </c>
      <c r="AC57" s="127"/>
      <c r="AD57" s="127">
        <v>1000</v>
      </c>
      <c r="AE57" s="120">
        <v>200</v>
      </c>
      <c r="AF57" s="127">
        <v>0</v>
      </c>
      <c r="AG57" s="128">
        <v>100</v>
      </c>
      <c r="AH57" s="128"/>
      <c r="AI57" s="128"/>
      <c r="AJ57" s="128"/>
      <c r="AK57" s="120"/>
      <c r="AL57" s="127">
        <v>500</v>
      </c>
      <c r="AM57" s="127"/>
      <c r="AN57" s="127"/>
      <c r="AO57" s="120"/>
      <c r="AP57" s="120"/>
      <c r="AQ57" s="120"/>
      <c r="AR57" s="120"/>
      <c r="AS57" s="127">
        <v>0</v>
      </c>
      <c r="AT57" s="127"/>
      <c r="AU57" s="127">
        <v>11894.97</v>
      </c>
      <c r="AV57" s="127"/>
      <c r="AW57" s="127">
        <v>0</v>
      </c>
      <c r="AX57" s="127"/>
      <c r="AY57" s="127">
        <v>3907.63</v>
      </c>
      <c r="AZ57" s="121">
        <f>ROUND(SUM(O57:AY57),2)</f>
        <v>26148.49</v>
      </c>
      <c r="BA57" s="122">
        <f>ROUND(N57-AZ57,2)</f>
        <v>18029.509999999998</v>
      </c>
      <c r="BB57" s="122">
        <f>ROUND(BA57/2,2)</f>
        <v>9014.76</v>
      </c>
      <c r="BC57" s="122">
        <f>BA57-BB57</f>
        <v>9014.7499999999982</v>
      </c>
    </row>
    <row r="58" spans="1:55" ht="14.25" customHeight="1" x14ac:dyDescent="0.2">
      <c r="A58" s="112">
        <f t="shared" si="0"/>
        <v>51</v>
      </c>
      <c r="B58" s="114" t="s">
        <v>261</v>
      </c>
      <c r="C58" s="114" t="s">
        <v>262</v>
      </c>
      <c r="D58" s="114" t="s">
        <v>131</v>
      </c>
      <c r="E58" s="114" t="s">
        <v>263</v>
      </c>
      <c r="F58" s="114" t="s">
        <v>117</v>
      </c>
      <c r="G58" s="114" t="s">
        <v>789</v>
      </c>
      <c r="H58" s="125">
        <v>44929</v>
      </c>
      <c r="I58" s="125">
        <v>44929</v>
      </c>
      <c r="J58" s="114">
        <v>11</v>
      </c>
      <c r="K58" s="114">
        <v>2</v>
      </c>
      <c r="L58" s="117">
        <f>IFERROR(VLOOKUP(J58, [1]DATA!$A$4:$I$36, MATCH(K58, [1]DATA!$B$3:$I$3, 0)+1, FALSE), "")</f>
        <v>31820</v>
      </c>
      <c r="M58" s="126">
        <v>2000</v>
      </c>
      <c r="N58" s="119">
        <f t="shared" si="1"/>
        <v>33820</v>
      </c>
      <c r="O58" s="120">
        <f t="shared" si="2"/>
        <v>2863.8</v>
      </c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  <c r="AA58" s="120">
        <v>1468.9</v>
      </c>
      <c r="AB58" s="127">
        <f>ROUND(IF(L58&gt;79999.99,900,IF(L58&lt;10000.01,137.5,IF(10000&lt;L58&gt;80000,L58*2.5%))),2)-0.01</f>
        <v>795.49</v>
      </c>
      <c r="AC58" s="127"/>
      <c r="AD58" s="127">
        <v>500</v>
      </c>
      <c r="AE58" s="120">
        <v>200</v>
      </c>
      <c r="AF58" s="127">
        <v>0</v>
      </c>
      <c r="AG58" s="128">
        <v>100</v>
      </c>
      <c r="AH58" s="128"/>
      <c r="AI58" s="128"/>
      <c r="AJ58" s="127"/>
      <c r="AK58" s="120"/>
      <c r="AL58" s="127"/>
      <c r="AM58" s="127"/>
      <c r="AN58" s="127"/>
      <c r="AO58" s="120"/>
      <c r="AP58" s="120"/>
      <c r="AQ58" s="120"/>
      <c r="AR58" s="120"/>
      <c r="AS58" s="127">
        <v>0</v>
      </c>
      <c r="AT58" s="127"/>
      <c r="AU58" s="127"/>
      <c r="AV58" s="127"/>
      <c r="AW58" s="127"/>
      <c r="AX58" s="127"/>
      <c r="AY58" s="127"/>
      <c r="AZ58" s="121">
        <f>ROUND(SUM(O58:AY58),2)</f>
        <v>5928.19</v>
      </c>
      <c r="BA58" s="122">
        <f>ROUND(N58-AZ58,2)</f>
        <v>27891.81</v>
      </c>
      <c r="BB58" s="122">
        <f>ROUND(BA58/2,2)</f>
        <v>13945.91</v>
      </c>
      <c r="BC58" s="122">
        <f>BA58-BB58</f>
        <v>13945.900000000001</v>
      </c>
    </row>
    <row r="59" spans="1:55" ht="14.25" customHeight="1" x14ac:dyDescent="0.2">
      <c r="A59" s="112">
        <f t="shared" si="0"/>
        <v>52</v>
      </c>
      <c r="B59" s="114" t="s">
        <v>264</v>
      </c>
      <c r="C59" s="114" t="s">
        <v>265</v>
      </c>
      <c r="D59" s="114" t="s">
        <v>138</v>
      </c>
      <c r="E59" s="114" t="s">
        <v>230</v>
      </c>
      <c r="F59" s="114" t="s">
        <v>136</v>
      </c>
      <c r="G59" s="114" t="s">
        <v>790</v>
      </c>
      <c r="H59" s="125">
        <v>43468</v>
      </c>
      <c r="I59" s="125">
        <v>45607</v>
      </c>
      <c r="J59" s="114">
        <v>14</v>
      </c>
      <c r="K59" s="114">
        <v>1</v>
      </c>
      <c r="L59" s="117">
        <f>IFERROR(VLOOKUP(J59, [1]DATA!$A$4:$I$36, MATCH(K59, [1]DATA!$B$3:$I$3, 0)+1, FALSE), "")</f>
        <v>38764</v>
      </c>
      <c r="M59" s="126">
        <v>2000</v>
      </c>
      <c r="N59" s="119">
        <f t="shared" si="1"/>
        <v>40764</v>
      </c>
      <c r="O59" s="120">
        <f t="shared" si="2"/>
        <v>3488.76</v>
      </c>
      <c r="P59" s="127"/>
      <c r="Q59" s="127"/>
      <c r="R59" s="127"/>
      <c r="S59" s="133"/>
      <c r="T59" s="127"/>
      <c r="U59" s="127"/>
      <c r="V59" s="127"/>
      <c r="W59" s="127"/>
      <c r="X59" s="127"/>
      <c r="Y59" s="127"/>
      <c r="Z59" s="127"/>
      <c r="AA59" s="120">
        <v>2899.62</v>
      </c>
      <c r="AB59" s="127">
        <f>ROUND(IF(L59&gt;79999.99,900,IF(L59&lt;10000.01,137.5,IF(10000&lt;L59&gt;80000,L59*2.5%))),2)</f>
        <v>969.1</v>
      </c>
      <c r="AC59" s="127"/>
      <c r="AD59" s="127">
        <v>2000</v>
      </c>
      <c r="AE59" s="120">
        <v>200</v>
      </c>
      <c r="AF59" s="127">
        <v>0</v>
      </c>
      <c r="AG59" s="127">
        <v>100</v>
      </c>
      <c r="AH59" s="127"/>
      <c r="AI59" s="127"/>
      <c r="AJ59" s="127"/>
      <c r="AK59" s="120"/>
      <c r="AL59" s="127"/>
      <c r="AM59" s="127"/>
      <c r="AN59" s="127"/>
      <c r="AO59" s="120"/>
      <c r="AP59" s="120"/>
      <c r="AQ59" s="120"/>
      <c r="AR59" s="120"/>
      <c r="AS59" s="127">
        <v>0</v>
      </c>
      <c r="AT59" s="127"/>
      <c r="AU59" s="127"/>
      <c r="AV59" s="127"/>
      <c r="AW59" s="127">
        <v>0</v>
      </c>
      <c r="AX59" s="127"/>
      <c r="AY59" s="127">
        <v>5518.69</v>
      </c>
      <c r="AZ59" s="121">
        <f>ROUND(SUM(O59:AY59),2)</f>
        <v>15176.17</v>
      </c>
      <c r="BA59" s="122">
        <f>ROUND(N59-AZ59,2)</f>
        <v>25587.83</v>
      </c>
      <c r="BB59" s="122">
        <f t="shared" si="3"/>
        <v>12793.92</v>
      </c>
      <c r="BC59" s="122">
        <f t="shared" si="4"/>
        <v>12793.910000000002</v>
      </c>
    </row>
    <row r="60" spans="1:55" ht="14.25" customHeight="1" x14ac:dyDescent="0.2">
      <c r="A60" s="112">
        <f t="shared" si="0"/>
        <v>53</v>
      </c>
      <c r="B60" s="114" t="s">
        <v>266</v>
      </c>
      <c r="C60" s="114" t="s">
        <v>267</v>
      </c>
      <c r="D60" s="114" t="s">
        <v>110</v>
      </c>
      <c r="E60" s="114" t="s">
        <v>268</v>
      </c>
      <c r="F60" s="114" t="s">
        <v>117</v>
      </c>
      <c r="G60" s="114" t="s">
        <v>791</v>
      </c>
      <c r="H60" s="125">
        <v>42242</v>
      </c>
      <c r="I60" s="125">
        <v>45033</v>
      </c>
      <c r="J60" s="114">
        <v>22</v>
      </c>
      <c r="K60" s="114">
        <v>1</v>
      </c>
      <c r="L60" s="117">
        <f>IFERROR(VLOOKUP(J60, [1]DATA!$A$4:$I$36, MATCH(K60, [1]DATA!$B$3:$I$3, 0)+1, FALSE), "")</f>
        <v>81796</v>
      </c>
      <c r="M60" s="126">
        <v>2000</v>
      </c>
      <c r="N60" s="119">
        <f t="shared" si="1"/>
        <v>83796</v>
      </c>
      <c r="O60" s="120">
        <f t="shared" si="2"/>
        <v>7361.64</v>
      </c>
      <c r="P60" s="127"/>
      <c r="Q60" s="133"/>
      <c r="R60" s="127"/>
      <c r="S60" s="127"/>
      <c r="T60" s="127"/>
      <c r="U60" s="127"/>
      <c r="V60" s="127">
        <v>10776.86</v>
      </c>
      <c r="W60" s="127"/>
      <c r="X60" s="127"/>
      <c r="Y60" s="127">
        <v>9634.44</v>
      </c>
      <c r="Z60" s="127"/>
      <c r="AA60" s="120">
        <v>13765.43</v>
      </c>
      <c r="AB60" s="120">
        <f>L60*2.5%</f>
        <v>2044.9</v>
      </c>
      <c r="AC60" s="127"/>
      <c r="AD60" s="127"/>
      <c r="AE60" s="127">
        <v>500</v>
      </c>
      <c r="AF60" s="127"/>
      <c r="AG60" s="127">
        <v>100</v>
      </c>
      <c r="AH60" s="127"/>
      <c r="AI60" s="127"/>
      <c r="AJ60" s="127"/>
      <c r="AK60" s="120"/>
      <c r="AL60" s="127"/>
      <c r="AM60" s="127"/>
      <c r="AN60" s="127"/>
      <c r="AO60" s="120"/>
      <c r="AP60" s="120"/>
      <c r="AQ60" s="120"/>
      <c r="AR60" s="120"/>
      <c r="AS60" s="127">
        <v>444.21</v>
      </c>
      <c r="AT60" s="127">
        <v>8638.9599999999991</v>
      </c>
      <c r="AU60" s="127"/>
      <c r="AV60" s="127"/>
      <c r="AW60" s="127">
        <v>0</v>
      </c>
      <c r="AX60" s="127"/>
      <c r="AY60" s="127">
        <v>5204.88</v>
      </c>
      <c r="AZ60" s="121">
        <f>ROUND(SUM(O60:AY60),2)</f>
        <v>58471.32</v>
      </c>
      <c r="BA60" s="122">
        <f>ROUND(N60-AZ60,2)</f>
        <v>25324.68</v>
      </c>
      <c r="BB60" s="122">
        <f t="shared" si="3"/>
        <v>12662.34</v>
      </c>
      <c r="BC60" s="122">
        <f t="shared" si="4"/>
        <v>12662.34</v>
      </c>
    </row>
    <row r="61" spans="1:55" ht="14.25" customHeight="1" x14ac:dyDescent="0.2">
      <c r="A61" s="112">
        <f t="shared" si="0"/>
        <v>54</v>
      </c>
      <c r="B61" s="114" t="s">
        <v>269</v>
      </c>
      <c r="C61" s="114" t="s">
        <v>270</v>
      </c>
      <c r="D61" s="114" t="s">
        <v>206</v>
      </c>
      <c r="E61" s="114" t="s">
        <v>111</v>
      </c>
      <c r="F61" s="114" t="s">
        <v>112</v>
      </c>
      <c r="G61" s="114" t="s">
        <v>792</v>
      </c>
      <c r="H61" s="125">
        <v>43468</v>
      </c>
      <c r="I61" s="125">
        <v>43468</v>
      </c>
      <c r="J61" s="114">
        <v>11</v>
      </c>
      <c r="K61" s="114">
        <v>3</v>
      </c>
      <c r="L61" s="117">
        <f>IFERROR(VLOOKUP(J61, [1]DATA!$A$4:$I$36, MATCH(K61, [1]DATA!$B$3:$I$3, 0)+1, FALSE), "")</f>
        <v>32109</v>
      </c>
      <c r="M61" s="126">
        <v>2000</v>
      </c>
      <c r="N61" s="119">
        <f t="shared" si="1"/>
        <v>34109</v>
      </c>
      <c r="O61" s="120">
        <f t="shared" si="2"/>
        <v>2889.81</v>
      </c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  <c r="AA61" s="120">
        <v>1537.23</v>
      </c>
      <c r="AB61" s="127">
        <f>ROUND(IF(L61&gt;79999.99,900,IF(L61&lt;10000.01,137.5,IF(10000&lt;L61&gt;80000,L61*2.5%))),2)-0.01</f>
        <v>802.72</v>
      </c>
      <c r="AC61" s="127"/>
      <c r="AD61" s="127">
        <v>1500</v>
      </c>
      <c r="AE61" s="120">
        <v>200</v>
      </c>
      <c r="AF61" s="127">
        <v>0</v>
      </c>
      <c r="AG61" s="127">
        <v>100</v>
      </c>
      <c r="AH61" s="127"/>
      <c r="AI61" s="127"/>
      <c r="AJ61" s="127"/>
      <c r="AK61" s="120"/>
      <c r="AL61" s="127">
        <v>300</v>
      </c>
      <c r="AM61" s="127"/>
      <c r="AN61" s="127">
        <v>2000</v>
      </c>
      <c r="AO61" s="120">
        <v>527.29999999999995</v>
      </c>
      <c r="AP61" s="120">
        <v>496.79</v>
      </c>
      <c r="AQ61" s="134"/>
      <c r="AR61" s="134"/>
      <c r="AS61" s="127">
        <v>0</v>
      </c>
      <c r="AT61" s="127"/>
      <c r="AU61" s="127"/>
      <c r="AV61" s="127"/>
      <c r="AW61" s="127"/>
      <c r="AX61" s="127"/>
      <c r="AY61" s="127">
        <v>5656.36</v>
      </c>
      <c r="AZ61" s="121">
        <f>ROUND(SUM(O61:AY61),2)</f>
        <v>16010.21</v>
      </c>
      <c r="BA61" s="122">
        <f>ROUND(N61-AZ61,2)</f>
        <v>18098.79</v>
      </c>
      <c r="BB61" s="122">
        <f>ROUND(BA61/2,2)</f>
        <v>9049.4</v>
      </c>
      <c r="BC61" s="122">
        <f>BA61-BB61</f>
        <v>9049.3900000000012</v>
      </c>
    </row>
    <row r="62" spans="1:55" ht="14.25" customHeight="1" x14ac:dyDescent="0.2">
      <c r="A62" s="112">
        <f t="shared" si="0"/>
        <v>55</v>
      </c>
      <c r="B62" s="114" t="s">
        <v>271</v>
      </c>
      <c r="C62" s="114" t="s">
        <v>272</v>
      </c>
      <c r="D62" s="114" t="s">
        <v>110</v>
      </c>
      <c r="E62" s="114" t="s">
        <v>226</v>
      </c>
      <c r="F62" s="114" t="s">
        <v>136</v>
      </c>
      <c r="G62" s="114" t="s">
        <v>793</v>
      </c>
      <c r="H62" s="125">
        <v>38243</v>
      </c>
      <c r="I62" s="125">
        <v>38243</v>
      </c>
      <c r="J62" s="114">
        <v>4</v>
      </c>
      <c r="K62" s="114">
        <v>8</v>
      </c>
      <c r="L62" s="117">
        <f>IFERROR(VLOOKUP(J62, [1]DATA!$A$4:$I$36, MATCH(K62, [1]DATA!$B$3:$I$3, 0)+1, FALSE), "")</f>
        <v>18433</v>
      </c>
      <c r="M62" s="126">
        <v>2000</v>
      </c>
      <c r="N62" s="119">
        <f t="shared" si="1"/>
        <v>20433</v>
      </c>
      <c r="O62" s="120">
        <f t="shared" si="2"/>
        <v>1658.97</v>
      </c>
      <c r="P62" s="127">
        <v>448</v>
      </c>
      <c r="Q62" s="127">
        <v>655.56</v>
      </c>
      <c r="R62" s="127"/>
      <c r="S62" s="127"/>
      <c r="T62" s="127"/>
      <c r="U62" s="127"/>
      <c r="V62" s="127">
        <v>2938.61</v>
      </c>
      <c r="W62" s="127"/>
      <c r="X62" s="127"/>
      <c r="Y62" s="127">
        <v>3853.78</v>
      </c>
      <c r="Z62" s="127"/>
      <c r="AA62" s="120">
        <v>0</v>
      </c>
      <c r="AB62" s="127">
        <f>ROUND(IF(L62&gt;79999.99,900,IF(L62&lt;10000.01,137.5,IF(10000&lt;L62&gt;80000,L62*2.5%))),2)-0.01</f>
        <v>460.82</v>
      </c>
      <c r="AC62" s="127"/>
      <c r="AD62" s="129"/>
      <c r="AE62" s="127">
        <v>600</v>
      </c>
      <c r="AF62" s="127">
        <v>0</v>
      </c>
      <c r="AG62" s="127">
        <v>100</v>
      </c>
      <c r="AH62" s="127"/>
      <c r="AI62" s="127"/>
      <c r="AJ62" s="127"/>
      <c r="AK62" s="120"/>
      <c r="AL62" s="128"/>
      <c r="AM62" s="127"/>
      <c r="AN62" s="127"/>
      <c r="AO62" s="120"/>
      <c r="AP62" s="120"/>
      <c r="AQ62" s="120"/>
      <c r="AR62" s="120"/>
      <c r="AS62" s="127">
        <v>0</v>
      </c>
      <c r="AT62" s="127"/>
      <c r="AU62" s="127"/>
      <c r="AV62" s="127"/>
      <c r="AW62" s="127">
        <v>200</v>
      </c>
      <c r="AX62" s="127"/>
      <c r="AY62" s="127">
        <v>1000</v>
      </c>
      <c r="AZ62" s="121">
        <f>ROUND(SUM(O62:AY62),2)</f>
        <v>11915.74</v>
      </c>
      <c r="BA62" s="122">
        <f>ROUND(N62-AZ62,2)</f>
        <v>8517.26</v>
      </c>
      <c r="BB62" s="122">
        <f>ROUND(BA62/2,2)</f>
        <v>4258.63</v>
      </c>
      <c r="BC62" s="122">
        <f t="shared" si="4"/>
        <v>4258.63</v>
      </c>
    </row>
    <row r="63" spans="1:55" ht="14.25" customHeight="1" x14ac:dyDescent="0.2">
      <c r="A63" s="112">
        <f t="shared" si="0"/>
        <v>56</v>
      </c>
      <c r="B63" s="114" t="s">
        <v>273</v>
      </c>
      <c r="C63" s="114" t="s">
        <v>274</v>
      </c>
      <c r="D63" s="114" t="s">
        <v>161</v>
      </c>
      <c r="E63" s="114" t="s">
        <v>175</v>
      </c>
      <c r="F63" s="114" t="s">
        <v>122</v>
      </c>
      <c r="G63" s="114" t="s">
        <v>794</v>
      </c>
      <c r="H63" s="125">
        <v>42348</v>
      </c>
      <c r="I63" s="125">
        <v>42348</v>
      </c>
      <c r="J63" s="114">
        <v>15</v>
      </c>
      <c r="K63" s="114">
        <v>4</v>
      </c>
      <c r="L63" s="117">
        <f>IFERROR(VLOOKUP(J63, [1]DATA!$A$4:$I$36, MATCH(K63, [1]DATA!$B$3:$I$3, 0)+1, FALSE), "")</f>
        <v>43442</v>
      </c>
      <c r="M63" s="126">
        <v>2000</v>
      </c>
      <c r="N63" s="119">
        <f t="shared" si="1"/>
        <v>45442</v>
      </c>
      <c r="O63" s="120">
        <f t="shared" si="2"/>
        <v>3909.78</v>
      </c>
      <c r="P63" s="127"/>
      <c r="Q63" s="127"/>
      <c r="R63" s="127"/>
      <c r="S63" s="133"/>
      <c r="T63" s="127"/>
      <c r="U63" s="127"/>
      <c r="V63" s="127"/>
      <c r="W63" s="127"/>
      <c r="X63" s="127"/>
      <c r="Y63" s="127"/>
      <c r="Z63" s="127"/>
      <c r="AA63" s="120">
        <v>3998.79</v>
      </c>
      <c r="AB63" s="127">
        <f>ROUND(IF(L63&gt;79999.99,900,IF(L63&lt;10000.01,137.5,IF(10000&lt;L63&gt;80000,L63*2.5%))),2)</f>
        <v>1086.05</v>
      </c>
      <c r="AC63" s="127"/>
      <c r="AD63" s="129">
        <v>2000</v>
      </c>
      <c r="AE63" s="127">
        <v>500</v>
      </c>
      <c r="AF63" s="127">
        <v>0</v>
      </c>
      <c r="AG63" s="127">
        <v>100</v>
      </c>
      <c r="AH63" s="127"/>
      <c r="AI63" s="127"/>
      <c r="AJ63" s="127"/>
      <c r="AK63" s="120"/>
      <c r="AL63" s="127"/>
      <c r="AM63" s="127"/>
      <c r="AN63" s="127"/>
      <c r="AO63" s="120"/>
      <c r="AP63" s="120"/>
      <c r="AQ63" s="120"/>
      <c r="AR63" s="120"/>
      <c r="AS63" s="127">
        <v>1390.43</v>
      </c>
      <c r="AT63" s="127"/>
      <c r="AU63" s="127"/>
      <c r="AV63" s="127"/>
      <c r="AW63" s="127">
        <v>0</v>
      </c>
      <c r="AX63" s="127"/>
      <c r="AY63" s="127">
        <v>8347.2199999999993</v>
      </c>
      <c r="AZ63" s="121">
        <f>ROUND(SUM(O63:AY63),2)</f>
        <v>21332.27</v>
      </c>
      <c r="BA63" s="122">
        <f>ROUND(N63-AZ63,2)</f>
        <v>24109.73</v>
      </c>
      <c r="BB63" s="122">
        <f t="shared" si="3"/>
        <v>12054.87</v>
      </c>
      <c r="BC63" s="122">
        <f t="shared" si="4"/>
        <v>12054.859999999999</v>
      </c>
    </row>
    <row r="64" spans="1:55" ht="14.25" customHeight="1" x14ac:dyDescent="0.2">
      <c r="A64" s="112">
        <f t="shared" si="0"/>
        <v>57</v>
      </c>
      <c r="B64" s="114" t="s">
        <v>275</v>
      </c>
      <c r="C64" s="114" t="s">
        <v>276</v>
      </c>
      <c r="D64" s="114" t="s">
        <v>142</v>
      </c>
      <c r="E64" s="114" t="s">
        <v>277</v>
      </c>
      <c r="F64" s="114" t="s">
        <v>147</v>
      </c>
      <c r="G64" s="114" t="s">
        <v>795</v>
      </c>
      <c r="H64" s="125">
        <v>35800</v>
      </c>
      <c r="I64" s="125">
        <v>42201</v>
      </c>
      <c r="J64" s="114">
        <v>22</v>
      </c>
      <c r="K64" s="114">
        <v>4</v>
      </c>
      <c r="L64" s="117">
        <f>IFERROR(VLOOKUP(J64, [1]DATA!$A$4:$I$36, MATCH(K64, [1]DATA!$B$3:$I$3, 0)+1, FALSE), "")</f>
        <v>85356</v>
      </c>
      <c r="M64" s="126">
        <v>2000</v>
      </c>
      <c r="N64" s="119">
        <f t="shared" si="1"/>
        <v>87356</v>
      </c>
      <c r="O64" s="120">
        <f t="shared" si="2"/>
        <v>7682.04</v>
      </c>
      <c r="P64" s="127"/>
      <c r="Q64" s="127"/>
      <c r="R64" s="127"/>
      <c r="S64" s="127"/>
      <c r="T64" s="127"/>
      <c r="U64" s="127"/>
      <c r="V64" s="127">
        <v>17250.45</v>
      </c>
      <c r="W64" s="127"/>
      <c r="X64" s="127"/>
      <c r="Y64" s="127"/>
      <c r="Z64" s="127"/>
      <c r="AA64" s="120">
        <v>14797.18</v>
      </c>
      <c r="AB64" s="127">
        <f>L64*2.5%</f>
        <v>2133.9</v>
      </c>
      <c r="AC64" s="127"/>
      <c r="AD64" s="127">
        <v>1000</v>
      </c>
      <c r="AE64" s="127">
        <v>600</v>
      </c>
      <c r="AF64" s="127">
        <v>200</v>
      </c>
      <c r="AG64" s="128">
        <v>100</v>
      </c>
      <c r="AH64" s="127"/>
      <c r="AI64" s="127"/>
      <c r="AJ64" s="127"/>
      <c r="AK64" s="120"/>
      <c r="AL64" s="127">
        <v>100</v>
      </c>
      <c r="AM64" s="127"/>
      <c r="AN64" s="127"/>
      <c r="AO64" s="120"/>
      <c r="AP64" s="120"/>
      <c r="AQ64" s="120"/>
      <c r="AR64" s="120"/>
      <c r="AS64" s="127">
        <v>1000</v>
      </c>
      <c r="AT64" s="127"/>
      <c r="AU64" s="127"/>
      <c r="AV64" s="127"/>
      <c r="AW64" s="127">
        <v>0</v>
      </c>
      <c r="AX64" s="127"/>
      <c r="AY64" s="127"/>
      <c r="AZ64" s="121">
        <f>ROUND(SUM(O64:AY64),2)</f>
        <v>44863.57</v>
      </c>
      <c r="BA64" s="122">
        <f>ROUND(N64-AZ64,2)</f>
        <v>42492.43</v>
      </c>
      <c r="BB64" s="122">
        <f t="shared" si="3"/>
        <v>21246.22</v>
      </c>
      <c r="BC64" s="122">
        <f t="shared" si="4"/>
        <v>21246.21</v>
      </c>
    </row>
    <row r="65" spans="1:55" ht="14.25" customHeight="1" x14ac:dyDescent="0.2">
      <c r="A65" s="112">
        <f t="shared" si="0"/>
        <v>58</v>
      </c>
      <c r="B65" s="114" t="s">
        <v>278</v>
      </c>
      <c r="C65" s="114" t="s">
        <v>279</v>
      </c>
      <c r="D65" s="114" t="s">
        <v>150</v>
      </c>
      <c r="E65" s="114" t="s">
        <v>175</v>
      </c>
      <c r="F65" s="114" t="s">
        <v>112</v>
      </c>
      <c r="G65" s="114" t="s">
        <v>796</v>
      </c>
      <c r="H65" s="125">
        <v>44516</v>
      </c>
      <c r="I65" s="125">
        <v>44516</v>
      </c>
      <c r="J65" s="114">
        <v>15</v>
      </c>
      <c r="K65" s="114">
        <v>2</v>
      </c>
      <c r="L65" s="117">
        <f>IFERROR(VLOOKUP(J65, [1]DATA!$A$4:$I$36, MATCH(K65, [1]DATA!$B$3:$I$3, 0)+1, FALSE), "")</f>
        <v>42594</v>
      </c>
      <c r="M65" s="126">
        <v>2000</v>
      </c>
      <c r="N65" s="119">
        <f t="shared" si="1"/>
        <v>44594</v>
      </c>
      <c r="O65" s="120">
        <f t="shared" si="2"/>
        <v>3833.46</v>
      </c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  <c r="AA65" s="120">
        <v>3791.96</v>
      </c>
      <c r="AB65" s="120">
        <f>ROUND(IF(L65&gt;79999.99,900,IF(L65&lt;10000.01,137.5,IF(10000&lt;L65&gt;80000,L65*2.5%))),2)</f>
        <v>1064.8499999999999</v>
      </c>
      <c r="AC65" s="127"/>
      <c r="AD65" s="127"/>
      <c r="AE65" s="120">
        <v>200</v>
      </c>
      <c r="AF65" s="127">
        <v>0</v>
      </c>
      <c r="AG65" s="128">
        <v>100</v>
      </c>
      <c r="AH65" s="127"/>
      <c r="AI65" s="127"/>
      <c r="AJ65" s="127"/>
      <c r="AK65" s="120"/>
      <c r="AL65" s="127"/>
      <c r="AM65" s="127"/>
      <c r="AN65" s="127">
        <v>2000</v>
      </c>
      <c r="AO65" s="120">
        <v>922.78</v>
      </c>
      <c r="AP65" s="120">
        <v>1408.7</v>
      </c>
      <c r="AQ65" s="127"/>
      <c r="AR65" s="127"/>
      <c r="AS65" s="127">
        <v>0</v>
      </c>
      <c r="AT65" s="127"/>
      <c r="AU65" s="127"/>
      <c r="AV65" s="127"/>
      <c r="AW65" s="127"/>
      <c r="AX65" s="120"/>
      <c r="AY65" s="120"/>
      <c r="AZ65" s="121">
        <f>ROUND(SUM(O65:AY65),2)</f>
        <v>13321.75</v>
      </c>
      <c r="BA65" s="122">
        <f>ROUND(N65-AZ65,2)</f>
        <v>31272.25</v>
      </c>
      <c r="BB65" s="122">
        <f t="shared" si="3"/>
        <v>15636.13</v>
      </c>
      <c r="BC65" s="122">
        <f t="shared" si="4"/>
        <v>15636.12</v>
      </c>
    </row>
    <row r="66" spans="1:55" ht="13.5" customHeight="1" x14ac:dyDescent="0.2">
      <c r="A66" s="112">
        <f t="shared" si="0"/>
        <v>59</v>
      </c>
      <c r="B66" s="114" t="s">
        <v>280</v>
      </c>
      <c r="C66" s="114" t="s">
        <v>281</v>
      </c>
      <c r="D66" s="114" t="s">
        <v>203</v>
      </c>
      <c r="E66" s="114" t="s">
        <v>121</v>
      </c>
      <c r="F66" s="114" t="s">
        <v>122</v>
      </c>
      <c r="G66" s="114" t="s">
        <v>797</v>
      </c>
      <c r="H66" s="125">
        <v>44291</v>
      </c>
      <c r="I66" s="125">
        <v>44291</v>
      </c>
      <c r="J66" s="114">
        <v>11</v>
      </c>
      <c r="K66" s="114">
        <v>2</v>
      </c>
      <c r="L66" s="117">
        <f>IFERROR(VLOOKUP(J66, [1]DATA!$A$4:$I$36, MATCH(K66, [1]DATA!$B$3:$I$3, 0)+1, FALSE), "")</f>
        <v>31820</v>
      </c>
      <c r="M66" s="126">
        <v>2000</v>
      </c>
      <c r="N66" s="119">
        <f t="shared" si="1"/>
        <v>33820</v>
      </c>
      <c r="O66" s="120">
        <f t="shared" si="2"/>
        <v>2863.8</v>
      </c>
      <c r="P66" s="127"/>
      <c r="Q66" s="127">
        <v>655.56</v>
      </c>
      <c r="R66" s="127"/>
      <c r="S66" s="127"/>
      <c r="T66" s="127"/>
      <c r="U66" s="127"/>
      <c r="V66" s="127">
        <v>3993.44</v>
      </c>
      <c r="W66" s="127"/>
      <c r="X66" s="127">
        <v>1966.67</v>
      </c>
      <c r="Y66" s="127"/>
      <c r="Z66" s="127"/>
      <c r="AA66" s="120">
        <v>1481.83</v>
      </c>
      <c r="AB66" s="127">
        <f>ROUND(IF(L66&gt;79999.99,900,IF(L66&lt;10000.01,137.5,IF(10000&lt;L66&gt;80000,L66*2.5%))),2)</f>
        <v>795.5</v>
      </c>
      <c r="AC66" s="127"/>
      <c r="AD66" s="127">
        <v>1000</v>
      </c>
      <c r="AE66" s="120">
        <v>200</v>
      </c>
      <c r="AF66" s="127">
        <v>0</v>
      </c>
      <c r="AG66" s="127">
        <v>100</v>
      </c>
      <c r="AH66" s="127"/>
      <c r="AI66" s="127"/>
      <c r="AJ66" s="127"/>
      <c r="AK66" s="120"/>
      <c r="AL66" s="127"/>
      <c r="AM66" s="127"/>
      <c r="AN66" s="127"/>
      <c r="AO66" s="120"/>
      <c r="AP66" s="120"/>
      <c r="AQ66" s="120"/>
      <c r="AR66" s="120"/>
      <c r="AS66" s="127">
        <v>0</v>
      </c>
      <c r="AT66" s="127"/>
      <c r="AU66" s="127"/>
      <c r="AV66" s="127"/>
      <c r="AW66" s="127">
        <v>0</v>
      </c>
      <c r="AX66" s="127"/>
      <c r="AY66" s="127">
        <v>5248.26</v>
      </c>
      <c r="AZ66" s="121">
        <f>ROUND(SUM(O66:AY66),2)</f>
        <v>18305.060000000001</v>
      </c>
      <c r="BA66" s="122">
        <f>ROUND(N66-AZ66,2)</f>
        <v>15514.94</v>
      </c>
      <c r="BB66" s="122">
        <f t="shared" si="3"/>
        <v>7757.47</v>
      </c>
      <c r="BC66" s="122">
        <f t="shared" si="4"/>
        <v>7757.47</v>
      </c>
    </row>
    <row r="67" spans="1:55" ht="14.25" customHeight="1" x14ac:dyDescent="0.2">
      <c r="A67" s="112">
        <f t="shared" si="0"/>
        <v>60</v>
      </c>
      <c r="B67" s="114" t="s">
        <v>280</v>
      </c>
      <c r="C67" s="114" t="s">
        <v>282</v>
      </c>
      <c r="D67" s="114" t="s">
        <v>283</v>
      </c>
      <c r="E67" s="114" t="s">
        <v>284</v>
      </c>
      <c r="F67" s="114" t="s">
        <v>136</v>
      </c>
      <c r="G67" s="114" t="s">
        <v>798</v>
      </c>
      <c r="H67" s="125">
        <v>32470</v>
      </c>
      <c r="I67" s="125">
        <v>32470</v>
      </c>
      <c r="J67" s="114">
        <v>6</v>
      </c>
      <c r="K67" s="114">
        <v>8</v>
      </c>
      <c r="L67" s="117">
        <f>IFERROR(VLOOKUP(J67, [1]DATA!$A$4:$I$36, MATCH(K67, [1]DATA!$B$3:$I$3, 0)+1, FALSE), "")</f>
        <v>20761</v>
      </c>
      <c r="M67" s="126">
        <v>2000</v>
      </c>
      <c r="N67" s="119">
        <f t="shared" si="1"/>
        <v>22761</v>
      </c>
      <c r="O67" s="120">
        <f t="shared" si="2"/>
        <v>1868.49</v>
      </c>
      <c r="P67" s="127"/>
      <c r="Q67" s="127"/>
      <c r="R67" s="127"/>
      <c r="S67" s="127"/>
      <c r="T67" s="127"/>
      <c r="U67" s="127"/>
      <c r="V67" s="127">
        <v>3110.15</v>
      </c>
      <c r="W67" s="127">
        <v>1400</v>
      </c>
      <c r="X67" s="127"/>
      <c r="Y67" s="127">
        <v>5780.67</v>
      </c>
      <c r="Z67" s="127"/>
      <c r="AA67" s="120">
        <v>0</v>
      </c>
      <c r="AB67" s="127">
        <f>ROUND(IF(L67&gt;79999.99,900,IF(L67&lt;10000.01,137.5,IF(10000&lt;L67&gt;80000,L67*2.5%))),2)-0.01</f>
        <v>519.02</v>
      </c>
      <c r="AC67" s="127"/>
      <c r="AD67" s="75"/>
      <c r="AE67" s="120">
        <v>200</v>
      </c>
      <c r="AF67" s="127">
        <v>0</v>
      </c>
      <c r="AG67" s="127">
        <v>100</v>
      </c>
      <c r="AH67" s="127"/>
      <c r="AI67" s="127"/>
      <c r="AJ67" s="127"/>
      <c r="AK67" s="120"/>
      <c r="AL67" s="127"/>
      <c r="AM67" s="129"/>
      <c r="AN67" s="127"/>
      <c r="AO67" s="120"/>
      <c r="AP67" s="120"/>
      <c r="AQ67" s="120"/>
      <c r="AR67" s="120"/>
      <c r="AS67" s="127">
        <v>0</v>
      </c>
      <c r="AT67" s="127">
        <v>3314.59</v>
      </c>
      <c r="AU67" s="127"/>
      <c r="AV67" s="127"/>
      <c r="AW67" s="127">
        <v>0</v>
      </c>
      <c r="AX67" s="127"/>
      <c r="AY67" s="129"/>
      <c r="AZ67" s="121">
        <f>ROUND(SUM(O67:AY67),2)</f>
        <v>16292.92</v>
      </c>
      <c r="BA67" s="122">
        <f>ROUND(N67-AZ67,2)</f>
        <v>6468.08</v>
      </c>
      <c r="BB67" s="122">
        <f t="shared" si="3"/>
        <v>3234.04</v>
      </c>
      <c r="BC67" s="122">
        <f t="shared" si="4"/>
        <v>3234.04</v>
      </c>
    </row>
    <row r="68" spans="1:55" ht="14.25" customHeight="1" x14ac:dyDescent="0.2">
      <c r="A68" s="112">
        <f t="shared" si="0"/>
        <v>61</v>
      </c>
      <c r="B68" s="114" t="s">
        <v>285</v>
      </c>
      <c r="C68" s="114" t="s">
        <v>286</v>
      </c>
      <c r="D68" s="114" t="s">
        <v>138</v>
      </c>
      <c r="E68" s="114" t="s">
        <v>263</v>
      </c>
      <c r="F68" s="114" t="s">
        <v>117</v>
      </c>
      <c r="G68" s="114" t="s">
        <v>799</v>
      </c>
      <c r="H68" s="125">
        <v>44243</v>
      </c>
      <c r="I68" s="125">
        <v>44243</v>
      </c>
      <c r="J68" s="114">
        <v>11</v>
      </c>
      <c r="K68" s="114">
        <v>2</v>
      </c>
      <c r="L68" s="117">
        <f>IFERROR(VLOOKUP(J68, [1]DATA!$A$4:$I$36, MATCH(K68, [1]DATA!$B$3:$I$3, 0)+1, FALSE), "")</f>
        <v>31820</v>
      </c>
      <c r="M68" s="126">
        <v>2000</v>
      </c>
      <c r="N68" s="119">
        <f t="shared" si="1"/>
        <v>33820</v>
      </c>
      <c r="O68" s="120">
        <f t="shared" si="2"/>
        <v>2863.8</v>
      </c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0">
        <v>1481.83</v>
      </c>
      <c r="AB68" s="127">
        <f>ROUND(IF(L68&gt;79999.99,900,IF(L68&lt;10000.01,137.5,IF(10000&lt;L68&gt;80000,L68*2.5%))),2)</f>
        <v>795.5</v>
      </c>
      <c r="AC68" s="127"/>
      <c r="AD68" s="127"/>
      <c r="AE68" s="120">
        <v>200</v>
      </c>
      <c r="AF68" s="127">
        <v>0</v>
      </c>
      <c r="AG68" s="127">
        <v>100</v>
      </c>
      <c r="AH68" s="127">
        <v>1336</v>
      </c>
      <c r="AI68" s="127"/>
      <c r="AJ68" s="127"/>
      <c r="AK68" s="120"/>
      <c r="AL68" s="127"/>
      <c r="AM68" s="127"/>
      <c r="AN68" s="127"/>
      <c r="AO68" s="120"/>
      <c r="AP68" s="120"/>
      <c r="AQ68" s="120"/>
      <c r="AR68" s="120"/>
      <c r="AS68" s="127">
        <v>0</v>
      </c>
      <c r="AT68" s="127"/>
      <c r="AU68" s="127"/>
      <c r="AV68" s="127"/>
      <c r="AW68" s="127">
        <v>1125</v>
      </c>
      <c r="AX68" s="127"/>
      <c r="AY68" s="127"/>
      <c r="AZ68" s="121">
        <f>ROUND(SUM(O68:AY68),2)</f>
        <v>7902.13</v>
      </c>
      <c r="BA68" s="122">
        <f>ROUND(N68-AZ68,2)</f>
        <v>25917.87</v>
      </c>
      <c r="BB68" s="122">
        <f t="shared" si="3"/>
        <v>12958.94</v>
      </c>
      <c r="BC68" s="122">
        <f t="shared" si="4"/>
        <v>12958.929999999998</v>
      </c>
    </row>
    <row r="69" spans="1:55" ht="14.25" customHeight="1" x14ac:dyDescent="0.2">
      <c r="A69" s="112">
        <f t="shared" si="0"/>
        <v>62</v>
      </c>
      <c r="B69" s="114" t="s">
        <v>287</v>
      </c>
      <c r="C69" s="114" t="s">
        <v>288</v>
      </c>
      <c r="D69" s="114" t="s">
        <v>203</v>
      </c>
      <c r="E69" s="114" t="s">
        <v>240</v>
      </c>
      <c r="F69" s="114" t="s">
        <v>136</v>
      </c>
      <c r="G69" s="114" t="s">
        <v>800</v>
      </c>
      <c r="H69" s="125">
        <v>31793</v>
      </c>
      <c r="I69" s="125">
        <v>33550</v>
      </c>
      <c r="J69" s="114">
        <v>18</v>
      </c>
      <c r="K69" s="114">
        <v>8</v>
      </c>
      <c r="L69" s="117">
        <f>IFERROR(VLOOKUP(J69, [1]DATA!$A$4:$I$36, MATCH(K69, [1]DATA!$B$3:$I$3, 0)+1, FALSE), "")</f>
        <v>57842</v>
      </c>
      <c r="M69" s="126">
        <v>2000</v>
      </c>
      <c r="N69" s="119">
        <f t="shared" si="1"/>
        <v>59842</v>
      </c>
      <c r="O69" s="120">
        <f t="shared" si="2"/>
        <v>5205.78</v>
      </c>
      <c r="P69" s="127"/>
      <c r="Q69" s="127"/>
      <c r="R69" s="127"/>
      <c r="S69" s="127"/>
      <c r="T69" s="127"/>
      <c r="U69" s="127"/>
      <c r="V69" s="127">
        <v>8590.56</v>
      </c>
      <c r="W69" s="127"/>
      <c r="X69" s="127"/>
      <c r="Y69" s="127"/>
      <c r="Z69" s="127"/>
      <c r="AA69" s="120">
        <v>7329.2</v>
      </c>
      <c r="AB69" s="127">
        <f>ROUND(IF(L69&gt;79999.99,900,IF(L69&lt;10000.01,137.5,IF(10000&lt;L69&gt;80000,L69*2.5%))),2)</f>
        <v>1446.05</v>
      </c>
      <c r="AC69" s="127">
        <v>10339.700000000001</v>
      </c>
      <c r="AD69" s="127">
        <v>1500</v>
      </c>
      <c r="AE69" s="127">
        <v>1000</v>
      </c>
      <c r="AF69" s="127"/>
      <c r="AG69" s="127">
        <v>100</v>
      </c>
      <c r="AH69" s="127"/>
      <c r="AI69" s="127"/>
      <c r="AJ69" s="127"/>
      <c r="AK69" s="120"/>
      <c r="AL69" s="127"/>
      <c r="AM69" s="127"/>
      <c r="AN69" s="127"/>
      <c r="AO69" s="120"/>
      <c r="AP69" s="120"/>
      <c r="AQ69" s="120"/>
      <c r="AR69" s="120"/>
      <c r="AS69" s="127">
        <v>1000</v>
      </c>
      <c r="AT69" s="127"/>
      <c r="AU69" s="127"/>
      <c r="AV69" s="127"/>
      <c r="AW69" s="127">
        <v>0</v>
      </c>
      <c r="AX69" s="127"/>
      <c r="AY69" s="127"/>
      <c r="AZ69" s="121">
        <f>ROUND(SUM(O69:AY69),2)</f>
        <v>36511.29</v>
      </c>
      <c r="BA69" s="122">
        <f>ROUND(N69-AZ69,2)</f>
        <v>23330.71</v>
      </c>
      <c r="BB69" s="122">
        <f t="shared" si="3"/>
        <v>11665.36</v>
      </c>
      <c r="BC69" s="122">
        <f t="shared" si="4"/>
        <v>11665.349999999999</v>
      </c>
    </row>
    <row r="70" spans="1:55" ht="14.25" customHeight="1" x14ac:dyDescent="0.2">
      <c r="A70" s="112">
        <f t="shared" si="0"/>
        <v>63</v>
      </c>
      <c r="B70" s="114" t="s">
        <v>287</v>
      </c>
      <c r="C70" s="114" t="s">
        <v>289</v>
      </c>
      <c r="D70" s="114" t="s">
        <v>290</v>
      </c>
      <c r="E70" s="114" t="s">
        <v>146</v>
      </c>
      <c r="F70" s="114" t="s">
        <v>147</v>
      </c>
      <c r="G70" s="114" t="s">
        <v>801</v>
      </c>
      <c r="H70" s="125">
        <v>35467</v>
      </c>
      <c r="I70" s="125">
        <v>37657</v>
      </c>
      <c r="J70" s="114">
        <v>7</v>
      </c>
      <c r="K70" s="114">
        <v>8</v>
      </c>
      <c r="L70" s="117">
        <f>IFERROR(VLOOKUP(J70, [1]DATA!$A$4:$I$36, MATCH(K70, [1]DATA!$B$3:$I$3, 0)+1, FALSE), "")</f>
        <v>22022</v>
      </c>
      <c r="M70" s="126">
        <v>2000</v>
      </c>
      <c r="N70" s="119">
        <f t="shared" si="1"/>
        <v>24022</v>
      </c>
      <c r="O70" s="120">
        <f t="shared" si="2"/>
        <v>1981.98</v>
      </c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0">
        <v>0</v>
      </c>
      <c r="AB70" s="127">
        <f>ROUND(IF(L70&gt;79999.99,900,IF(L70&lt;10000.01,137.5,IF(10000&lt;L70&gt;80000,L70*2.5%))),2)</f>
        <v>550.54999999999995</v>
      </c>
      <c r="AC70" s="127"/>
      <c r="AD70" s="127">
        <v>1000</v>
      </c>
      <c r="AE70" s="120">
        <v>200</v>
      </c>
      <c r="AF70" s="127">
        <v>0</v>
      </c>
      <c r="AG70" s="127">
        <v>100</v>
      </c>
      <c r="AH70" s="127"/>
      <c r="AI70" s="127"/>
      <c r="AJ70" s="127"/>
      <c r="AK70" s="120"/>
      <c r="AL70" s="127"/>
      <c r="AM70" s="127"/>
      <c r="AN70" s="127"/>
      <c r="AO70" s="120"/>
      <c r="AP70" s="120"/>
      <c r="AQ70" s="120"/>
      <c r="AR70" s="120"/>
      <c r="AS70" s="127">
        <v>0</v>
      </c>
      <c r="AT70" s="127"/>
      <c r="AU70" s="127"/>
      <c r="AV70" s="127"/>
      <c r="AW70" s="127">
        <v>0</v>
      </c>
      <c r="AX70" s="127"/>
      <c r="AY70" s="127"/>
      <c r="AZ70" s="121">
        <f>ROUND(SUM(O70:AY70),2)</f>
        <v>3832.53</v>
      </c>
      <c r="BA70" s="122">
        <f>ROUND(N70-AZ70,2)</f>
        <v>20189.47</v>
      </c>
      <c r="BB70" s="122">
        <f t="shared" si="3"/>
        <v>10094.74</v>
      </c>
      <c r="BC70" s="122">
        <f t="shared" si="4"/>
        <v>10094.730000000001</v>
      </c>
    </row>
    <row r="71" spans="1:55" ht="14.25" customHeight="1" x14ac:dyDescent="0.2">
      <c r="A71" s="112">
        <f t="shared" si="0"/>
        <v>64</v>
      </c>
      <c r="B71" s="114" t="s">
        <v>291</v>
      </c>
      <c r="C71" s="114" t="s">
        <v>292</v>
      </c>
      <c r="D71" s="114" t="s">
        <v>293</v>
      </c>
      <c r="E71" s="114" t="s">
        <v>226</v>
      </c>
      <c r="F71" s="114" t="s">
        <v>136</v>
      </c>
      <c r="G71" s="114" t="s">
        <v>802</v>
      </c>
      <c r="H71" s="125">
        <v>42242</v>
      </c>
      <c r="I71" s="125">
        <v>42242</v>
      </c>
      <c r="J71" s="114">
        <v>4</v>
      </c>
      <c r="K71" s="114">
        <v>4</v>
      </c>
      <c r="L71" s="117">
        <f>IFERROR(VLOOKUP(J71, [1]DATA!$A$4:$I$36, MATCH(K71, [1]DATA!$B$3:$I$3, 0)+1, FALSE), "")</f>
        <v>17898</v>
      </c>
      <c r="M71" s="126">
        <v>2000</v>
      </c>
      <c r="N71" s="119">
        <f t="shared" si="1"/>
        <v>19898</v>
      </c>
      <c r="O71" s="120">
        <f t="shared" si="2"/>
        <v>1610.82</v>
      </c>
      <c r="P71" s="127"/>
      <c r="Q71" s="127">
        <v>655.56</v>
      </c>
      <c r="R71" s="127"/>
      <c r="S71" s="127"/>
      <c r="T71" s="127"/>
      <c r="U71" s="127"/>
      <c r="V71" s="127"/>
      <c r="W71" s="127"/>
      <c r="X71" s="127"/>
      <c r="Y71" s="127"/>
      <c r="Z71" s="127"/>
      <c r="AA71" s="120">
        <v>0</v>
      </c>
      <c r="AB71" s="120">
        <f>ROUND(IF(L71&gt;79999.99,900,IF(L71&lt;10000.01,137.5,IF(10000&lt;L71&gt;80000,L71*2.5%))),2)</f>
        <v>447.45</v>
      </c>
      <c r="AC71" s="127"/>
      <c r="AD71" s="127"/>
      <c r="AE71" s="127">
        <v>700</v>
      </c>
      <c r="AF71" s="127">
        <v>0</v>
      </c>
      <c r="AG71" s="127">
        <v>100</v>
      </c>
      <c r="AH71" s="127"/>
      <c r="AI71" s="127"/>
      <c r="AJ71" s="127"/>
      <c r="AK71" s="120"/>
      <c r="AL71" s="127">
        <v>200</v>
      </c>
      <c r="AM71" s="129">
        <v>1000</v>
      </c>
      <c r="AN71" s="127"/>
      <c r="AO71" s="120"/>
      <c r="AP71" s="120"/>
      <c r="AQ71" s="120"/>
      <c r="AR71" s="120"/>
      <c r="AS71" s="127">
        <v>0</v>
      </c>
      <c r="AT71" s="127"/>
      <c r="AU71" s="127"/>
      <c r="AV71" s="127"/>
      <c r="AW71" s="127">
        <v>200</v>
      </c>
      <c r="AX71" s="127"/>
      <c r="AY71" s="127">
        <v>4000</v>
      </c>
      <c r="AZ71" s="121">
        <f>ROUND(SUM(O71:AY71),2)</f>
        <v>8913.83</v>
      </c>
      <c r="BA71" s="122">
        <f>ROUND(N71-AZ71,2)</f>
        <v>10984.17</v>
      </c>
      <c r="BB71" s="122">
        <f t="shared" si="3"/>
        <v>5492.09</v>
      </c>
      <c r="BC71" s="122">
        <f t="shared" si="4"/>
        <v>5492.08</v>
      </c>
    </row>
    <row r="72" spans="1:55" ht="14.25" customHeight="1" x14ac:dyDescent="0.2">
      <c r="A72" s="112">
        <f t="shared" si="0"/>
        <v>65</v>
      </c>
      <c r="B72" s="114" t="s">
        <v>295</v>
      </c>
      <c r="C72" s="114" t="s">
        <v>296</v>
      </c>
      <c r="D72" s="114" t="s">
        <v>110</v>
      </c>
      <c r="E72" s="114" t="s">
        <v>217</v>
      </c>
      <c r="F72" s="114" t="s">
        <v>112</v>
      </c>
      <c r="G72" s="114" t="s">
        <v>803</v>
      </c>
      <c r="H72" s="125">
        <v>35571</v>
      </c>
      <c r="I72" s="125">
        <v>42242</v>
      </c>
      <c r="J72" s="114">
        <v>18</v>
      </c>
      <c r="K72" s="114">
        <v>4</v>
      </c>
      <c r="L72" s="117">
        <f>IFERROR(VLOOKUP(J72, [1]DATA!$A$4:$I$36, MATCH(K72, [1]DATA!$B$3:$I$3, 0)+1, FALSE), "")</f>
        <v>55499</v>
      </c>
      <c r="M72" s="126">
        <v>2000</v>
      </c>
      <c r="N72" s="119">
        <f t="shared" si="1"/>
        <v>57499</v>
      </c>
      <c r="O72" s="120">
        <f t="shared" si="2"/>
        <v>4994.91</v>
      </c>
      <c r="P72" s="127"/>
      <c r="Q72" s="127">
        <v>1246.8800000000001</v>
      </c>
      <c r="R72" s="127"/>
      <c r="S72" s="127">
        <v>5802.48</v>
      </c>
      <c r="T72" s="127"/>
      <c r="U72" s="127"/>
      <c r="V72" s="127"/>
      <c r="W72" s="127"/>
      <c r="X72" s="127"/>
      <c r="Y72" s="127"/>
      <c r="Z72" s="127"/>
      <c r="AA72" s="120">
        <v>6798.6</v>
      </c>
      <c r="AB72" s="127">
        <f>ROUND(IF(L72&gt;79999.99,900,IF(L72&lt;10000.01,137.5,IF(10000&lt;L72&gt;80000,L72*2.5%))),2)-0.01</f>
        <v>1387.47</v>
      </c>
      <c r="AC72" s="127">
        <v>2205.1999999999998</v>
      </c>
      <c r="AD72" s="127">
        <v>2000</v>
      </c>
      <c r="AE72" s="127">
        <v>500</v>
      </c>
      <c r="AF72" s="127"/>
      <c r="AG72" s="127">
        <v>100</v>
      </c>
      <c r="AH72" s="127"/>
      <c r="AI72" s="127"/>
      <c r="AJ72" s="127"/>
      <c r="AK72" s="120"/>
      <c r="AL72" s="127"/>
      <c r="AM72" s="127"/>
      <c r="AN72" s="127">
        <v>2000</v>
      </c>
      <c r="AO72" s="120">
        <v>461.39</v>
      </c>
      <c r="AP72" s="120">
        <v>704.35</v>
      </c>
      <c r="AQ72" s="134"/>
      <c r="AR72" s="134"/>
      <c r="AS72" s="127">
        <v>1000</v>
      </c>
      <c r="AT72" s="127"/>
      <c r="AU72" s="127"/>
      <c r="AV72" s="127"/>
      <c r="AW72" s="127">
        <v>0</v>
      </c>
      <c r="AX72" s="127"/>
      <c r="AY72" s="127">
        <v>3034.72</v>
      </c>
      <c r="AZ72" s="121">
        <f>ROUND(SUM(O72:AY72),2)</f>
        <v>32236</v>
      </c>
      <c r="BA72" s="122">
        <f>ROUND(N72-AZ72,2)</f>
        <v>25263</v>
      </c>
      <c r="BB72" s="122">
        <f t="shared" si="3"/>
        <v>12631.5</v>
      </c>
      <c r="BC72" s="122">
        <f t="shared" si="4"/>
        <v>12631.5</v>
      </c>
    </row>
    <row r="73" spans="1:55" ht="14.25" customHeight="1" x14ac:dyDescent="0.2">
      <c r="A73" s="112">
        <f t="shared" ref="A73:A97" si="5">A72+1</f>
        <v>66</v>
      </c>
      <c r="B73" s="114" t="s">
        <v>297</v>
      </c>
      <c r="C73" s="114" t="s">
        <v>298</v>
      </c>
      <c r="D73" s="114" t="s">
        <v>125</v>
      </c>
      <c r="E73" s="114" t="s">
        <v>143</v>
      </c>
      <c r="F73" s="114" t="s">
        <v>117</v>
      </c>
      <c r="G73" s="114" t="s">
        <v>804</v>
      </c>
      <c r="H73" s="125">
        <v>44348</v>
      </c>
      <c r="I73" s="125">
        <v>45376</v>
      </c>
      <c r="J73" s="114">
        <v>15</v>
      </c>
      <c r="K73" s="114">
        <v>1</v>
      </c>
      <c r="L73" s="117">
        <f>IFERROR(VLOOKUP(J73, [1]DATA!$A$4:$I$36, MATCH(K73, [1]DATA!$B$3:$I$3, 0)+1, FALSE), "")</f>
        <v>42178</v>
      </c>
      <c r="M73" s="126">
        <v>2000</v>
      </c>
      <c r="N73" s="119">
        <f t="shared" ref="N73:N98" si="6">L73+M73</f>
        <v>44178</v>
      </c>
      <c r="O73" s="120">
        <f t="shared" ref="O73:O98" si="7">ROUND(L73*9%,2)</f>
        <v>3796.02</v>
      </c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  <c r="AA73" s="120">
        <v>3695.42</v>
      </c>
      <c r="AB73" s="127">
        <f>ROUND(IF(L73&gt;79999.99,900,IF(L73&lt;10000.01,137.5,IF(10000&lt;L73&gt;80000,L73*2.5%))),2)</f>
        <v>1054.45</v>
      </c>
      <c r="AC73" s="127"/>
      <c r="AD73" s="127"/>
      <c r="AE73" s="120">
        <v>200</v>
      </c>
      <c r="AF73" s="127">
        <v>0</v>
      </c>
      <c r="AG73" s="127">
        <v>100</v>
      </c>
      <c r="AH73" s="127"/>
      <c r="AI73" s="127"/>
      <c r="AJ73" s="127"/>
      <c r="AK73" s="120"/>
      <c r="AL73" s="127"/>
      <c r="AM73" s="127"/>
      <c r="AN73" s="127"/>
      <c r="AO73" s="120"/>
      <c r="AP73" s="120"/>
      <c r="AQ73" s="120"/>
      <c r="AR73" s="120"/>
      <c r="AS73" s="127">
        <v>0</v>
      </c>
      <c r="AT73" s="127"/>
      <c r="AU73" s="127"/>
      <c r="AV73" s="127"/>
      <c r="AW73" s="127"/>
      <c r="AX73" s="127"/>
      <c r="AY73" s="127"/>
      <c r="AZ73" s="121">
        <f>ROUND(SUM(O73:AY73),2)</f>
        <v>8845.89</v>
      </c>
      <c r="BA73" s="122">
        <f>ROUND(N73-AZ73,2)</f>
        <v>35332.11</v>
      </c>
      <c r="BB73" s="122">
        <f t="shared" ref="BB73:BB98" si="8">ROUND(BA73/2,2)</f>
        <v>17666.060000000001</v>
      </c>
      <c r="BC73" s="122">
        <f t="shared" ref="BC73:BC98" si="9">BA73-BB73</f>
        <v>17666.05</v>
      </c>
    </row>
    <row r="74" spans="1:55" ht="14.25" customHeight="1" x14ac:dyDescent="0.2">
      <c r="A74" s="112">
        <f t="shared" si="5"/>
        <v>67</v>
      </c>
      <c r="B74" s="114" t="s">
        <v>299</v>
      </c>
      <c r="C74" s="114" t="s">
        <v>300</v>
      </c>
      <c r="D74" s="114" t="s">
        <v>236</v>
      </c>
      <c r="E74" s="114" t="s">
        <v>301</v>
      </c>
      <c r="F74" s="114" t="s">
        <v>136</v>
      </c>
      <c r="G74" s="114" t="s">
        <v>805</v>
      </c>
      <c r="H74" s="125">
        <v>45737</v>
      </c>
      <c r="I74" s="125">
        <v>45737</v>
      </c>
      <c r="J74" s="114">
        <v>11</v>
      </c>
      <c r="K74" s="114">
        <v>1</v>
      </c>
      <c r="L74" s="117">
        <f>IFERROR(VLOOKUP(J74, [1]DATA!$A$4:$I$36, MATCH(K74, [1]DATA!$B$3:$I$3, 0)+1, FALSE), "")</f>
        <v>31705</v>
      </c>
      <c r="M74" s="126">
        <v>2000</v>
      </c>
      <c r="N74" s="119">
        <f t="shared" si="6"/>
        <v>33705</v>
      </c>
      <c r="O74" s="120">
        <f t="shared" si="7"/>
        <v>2853.45</v>
      </c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  <c r="AA74" s="120">
        <v>1192.23</v>
      </c>
      <c r="AB74" s="127">
        <f>ROUND(IF(L74&gt;79999.99,900,IF(L74&lt;10000.01,137.5,IF(10000&lt;L74&gt;80000,L74*2.5%))),2)-0.01</f>
        <v>792.62</v>
      </c>
      <c r="AC74" s="127"/>
      <c r="AD74" s="127"/>
      <c r="AE74" s="120">
        <v>200</v>
      </c>
      <c r="AF74" s="127"/>
      <c r="AG74" s="127">
        <v>100</v>
      </c>
      <c r="AH74" s="127"/>
      <c r="AI74" s="127"/>
      <c r="AJ74" s="127"/>
      <c r="AK74" s="120"/>
      <c r="AL74" s="127"/>
      <c r="AM74" s="127"/>
      <c r="AN74" s="127"/>
      <c r="AO74" s="120"/>
      <c r="AP74" s="120"/>
      <c r="AQ74" s="120"/>
      <c r="AR74" s="120"/>
      <c r="AS74" s="127"/>
      <c r="AT74" s="127"/>
      <c r="AU74" s="127"/>
      <c r="AV74" s="127"/>
      <c r="AW74" s="127"/>
      <c r="AX74" s="127"/>
      <c r="AY74" s="127"/>
      <c r="AZ74" s="121">
        <f>ROUND(SUM(O74:AY74),2)</f>
        <v>5138.3</v>
      </c>
      <c r="BA74" s="122">
        <f>ROUND(N74-AZ74,2)</f>
        <v>28566.7</v>
      </c>
      <c r="BB74" s="122">
        <f t="shared" si="8"/>
        <v>14283.35</v>
      </c>
      <c r="BC74" s="122">
        <f t="shared" si="9"/>
        <v>14283.35</v>
      </c>
    </row>
    <row r="75" spans="1:55" ht="14.25" customHeight="1" x14ac:dyDescent="0.2">
      <c r="A75" s="112">
        <f t="shared" si="5"/>
        <v>68</v>
      </c>
      <c r="B75" s="114" t="s">
        <v>302</v>
      </c>
      <c r="C75" s="114" t="s">
        <v>303</v>
      </c>
      <c r="D75" s="114" t="s">
        <v>236</v>
      </c>
      <c r="E75" s="114" t="s">
        <v>304</v>
      </c>
      <c r="F75" s="114" t="s">
        <v>147</v>
      </c>
      <c r="G75" s="114" t="s">
        <v>806</v>
      </c>
      <c r="H75" s="125">
        <v>42278</v>
      </c>
      <c r="I75" s="125">
        <v>42278</v>
      </c>
      <c r="J75" s="114">
        <v>18</v>
      </c>
      <c r="K75" s="114">
        <v>4</v>
      </c>
      <c r="L75" s="117">
        <f>IFERROR(VLOOKUP(J75, [1]DATA!$A$4:$I$36, MATCH(K75, [1]DATA!$B$3:$I$3, 0)+1, FALSE), "")</f>
        <v>55499</v>
      </c>
      <c r="M75" s="126">
        <v>2000</v>
      </c>
      <c r="N75" s="119">
        <f t="shared" si="6"/>
        <v>57499</v>
      </c>
      <c r="O75" s="120">
        <f t="shared" si="7"/>
        <v>4994.91</v>
      </c>
      <c r="P75" s="127"/>
      <c r="Q75" s="127"/>
      <c r="R75" s="127"/>
      <c r="S75" s="127"/>
      <c r="T75" s="127"/>
      <c r="U75" s="127"/>
      <c r="V75" s="127">
        <v>5235.18</v>
      </c>
      <c r="W75" s="127"/>
      <c r="X75" s="127"/>
      <c r="Y75" s="127"/>
      <c r="Z75" s="127"/>
      <c r="AA75" s="120">
        <v>6797.16</v>
      </c>
      <c r="AB75" s="127">
        <f>ROUND(IF(L75&gt;79999.99,900,IF(L75&lt;10000.01,137.5,IF(10000&lt;L75&gt;80000,L75*2.5%))),2)-0.01</f>
        <v>1387.47</v>
      </c>
      <c r="AC75" s="127"/>
      <c r="AD75" s="127">
        <v>3500</v>
      </c>
      <c r="AE75" s="127">
        <v>1000</v>
      </c>
      <c r="AF75" s="127">
        <v>1400</v>
      </c>
      <c r="AG75" s="127">
        <v>100</v>
      </c>
      <c r="AH75" s="127"/>
      <c r="AI75" s="127"/>
      <c r="AJ75" s="127"/>
      <c r="AK75" s="120"/>
      <c r="AL75" s="127">
        <v>500</v>
      </c>
      <c r="AM75" s="127">
        <v>3750</v>
      </c>
      <c r="AN75" s="127"/>
      <c r="AO75" s="120"/>
      <c r="AP75" s="120"/>
      <c r="AQ75" s="120"/>
      <c r="AR75" s="120"/>
      <c r="AS75" s="127">
        <v>497.95</v>
      </c>
      <c r="AT75" s="127"/>
      <c r="AU75" s="127"/>
      <c r="AV75" s="127"/>
      <c r="AW75" s="127">
        <v>0</v>
      </c>
      <c r="AX75" s="127"/>
      <c r="AY75" s="127"/>
      <c r="AZ75" s="121">
        <f>ROUND(SUM(O75:AY75),2)</f>
        <v>29162.67</v>
      </c>
      <c r="BA75" s="122">
        <f>ROUND(N75-AZ75,2)</f>
        <v>28336.33</v>
      </c>
      <c r="BB75" s="122">
        <f t="shared" si="8"/>
        <v>14168.17</v>
      </c>
      <c r="BC75" s="122">
        <f t="shared" si="9"/>
        <v>14168.160000000002</v>
      </c>
    </row>
    <row r="76" spans="1:55" ht="14.25" customHeight="1" x14ac:dyDescent="0.2">
      <c r="A76" s="112">
        <f t="shared" si="5"/>
        <v>69</v>
      </c>
      <c r="B76" s="114" t="s">
        <v>305</v>
      </c>
      <c r="C76" s="114" t="s">
        <v>306</v>
      </c>
      <c r="D76" s="114" t="s">
        <v>161</v>
      </c>
      <c r="E76" s="114" t="s">
        <v>175</v>
      </c>
      <c r="F76" s="114" t="s">
        <v>112</v>
      </c>
      <c r="G76" s="114" t="s">
        <v>807</v>
      </c>
      <c r="H76" s="125">
        <v>42278</v>
      </c>
      <c r="I76" s="125">
        <v>42278</v>
      </c>
      <c r="J76" s="114">
        <v>15</v>
      </c>
      <c r="K76" s="114">
        <v>4</v>
      </c>
      <c r="L76" s="117">
        <f>IFERROR(VLOOKUP(J76, [1]DATA!$A$4:$I$36, MATCH(K76, [1]DATA!$B$3:$I$3, 0)+1, FALSE), "")</f>
        <v>43442</v>
      </c>
      <c r="M76" s="126">
        <v>2000</v>
      </c>
      <c r="N76" s="119">
        <f t="shared" si="6"/>
        <v>45442</v>
      </c>
      <c r="O76" s="120">
        <f t="shared" si="7"/>
        <v>3909.78</v>
      </c>
      <c r="P76" s="127">
        <v>500</v>
      </c>
      <c r="Q76" s="127">
        <v>1311.12</v>
      </c>
      <c r="R76" s="127"/>
      <c r="S76" s="127"/>
      <c r="T76" s="127"/>
      <c r="U76" s="127"/>
      <c r="V76" s="127">
        <v>4608.54</v>
      </c>
      <c r="W76" s="127">
        <v>933.33</v>
      </c>
      <c r="X76" s="127">
        <v>1966.67</v>
      </c>
      <c r="Y76" s="128">
        <v>9634.44</v>
      </c>
      <c r="Z76" s="128"/>
      <c r="AA76" s="120">
        <v>3998.79</v>
      </c>
      <c r="AB76" s="127">
        <f>ROUND(IF(L76&gt;79999.99,900,IF(L76&lt;10000.01,137.5,IF(10000&lt;L76&gt;80000,L76*2.5%))),2)</f>
        <v>1086.05</v>
      </c>
      <c r="AC76" s="127">
        <v>1976.23</v>
      </c>
      <c r="AD76" s="127">
        <v>0</v>
      </c>
      <c r="AE76" s="127">
        <v>300</v>
      </c>
      <c r="AF76" s="127">
        <v>0</v>
      </c>
      <c r="AG76" s="127">
        <v>100</v>
      </c>
      <c r="AH76" s="127"/>
      <c r="AI76" s="127"/>
      <c r="AJ76" s="127"/>
      <c r="AK76" s="120"/>
      <c r="AL76" s="127"/>
      <c r="AM76" s="127"/>
      <c r="AN76" s="127"/>
      <c r="AO76" s="120"/>
      <c r="AP76" s="120"/>
      <c r="AQ76" s="120"/>
      <c r="AR76" s="120"/>
      <c r="AS76" s="127">
        <v>0</v>
      </c>
      <c r="AT76" s="127">
        <v>6360.12</v>
      </c>
      <c r="AU76" s="127"/>
      <c r="AV76" s="127"/>
      <c r="AW76" s="127">
        <v>0</v>
      </c>
      <c r="AX76" s="127"/>
      <c r="AY76" s="129">
        <v>3000</v>
      </c>
      <c r="AZ76" s="121">
        <f>ROUND(SUM(O76:AY76),2)</f>
        <v>39685.07</v>
      </c>
      <c r="BA76" s="122">
        <f>ROUND(N76-AZ76,2)</f>
        <v>5756.93</v>
      </c>
      <c r="BB76" s="122">
        <f t="shared" si="8"/>
        <v>2878.47</v>
      </c>
      <c r="BC76" s="122">
        <f t="shared" si="9"/>
        <v>2878.4600000000005</v>
      </c>
    </row>
    <row r="77" spans="1:55" ht="14.25" customHeight="1" x14ac:dyDescent="0.2">
      <c r="A77" s="112">
        <f t="shared" si="5"/>
        <v>70</v>
      </c>
      <c r="B77" s="114" t="s">
        <v>307</v>
      </c>
      <c r="C77" s="114" t="s">
        <v>308</v>
      </c>
      <c r="D77" s="114" t="s">
        <v>309</v>
      </c>
      <c r="E77" s="114" t="s">
        <v>233</v>
      </c>
      <c r="F77" s="114" t="s">
        <v>147</v>
      </c>
      <c r="G77" s="114" t="s">
        <v>808</v>
      </c>
      <c r="H77" s="125">
        <v>45062</v>
      </c>
      <c r="I77" s="125">
        <v>45062</v>
      </c>
      <c r="J77" s="114">
        <v>11</v>
      </c>
      <c r="K77" s="114">
        <v>1</v>
      </c>
      <c r="L77" s="117">
        <f>IFERROR(VLOOKUP(J77, [1]DATA!$A$4:$I$36, MATCH(K77, [1]DATA!$B$3:$I$3, 0)+1, FALSE), "")</f>
        <v>31705</v>
      </c>
      <c r="M77" s="126">
        <v>2000</v>
      </c>
      <c r="N77" s="119">
        <f t="shared" si="6"/>
        <v>33705</v>
      </c>
      <c r="O77" s="120">
        <f t="shared" si="7"/>
        <v>2853.45</v>
      </c>
      <c r="P77" s="127"/>
      <c r="Q77" s="127"/>
      <c r="R77" s="127"/>
      <c r="S77" s="127"/>
      <c r="T77" s="127"/>
      <c r="U77" s="127"/>
      <c r="V77" s="127"/>
      <c r="W77" s="127"/>
      <c r="X77" s="127"/>
      <c r="Y77" s="128"/>
      <c r="Z77" s="128"/>
      <c r="AA77" s="120">
        <v>1468.9</v>
      </c>
      <c r="AB77" s="127">
        <f>ROUND(IF(L77&gt;79999.99,900,IF(L77&lt;10000.01,137.5,IF(10000&lt;L77&gt;80000,L77*2.5%))),2)-0.01</f>
        <v>792.62</v>
      </c>
      <c r="AC77" s="127"/>
      <c r="AD77" s="127"/>
      <c r="AE77" s="120">
        <v>200</v>
      </c>
      <c r="AF77" s="127"/>
      <c r="AG77" s="127">
        <v>100</v>
      </c>
      <c r="AH77" s="127"/>
      <c r="AI77" s="127"/>
      <c r="AJ77" s="127"/>
      <c r="AK77" s="120"/>
      <c r="AL77" s="127"/>
      <c r="AM77" s="127"/>
      <c r="AN77" s="127"/>
      <c r="AO77" s="120"/>
      <c r="AP77" s="120"/>
      <c r="AQ77" s="120"/>
      <c r="AR77" s="120"/>
      <c r="AS77" s="127"/>
      <c r="AT77" s="127"/>
      <c r="AU77" s="127"/>
      <c r="AV77" s="127"/>
      <c r="AW77" s="127"/>
      <c r="AX77" s="127"/>
      <c r="AY77" s="127"/>
      <c r="AZ77" s="121">
        <f>ROUND(SUM(O77:AY77),2)</f>
        <v>5414.97</v>
      </c>
      <c r="BA77" s="122">
        <f>ROUND(N77-AZ77,2)</f>
        <v>28290.03</v>
      </c>
      <c r="BB77" s="122">
        <f>ROUND(BA77/2,2)</f>
        <v>14145.02</v>
      </c>
      <c r="BC77" s="122">
        <f>BA77-BB77</f>
        <v>14145.009999999998</v>
      </c>
    </row>
    <row r="78" spans="1:55" ht="14.25" customHeight="1" x14ac:dyDescent="0.2">
      <c r="A78" s="112">
        <f t="shared" si="5"/>
        <v>71</v>
      </c>
      <c r="B78" s="114" t="s">
        <v>310</v>
      </c>
      <c r="C78" s="114" t="s">
        <v>311</v>
      </c>
      <c r="D78" s="114" t="s">
        <v>312</v>
      </c>
      <c r="E78" s="114" t="s">
        <v>165</v>
      </c>
      <c r="F78" s="114" t="s">
        <v>112</v>
      </c>
      <c r="G78" s="114" t="s">
        <v>809</v>
      </c>
      <c r="H78" s="125">
        <v>43739</v>
      </c>
      <c r="I78" s="125">
        <v>45607</v>
      </c>
      <c r="J78" s="114">
        <v>18</v>
      </c>
      <c r="K78" s="114">
        <v>1</v>
      </c>
      <c r="L78" s="117">
        <f>IFERROR(VLOOKUP(J78, [1]DATA!$A$4:$I$36, MATCH(K78, [1]DATA!$B$3:$I$3, 0)+1, FALSE), "")</f>
        <v>53818</v>
      </c>
      <c r="M78" s="126">
        <v>2000</v>
      </c>
      <c r="N78" s="119">
        <f t="shared" si="6"/>
        <v>55818</v>
      </c>
      <c r="O78" s="120">
        <f t="shared" si="7"/>
        <v>4843.62</v>
      </c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  <c r="AA78" s="120">
        <v>6395.7</v>
      </c>
      <c r="AB78" s="120">
        <f>ROUND(IF(L78&gt;79999.99,900,IF(L78&lt;10000.01,137.5,IF(10000&lt;L78&gt;80000,L78*2.5%))),2)</f>
        <v>1345.45</v>
      </c>
      <c r="AC78" s="127"/>
      <c r="AD78" s="127"/>
      <c r="AE78" s="127">
        <v>500</v>
      </c>
      <c r="AF78" s="127">
        <v>0</v>
      </c>
      <c r="AG78" s="127">
        <v>100</v>
      </c>
      <c r="AH78" s="127"/>
      <c r="AI78" s="127"/>
      <c r="AJ78" s="127"/>
      <c r="AK78" s="120"/>
      <c r="AL78" s="127"/>
      <c r="AM78" s="127"/>
      <c r="AN78" s="127"/>
      <c r="AO78" s="120"/>
      <c r="AP78" s="120"/>
      <c r="AQ78" s="120"/>
      <c r="AR78" s="120"/>
      <c r="AS78" s="127">
        <v>555.29999999999995</v>
      </c>
      <c r="AT78" s="127"/>
      <c r="AU78" s="127"/>
      <c r="AV78" s="127"/>
      <c r="AW78" s="127">
        <v>0</v>
      </c>
      <c r="AX78" s="127"/>
      <c r="AY78" s="127"/>
      <c r="AZ78" s="121">
        <f>ROUND(SUM(O78:AY78),2)</f>
        <v>13740.07</v>
      </c>
      <c r="BA78" s="122">
        <f>ROUND(N78-AZ78,2)</f>
        <v>42077.93</v>
      </c>
      <c r="BB78" s="122">
        <f>ROUND(BA78/2,2)</f>
        <v>21038.97</v>
      </c>
      <c r="BC78" s="122">
        <f>BA78-BB78</f>
        <v>21038.959999999999</v>
      </c>
    </row>
    <row r="79" spans="1:55" ht="14.25" customHeight="1" x14ac:dyDescent="0.2">
      <c r="A79" s="112">
        <f t="shared" si="5"/>
        <v>72</v>
      </c>
      <c r="B79" s="114" t="s">
        <v>724</v>
      </c>
      <c r="C79" s="114" t="s">
        <v>725</v>
      </c>
      <c r="D79" s="114" t="s">
        <v>726</v>
      </c>
      <c r="E79" s="114" t="s">
        <v>301</v>
      </c>
      <c r="F79" s="114" t="s">
        <v>136</v>
      </c>
      <c r="G79" s="114" t="s">
        <v>810</v>
      </c>
      <c r="H79" s="125">
        <v>45931</v>
      </c>
      <c r="I79" s="125">
        <v>45931</v>
      </c>
      <c r="J79" s="114">
        <v>11</v>
      </c>
      <c r="K79" s="114">
        <v>1</v>
      </c>
      <c r="L79" s="117">
        <f>IFERROR(VLOOKUP(J79, [1]DATA!$A$4:$I$36, MATCH(K79, [1]DATA!$B$3:$I$3, 0)+1, FALSE), "")</f>
        <v>31705</v>
      </c>
      <c r="M79" s="126">
        <v>2000</v>
      </c>
      <c r="N79" s="119">
        <f t="shared" si="6"/>
        <v>33705</v>
      </c>
      <c r="O79" s="120">
        <f>ROUND(L79*9%,2)</f>
        <v>2853.45</v>
      </c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0">
        <v>1388.35</v>
      </c>
      <c r="AB79" s="120">
        <f>ROUND(IF(L79&gt;79999.99,900,IF(L79&lt;10000.01,137.5,IF(10000&lt;L79&gt;80000,L79*2.5%))),2)-0.01</f>
        <v>792.62</v>
      </c>
      <c r="AC79" s="127"/>
      <c r="AD79" s="127"/>
      <c r="AE79" s="120">
        <v>200</v>
      </c>
      <c r="AF79" s="127"/>
      <c r="AG79" s="127">
        <v>100</v>
      </c>
      <c r="AH79" s="127"/>
      <c r="AI79" s="127"/>
      <c r="AJ79" s="127">
        <v>200</v>
      </c>
      <c r="AK79" s="120"/>
      <c r="AL79" s="127"/>
      <c r="AM79" s="127"/>
      <c r="AN79" s="127"/>
      <c r="AO79" s="120"/>
      <c r="AP79" s="120"/>
      <c r="AQ79" s="120"/>
      <c r="AR79" s="120"/>
      <c r="AS79" s="127"/>
      <c r="AT79" s="127"/>
      <c r="AU79" s="127"/>
      <c r="AV79" s="127"/>
      <c r="AW79" s="127"/>
      <c r="AX79" s="127"/>
      <c r="AY79" s="127"/>
      <c r="AZ79" s="121">
        <f>ROUND(SUM(O79:AY79),2)</f>
        <v>5534.42</v>
      </c>
      <c r="BA79" s="122">
        <f>ROUND(N79-AZ79,2)</f>
        <v>28170.58</v>
      </c>
      <c r="BB79" s="122">
        <f>ROUND(BA79/2,2)</f>
        <v>14085.29</v>
      </c>
      <c r="BC79" s="122">
        <f>BA79-BB79</f>
        <v>14085.29</v>
      </c>
    </row>
    <row r="80" spans="1:55" ht="14.25" customHeight="1" x14ac:dyDescent="0.2">
      <c r="A80" s="112">
        <f t="shared" si="5"/>
        <v>73</v>
      </c>
      <c r="B80" s="114" t="s">
        <v>313</v>
      </c>
      <c r="C80" s="114" t="s">
        <v>314</v>
      </c>
      <c r="D80" s="114" t="s">
        <v>196</v>
      </c>
      <c r="E80" s="114" t="s">
        <v>315</v>
      </c>
      <c r="F80" s="114" t="s">
        <v>136</v>
      </c>
      <c r="G80" s="114" t="s">
        <v>811</v>
      </c>
      <c r="H80" s="125">
        <v>32752</v>
      </c>
      <c r="I80" s="125">
        <v>42348</v>
      </c>
      <c r="J80" s="114">
        <v>15</v>
      </c>
      <c r="K80" s="114">
        <v>4</v>
      </c>
      <c r="L80" s="117">
        <f>IFERROR(VLOOKUP(J80, [1]DATA!$A$4:$I$36, MATCH(K80, [1]DATA!$B$3:$I$3, 0)+1, FALSE), "")</f>
        <v>43442</v>
      </c>
      <c r="M80" s="126">
        <v>2000</v>
      </c>
      <c r="N80" s="119">
        <f t="shared" si="6"/>
        <v>45442</v>
      </c>
      <c r="O80" s="120">
        <f t="shared" si="7"/>
        <v>3909.78</v>
      </c>
      <c r="P80" s="128">
        <v>500</v>
      </c>
      <c r="Q80" s="127">
        <v>655.56</v>
      </c>
      <c r="R80" s="127"/>
      <c r="S80" s="127">
        <v>5920.72</v>
      </c>
      <c r="T80" s="127"/>
      <c r="U80" s="127"/>
      <c r="V80" s="127"/>
      <c r="W80" s="127"/>
      <c r="X80" s="127">
        <v>1966.67</v>
      </c>
      <c r="Y80" s="127"/>
      <c r="Z80" s="127"/>
      <c r="AA80" s="120">
        <v>3997.66</v>
      </c>
      <c r="AB80" s="127">
        <f>ROUND(IF(L80&gt;79999.99,900,IF(L80&lt;10000.01,137.5,IF(10000&lt;L80&gt;80000,L80*2.5%))),2)</f>
        <v>1086.05</v>
      </c>
      <c r="AC80" s="127">
        <v>6485.61</v>
      </c>
      <c r="AD80" s="127"/>
      <c r="AE80" s="127">
        <v>600</v>
      </c>
      <c r="AF80" s="127"/>
      <c r="AG80" s="127">
        <v>100</v>
      </c>
      <c r="AH80" s="127"/>
      <c r="AI80" s="127"/>
      <c r="AJ80" s="127"/>
      <c r="AK80" s="120"/>
      <c r="AL80" s="127">
        <v>100</v>
      </c>
      <c r="AM80" s="127"/>
      <c r="AN80" s="127">
        <v>3000</v>
      </c>
      <c r="AO80" s="120"/>
      <c r="AP80" s="120"/>
      <c r="AQ80" s="120"/>
      <c r="AR80" s="120"/>
      <c r="AS80" s="127">
        <v>0</v>
      </c>
      <c r="AT80" s="127"/>
      <c r="AU80" s="127"/>
      <c r="AV80" s="127"/>
      <c r="AW80" s="127">
        <v>0</v>
      </c>
      <c r="AX80" s="127"/>
      <c r="AY80" s="127">
        <v>6767.43</v>
      </c>
      <c r="AZ80" s="121">
        <f>ROUND(SUM(O80:AY80),2)</f>
        <v>35089.480000000003</v>
      </c>
      <c r="BA80" s="122">
        <f>ROUND(N80-AZ80,2)</f>
        <v>10352.52</v>
      </c>
      <c r="BB80" s="122">
        <f t="shared" si="8"/>
        <v>5176.26</v>
      </c>
      <c r="BC80" s="122">
        <f t="shared" si="9"/>
        <v>5176.26</v>
      </c>
    </row>
    <row r="81" spans="1:55" ht="14.25" customHeight="1" x14ac:dyDescent="0.2">
      <c r="A81" s="112">
        <f t="shared" si="5"/>
        <v>74</v>
      </c>
      <c r="B81" s="114" t="s">
        <v>316</v>
      </c>
      <c r="C81" s="114" t="s">
        <v>317</v>
      </c>
      <c r="D81" s="114" t="s">
        <v>161</v>
      </c>
      <c r="E81" s="114" t="s">
        <v>212</v>
      </c>
      <c r="F81" s="114" t="s">
        <v>136</v>
      </c>
      <c r="G81" s="114" t="s">
        <v>812</v>
      </c>
      <c r="H81" s="125">
        <v>45040</v>
      </c>
      <c r="I81" s="125">
        <v>45040</v>
      </c>
      <c r="J81" s="114">
        <v>10</v>
      </c>
      <c r="K81" s="114">
        <v>1</v>
      </c>
      <c r="L81" s="117">
        <f>IFERROR(VLOOKUP(J81, [1]DATA!$A$4:$I$36, MATCH(K81, [1]DATA!$B$3:$I$3, 0)+1, FALSE), "")</f>
        <v>26917</v>
      </c>
      <c r="M81" s="126">
        <v>2000</v>
      </c>
      <c r="N81" s="119">
        <f t="shared" si="6"/>
        <v>28917</v>
      </c>
      <c r="O81" s="120">
        <f t="shared" si="7"/>
        <v>2422.5300000000002</v>
      </c>
      <c r="P81" s="127"/>
      <c r="Q81" s="127"/>
      <c r="R81" s="127"/>
      <c r="S81" s="127"/>
      <c r="T81" s="127"/>
      <c r="U81" s="127"/>
      <c r="V81" s="127"/>
      <c r="W81" s="127"/>
      <c r="X81" s="127"/>
      <c r="Y81" s="128"/>
      <c r="Z81" s="128"/>
      <c r="AA81" s="120">
        <v>630.72</v>
      </c>
      <c r="AB81" s="127">
        <f>ROUND(IF(L81&gt;79999.99,900,IF(L81&lt;10000.01,137.5,IF(10000&lt;L81&gt;80000,L81*2.5%))),2)-0.01</f>
        <v>672.92</v>
      </c>
      <c r="AC81" s="127"/>
      <c r="AD81" s="127">
        <v>1000</v>
      </c>
      <c r="AE81" s="120">
        <v>200</v>
      </c>
      <c r="AF81" s="127">
        <v>0</v>
      </c>
      <c r="AG81" s="127">
        <v>100</v>
      </c>
      <c r="AH81" s="127"/>
      <c r="AI81" s="127"/>
      <c r="AJ81" s="127"/>
      <c r="AK81" s="120"/>
      <c r="AL81" s="127"/>
      <c r="AM81" s="127"/>
      <c r="AN81" s="127">
        <v>2000</v>
      </c>
      <c r="AO81" s="120">
        <v>461.39</v>
      </c>
      <c r="AP81" s="120">
        <v>704.35</v>
      </c>
      <c r="AQ81" s="120"/>
      <c r="AR81" s="120"/>
      <c r="AS81" s="127"/>
      <c r="AT81" s="127"/>
      <c r="AU81" s="127"/>
      <c r="AV81" s="127"/>
      <c r="AW81" s="127"/>
      <c r="AX81" s="127"/>
      <c r="AY81" s="127"/>
      <c r="AZ81" s="121">
        <f>ROUND(SUM(O81:AY81),2)</f>
        <v>8191.91</v>
      </c>
      <c r="BA81" s="122">
        <f>ROUND(N81-AZ81,2)</f>
        <v>20725.09</v>
      </c>
      <c r="BB81" s="122">
        <f>ROUND(BA81/2,2)</f>
        <v>10362.549999999999</v>
      </c>
      <c r="BC81" s="122">
        <f>BA81-BB81</f>
        <v>10362.540000000001</v>
      </c>
    </row>
    <row r="82" spans="1:55" ht="14.25" customHeight="1" x14ac:dyDescent="0.2">
      <c r="A82" s="112">
        <f t="shared" si="5"/>
        <v>75</v>
      </c>
      <c r="B82" s="114" t="s">
        <v>318</v>
      </c>
      <c r="C82" s="114" t="s">
        <v>319</v>
      </c>
      <c r="D82" s="114" t="s">
        <v>142</v>
      </c>
      <c r="E82" s="114" t="s">
        <v>135</v>
      </c>
      <c r="F82" s="114" t="s">
        <v>136</v>
      </c>
      <c r="G82" s="114" t="s">
        <v>813</v>
      </c>
      <c r="H82" s="125">
        <v>44271</v>
      </c>
      <c r="I82" s="125">
        <v>44271</v>
      </c>
      <c r="J82" s="114">
        <v>9</v>
      </c>
      <c r="K82" s="114">
        <v>2</v>
      </c>
      <c r="L82" s="117">
        <f>IFERROR(VLOOKUP(J82, [1]DATA!$A$4:$I$36, MATCH(K82, [1]DATA!$B$3:$I$3, 0)+1, FALSE), "")</f>
        <v>24523</v>
      </c>
      <c r="M82" s="126">
        <v>2000</v>
      </c>
      <c r="N82" s="119">
        <f t="shared" si="6"/>
        <v>26523</v>
      </c>
      <c r="O82" s="120">
        <f t="shared" si="7"/>
        <v>2207.0700000000002</v>
      </c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  <c r="AA82" s="120">
        <v>208.1</v>
      </c>
      <c r="AB82" s="120">
        <f>ROUND(IF(L82&gt;79999.99,900,IF(L82&lt;10000.01,137.5,IF(10000&lt;L82&gt;80000,L82*2.5%))),2)-0.01</f>
        <v>613.07000000000005</v>
      </c>
      <c r="AC82" s="127"/>
      <c r="AD82" s="127"/>
      <c r="AE82" s="120">
        <v>200</v>
      </c>
      <c r="AF82" s="127">
        <v>0</v>
      </c>
      <c r="AG82" s="128">
        <v>100</v>
      </c>
      <c r="AH82" s="128"/>
      <c r="AI82" s="128"/>
      <c r="AJ82" s="127"/>
      <c r="AK82" s="120"/>
      <c r="AL82" s="127"/>
      <c r="AM82" s="127"/>
      <c r="AN82" s="127"/>
      <c r="AO82" s="120"/>
      <c r="AP82" s="120"/>
      <c r="AQ82" s="120"/>
      <c r="AR82" s="120"/>
      <c r="AS82" s="127">
        <v>0</v>
      </c>
      <c r="AT82" s="127"/>
      <c r="AU82" s="127"/>
      <c r="AV82" s="127"/>
      <c r="AW82" s="127"/>
      <c r="AX82" s="127"/>
      <c r="AY82" s="127"/>
      <c r="AZ82" s="121">
        <f>ROUND(SUM(O82:AY82),2)</f>
        <v>3328.24</v>
      </c>
      <c r="BA82" s="122">
        <f>ROUND(N82-AZ82,2)</f>
        <v>23194.76</v>
      </c>
      <c r="BB82" s="122">
        <f>ROUND(BA82/2,2)</f>
        <v>11597.38</v>
      </c>
      <c r="BC82" s="122">
        <f>BA82-BB82</f>
        <v>11597.38</v>
      </c>
    </row>
    <row r="83" spans="1:55" ht="14.25" customHeight="1" x14ac:dyDescent="0.2">
      <c r="A83" s="112">
        <f t="shared" si="5"/>
        <v>76</v>
      </c>
      <c r="B83" s="114" t="s">
        <v>320</v>
      </c>
      <c r="C83" s="114" t="s">
        <v>321</v>
      </c>
      <c r="D83" s="114" t="s">
        <v>115</v>
      </c>
      <c r="E83" s="114" t="s">
        <v>322</v>
      </c>
      <c r="F83" s="114" t="s">
        <v>152</v>
      </c>
      <c r="G83" s="114" t="s">
        <v>814</v>
      </c>
      <c r="H83" s="125">
        <v>32843</v>
      </c>
      <c r="I83" s="125">
        <v>44990</v>
      </c>
      <c r="J83" s="114">
        <v>28</v>
      </c>
      <c r="K83" s="114">
        <v>5</v>
      </c>
      <c r="L83" s="117">
        <f>IFERROR(VLOOKUP(J83, [1]DATA!$A$4:$I$36, MATCH(K83, [1]DATA!$B$3:$I$3, 0)+1, FALSE), "")</f>
        <v>177545</v>
      </c>
      <c r="M83" s="126">
        <v>2000</v>
      </c>
      <c r="N83" s="119">
        <f t="shared" si="6"/>
        <v>179545</v>
      </c>
      <c r="O83" s="120">
        <f t="shared" si="7"/>
        <v>15979.05</v>
      </c>
      <c r="P83" s="127"/>
      <c r="Q83" s="127"/>
      <c r="R83" s="127"/>
      <c r="S83" s="127"/>
      <c r="T83" s="127">
        <v>252</v>
      </c>
      <c r="U83" s="127"/>
      <c r="V83" s="127"/>
      <c r="W83" s="127"/>
      <c r="X83" s="127"/>
      <c r="Y83" s="127"/>
      <c r="Z83" s="127"/>
      <c r="AA83" s="120">
        <v>43056.83</v>
      </c>
      <c r="AB83" s="127">
        <v>2500</v>
      </c>
      <c r="AC83" s="127"/>
      <c r="AD83" s="127"/>
      <c r="AE83" s="120">
        <v>200</v>
      </c>
      <c r="AF83" s="127"/>
      <c r="AG83" s="127">
        <v>0</v>
      </c>
      <c r="AH83" s="127"/>
      <c r="AI83" s="127"/>
      <c r="AJ83" s="127"/>
      <c r="AK83" s="120"/>
      <c r="AL83" s="127"/>
      <c r="AM83" s="127"/>
      <c r="AN83" s="127"/>
      <c r="AO83" s="120"/>
      <c r="AP83" s="120"/>
      <c r="AQ83" s="120"/>
      <c r="AR83" s="120"/>
      <c r="AS83" s="127">
        <v>0</v>
      </c>
      <c r="AT83" s="127"/>
      <c r="AU83" s="127"/>
      <c r="AV83" s="127"/>
      <c r="AW83" s="127"/>
      <c r="AX83" s="127"/>
      <c r="AY83" s="127"/>
      <c r="AZ83" s="121">
        <f>ROUND(SUM(O83:AY83),2)</f>
        <v>61987.88</v>
      </c>
      <c r="BA83" s="122">
        <f>ROUND(N83-AZ83,2)</f>
        <v>117557.12</v>
      </c>
      <c r="BB83" s="122">
        <f t="shared" si="8"/>
        <v>58778.559999999998</v>
      </c>
      <c r="BC83" s="122">
        <f t="shared" si="9"/>
        <v>58778.559999999998</v>
      </c>
    </row>
    <row r="84" spans="1:55" ht="14.25" customHeight="1" x14ac:dyDescent="0.2">
      <c r="A84" s="112">
        <f t="shared" si="5"/>
        <v>77</v>
      </c>
      <c r="B84" s="114" t="s">
        <v>323</v>
      </c>
      <c r="C84" s="114" t="s">
        <v>324</v>
      </c>
      <c r="D84" s="114" t="s">
        <v>125</v>
      </c>
      <c r="E84" s="114" t="s">
        <v>162</v>
      </c>
      <c r="F84" s="114" t="s">
        <v>117</v>
      </c>
      <c r="G84" s="114" t="s">
        <v>815</v>
      </c>
      <c r="H84" s="125">
        <v>44508</v>
      </c>
      <c r="I84" s="125">
        <v>45607</v>
      </c>
      <c r="J84" s="114">
        <v>15</v>
      </c>
      <c r="K84" s="114">
        <v>1</v>
      </c>
      <c r="L84" s="117">
        <f>IFERROR(VLOOKUP(J84, [1]DATA!$A$4:$I$36, MATCH(K84, [1]DATA!$B$3:$I$3, 0)+1, FALSE), "")</f>
        <v>42178</v>
      </c>
      <c r="M84" s="126">
        <v>2000</v>
      </c>
      <c r="N84" s="119">
        <f t="shared" si="6"/>
        <v>44178</v>
      </c>
      <c r="O84" s="120">
        <f t="shared" si="7"/>
        <v>3796.02</v>
      </c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  <c r="AA84" s="120">
        <v>3695.42</v>
      </c>
      <c r="AB84" s="127">
        <f>ROUND(IF(L84&gt;79999.99,900,IF(L84&lt;10000.01,137.5,IF(10000&lt;L84&gt;80000,L84*2.5%))),2)</f>
        <v>1054.45</v>
      </c>
      <c r="AC84" s="127"/>
      <c r="AD84" s="127"/>
      <c r="AE84" s="120">
        <v>200</v>
      </c>
      <c r="AF84" s="127">
        <v>0</v>
      </c>
      <c r="AG84" s="127">
        <v>100</v>
      </c>
      <c r="AH84" s="127"/>
      <c r="AI84" s="127"/>
      <c r="AJ84" s="127"/>
      <c r="AK84" s="120"/>
      <c r="AL84" s="127"/>
      <c r="AM84" s="127"/>
      <c r="AN84" s="127"/>
      <c r="AO84" s="120"/>
      <c r="AP84" s="120"/>
      <c r="AQ84" s="120"/>
      <c r="AR84" s="120"/>
      <c r="AS84" s="127">
        <v>0</v>
      </c>
      <c r="AT84" s="127"/>
      <c r="AU84" s="127"/>
      <c r="AV84" s="127"/>
      <c r="AW84" s="127"/>
      <c r="AX84" s="127"/>
      <c r="AY84" s="127"/>
      <c r="AZ84" s="121">
        <f>ROUND(SUM(O84:AY84),2)</f>
        <v>8845.89</v>
      </c>
      <c r="BA84" s="122">
        <f>ROUND(N84-AZ84,2)</f>
        <v>35332.11</v>
      </c>
      <c r="BB84" s="122">
        <f t="shared" si="8"/>
        <v>17666.060000000001</v>
      </c>
      <c r="BC84" s="122">
        <f t="shared" si="9"/>
        <v>17666.05</v>
      </c>
    </row>
    <row r="85" spans="1:55" ht="14.25" customHeight="1" x14ac:dyDescent="0.2">
      <c r="A85" s="112">
        <f t="shared" si="5"/>
        <v>78</v>
      </c>
      <c r="B85" s="114" t="s">
        <v>325</v>
      </c>
      <c r="C85" s="114" t="s">
        <v>326</v>
      </c>
      <c r="D85" s="114" t="s">
        <v>120</v>
      </c>
      <c r="E85" s="114" t="s">
        <v>327</v>
      </c>
      <c r="F85" s="114" t="s">
        <v>147</v>
      </c>
      <c r="G85" s="114" t="s">
        <v>816</v>
      </c>
      <c r="H85" s="125">
        <v>42422</v>
      </c>
      <c r="I85" s="125">
        <v>43549</v>
      </c>
      <c r="J85" s="114">
        <v>18</v>
      </c>
      <c r="K85" s="114">
        <v>3</v>
      </c>
      <c r="L85" s="117">
        <f>IFERROR(VLOOKUP(J85, [1]DATA!$A$4:$I$36, MATCH(K85, [1]DATA!$B$3:$I$3, 0)+1, FALSE), "")</f>
        <v>54933</v>
      </c>
      <c r="M85" s="126">
        <v>2000</v>
      </c>
      <c r="N85" s="119">
        <f t="shared" si="6"/>
        <v>56933</v>
      </c>
      <c r="O85" s="120">
        <f t="shared" si="7"/>
        <v>4943.97</v>
      </c>
      <c r="P85" s="127"/>
      <c r="Q85" s="127"/>
      <c r="R85" s="127"/>
      <c r="S85" s="127"/>
      <c r="T85" s="127"/>
      <c r="U85" s="127"/>
      <c r="V85" s="127"/>
      <c r="W85" s="127"/>
      <c r="X85" s="127"/>
      <c r="Y85" s="127">
        <v>9470.66</v>
      </c>
      <c r="Z85" s="127"/>
      <c r="AA85" s="120">
        <v>6245.67</v>
      </c>
      <c r="AB85" s="127">
        <f>ROUND(IF(L85&gt;79999.99,900,IF(L85&lt;10000.01,137.5,IF(10000&lt;L85&gt;80000,L85*2.5%))),2)-0.01</f>
        <v>1373.32</v>
      </c>
      <c r="AC85" s="127"/>
      <c r="AD85" s="127">
        <v>0</v>
      </c>
      <c r="AE85" s="120">
        <v>200</v>
      </c>
      <c r="AF85" s="127">
        <v>0</v>
      </c>
      <c r="AG85" s="127">
        <v>100</v>
      </c>
      <c r="AH85" s="127"/>
      <c r="AI85" s="127"/>
      <c r="AJ85" s="127"/>
      <c r="AK85" s="120"/>
      <c r="AL85" s="127"/>
      <c r="AM85" s="127"/>
      <c r="AN85" s="127"/>
      <c r="AO85" s="120"/>
      <c r="AP85" s="120"/>
      <c r="AQ85" s="120"/>
      <c r="AR85" s="120"/>
      <c r="AS85" s="127">
        <v>0</v>
      </c>
      <c r="AT85" s="127"/>
      <c r="AU85" s="127"/>
      <c r="AV85" s="127"/>
      <c r="AW85" s="127">
        <v>0</v>
      </c>
      <c r="AX85" s="127"/>
      <c r="AY85" s="127"/>
      <c r="AZ85" s="121">
        <f>ROUND(SUM(O85:AY85),2)</f>
        <v>22333.62</v>
      </c>
      <c r="BA85" s="122">
        <f>ROUND(N85-AZ85,2)</f>
        <v>34599.379999999997</v>
      </c>
      <c r="BB85" s="122">
        <f t="shared" si="8"/>
        <v>17299.689999999999</v>
      </c>
      <c r="BC85" s="122">
        <f t="shared" si="9"/>
        <v>17299.689999999999</v>
      </c>
    </row>
    <row r="86" spans="1:55" ht="14.25" customHeight="1" x14ac:dyDescent="0.2">
      <c r="A86" s="112">
        <f t="shared" si="5"/>
        <v>79</v>
      </c>
      <c r="B86" s="114" t="s">
        <v>328</v>
      </c>
      <c r="C86" s="114" t="s">
        <v>329</v>
      </c>
      <c r="D86" s="114" t="s">
        <v>330</v>
      </c>
      <c r="E86" s="114" t="s">
        <v>331</v>
      </c>
      <c r="F86" s="114" t="s">
        <v>136</v>
      </c>
      <c r="G86" s="114" t="s">
        <v>817</v>
      </c>
      <c r="H86" s="125">
        <v>44508</v>
      </c>
      <c r="I86" s="125">
        <v>45659</v>
      </c>
      <c r="J86" s="114">
        <v>19</v>
      </c>
      <c r="K86" s="114">
        <v>1</v>
      </c>
      <c r="L86" s="117">
        <f>IFERROR(VLOOKUP(J86, [1]DATA!$A$4:$I$36, MATCH(K86, [1]DATA!$B$3:$I$3, 0)+1, FALSE), "")</f>
        <v>59153</v>
      </c>
      <c r="M86" s="126">
        <v>2000</v>
      </c>
      <c r="N86" s="119">
        <f t="shared" si="6"/>
        <v>61153</v>
      </c>
      <c r="O86" s="120">
        <f t="shared" si="7"/>
        <v>5323.77</v>
      </c>
      <c r="P86" s="127"/>
      <c r="Q86" s="127">
        <v>655.56</v>
      </c>
      <c r="R86" s="127"/>
      <c r="S86" s="127"/>
      <c r="T86" s="127"/>
      <c r="U86" s="127"/>
      <c r="V86" s="127"/>
      <c r="W86" s="127"/>
      <c r="X86" s="127"/>
      <c r="Y86" s="127"/>
      <c r="Z86" s="127"/>
      <c r="AA86" s="120">
        <v>7633.31</v>
      </c>
      <c r="AB86" s="127">
        <f>ROUND(IF(L86&gt;79999.99,900,IF(L86&lt;10000.01,137.5,IF(10000&lt;L86&gt;80000,L86*2.5%))),2)-0.01</f>
        <v>1478.82</v>
      </c>
      <c r="AC86" s="127">
        <v>1277.8800000000001</v>
      </c>
      <c r="AD86" s="127">
        <v>500</v>
      </c>
      <c r="AE86" s="120">
        <v>200</v>
      </c>
      <c r="AF86" s="127">
        <v>0</v>
      </c>
      <c r="AG86" s="128">
        <v>100</v>
      </c>
      <c r="AH86" s="128">
        <v>1336</v>
      </c>
      <c r="AI86" s="128"/>
      <c r="AJ86" s="127"/>
      <c r="AK86" s="120"/>
      <c r="AL86" s="127"/>
      <c r="AM86" s="127"/>
      <c r="AN86" s="127"/>
      <c r="AO86" s="120"/>
      <c r="AP86" s="120"/>
      <c r="AQ86" s="120"/>
      <c r="AR86" s="120"/>
      <c r="AS86" s="127">
        <v>0</v>
      </c>
      <c r="AT86" s="127"/>
      <c r="AU86" s="127"/>
      <c r="AV86" s="127"/>
      <c r="AW86" s="127"/>
      <c r="AX86" s="127"/>
      <c r="AY86" s="127"/>
      <c r="AZ86" s="121">
        <f>ROUND(SUM(O86:AY86),2)</f>
        <v>18505.34</v>
      </c>
      <c r="BA86" s="122">
        <f>ROUND(N86-AZ86,2)</f>
        <v>42647.66</v>
      </c>
      <c r="BB86" s="122">
        <f>ROUND(BA86/2,2)</f>
        <v>21323.83</v>
      </c>
      <c r="BC86" s="122">
        <f>BA86-BB86</f>
        <v>21323.83</v>
      </c>
    </row>
    <row r="87" spans="1:55" ht="14.25" customHeight="1" x14ac:dyDescent="0.2">
      <c r="A87" s="112">
        <f t="shared" si="5"/>
        <v>80</v>
      </c>
      <c r="B87" s="135" t="s">
        <v>332</v>
      </c>
      <c r="C87" s="136" t="s">
        <v>333</v>
      </c>
      <c r="D87" s="136" t="s">
        <v>290</v>
      </c>
      <c r="E87" s="136" t="s">
        <v>121</v>
      </c>
      <c r="F87" s="136" t="s">
        <v>122</v>
      </c>
      <c r="G87" s="136" t="s">
        <v>818</v>
      </c>
      <c r="H87" s="137">
        <v>45611</v>
      </c>
      <c r="I87" s="137">
        <v>45611</v>
      </c>
      <c r="J87" s="136">
        <v>11</v>
      </c>
      <c r="K87" s="136">
        <v>1</v>
      </c>
      <c r="L87" s="117">
        <f>IFERROR(VLOOKUP(J87, [1]DATA!$A$4:$I$36, MATCH(K87, [1]DATA!$B$3:$I$3, 0)+1, FALSE), "")</f>
        <v>31705</v>
      </c>
      <c r="M87" s="126">
        <v>2000</v>
      </c>
      <c r="N87" s="119">
        <f t="shared" si="6"/>
        <v>33705</v>
      </c>
      <c r="O87" s="120">
        <f t="shared" si="7"/>
        <v>2853.45</v>
      </c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0">
        <v>1468.9</v>
      </c>
      <c r="AB87" s="127">
        <f>ROUND(IF(L87&gt;79999.99,900,IF(L87&lt;10000.01,137.5,IF(10000&lt;L87&gt;80000,L87*2.5%))),2)-0.01</f>
        <v>792.62</v>
      </c>
      <c r="AC87" s="127"/>
      <c r="AD87" s="127"/>
      <c r="AE87" s="120">
        <v>200</v>
      </c>
      <c r="AF87" s="127"/>
      <c r="AG87" s="128">
        <v>100</v>
      </c>
      <c r="AH87" s="128"/>
      <c r="AI87" s="128"/>
      <c r="AJ87" s="127"/>
      <c r="AK87" s="120"/>
      <c r="AL87" s="127"/>
      <c r="AM87" s="127"/>
      <c r="AN87" s="127"/>
      <c r="AO87" s="120"/>
      <c r="AP87" s="120"/>
      <c r="AQ87" s="120"/>
      <c r="AR87" s="120"/>
      <c r="AS87" s="127"/>
      <c r="AT87" s="127"/>
      <c r="AU87" s="127"/>
      <c r="AV87" s="127"/>
      <c r="AW87" s="127"/>
      <c r="AX87" s="127"/>
      <c r="AY87" s="127"/>
      <c r="AZ87" s="121">
        <f>ROUND(SUM(O87:AY87),2)</f>
        <v>5414.97</v>
      </c>
      <c r="BA87" s="122">
        <f>ROUND(N87-AZ87,2)</f>
        <v>28290.03</v>
      </c>
      <c r="BB87" s="122">
        <f>ROUND(BA87/2,2)</f>
        <v>14145.02</v>
      </c>
      <c r="BC87" s="122">
        <f>BA87-BB87</f>
        <v>14145.009999999998</v>
      </c>
    </row>
    <row r="88" spans="1:55" ht="14.25" customHeight="1" x14ac:dyDescent="0.2">
      <c r="A88" s="112">
        <f t="shared" si="5"/>
        <v>81</v>
      </c>
      <c r="B88" s="114" t="s">
        <v>334</v>
      </c>
      <c r="C88" s="114" t="s">
        <v>335</v>
      </c>
      <c r="D88" s="114" t="s">
        <v>125</v>
      </c>
      <c r="E88" s="114" t="s">
        <v>336</v>
      </c>
      <c r="F88" s="114" t="s">
        <v>147</v>
      </c>
      <c r="G88" s="114" t="s">
        <v>819</v>
      </c>
      <c r="H88" s="125">
        <v>45670</v>
      </c>
      <c r="I88" s="125">
        <v>45670</v>
      </c>
      <c r="J88" s="114">
        <v>11</v>
      </c>
      <c r="K88" s="114">
        <v>1</v>
      </c>
      <c r="L88" s="117">
        <f>IFERROR(VLOOKUP(J88, [1]DATA!$A$4:$I$36, MATCH(K88, [1]DATA!$B$3:$I$3, 0)+1, FALSE), "")</f>
        <v>31705</v>
      </c>
      <c r="M88" s="126">
        <v>2000</v>
      </c>
      <c r="N88" s="119">
        <f>L88+M88</f>
        <v>33705</v>
      </c>
      <c r="O88" s="120">
        <f t="shared" si="7"/>
        <v>2853.45</v>
      </c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0">
        <v>1443.4</v>
      </c>
      <c r="AB88" s="120">
        <f>ROUND(IF(L88&gt;79999.99,900,IF(L88&lt;10000.01,137.5,IF(10000&lt;L88&gt;80000,L88*2.5%))),2)-0.01</f>
        <v>792.62</v>
      </c>
      <c r="AC88" s="127"/>
      <c r="AD88" s="127"/>
      <c r="AE88" s="120">
        <v>200</v>
      </c>
      <c r="AF88" s="127"/>
      <c r="AG88" s="120">
        <v>100</v>
      </c>
      <c r="AH88" s="127"/>
      <c r="AI88" s="127"/>
      <c r="AJ88" s="127"/>
      <c r="AK88" s="120">
        <v>1000</v>
      </c>
      <c r="AL88" s="127"/>
      <c r="AM88" s="127"/>
      <c r="AN88" s="127">
        <v>2000</v>
      </c>
      <c r="AO88" s="120">
        <v>527.29999999999995</v>
      </c>
      <c r="AP88" s="120">
        <v>496.79</v>
      </c>
      <c r="AQ88" s="120"/>
      <c r="AR88" s="120"/>
      <c r="AS88" s="127"/>
      <c r="AT88" s="127"/>
      <c r="AU88" s="127">
        <v>16652.95</v>
      </c>
      <c r="AV88" s="127"/>
      <c r="AW88" s="127"/>
      <c r="AX88" s="127"/>
      <c r="AY88" s="127"/>
      <c r="AZ88" s="121">
        <f>ROUND(SUM(O88:AY88),2)</f>
        <v>26066.51</v>
      </c>
      <c r="BA88" s="122">
        <f>ROUND(N88-AZ88,2)</f>
        <v>7638.49</v>
      </c>
      <c r="BB88" s="122">
        <f>ROUND(BA88/2,2)</f>
        <v>3819.25</v>
      </c>
      <c r="BC88" s="122">
        <f>BA88-BB88</f>
        <v>3819.24</v>
      </c>
    </row>
    <row r="89" spans="1:55" ht="14.25" customHeight="1" x14ac:dyDescent="0.2">
      <c r="A89" s="112">
        <f t="shared" si="5"/>
        <v>82</v>
      </c>
      <c r="B89" s="114" t="s">
        <v>337</v>
      </c>
      <c r="C89" s="114" t="s">
        <v>338</v>
      </c>
      <c r="D89" s="114" t="s">
        <v>229</v>
      </c>
      <c r="E89" s="114" t="s">
        <v>339</v>
      </c>
      <c r="F89" s="114" t="s">
        <v>112</v>
      </c>
      <c r="G89" s="114" t="s">
        <v>820</v>
      </c>
      <c r="H89" s="125">
        <v>44075</v>
      </c>
      <c r="I89" s="125">
        <v>44986</v>
      </c>
      <c r="J89" s="114">
        <v>15</v>
      </c>
      <c r="K89" s="114">
        <v>1</v>
      </c>
      <c r="L89" s="117">
        <f>IFERROR(VLOOKUP(J89, [1]DATA!$A$4:$I$36, MATCH(K89, [1]DATA!$B$3:$I$3, 0)+1, FALSE), "")</f>
        <v>42178</v>
      </c>
      <c r="M89" s="126">
        <v>2000</v>
      </c>
      <c r="N89" s="119">
        <f t="shared" si="6"/>
        <v>44178</v>
      </c>
      <c r="O89" s="120">
        <f t="shared" si="7"/>
        <v>3796.02</v>
      </c>
      <c r="P89" s="127">
        <v>1000</v>
      </c>
      <c r="Q89" s="127">
        <v>1191.8800000000001</v>
      </c>
      <c r="R89" s="127"/>
      <c r="S89" s="127"/>
      <c r="T89" s="127"/>
      <c r="U89" s="127"/>
      <c r="V89" s="127">
        <v>5422.38</v>
      </c>
      <c r="W89" s="127">
        <v>1400</v>
      </c>
      <c r="X89" s="127"/>
      <c r="Y89" s="127"/>
      <c r="Z89" s="127"/>
      <c r="AA89" s="120">
        <v>3695.42</v>
      </c>
      <c r="AB89" s="120">
        <f>ROUND(IF(L89&gt;79999.99,900,IF(L89&lt;10000.01,137.5,IF(10000&lt;L89&gt;80000,L89*2.5%))),2)</f>
        <v>1054.45</v>
      </c>
      <c r="AC89" s="127"/>
      <c r="AD89" s="127"/>
      <c r="AE89" s="120">
        <v>200</v>
      </c>
      <c r="AF89" s="127">
        <v>0</v>
      </c>
      <c r="AG89" s="127">
        <v>100</v>
      </c>
      <c r="AH89" s="127"/>
      <c r="AI89" s="127"/>
      <c r="AJ89" s="127"/>
      <c r="AK89" s="120"/>
      <c r="AL89" s="127"/>
      <c r="AM89" s="127"/>
      <c r="AN89" s="127"/>
      <c r="AO89" s="120"/>
      <c r="AP89" s="120"/>
      <c r="AQ89" s="120"/>
      <c r="AR89" s="120"/>
      <c r="AS89" s="127">
        <v>0</v>
      </c>
      <c r="AT89" s="127"/>
      <c r="AU89" s="127">
        <v>11894.97</v>
      </c>
      <c r="AV89" s="127"/>
      <c r="AW89" s="127"/>
      <c r="AX89" s="127"/>
      <c r="AY89" s="127">
        <v>3034.72</v>
      </c>
      <c r="AZ89" s="121">
        <f>ROUND(SUM(O89:AY89),2)</f>
        <v>32789.839999999997</v>
      </c>
      <c r="BA89" s="122">
        <f>ROUND(N89-AZ89,2)</f>
        <v>11388.16</v>
      </c>
      <c r="BB89" s="122">
        <f t="shared" si="8"/>
        <v>5694.08</v>
      </c>
      <c r="BC89" s="122">
        <f>BA89-BB89</f>
        <v>5694.08</v>
      </c>
    </row>
    <row r="90" spans="1:55" ht="14.25" customHeight="1" x14ac:dyDescent="0.2">
      <c r="A90" s="112">
        <f t="shared" si="5"/>
        <v>83</v>
      </c>
      <c r="B90" s="114" t="s">
        <v>340</v>
      </c>
      <c r="C90" s="114" t="s">
        <v>341</v>
      </c>
      <c r="D90" s="114" t="s">
        <v>115</v>
      </c>
      <c r="E90" s="114" t="s">
        <v>342</v>
      </c>
      <c r="F90" s="114" t="s">
        <v>117</v>
      </c>
      <c r="G90" s="114" t="s">
        <v>821</v>
      </c>
      <c r="H90" s="125">
        <v>42278</v>
      </c>
      <c r="I90" s="125">
        <v>43789</v>
      </c>
      <c r="J90" s="114">
        <v>18</v>
      </c>
      <c r="K90" s="114">
        <v>3</v>
      </c>
      <c r="L90" s="117">
        <f>IFERROR(VLOOKUP(J90, [1]DATA!$A$4:$I$36, MATCH(K90, [1]DATA!$B$3:$I$3, 0)+1, FALSE), "")</f>
        <v>54933</v>
      </c>
      <c r="M90" s="126">
        <v>2000</v>
      </c>
      <c r="N90" s="119">
        <f t="shared" si="6"/>
        <v>56933</v>
      </c>
      <c r="O90" s="120">
        <f t="shared" si="7"/>
        <v>4943.97</v>
      </c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  <c r="AA90" s="120">
        <v>6595.75</v>
      </c>
      <c r="AB90" s="127">
        <f>ROUND(IF(L90&gt;79999.99,900,IF(L90&lt;10000.01,137.5,IF(10000&lt;L90&gt;80000,L90*2.5%))),2)-0.01</f>
        <v>1373.32</v>
      </c>
      <c r="AC90" s="127"/>
      <c r="AD90" s="127"/>
      <c r="AE90" s="120">
        <v>200</v>
      </c>
      <c r="AF90" s="127">
        <v>0</v>
      </c>
      <c r="AG90" s="127">
        <v>100</v>
      </c>
      <c r="AH90" s="127"/>
      <c r="AI90" s="127"/>
      <c r="AJ90" s="127"/>
      <c r="AK90" s="120"/>
      <c r="AL90" s="127"/>
      <c r="AM90" s="127"/>
      <c r="AN90" s="127"/>
      <c r="AO90" s="120"/>
      <c r="AP90" s="120"/>
      <c r="AQ90" s="120"/>
      <c r="AR90" s="120"/>
      <c r="AS90" s="127">
        <v>0</v>
      </c>
      <c r="AT90" s="127"/>
      <c r="AU90" s="127"/>
      <c r="AV90" s="127"/>
      <c r="AW90" s="127">
        <v>0</v>
      </c>
      <c r="AX90" s="127"/>
      <c r="AY90" s="127"/>
      <c r="AZ90" s="121">
        <f>ROUND(SUM(O90:AY90),2)</f>
        <v>13213.04</v>
      </c>
      <c r="BA90" s="122">
        <f>ROUND(N90-AZ90,2)</f>
        <v>43719.96</v>
      </c>
      <c r="BB90" s="122">
        <f t="shared" si="8"/>
        <v>21859.98</v>
      </c>
      <c r="BC90" s="122">
        <f t="shared" si="9"/>
        <v>21859.98</v>
      </c>
    </row>
    <row r="91" spans="1:55" ht="14.25" customHeight="1" x14ac:dyDescent="0.2">
      <c r="A91" s="112">
        <f t="shared" si="5"/>
        <v>84</v>
      </c>
      <c r="B91" s="114" t="s">
        <v>343</v>
      </c>
      <c r="C91" s="114" t="s">
        <v>344</v>
      </c>
      <c r="D91" s="114" t="s">
        <v>161</v>
      </c>
      <c r="E91" s="114" t="s">
        <v>315</v>
      </c>
      <c r="F91" s="114" t="s">
        <v>136</v>
      </c>
      <c r="G91" s="114" t="s">
        <v>822</v>
      </c>
      <c r="H91" s="125">
        <v>34781</v>
      </c>
      <c r="I91" s="125">
        <v>44291</v>
      </c>
      <c r="J91" s="114">
        <v>15</v>
      </c>
      <c r="K91" s="114">
        <v>2</v>
      </c>
      <c r="L91" s="117">
        <f>IFERROR(VLOOKUP(J91, [1]DATA!$A$4:$I$36, MATCH(K91, [1]DATA!$B$3:$I$3, 0)+1, FALSE), "")</f>
        <v>42594</v>
      </c>
      <c r="M91" s="126">
        <v>2000</v>
      </c>
      <c r="N91" s="119">
        <f t="shared" si="6"/>
        <v>44594</v>
      </c>
      <c r="O91" s="120">
        <f t="shared" si="7"/>
        <v>3833.46</v>
      </c>
      <c r="P91" s="127">
        <v>500</v>
      </c>
      <c r="Q91" s="127">
        <v>1311.12</v>
      </c>
      <c r="R91" s="127"/>
      <c r="S91" s="127"/>
      <c r="T91" s="127"/>
      <c r="U91" s="127"/>
      <c r="V91" s="128">
        <v>6325.92</v>
      </c>
      <c r="W91" s="138"/>
      <c r="X91" s="127">
        <v>1966.67</v>
      </c>
      <c r="Y91" s="127"/>
      <c r="Z91" s="127"/>
      <c r="AA91" s="120">
        <v>3791.96</v>
      </c>
      <c r="AB91" s="120">
        <f>ROUND(IF(L91&gt;79999.99,900,IF(L91&lt;10000.01,137.5,IF(10000&lt;L91&gt;80000,L91*2.5%))),2)</f>
        <v>1064.8499999999999</v>
      </c>
      <c r="AC91" s="129"/>
      <c r="AD91" s="127"/>
      <c r="AE91" s="120">
        <v>200</v>
      </c>
      <c r="AF91" s="127">
        <v>0</v>
      </c>
      <c r="AG91" s="127"/>
      <c r="AH91" s="127"/>
      <c r="AI91" s="127"/>
      <c r="AJ91" s="127"/>
      <c r="AK91" s="120"/>
      <c r="AL91" s="127"/>
      <c r="AM91" s="127"/>
      <c r="AN91" s="127"/>
      <c r="AO91" s="120"/>
      <c r="AP91" s="120"/>
      <c r="AQ91" s="120"/>
      <c r="AR91" s="120"/>
      <c r="AS91" s="127">
        <v>0</v>
      </c>
      <c r="AT91" s="127">
        <v>7180.79</v>
      </c>
      <c r="AU91" s="127">
        <v>11894.97</v>
      </c>
      <c r="AV91" s="127"/>
      <c r="AW91" s="127"/>
      <c r="AX91" s="129"/>
      <c r="AY91" s="129"/>
      <c r="AZ91" s="121">
        <f>ROUND(SUM(O91:AY91),2)</f>
        <v>38069.74</v>
      </c>
      <c r="BA91" s="122">
        <f>ROUND(N91-AZ91,2)</f>
        <v>6524.26</v>
      </c>
      <c r="BB91" s="122">
        <f t="shared" si="8"/>
        <v>3262.13</v>
      </c>
      <c r="BC91" s="122">
        <f t="shared" si="9"/>
        <v>3262.13</v>
      </c>
    </row>
    <row r="92" spans="1:55" ht="14.25" customHeight="1" x14ac:dyDescent="0.2">
      <c r="A92" s="112">
        <f t="shared" si="5"/>
        <v>85</v>
      </c>
      <c r="B92" s="114" t="s">
        <v>345</v>
      </c>
      <c r="C92" s="114" t="s">
        <v>346</v>
      </c>
      <c r="D92" s="114" t="s">
        <v>248</v>
      </c>
      <c r="E92" s="114" t="s">
        <v>135</v>
      </c>
      <c r="F92" s="114" t="s">
        <v>136</v>
      </c>
      <c r="G92" s="114" t="s">
        <v>823</v>
      </c>
      <c r="H92" s="125">
        <v>45236</v>
      </c>
      <c r="I92" s="125">
        <v>45236</v>
      </c>
      <c r="J92" s="114">
        <v>9</v>
      </c>
      <c r="K92" s="114">
        <v>1</v>
      </c>
      <c r="L92" s="117">
        <f>IFERROR(VLOOKUP(J92, [1]DATA!$A$4:$I$36, MATCH(K92, [1]DATA!$B$3:$I$3, 0)+1, FALSE), "")</f>
        <v>24329</v>
      </c>
      <c r="M92" s="126">
        <v>2000</v>
      </c>
      <c r="N92" s="119">
        <f t="shared" si="6"/>
        <v>26329</v>
      </c>
      <c r="O92" s="120">
        <f t="shared" si="7"/>
        <v>2189.61</v>
      </c>
      <c r="P92" s="127"/>
      <c r="Q92" s="127"/>
      <c r="R92" s="127"/>
      <c r="S92" s="127"/>
      <c r="T92" s="127"/>
      <c r="U92" s="127"/>
      <c r="V92" s="128"/>
      <c r="W92" s="128"/>
      <c r="X92" s="128"/>
      <c r="Y92" s="127"/>
      <c r="Z92" s="127"/>
      <c r="AA92" s="120">
        <v>163.11000000000001</v>
      </c>
      <c r="AB92" s="120">
        <f>ROUND(IF(L92&gt;79999.99,900,IF(L92&lt;10000.01,137.5,IF(10000&lt;L92&gt;80000,L92*2.5%))),2)-0.01</f>
        <v>608.22</v>
      </c>
      <c r="AC92" s="127"/>
      <c r="AD92" s="127">
        <v>1000</v>
      </c>
      <c r="AE92" s="127">
        <v>600</v>
      </c>
      <c r="AF92" s="127">
        <v>0</v>
      </c>
      <c r="AG92" s="127">
        <v>100</v>
      </c>
      <c r="AH92" s="127"/>
      <c r="AI92" s="127"/>
      <c r="AJ92" s="127"/>
      <c r="AK92" s="120"/>
      <c r="AL92" s="127">
        <v>100</v>
      </c>
      <c r="AM92" s="127"/>
      <c r="AN92" s="127"/>
      <c r="AO92" s="120"/>
      <c r="AP92" s="120"/>
      <c r="AQ92" s="120"/>
      <c r="AR92" s="120"/>
      <c r="AS92" s="127"/>
      <c r="AT92" s="127"/>
      <c r="AU92" s="127"/>
      <c r="AV92" s="127"/>
      <c r="AW92" s="127"/>
      <c r="AX92" s="127"/>
      <c r="AY92" s="127"/>
      <c r="AZ92" s="121">
        <f>ROUND(SUM(O92:AY92),2)</f>
        <v>4760.9399999999996</v>
      </c>
      <c r="BA92" s="122">
        <f>ROUND(N92-AZ92,2)</f>
        <v>21568.06</v>
      </c>
      <c r="BB92" s="122">
        <f t="shared" si="8"/>
        <v>10784.03</v>
      </c>
      <c r="BC92" s="122">
        <f t="shared" si="9"/>
        <v>10784.03</v>
      </c>
    </row>
    <row r="93" spans="1:55" ht="14.25" customHeight="1" x14ac:dyDescent="0.2">
      <c r="A93" s="112">
        <f t="shared" si="5"/>
        <v>86</v>
      </c>
      <c r="B93" s="114" t="s">
        <v>347</v>
      </c>
      <c r="C93" s="114" t="s">
        <v>348</v>
      </c>
      <c r="D93" s="114" t="s">
        <v>120</v>
      </c>
      <c r="E93" s="114" t="s">
        <v>121</v>
      </c>
      <c r="F93" s="114" t="s">
        <v>122</v>
      </c>
      <c r="G93" s="114" t="s">
        <v>824</v>
      </c>
      <c r="H93" s="125">
        <v>45376</v>
      </c>
      <c r="I93" s="125">
        <v>45376</v>
      </c>
      <c r="J93" s="114">
        <v>11</v>
      </c>
      <c r="K93" s="114">
        <v>1</v>
      </c>
      <c r="L93" s="117">
        <f>IFERROR(VLOOKUP(J93, [1]DATA!$A$4:$I$36, MATCH(K93, [1]DATA!$B$3:$I$3, 0)+1, FALSE), "")</f>
        <v>31705</v>
      </c>
      <c r="M93" s="118">
        <v>2000</v>
      </c>
      <c r="N93" s="119">
        <f t="shared" si="6"/>
        <v>33705</v>
      </c>
      <c r="O93" s="120">
        <f t="shared" si="7"/>
        <v>2853.45</v>
      </c>
      <c r="P93" s="127"/>
      <c r="Q93" s="127"/>
      <c r="R93" s="127"/>
      <c r="S93" s="127"/>
      <c r="T93" s="127"/>
      <c r="U93" s="127"/>
      <c r="V93" s="128"/>
      <c r="W93" s="128"/>
      <c r="X93" s="128"/>
      <c r="Y93" s="127"/>
      <c r="Z93" s="127"/>
      <c r="AA93" s="120">
        <v>1468.9</v>
      </c>
      <c r="AB93" s="120">
        <f>ROUND(IF(L93&gt;79999.99,900,IF(L93&lt;10000.01,137.5,IF(10000&lt;L93&gt;80000,L93*2.5%))),2)-0.01</f>
        <v>792.62</v>
      </c>
      <c r="AC93" s="127"/>
      <c r="AD93" s="127"/>
      <c r="AE93" s="120">
        <v>200</v>
      </c>
      <c r="AF93" s="127"/>
      <c r="AG93" s="127">
        <v>100</v>
      </c>
      <c r="AH93" s="127"/>
      <c r="AI93" s="127"/>
      <c r="AJ93" s="127"/>
      <c r="AK93" s="120"/>
      <c r="AL93" s="127"/>
      <c r="AM93" s="127"/>
      <c r="AN93" s="127"/>
      <c r="AO93" s="120"/>
      <c r="AP93" s="120"/>
      <c r="AQ93" s="120"/>
      <c r="AR93" s="120"/>
      <c r="AS93" s="127"/>
      <c r="AT93" s="127"/>
      <c r="AU93" s="127">
        <v>3321.43</v>
      </c>
      <c r="AV93" s="127"/>
      <c r="AW93" s="127"/>
      <c r="AX93" s="127"/>
      <c r="AY93" s="127">
        <v>3034.72</v>
      </c>
      <c r="AZ93" s="121">
        <f>ROUND(SUM(O93:AY93),2)</f>
        <v>11771.12</v>
      </c>
      <c r="BA93" s="122">
        <f>ROUND(N93-AZ93,2)</f>
        <v>21933.88</v>
      </c>
      <c r="BB93" s="122">
        <f>ROUND(BA93/2,2)</f>
        <v>10966.94</v>
      </c>
      <c r="BC93" s="122">
        <f>BA93-BB93</f>
        <v>10966.94</v>
      </c>
    </row>
    <row r="94" spans="1:55" ht="14.25" customHeight="1" x14ac:dyDescent="0.2">
      <c r="A94" s="112">
        <f t="shared" si="5"/>
        <v>87</v>
      </c>
      <c r="B94" s="114" t="s">
        <v>294</v>
      </c>
      <c r="C94" s="114" t="s">
        <v>349</v>
      </c>
      <c r="D94" s="114" t="s">
        <v>125</v>
      </c>
      <c r="E94" s="114" t="s">
        <v>350</v>
      </c>
      <c r="F94" s="114" t="s">
        <v>117</v>
      </c>
      <c r="G94" s="114" t="s">
        <v>825</v>
      </c>
      <c r="H94" s="125">
        <v>31600</v>
      </c>
      <c r="I94" s="125">
        <v>42138</v>
      </c>
      <c r="J94" s="114">
        <v>24</v>
      </c>
      <c r="K94" s="114">
        <v>4</v>
      </c>
      <c r="L94" s="117">
        <f>IFERROR(VLOOKUP(J94, [1]DATA!$A$4:$I$36, MATCH(K94, [1]DATA!$B$3:$I$3, 0)+1, FALSE), "")</f>
        <v>107500</v>
      </c>
      <c r="M94" s="126">
        <v>2000</v>
      </c>
      <c r="N94" s="119">
        <f t="shared" si="6"/>
        <v>109500</v>
      </c>
      <c r="O94" s="120">
        <f t="shared" si="7"/>
        <v>9675</v>
      </c>
      <c r="P94" s="127">
        <v>1000</v>
      </c>
      <c r="Q94" s="127">
        <v>777.44</v>
      </c>
      <c r="R94" s="127"/>
      <c r="S94" s="127">
        <v>0</v>
      </c>
      <c r="T94" s="127"/>
      <c r="U94" s="127"/>
      <c r="V94" s="127">
        <v>16026.83</v>
      </c>
      <c r="W94" s="127"/>
      <c r="X94" s="127"/>
      <c r="Y94" s="127">
        <v>9634.44</v>
      </c>
      <c r="Z94" s="127"/>
      <c r="AA94" s="120">
        <v>21256.81</v>
      </c>
      <c r="AB94" s="127">
        <v>2500</v>
      </c>
      <c r="AC94" s="127">
        <v>10017.81</v>
      </c>
      <c r="AD94" s="127">
        <v>0</v>
      </c>
      <c r="AE94" s="120">
        <v>200</v>
      </c>
      <c r="AF94" s="127"/>
      <c r="AG94" s="127">
        <v>100</v>
      </c>
      <c r="AH94" s="127">
        <v>1336</v>
      </c>
      <c r="AI94" s="127"/>
      <c r="AJ94" s="127"/>
      <c r="AK94" s="120">
        <v>1000</v>
      </c>
      <c r="AL94" s="127">
        <v>100</v>
      </c>
      <c r="AM94" s="127">
        <v>6667</v>
      </c>
      <c r="AN94" s="127"/>
      <c r="AO94" s="120"/>
      <c r="AP94" s="120"/>
      <c r="AQ94" s="120"/>
      <c r="AR94" s="120"/>
      <c r="AS94" s="127"/>
      <c r="AT94" s="127"/>
      <c r="AU94" s="127"/>
      <c r="AV94" s="127"/>
      <c r="AW94" s="127">
        <v>0</v>
      </c>
      <c r="AX94" s="127"/>
      <c r="AY94" s="127">
        <v>5790.11</v>
      </c>
      <c r="AZ94" s="121">
        <f>ROUND(SUM(O94:AY94),2)</f>
        <v>86081.44</v>
      </c>
      <c r="BA94" s="122">
        <f>ROUND(N94-AZ94,2)</f>
        <v>23418.560000000001</v>
      </c>
      <c r="BB94" s="122">
        <f>ROUND(BA94/2,2)</f>
        <v>11709.28</v>
      </c>
      <c r="BC94" s="122">
        <f>BA94-BB94</f>
        <v>11709.28</v>
      </c>
    </row>
    <row r="95" spans="1:55" ht="14.25" customHeight="1" x14ac:dyDescent="0.2">
      <c r="A95" s="112">
        <f t="shared" si="5"/>
        <v>88</v>
      </c>
      <c r="B95" s="114" t="s">
        <v>351</v>
      </c>
      <c r="C95" s="114" t="s">
        <v>352</v>
      </c>
      <c r="D95" s="114" t="s">
        <v>353</v>
      </c>
      <c r="E95" s="114" t="s">
        <v>121</v>
      </c>
      <c r="F95" s="114" t="s">
        <v>112</v>
      </c>
      <c r="G95" s="123" t="s">
        <v>826</v>
      </c>
      <c r="H95" s="124">
        <v>42998</v>
      </c>
      <c r="I95" s="124">
        <v>42998</v>
      </c>
      <c r="J95" s="123">
        <v>11</v>
      </c>
      <c r="K95" s="123">
        <v>3</v>
      </c>
      <c r="L95" s="117">
        <f>IFERROR(VLOOKUP(J95, [1]DATA!$A$4:$I$36, MATCH(K95, [1]DATA!$B$3:$I$3, 0)+1, FALSE), "")</f>
        <v>32109</v>
      </c>
      <c r="M95" s="126">
        <v>2000</v>
      </c>
      <c r="N95" s="119">
        <f t="shared" si="6"/>
        <v>34109</v>
      </c>
      <c r="O95" s="120">
        <f t="shared" si="7"/>
        <v>2889.81</v>
      </c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0">
        <v>1537.23</v>
      </c>
      <c r="AB95" s="120">
        <f>ROUND(IF(L95&gt;79999.99,900,IF(L95&lt;10000.01,137.5,IF(10000&lt;L95&gt;80000,L95*2.5%))),2)-0.01</f>
        <v>802.72</v>
      </c>
      <c r="AC95" s="127"/>
      <c r="AD95" s="127"/>
      <c r="AE95" s="127">
        <v>500</v>
      </c>
      <c r="AF95" s="127">
        <v>0</v>
      </c>
      <c r="AG95" s="127">
        <v>100</v>
      </c>
      <c r="AH95" s="127"/>
      <c r="AI95" s="127"/>
      <c r="AJ95" s="127"/>
      <c r="AK95" s="120"/>
      <c r="AL95" s="127"/>
      <c r="AM95" s="127"/>
      <c r="AN95" s="127">
        <v>2000</v>
      </c>
      <c r="AO95" s="120">
        <v>461.39</v>
      </c>
      <c r="AP95" s="120">
        <v>704.35</v>
      </c>
      <c r="AQ95" s="120"/>
      <c r="AR95" s="120"/>
      <c r="AS95" s="127">
        <v>0</v>
      </c>
      <c r="AT95" s="127"/>
      <c r="AU95" s="127"/>
      <c r="AV95" s="127"/>
      <c r="AW95" s="127">
        <v>0</v>
      </c>
      <c r="AX95" s="127"/>
      <c r="AY95" s="127">
        <v>5674.93</v>
      </c>
      <c r="AZ95" s="121">
        <f>ROUND(SUM(O95:AY95),2)</f>
        <v>14670.43</v>
      </c>
      <c r="BA95" s="122">
        <f>ROUND(N95-AZ95,2)</f>
        <v>19438.57</v>
      </c>
      <c r="BB95" s="122">
        <f>ROUND(BA95/2,2)</f>
        <v>9719.2900000000009</v>
      </c>
      <c r="BC95" s="122">
        <f>BA95-BB95</f>
        <v>9719.2799999999988</v>
      </c>
    </row>
    <row r="96" spans="1:55" ht="14.25" customHeight="1" x14ac:dyDescent="0.2">
      <c r="A96" s="112">
        <f t="shared" si="5"/>
        <v>89</v>
      </c>
      <c r="B96" s="114" t="s">
        <v>354</v>
      </c>
      <c r="C96" s="114" t="s">
        <v>355</v>
      </c>
      <c r="D96" s="114" t="s">
        <v>203</v>
      </c>
      <c r="E96" s="114" t="s">
        <v>356</v>
      </c>
      <c r="F96" s="114" t="s">
        <v>122</v>
      </c>
      <c r="G96" s="114" t="s">
        <v>827</v>
      </c>
      <c r="H96" s="125">
        <v>32692</v>
      </c>
      <c r="I96" s="125">
        <v>42138</v>
      </c>
      <c r="J96" s="114">
        <v>24</v>
      </c>
      <c r="K96" s="114">
        <v>4</v>
      </c>
      <c r="L96" s="117">
        <f>IFERROR(VLOOKUP(J96, [1]DATA!$A$4:$I$36, MATCH(K96, [1]DATA!$B$3:$I$3, 0)+1, FALSE), "")</f>
        <v>107500</v>
      </c>
      <c r="M96" s="126">
        <v>2000</v>
      </c>
      <c r="N96" s="119">
        <f t="shared" si="6"/>
        <v>109500</v>
      </c>
      <c r="O96" s="120">
        <f t="shared" si="7"/>
        <v>9675</v>
      </c>
      <c r="P96" s="127">
        <v>1000</v>
      </c>
      <c r="Q96" s="127">
        <v>1194.51</v>
      </c>
      <c r="R96" s="127"/>
      <c r="S96" s="128">
        <v>13035.54</v>
      </c>
      <c r="T96" s="127"/>
      <c r="U96" s="127"/>
      <c r="V96" s="127"/>
      <c r="W96" s="127">
        <v>2422.2199999999998</v>
      </c>
      <c r="X96" s="127"/>
      <c r="Y96" s="127">
        <v>9634.44</v>
      </c>
      <c r="Z96" s="127"/>
      <c r="AA96" s="120">
        <v>21256.81</v>
      </c>
      <c r="AB96" s="127">
        <v>2500</v>
      </c>
      <c r="AC96" s="129"/>
      <c r="AD96" s="127">
        <v>0</v>
      </c>
      <c r="AE96" s="120">
        <v>200</v>
      </c>
      <c r="AF96" s="127">
        <v>800</v>
      </c>
      <c r="AG96" s="127">
        <v>100</v>
      </c>
      <c r="AH96" s="127"/>
      <c r="AI96" s="127"/>
      <c r="AJ96" s="127"/>
      <c r="AK96" s="120"/>
      <c r="AL96" s="127"/>
      <c r="AM96" s="127"/>
      <c r="AN96" s="127"/>
      <c r="AO96" s="120"/>
      <c r="AP96" s="120"/>
      <c r="AQ96" s="120"/>
      <c r="AR96" s="120"/>
      <c r="AS96" s="127">
        <v>1537.37</v>
      </c>
      <c r="AT96" s="127"/>
      <c r="AU96" s="127"/>
      <c r="AV96" s="127"/>
      <c r="AW96" s="127">
        <v>0</v>
      </c>
      <c r="AX96" s="127">
        <v>2877.71</v>
      </c>
      <c r="AY96" s="127">
        <v>5857.62</v>
      </c>
      <c r="AZ96" s="121">
        <f>ROUND(SUM(O96:AY96),2)</f>
        <v>72091.22</v>
      </c>
      <c r="BA96" s="122">
        <f>ROUND(N96-AZ96,2)</f>
        <v>37408.78</v>
      </c>
      <c r="BB96" s="122">
        <f>ROUND(BA96/2,2)</f>
        <v>18704.39</v>
      </c>
      <c r="BC96" s="122">
        <f>BA96-BB96</f>
        <v>18704.39</v>
      </c>
    </row>
    <row r="97" spans="1:55" ht="14.25" customHeight="1" x14ac:dyDescent="0.2">
      <c r="A97" s="112">
        <f t="shared" si="5"/>
        <v>90</v>
      </c>
      <c r="B97" s="114" t="s">
        <v>357</v>
      </c>
      <c r="C97" s="114" t="s">
        <v>214</v>
      </c>
      <c r="D97" s="114" t="s">
        <v>203</v>
      </c>
      <c r="E97" s="114" t="s">
        <v>358</v>
      </c>
      <c r="F97" s="114" t="s">
        <v>122</v>
      </c>
      <c r="G97" s="114" t="s">
        <v>828</v>
      </c>
      <c r="H97" s="125">
        <v>42156</v>
      </c>
      <c r="I97" s="125">
        <v>44459</v>
      </c>
      <c r="J97" s="114">
        <v>22</v>
      </c>
      <c r="K97" s="114">
        <v>2</v>
      </c>
      <c r="L97" s="117">
        <f>IFERROR(VLOOKUP(J97, [1]DATA!$A$4:$I$36, MATCH(K97, [1]DATA!$B$3:$I$3, 0)+1, FALSE), "")</f>
        <v>82963</v>
      </c>
      <c r="M97" s="126">
        <v>2000</v>
      </c>
      <c r="N97" s="119">
        <f t="shared" si="6"/>
        <v>84963</v>
      </c>
      <c r="O97" s="120">
        <f t="shared" si="7"/>
        <v>7466.67</v>
      </c>
      <c r="P97" s="127"/>
      <c r="Q97" s="127"/>
      <c r="R97" s="127"/>
      <c r="S97" s="128"/>
      <c r="T97" s="127"/>
      <c r="U97" s="127"/>
      <c r="V97" s="127"/>
      <c r="W97" s="127"/>
      <c r="X97" s="127"/>
      <c r="Y97" s="127">
        <v>9634.44</v>
      </c>
      <c r="Z97" s="127"/>
      <c r="AA97" s="120">
        <v>14126.7</v>
      </c>
      <c r="AB97" s="120">
        <f>L97*2.5%-0.01</f>
        <v>2074.0650000000001</v>
      </c>
      <c r="AC97" s="127"/>
      <c r="AD97" s="127"/>
      <c r="AE97" s="120">
        <v>200</v>
      </c>
      <c r="AF97" s="127">
        <v>0</v>
      </c>
      <c r="AG97" s="127">
        <v>100</v>
      </c>
      <c r="AH97" s="127"/>
      <c r="AI97" s="127"/>
      <c r="AJ97" s="127"/>
      <c r="AK97" s="120"/>
      <c r="AL97" s="127">
        <v>1000</v>
      </c>
      <c r="AM97" s="127"/>
      <c r="AN97" s="127"/>
      <c r="AO97" s="127"/>
      <c r="AP97" s="127"/>
      <c r="AQ97" s="127"/>
      <c r="AR97" s="127"/>
      <c r="AS97" s="127">
        <v>0</v>
      </c>
      <c r="AT97" s="127"/>
      <c r="AU97" s="127"/>
      <c r="AV97" s="127">
        <v>9761.15</v>
      </c>
      <c r="AW97" s="127"/>
      <c r="AX97" s="127"/>
      <c r="AY97" s="127"/>
      <c r="AZ97" s="121">
        <f>ROUND(SUM(O97:AY97),2)</f>
        <v>44363.03</v>
      </c>
      <c r="BA97" s="122">
        <f>ROUND(N97-AZ97,2)</f>
        <v>40599.97</v>
      </c>
      <c r="BB97" s="122">
        <f>ROUND(BA97/2,2)</f>
        <v>20299.990000000002</v>
      </c>
      <c r="BC97" s="122">
        <f>BA97-BB97</f>
        <v>20299.98</v>
      </c>
    </row>
    <row r="98" spans="1:55" ht="14.25" customHeight="1" x14ac:dyDescent="0.2">
      <c r="A98" s="139"/>
      <c r="B98" s="169" t="s">
        <v>359</v>
      </c>
      <c r="C98" s="169"/>
      <c r="D98" s="169"/>
      <c r="E98" s="140"/>
      <c r="F98" s="140"/>
      <c r="G98" s="140"/>
      <c r="H98" s="141"/>
      <c r="I98" s="141"/>
      <c r="J98" s="140"/>
      <c r="K98" s="140"/>
      <c r="L98" s="142">
        <f>SUM(L8:L97)</f>
        <v>3921427</v>
      </c>
      <c r="M98" s="143">
        <f t="shared" ref="M98:BC98" si="10">SUM(M8:M97)</f>
        <v>180000</v>
      </c>
      <c r="N98" s="144">
        <f>SUM(N8:N97)</f>
        <v>4101427</v>
      </c>
      <c r="O98" s="144">
        <f t="shared" si="10"/>
        <v>352928.43000000011</v>
      </c>
      <c r="P98" s="143">
        <f t="shared" si="10"/>
        <v>9268</v>
      </c>
      <c r="Q98" s="143">
        <f t="shared" si="10"/>
        <v>26046.380000000005</v>
      </c>
      <c r="R98" s="143">
        <f t="shared" si="10"/>
        <v>2040.79</v>
      </c>
      <c r="S98" s="143">
        <f t="shared" si="10"/>
        <v>30508.48</v>
      </c>
      <c r="T98" s="143">
        <f t="shared" si="10"/>
        <v>515.21</v>
      </c>
      <c r="U98" s="143">
        <f t="shared" si="10"/>
        <v>500</v>
      </c>
      <c r="V98" s="143">
        <f t="shared" si="10"/>
        <v>193550.19</v>
      </c>
      <c r="W98" s="143">
        <f t="shared" si="10"/>
        <v>20916.660000000003</v>
      </c>
      <c r="X98" s="143">
        <f t="shared" si="10"/>
        <v>23600.039999999994</v>
      </c>
      <c r="Y98" s="143">
        <f t="shared" si="10"/>
        <v>138098.27000000002</v>
      </c>
      <c r="Z98" s="143">
        <f t="shared" si="10"/>
        <v>0</v>
      </c>
      <c r="AA98" s="143">
        <f t="shared" si="10"/>
        <v>405631.50999999995</v>
      </c>
      <c r="AB98" s="143">
        <f t="shared" si="10"/>
        <v>94498.335000000021</v>
      </c>
      <c r="AC98" s="143">
        <f t="shared" si="10"/>
        <v>56694.86</v>
      </c>
      <c r="AD98" s="143">
        <f t="shared" si="10"/>
        <v>33700</v>
      </c>
      <c r="AE98" s="143">
        <f t="shared" si="10"/>
        <v>27000</v>
      </c>
      <c r="AF98" s="143">
        <f t="shared" si="10"/>
        <v>6600</v>
      </c>
      <c r="AG98" s="143">
        <f t="shared" si="10"/>
        <v>8700</v>
      </c>
      <c r="AH98" s="143">
        <f t="shared" si="10"/>
        <v>12024</v>
      </c>
      <c r="AI98" s="143">
        <f t="shared" si="10"/>
        <v>0</v>
      </c>
      <c r="AJ98" s="143">
        <f t="shared" si="10"/>
        <v>400</v>
      </c>
      <c r="AK98" s="143">
        <f t="shared" si="10"/>
        <v>4000</v>
      </c>
      <c r="AL98" s="143">
        <f t="shared" si="10"/>
        <v>6000</v>
      </c>
      <c r="AM98" s="143">
        <f t="shared" si="10"/>
        <v>26167</v>
      </c>
      <c r="AN98" s="143">
        <f t="shared" si="10"/>
        <v>27000</v>
      </c>
      <c r="AO98" s="143">
        <f t="shared" si="10"/>
        <v>6657.1900000000005</v>
      </c>
      <c r="AP98" s="143">
        <f t="shared" si="10"/>
        <v>8326.3000000000011</v>
      </c>
      <c r="AQ98" s="143">
        <f t="shared" si="10"/>
        <v>0</v>
      </c>
      <c r="AR98" s="143">
        <f t="shared" si="10"/>
        <v>0</v>
      </c>
      <c r="AS98" s="143">
        <f t="shared" si="10"/>
        <v>15887.59</v>
      </c>
      <c r="AT98" s="143">
        <f t="shared" si="10"/>
        <v>64874.14</v>
      </c>
      <c r="AU98" s="143">
        <f t="shared" si="10"/>
        <v>117988.90999999999</v>
      </c>
      <c r="AV98" s="143">
        <f t="shared" si="10"/>
        <v>9761.15</v>
      </c>
      <c r="AW98" s="143">
        <f t="shared" si="10"/>
        <v>1525</v>
      </c>
      <c r="AX98" s="143">
        <f t="shared" si="10"/>
        <v>9401.4500000000007</v>
      </c>
      <c r="AY98" s="143">
        <f t="shared" si="10"/>
        <v>156072.49</v>
      </c>
      <c r="AZ98" s="143">
        <f>SUM(AZ8:AZ97)</f>
        <v>1896882.38</v>
      </c>
      <c r="BA98" s="143">
        <f t="shared" si="10"/>
        <v>2204544.6199999996</v>
      </c>
      <c r="BB98" s="143">
        <f t="shared" si="10"/>
        <v>1102272.5699999998</v>
      </c>
      <c r="BC98" s="143">
        <f t="shared" si="10"/>
        <v>1102272.0499999996</v>
      </c>
    </row>
  </sheetData>
  <sheetProtection selectLockedCells="1" selectUnlockedCells="1"/>
  <protectedRanges>
    <protectedRange algorithmName="SHA-512" hashValue="D37e2m2D4j5TDZiK5c3jLHTjOTz8L9xJxkcZ5ZbWIq01CJEMiV6sK+XYph5ttxzCmuwp/zVECbH8uenfuTtb4A==" saltValue="9i+dxpnaeshbXw7JC7C4sw==" spinCount="100000" sqref="H4:K98" name="Range1_1"/>
  </protectedRanges>
  <autoFilter ref="A7:BC98" xr:uid="{00000000-0001-0000-0200-000000000000}"/>
  <dataConsolidate function="product"/>
  <mergeCells count="2">
    <mergeCell ref="A6:A7"/>
    <mergeCell ref="B98:D98"/>
  </mergeCells>
  <conditionalFormatting sqref="BA8:BA97">
    <cfRule type="cellIs" dxfId="0" priority="1" operator="lessThan">
      <formula>5000</formula>
    </cfRule>
  </conditionalFormatting>
  <pageMargins left="0.39370078740157483" right="0.39370078740157483" top="0.74803149606299213" bottom="0.74803149606299213" header="0.31496062992125984" footer="0.31496062992125984"/>
  <pageSetup paperSize="8" scale="50" fitToWidth="0" fitToHeight="0" orientation="landscape" r:id="rId1"/>
  <rowBreaks count="1" manualBreakCount="1">
    <brk id="83" max="54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MP1</vt:lpstr>
      <vt:lpstr>MP2</vt:lpstr>
      <vt:lpstr>CODES</vt:lpstr>
      <vt:lpstr>PAYOUT</vt:lpstr>
      <vt:lpstr>'MP1'!Print_Area</vt:lpstr>
      <vt:lpstr>'MP2'!Print_Area</vt:lpstr>
      <vt:lpstr>PAYOUT!Print_Area</vt:lpstr>
      <vt:lpstr>'MP1'!Print_Titles</vt:lpstr>
      <vt:lpstr>'MP2'!Print_Titles</vt:lpstr>
      <vt:lpstr>PAYOUT!Print_Titles</vt:lpstr>
    </vt:vector>
  </TitlesOfParts>
  <Company>Acer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Jonalyn Tolero</cp:lastModifiedBy>
  <cp:lastPrinted>2026-03-06T08:08:42Z</cp:lastPrinted>
  <dcterms:created xsi:type="dcterms:W3CDTF">2011-12-05T05:42:22Z</dcterms:created>
  <dcterms:modified xsi:type="dcterms:W3CDTF">2026-03-06T08:08:48Z</dcterms:modified>
</cp:coreProperties>
</file>