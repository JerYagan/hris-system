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D:\APACER BACKUP\ATI 11-16-2022\PAYROLL MICH\PERMANENT\PERMANENT PAYROLL\PERMANENT PAYROLL 2026\"/>
    </mc:Choice>
  </mc:AlternateContent>
  <xr:revisionPtr revIDLastSave="0" documentId="13_ncr:1_{0CFE91EC-6372-46F2-A072-6FCDD23E963F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disallowance" sheetId="4" r:id="rId1"/>
    <sheet name="PER DIVISION" sheetId="3" r:id="rId2"/>
    <sheet name="DATA" sheetId="6" r:id="rId3"/>
    <sheet name="PAYOUT" sheetId="1" r:id="rId4"/>
  </sheets>
  <definedNames>
    <definedName name="_xlnm._FilterDatabase" localSheetId="3" hidden="1">PAYOUT!$A$7:$BI$106</definedName>
    <definedName name="_xlnm.Print_Area" localSheetId="3">PAYOUT!$A$1:$BC$119</definedName>
    <definedName name="_xlnm.Print_Titles" localSheetId="3">PAYOUT!$A:$G,PAYOUT!$1:$7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0" i="1" l="1"/>
  <c r="AB90" i="1" s="1"/>
  <c r="L89" i="1"/>
  <c r="AB89" i="1" s="1"/>
  <c r="L88" i="1"/>
  <c r="AB88" i="1" s="1"/>
  <c r="L85" i="1"/>
  <c r="AB85" i="1" s="1"/>
  <c r="L83" i="1"/>
  <c r="L56" i="1" l="1"/>
  <c r="AB56" i="1" s="1"/>
  <c r="L50" i="1"/>
  <c r="AB50" i="1" s="1"/>
  <c r="L42" i="1"/>
  <c r="AB42" i="1" s="1"/>
  <c r="L38" i="1"/>
  <c r="AB38" i="1" s="1"/>
  <c r="L36" i="1"/>
  <c r="AB36" i="1" s="1"/>
  <c r="L30" i="1"/>
  <c r="AB30" i="1" s="1"/>
  <c r="L23" i="1"/>
  <c r="AB23" i="1" s="1"/>
  <c r="L21" i="1"/>
  <c r="AB21" i="1" s="1"/>
  <c r="L19" i="1"/>
  <c r="AB19" i="1" s="1"/>
  <c r="L14" i="1"/>
  <c r="AB14" i="1" s="1"/>
  <c r="L8" i="1"/>
  <c r="AB8" i="1" s="1"/>
  <c r="L11" i="1"/>
  <c r="AB11" i="1" s="1"/>
  <c r="L97" i="1"/>
  <c r="AB97" i="1" s="1"/>
  <c r="L95" i="1"/>
  <c r="AB95" i="1" s="1"/>
  <c r="L96" i="1"/>
  <c r="L93" i="1"/>
  <c r="AB93" i="1" s="1"/>
  <c r="L94" i="1"/>
  <c r="L91" i="1"/>
  <c r="AB91" i="1" s="1"/>
  <c r="L92" i="1"/>
  <c r="AB92" i="1" s="1"/>
  <c r="L86" i="1"/>
  <c r="AB86" i="1" s="1"/>
  <c r="L87" i="1"/>
  <c r="AB87" i="1" s="1"/>
  <c r="L84" i="1"/>
  <c r="AB84" i="1" s="1"/>
  <c r="L81" i="1"/>
  <c r="AB81" i="1" s="1"/>
  <c r="L82" i="1"/>
  <c r="AB82" i="1" s="1"/>
  <c r="L79" i="1"/>
  <c r="AB79" i="1" s="1"/>
  <c r="L80" i="1"/>
  <c r="AB80" i="1" s="1"/>
  <c r="L78" i="1"/>
  <c r="AB78" i="1" s="1"/>
  <c r="L77" i="1"/>
  <c r="AB77" i="1" s="1"/>
  <c r="L75" i="1"/>
  <c r="AB75" i="1" s="1"/>
  <c r="L76" i="1"/>
  <c r="AB76" i="1" s="1"/>
  <c r="L73" i="1"/>
  <c r="AB73" i="1" s="1"/>
  <c r="L74" i="1"/>
  <c r="AB74" i="1" s="1"/>
  <c r="L71" i="1"/>
  <c r="AB71" i="1" s="1"/>
  <c r="L72" i="1"/>
  <c r="AB72" i="1" s="1"/>
  <c r="L70" i="1"/>
  <c r="AB70" i="1" s="1"/>
  <c r="L69" i="1"/>
  <c r="AB69" i="1" s="1"/>
  <c r="L68" i="1"/>
  <c r="AB68" i="1" s="1"/>
  <c r="L67" i="1"/>
  <c r="AB67" i="1" s="1"/>
  <c r="L66" i="1"/>
  <c r="AB66" i="1" s="1"/>
  <c r="L65" i="1"/>
  <c r="AB65" i="1" s="1"/>
  <c r="L64" i="1"/>
  <c r="AB64" i="1" s="1"/>
  <c r="L63" i="1"/>
  <c r="AB63" i="1" s="1"/>
  <c r="L62" i="1"/>
  <c r="AB62" i="1" s="1"/>
  <c r="L60" i="1"/>
  <c r="AB60" i="1" s="1"/>
  <c r="L61" i="1"/>
  <c r="AB61" i="1" s="1"/>
  <c r="L58" i="1"/>
  <c r="AB58" i="1" s="1"/>
  <c r="L59" i="1"/>
  <c r="AB59" i="1" s="1"/>
  <c r="L57" i="1"/>
  <c r="AB57" i="1" s="1"/>
  <c r="L54" i="1"/>
  <c r="AB54" i="1" s="1"/>
  <c r="L55" i="1"/>
  <c r="AB55" i="1" s="1"/>
  <c r="L53" i="1"/>
  <c r="AB53" i="1" s="1"/>
  <c r="L52" i="1"/>
  <c r="AB52" i="1" s="1"/>
  <c r="L51" i="1"/>
  <c r="AB51" i="1" s="1"/>
  <c r="L49" i="1"/>
  <c r="AB49" i="1" s="1"/>
  <c r="L48" i="1"/>
  <c r="AB48" i="1" s="1"/>
  <c r="L47" i="1"/>
  <c r="AB47" i="1" s="1"/>
  <c r="L46" i="1"/>
  <c r="AB46" i="1" s="1"/>
  <c r="L45" i="1"/>
  <c r="AB45" i="1" s="1"/>
  <c r="L44" i="1"/>
  <c r="AB44" i="1" s="1"/>
  <c r="L43" i="1"/>
  <c r="AB43" i="1" s="1"/>
  <c r="L41" i="1"/>
  <c r="AB41" i="1" s="1"/>
  <c r="L40" i="1"/>
  <c r="AB40" i="1" s="1"/>
  <c r="L39" i="1"/>
  <c r="AB39" i="1" s="1"/>
  <c r="L37" i="1"/>
  <c r="AB37" i="1" s="1"/>
  <c r="L35" i="1"/>
  <c r="AB35" i="1" s="1"/>
  <c r="L34" i="1"/>
  <c r="AB34" i="1" s="1"/>
  <c r="L33" i="1"/>
  <c r="AB33" i="1" s="1"/>
  <c r="L32" i="1"/>
  <c r="AB32" i="1" s="1"/>
  <c r="L31" i="1"/>
  <c r="AB31" i="1" s="1"/>
  <c r="L29" i="1"/>
  <c r="AB29" i="1" s="1"/>
  <c r="L28" i="1"/>
  <c r="AB28" i="1" s="1"/>
  <c r="L27" i="1"/>
  <c r="AB27" i="1" s="1"/>
  <c r="L26" i="1"/>
  <c r="AB26" i="1" s="1"/>
  <c r="L25" i="1"/>
  <c r="AB25" i="1" s="1"/>
  <c r="L24" i="1"/>
  <c r="AB24" i="1" s="1"/>
  <c r="L22" i="1"/>
  <c r="AB22" i="1" s="1"/>
  <c r="L20" i="1"/>
  <c r="AB20" i="1" s="1"/>
  <c r="L18" i="1"/>
  <c r="L17" i="1"/>
  <c r="AB17" i="1" s="1"/>
  <c r="L16" i="1"/>
  <c r="AB16" i="1" s="1"/>
  <c r="L15" i="1"/>
  <c r="AB15" i="1" s="1"/>
  <c r="L13" i="1"/>
  <c r="AB13" i="1" s="1"/>
  <c r="L9" i="1"/>
  <c r="AB9" i="1" s="1"/>
  <c r="L10" i="1"/>
  <c r="AB10" i="1" s="1"/>
  <c r="L12" i="1"/>
  <c r="AB12" i="1" s="1"/>
  <c r="AU98" i="1"/>
  <c r="L98" i="1" l="1"/>
  <c r="O79" i="1" l="1"/>
  <c r="N7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8" i="1"/>
  <c r="AZ79" i="1" l="1"/>
  <c r="BA79" i="1" s="1"/>
  <c r="BB79" i="1" s="1"/>
  <c r="BC79" i="1" s="1"/>
  <c r="AO98" i="1"/>
  <c r="AP98" i="1"/>
  <c r="AZ48" i="1" l="1"/>
  <c r="N48" i="1"/>
  <c r="BA48" i="1" l="1"/>
  <c r="BB48" i="1" s="1"/>
  <c r="BC48" i="1" s="1"/>
  <c r="N74" i="1"/>
  <c r="AZ74" i="1" l="1"/>
  <c r="BA74" i="1" s="1"/>
  <c r="BB74" i="1" s="1"/>
  <c r="BC74" i="1" s="1"/>
  <c r="N53" i="1" l="1"/>
  <c r="AZ53" i="1" l="1"/>
  <c r="BA53" i="1" s="1"/>
  <c r="BB53" i="1" s="1"/>
  <c r="BC53" i="1" s="1"/>
  <c r="AM98" i="1" l="1"/>
  <c r="N50" i="1" l="1"/>
  <c r="N14" i="1"/>
  <c r="N9" i="1"/>
  <c r="N10" i="1"/>
  <c r="N11" i="1"/>
  <c r="N12" i="1"/>
  <c r="N13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9" i="1"/>
  <c r="N51" i="1"/>
  <c r="N52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5" i="1"/>
  <c r="N76" i="1"/>
  <c r="N77" i="1"/>
  <c r="N78" i="1"/>
  <c r="N80" i="1"/>
  <c r="N81" i="1"/>
  <c r="N82" i="1"/>
  <c r="N83" i="1"/>
  <c r="N84" i="1"/>
  <c r="N85" i="1"/>
  <c r="N88" i="1"/>
  <c r="N86" i="1"/>
  <c r="N87" i="1"/>
  <c r="N89" i="1"/>
  <c r="N90" i="1"/>
  <c r="N91" i="1"/>
  <c r="N92" i="1"/>
  <c r="N93" i="1"/>
  <c r="N94" i="1"/>
  <c r="N95" i="1"/>
  <c r="N96" i="1"/>
  <c r="N97" i="1"/>
  <c r="N8" i="1"/>
  <c r="AY98" i="1"/>
  <c r="C7" i="3" l="1"/>
  <c r="N98" i="1"/>
  <c r="AZ50" i="1"/>
  <c r="BA50" i="1" s="1"/>
  <c r="AZ14" i="1"/>
  <c r="BA14" i="1" s="1"/>
  <c r="BB14" i="1" s="1"/>
  <c r="BC14" i="1" s="1"/>
  <c r="AR98" i="1"/>
  <c r="AZ67" i="1"/>
  <c r="BB50" i="1" l="1"/>
  <c r="BC50" i="1" s="1"/>
  <c r="AZ9" i="1"/>
  <c r="AZ10" i="1"/>
  <c r="AZ11" i="1"/>
  <c r="AZ12" i="1"/>
  <c r="AZ13" i="1"/>
  <c r="AZ15" i="1"/>
  <c r="AZ16" i="1"/>
  <c r="AZ17" i="1"/>
  <c r="BA17" i="1" s="1"/>
  <c r="BB17" i="1" s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9" i="1"/>
  <c r="AZ51" i="1"/>
  <c r="AZ52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8" i="1"/>
  <c r="AZ69" i="1"/>
  <c r="AZ70" i="1"/>
  <c r="AZ71" i="1"/>
  <c r="AZ72" i="1"/>
  <c r="AZ73" i="1"/>
  <c r="AZ75" i="1"/>
  <c r="AZ76" i="1"/>
  <c r="AZ77" i="1"/>
  <c r="AZ78" i="1"/>
  <c r="AZ80" i="1"/>
  <c r="AZ81" i="1"/>
  <c r="AZ82" i="1"/>
  <c r="AZ83" i="1"/>
  <c r="AZ84" i="1"/>
  <c r="AZ85" i="1"/>
  <c r="AZ88" i="1"/>
  <c r="AZ86" i="1"/>
  <c r="AZ87" i="1"/>
  <c r="AZ89" i="1"/>
  <c r="AZ90" i="1"/>
  <c r="AZ91" i="1"/>
  <c r="AZ92" i="1"/>
  <c r="AZ93" i="1"/>
  <c r="AZ94" i="1"/>
  <c r="AZ95" i="1"/>
  <c r="AZ96" i="1"/>
  <c r="AZ97" i="1"/>
  <c r="AZ8" i="1"/>
  <c r="D7" i="3" l="1"/>
  <c r="E7" i="3" s="1"/>
  <c r="D8" i="3"/>
  <c r="AZ98" i="1"/>
  <c r="BA11" i="1"/>
  <c r="BA88" i="1"/>
  <c r="BB88" i="1" s="1"/>
  <c r="BC88" i="1" s="1"/>
  <c r="P98" i="1"/>
  <c r="Q98" i="1"/>
  <c r="R98" i="1"/>
  <c r="S98" i="1"/>
  <c r="T98" i="1"/>
  <c r="U98" i="1"/>
  <c r="W98" i="1"/>
  <c r="X98" i="1"/>
  <c r="Y98" i="1"/>
  <c r="Z98" i="1"/>
  <c r="AA98" i="1"/>
  <c r="AC98" i="1"/>
  <c r="AD98" i="1"/>
  <c r="AE98" i="1"/>
  <c r="AF98" i="1"/>
  <c r="AG98" i="1"/>
  <c r="AH98" i="1"/>
  <c r="AI98" i="1"/>
  <c r="AJ98" i="1"/>
  <c r="AK98" i="1"/>
  <c r="AL98" i="1"/>
  <c r="AN98" i="1"/>
  <c r="AQ98" i="1"/>
  <c r="AS98" i="1"/>
  <c r="AT98" i="1"/>
  <c r="AV98" i="1"/>
  <c r="AW98" i="1"/>
  <c r="AX98" i="1"/>
  <c r="BB11" i="1" l="1"/>
  <c r="BC11" i="1" s="1"/>
  <c r="V98" i="1" l="1"/>
  <c r="BA67" i="1"/>
  <c r="BB67" i="1" l="1"/>
  <c r="BC67" i="1" s="1"/>
  <c r="BA87" i="1" l="1"/>
  <c r="BB87" i="1" s="1"/>
  <c r="BC87" i="1" s="1"/>
  <c r="O98" i="1" l="1"/>
  <c r="BA94" i="1" l="1"/>
  <c r="M98" i="1"/>
  <c r="BB94" i="1" l="1"/>
  <c r="BC94" i="1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BA93" i="1" l="1"/>
  <c r="BB93" i="1" s="1"/>
  <c r="BC93" i="1" s="1"/>
  <c r="BA20" i="1"/>
  <c r="BC17" i="1"/>
  <c r="BA8" i="1" l="1"/>
  <c r="BB20" i="1"/>
  <c r="BC20" i="1" s="1"/>
  <c r="BB8" i="1" l="1"/>
  <c r="AB98" i="1" l="1"/>
  <c r="BC8" i="1"/>
  <c r="BA9" i="1" l="1"/>
  <c r="BA92" i="1"/>
  <c r="BB92" i="1" s="1"/>
  <c r="BC92" i="1" s="1"/>
  <c r="BA77" i="1"/>
  <c r="BA32" i="1"/>
  <c r="BB9" i="1" l="1"/>
  <c r="BB32" i="1"/>
  <c r="BC32" i="1" s="1"/>
  <c r="BB77" i="1"/>
  <c r="BC77" i="1" s="1"/>
  <c r="BC9" i="1" l="1"/>
  <c r="BA55" i="1" l="1"/>
  <c r="BB55" i="1" l="1"/>
  <c r="BC55" i="1" s="1"/>
  <c r="BA46" i="1" l="1"/>
  <c r="BB46" i="1" s="1"/>
  <c r="BC46" i="1" s="1"/>
  <c r="BA81" i="1"/>
  <c r="BB81" i="1" l="1"/>
  <c r="BC81" i="1" s="1"/>
  <c r="BA25" i="1" l="1"/>
  <c r="BB25" i="1" s="1"/>
  <c r="BC25" i="1" s="1"/>
  <c r="A4" i="1" l="1"/>
  <c r="BA42" i="1" l="1"/>
  <c r="BA16" i="1"/>
  <c r="BA40" i="1"/>
  <c r="BA39" i="1"/>
  <c r="BA24" i="1"/>
  <c r="BB24" i="1" s="1"/>
  <c r="BC24" i="1" s="1"/>
  <c r="BA23" i="1"/>
  <c r="BA38" i="1"/>
  <c r="BA30" i="1"/>
  <c r="BA31" i="1"/>
  <c r="BA28" i="1"/>
  <c r="BA27" i="1"/>
  <c r="BA41" i="1"/>
  <c r="BA34" i="1"/>
  <c r="BA21" i="1"/>
  <c r="BA35" i="1"/>
  <c r="BA26" i="1"/>
  <c r="BA29" i="1"/>
  <c r="BA15" i="1"/>
  <c r="BA36" i="1"/>
  <c r="BA13" i="1"/>
  <c r="BA12" i="1"/>
  <c r="BA18" i="1"/>
  <c r="BA37" i="1"/>
  <c r="BB37" i="1" s="1"/>
  <c r="BC37" i="1" s="1"/>
  <c r="BA19" i="1"/>
  <c r="BB19" i="1" s="1"/>
  <c r="BC19" i="1" s="1"/>
  <c r="BA10" i="1" l="1"/>
  <c r="BA43" i="1"/>
  <c r="BB43" i="1" s="1"/>
  <c r="BC43" i="1" s="1"/>
  <c r="BB23" i="1"/>
  <c r="BC23" i="1" s="1"/>
  <c r="BB40" i="1"/>
  <c r="BC40" i="1" s="1"/>
  <c r="BB31" i="1"/>
  <c r="BC31" i="1" s="1"/>
  <c r="BB38" i="1"/>
  <c r="BC38" i="1" s="1"/>
  <c r="BB30" i="1"/>
  <c r="BC30" i="1" s="1"/>
  <c r="BB35" i="1"/>
  <c r="BC35" i="1" s="1"/>
  <c r="BB39" i="1"/>
  <c r="BC39" i="1" s="1"/>
  <c r="BB29" i="1"/>
  <c r="BC29" i="1" s="1"/>
  <c r="BB36" i="1"/>
  <c r="BC36" i="1" s="1"/>
  <c r="BB34" i="1"/>
  <c r="BC34" i="1" s="1"/>
  <c r="BB15" i="1"/>
  <c r="BC15" i="1" s="1"/>
  <c r="BB16" i="1"/>
  <c r="BC16" i="1" s="1"/>
  <c r="BB27" i="1"/>
  <c r="BC27" i="1" s="1"/>
  <c r="BB28" i="1"/>
  <c r="BC28" i="1" s="1"/>
  <c r="BB41" i="1"/>
  <c r="BC41" i="1" s="1"/>
  <c r="BB18" i="1"/>
  <c r="BC18" i="1" s="1"/>
  <c r="BB12" i="1"/>
  <c r="BC12" i="1" s="1"/>
  <c r="BB21" i="1"/>
  <c r="BC21" i="1" s="1"/>
  <c r="BB42" i="1"/>
  <c r="BC42" i="1" s="1"/>
  <c r="BB26" i="1"/>
  <c r="BC26" i="1" s="1"/>
  <c r="BB13" i="1"/>
  <c r="BC13" i="1" s="1"/>
  <c r="BB10" i="1" l="1"/>
  <c r="BC10" i="1" s="1"/>
  <c r="BA44" i="1"/>
  <c r="BB44" i="1" s="1"/>
  <c r="BC44" i="1" s="1"/>
  <c r="C13" i="3" l="1"/>
  <c r="C8" i="3"/>
  <c r="BA47" i="1" l="1"/>
  <c r="BB47" i="1" s="1"/>
  <c r="BC47" i="1" s="1"/>
  <c r="C10" i="3"/>
  <c r="C11" i="3"/>
  <c r="C12" i="3"/>
  <c r="BA49" i="1" l="1"/>
  <c r="BB49" i="1" l="1"/>
  <c r="BC49" i="1" s="1"/>
  <c r="BA51" i="1"/>
  <c r="BB51" i="1" s="1"/>
  <c r="BC51" i="1" s="1"/>
  <c r="G90" i="4"/>
  <c r="G3" i="4"/>
  <c r="BA52" i="1" l="1"/>
  <c r="BB52" i="1" s="1"/>
  <c r="BC52" i="1" s="1"/>
  <c r="G124" i="4"/>
  <c r="BA61" i="1" l="1"/>
  <c r="BB61" i="1" s="1"/>
  <c r="BC61" i="1" s="1"/>
  <c r="BA54" i="1" l="1"/>
  <c r="BB54" i="1" l="1"/>
  <c r="BC54" i="1" s="1"/>
  <c r="BA56" i="1"/>
  <c r="BA57" i="1" l="1"/>
  <c r="BB57" i="1" s="1"/>
  <c r="BC57" i="1" s="1"/>
  <c r="BB56" i="1"/>
  <c r="BC56" i="1" s="1"/>
  <c r="BA58" i="1" l="1"/>
  <c r="BB58" i="1" l="1"/>
  <c r="BC58" i="1" s="1"/>
  <c r="BA86" i="1" l="1"/>
  <c r="BA59" i="1"/>
  <c r="BB59" i="1" s="1"/>
  <c r="BC59" i="1" s="1"/>
  <c r="BB86" i="1" l="1"/>
  <c r="BC86" i="1" s="1"/>
  <c r="BA60" i="1" l="1"/>
  <c r="BA62" i="1" l="1"/>
  <c r="BB62" i="1" s="1"/>
  <c r="BB60" i="1"/>
  <c r="BC60" i="1" s="1"/>
  <c r="BA63" i="1" l="1"/>
  <c r="BC62" i="1"/>
  <c r="BB63" i="1" l="1"/>
  <c r="BC63" i="1" s="1"/>
  <c r="BA22" i="1" l="1"/>
  <c r="BB22" i="1" s="1"/>
  <c r="BC22" i="1" s="1"/>
  <c r="BA64" i="1" l="1"/>
  <c r="BA65" i="1" l="1"/>
  <c r="BB65" i="1" s="1"/>
  <c r="BC65" i="1" s="1"/>
  <c r="BB64" i="1"/>
  <c r="BC64" i="1" s="1"/>
  <c r="BA66" i="1" l="1"/>
  <c r="BB66" i="1" s="1"/>
  <c r="BC66" i="1" s="1"/>
  <c r="BA68" i="1" l="1"/>
  <c r="BB68" i="1" s="1"/>
  <c r="BC68" i="1" s="1"/>
  <c r="BA69" i="1" l="1"/>
  <c r="BB69" i="1" s="1"/>
  <c r="BC69" i="1" s="1"/>
  <c r="BA70" i="1" l="1"/>
  <c r="BA71" i="1"/>
  <c r="BB71" i="1" s="1"/>
  <c r="BC71" i="1" s="1"/>
  <c r="BA45" i="1" l="1"/>
  <c r="BB45" i="1" s="1"/>
  <c r="BC45" i="1" s="1"/>
  <c r="BB70" i="1"/>
  <c r="BC70" i="1" l="1"/>
  <c r="BA73" i="1" l="1"/>
  <c r="BB73" i="1" s="1"/>
  <c r="BC73" i="1" s="1"/>
  <c r="BA72" i="1"/>
  <c r="BB72" i="1" s="1"/>
  <c r="BC72" i="1" s="1"/>
  <c r="BA75" i="1" l="1"/>
  <c r="BA78" i="1" l="1"/>
  <c r="BB78" i="1" s="1"/>
  <c r="BC78" i="1" s="1"/>
  <c r="BA76" i="1"/>
  <c r="BB76" i="1" s="1"/>
  <c r="BC76" i="1" s="1"/>
  <c r="BB75" i="1"/>
  <c r="BC75" i="1" s="1"/>
  <c r="BA80" i="1" l="1"/>
  <c r="BB80" i="1" s="1"/>
  <c r="BC80" i="1" s="1"/>
  <c r="BA33" i="1" l="1"/>
  <c r="BA82" i="1"/>
  <c r="BB82" i="1" s="1"/>
  <c r="BC82" i="1" s="1"/>
  <c r="BB33" i="1" l="1"/>
  <c r="BC33" i="1" l="1"/>
  <c r="BA83" i="1"/>
  <c r="BB83" i="1" s="1"/>
  <c r="BC83" i="1" s="1"/>
  <c r="BA84" i="1" l="1"/>
  <c r="BB84" i="1" s="1"/>
  <c r="BC84" i="1" s="1"/>
  <c r="BA85" i="1" l="1"/>
  <c r="BB85" i="1" s="1"/>
  <c r="BC85" i="1" s="1"/>
  <c r="BA89" i="1" l="1"/>
  <c r="BB89" i="1" s="1"/>
  <c r="BC89" i="1" s="1"/>
  <c r="BA90" i="1" l="1"/>
  <c r="BB90" i="1" s="1"/>
  <c r="BC90" i="1" s="1"/>
  <c r="BA91" i="1" l="1"/>
  <c r="BB91" i="1" s="1"/>
  <c r="BC91" i="1" s="1"/>
  <c r="BA95" i="1" l="1"/>
  <c r="BB95" i="1" s="1"/>
  <c r="BC95" i="1" l="1"/>
  <c r="BA96" i="1" l="1"/>
  <c r="BB96" i="1" l="1"/>
  <c r="BC96" i="1" l="1"/>
  <c r="D12" i="3" l="1"/>
  <c r="E12" i="3" s="1"/>
  <c r="F12" i="3" s="1"/>
  <c r="D10" i="3"/>
  <c r="E10" i="3" s="1"/>
  <c r="D11" i="3"/>
  <c r="E11" i="3" s="1"/>
  <c r="F11" i="3" s="1"/>
  <c r="F10" i="3" l="1"/>
  <c r="E8" i="3"/>
  <c r="F8" i="3" l="1"/>
  <c r="C9" i="3" l="1"/>
  <c r="C14" i="3" s="1"/>
  <c r="D9" i="3" l="1"/>
  <c r="D14" i="3" s="1"/>
  <c r="BA97" i="1"/>
  <c r="BA98" i="1" s="1"/>
  <c r="BB97" i="1" l="1"/>
  <c r="BB98" i="1" s="1"/>
  <c r="E9" i="3"/>
  <c r="E14" i="3" s="1"/>
  <c r="F9" i="3" l="1"/>
  <c r="F14" i="3" s="1"/>
  <c r="BC97" i="1"/>
  <c r="BC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D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Apr 2019 - Dec 2020 = 1000/month
Jan - Dec 2022 = 2000/ month
Payment will continue until the disallowance is settled</t>
        </r>
      </text>
    </comment>
    <comment ref="D1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Remaining 50,650 will be paid through Terminal Leave</t>
        </r>
      </text>
    </comment>
    <comment ref="D1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will pay as GSIS Retirement Benefits were received </t>
        </r>
      </text>
    </comment>
    <comment ref="F1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will be paid as GSIS Retirement Benefits were received </t>
        </r>
      </text>
    </comment>
    <comment ref="F2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Note: the 35000 will be paid on November 2019</t>
        </r>
      </text>
    </comment>
    <comment ref="D3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Retired Employee; disallowances will be paid through Terminal Leave</t>
        </r>
      </text>
    </comment>
    <comment ref="F30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Retired Employee; disallowances will be paid through Terminal Leave</t>
        </r>
      </text>
    </comment>
    <comment ref="D34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Payment Schedule:
Apr 2019 - Nov 2022 = 2000/month(PERA/ACA)
Apr 2019 - Feb 2022 = 1500/month(Salary)
Mar 2022                 = 452</t>
        </r>
      </text>
    </comment>
    <comment ref="F34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Payment Schedule:
Apr 2019 - Nov 2022 = 2000/month(PERA/ACA)
Apr 2019 - Feb 2022 = 1500/month(Salary)
Mar 2022                 = 452</t>
        </r>
      </text>
    </comment>
    <comment ref="D4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For Disallowance A &amp; B, Take all the mid-year bonus 2019, year-end bonus 2019, PEI 2019 and Clothing 2020. The remaining disallowance will be paid through terminal leave
</t>
        </r>
      </text>
    </comment>
    <comment ref="F40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For Disallowance A &amp; B, Take all the mid-year bonus 2019, year-end bonus 2019, PEI 2019 and Clothing 2020. The remaining disallowance will be paid through terminal leave
</t>
        </r>
      </text>
    </comment>
    <comment ref="D4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Remaining 19956 will be paid through Terminal Leave
There is a 1,000 from Schedule B</t>
        </r>
      </text>
    </comment>
    <comment ref="F4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The 1,000 Overdeduction is carried over to Schedule A</t>
        </r>
      </text>
    </comment>
    <comment ref="D60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Overdeduction of Php7.00</t>
        </r>
      </text>
    </comment>
    <comment ref="D83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Remaining 56,156 will be paid through Terminal Leave</t>
        </r>
      </text>
    </comment>
    <comment ref="D87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Monthly Salary Deduction for 48 months; Remaining 46,752 will be paid in full at the end of 48th month</t>
        </r>
      </text>
    </comment>
    <comment ref="D90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underdeduction of 2,800</t>
        </r>
      </text>
    </comment>
    <comment ref="D101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Remaining 49,386.33 will be paid through Terminal Leave</t>
        </r>
      </text>
    </comment>
    <comment ref="D13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Retired Employee; disallowances will be paid through Terminal Leave</t>
        </r>
      </text>
    </comment>
    <comment ref="F13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Retired Employee; disallowances will be paid through Terminal Leave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User-PC</author>
    <author>HR-User</author>
    <author>Jonalyn Tolero</author>
  </authors>
  <commentList>
    <comment ref="AC10" authorId="0" shapeId="0" xr:uid="{FFC90AD3-9221-406D-9D6D-F03F5DFFDC1F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Sept 15, 2026</t>
        </r>
      </text>
    </comment>
    <comment ref="AJ14" authorId="0" shapeId="0" xr:uid="{63EBE8B0-067F-49BD-9E41-3F132D6E27AC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AF18" authorId="0" shapeId="0" xr:uid="{14E7E041-D776-4CB7-8A83-135FAC0FB77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</t>
        </r>
      </text>
    </comment>
    <comment ref="AC19" authorId="1" shapeId="0" xr:uid="{94AE280F-4073-423C-9647-FA2813813441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01/15/2027</t>
        </r>
      </text>
    </comment>
    <comment ref="AF21" authorId="0" shapeId="0" xr:uid="{80F6DB45-9B38-4065-BE87-6B223AC3C433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
</t>
        </r>
      </text>
    </comment>
    <comment ref="AC23" authorId="2" shapeId="0" xr:uid="{2110B0F3-7596-4D5F-A799-FF25D51C53E0}">
      <text>
        <r>
          <rPr>
            <sz val="9"/>
            <color indexed="81"/>
            <rFont val="Tahoma"/>
            <family val="2"/>
          </rPr>
          <t>Nov 15, 2027</t>
        </r>
      </text>
    </comment>
    <comment ref="AC24" authorId="0" shapeId="0" xr:uid="{5A097F37-330A-481B-A40E-A508CBF7DA3B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May 15, 2028</t>
        </r>
      </text>
    </comment>
    <comment ref="AF29" authorId="0" shapeId="0" xr:uid="{E3B5A131-A41C-4E5F-9EAE-F38FD6EBAE2D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30" authorId="1" shapeId="0" xr:uid="{D208DF3B-F668-428A-A2A4-98B478DF7FFA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06/15/2028</t>
        </r>
      </text>
    </comment>
    <comment ref="AC31" authorId="0" shapeId="0" xr:uid="{520C2D7B-55D9-4C42-BA34-F50F5F8566F9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Until 03/15/2026</t>
        </r>
      </text>
    </comment>
    <comment ref="AC36" authorId="0" shapeId="0" xr:uid="{7214ACF3-E419-416A-91B5-116F07E9AA5E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12/15/2027
</t>
        </r>
      </text>
    </comment>
    <comment ref="AC38" authorId="1" shapeId="0" xr:uid="{C98C0FD5-984E-440D-A8D2-088925983606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06/15/2027</t>
        </r>
      </text>
    </comment>
    <comment ref="L41" authorId="0" shapeId="0" xr:uid="{F3187618-C6F8-4B59-8912-EF77BD539CBE}">
      <text>
        <r>
          <rPr>
            <b/>
            <sz val="9"/>
            <color indexed="81"/>
            <rFont val="Tahoma"/>
            <charset val="1"/>
          </rPr>
          <t>User-PC: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C44" authorId="0" shapeId="0" xr:uid="{8432C068-D9DC-4BB0-8D01-90EFAB3C2F0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05/15/2028</t>
        </r>
      </text>
    </comment>
    <comment ref="AC47" authorId="2" shapeId="0" xr:uid="{A2888895-5262-4C31-A392-4E40C68FF8A2}">
      <text>
        <r>
          <rPr>
            <b/>
            <sz val="9"/>
            <color indexed="81"/>
            <rFont val="Tahoma"/>
            <family val="2"/>
          </rPr>
          <t>Nov 15, 2027</t>
        </r>
      </text>
    </comment>
    <comment ref="AS47" authorId="0" shapeId="0" xr:uid="{92155867-0DA1-4FF7-85EB-52395F52092E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Removed 1/22/25 as instructed by the employee</t>
        </r>
      </text>
    </comment>
    <comment ref="AJ48" authorId="0" shapeId="0" xr:uid="{766662C0-ED60-418D-A555-A1D0ADB7F2AD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Jul 2026</t>
        </r>
      </text>
    </comment>
    <comment ref="AF49" authorId="0" shapeId="0" xr:uid="{3427FB6A-9B69-47E7-B1F2-6E0CB010016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2026 - 600</t>
        </r>
      </text>
    </comment>
    <comment ref="AT49" authorId="0" shapeId="0" xr:uid="{4FD37BA4-53C0-409A-98FD-A3DC671013D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No deduction until Jun 2026
1/8/2026</t>
        </r>
      </text>
    </comment>
    <comment ref="AJ50" authorId="0" shapeId="0" xr:uid="{98FA2565-1DC6-4BA7-A6AE-484C4414983C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L58" authorId="0" shapeId="0" xr:uid="{45CFDE07-95BF-4EF6-936D-CBAA7D82598B}">
      <text>
        <r>
          <rPr>
            <b/>
            <sz val="9"/>
            <color indexed="81"/>
            <rFont val="Tahoma"/>
            <charset val="1"/>
          </rPr>
          <t>User-PC: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F60" authorId="0" shapeId="0" xr:uid="{4F18932C-CFAC-4CEF-AC2D-287B8FD849E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F64" authorId="0" shapeId="0" xr:uid="{B9B8A0CF-33C1-443E-A532-14672F9637A5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
</t>
        </r>
      </text>
    </comment>
    <comment ref="AW68" authorId="0" shapeId="0" xr:uid="{2F6EAE78-8E63-4A77-88AC-60E2D9681583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Fr. Ms. Wilma
</t>
        </r>
      </text>
    </comment>
    <comment ref="AC69" authorId="0" shapeId="0" xr:uid="{4FF58813-05C6-461E-B737-3C2F2EC3EA1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1/15/2029</t>
        </r>
      </text>
    </comment>
    <comment ref="AF69" authorId="0" shapeId="0" xr:uid="{19D40BC1-C55D-4778-B1FD-42B14572E6E0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72" authorId="0" shapeId="0" xr:uid="{DDF878DC-CC91-4104-A74F-28DA2EEE94D2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Until 03/15/2026</t>
        </r>
      </text>
    </comment>
    <comment ref="AF72" authorId="0" shapeId="0" xr:uid="{9FCBE15B-CC86-4DBD-B477-045DF305A10B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J74" authorId="0" shapeId="0" xr:uid="{F2DF7304-C39D-4A0E-A8EC-3B4904BEBBC8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AF75" authorId="0" shapeId="0" xr:uid="{52084E7B-2FF7-43F4-BA1F-A894B4A581AB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Oct 2026</t>
        </r>
      </text>
    </comment>
    <comment ref="AC76" authorId="0" shapeId="0" xr:uid="{66E6D3F2-625E-407D-ADCC-31313EFFC57C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03/15/2028</t>
        </r>
      </text>
    </comment>
    <comment ref="AJ79" authorId="0" shapeId="0" xr:uid="{CE4727ED-2DFA-4C64-8663-2ADA8831664F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Aug 2026</t>
        </r>
      </text>
    </comment>
    <comment ref="AC80" authorId="1" shapeId="0" xr:uid="{FA733E4B-A55B-4494-9AE3-F336AD325CC6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4/15/2026</t>
        </r>
      </text>
    </comment>
    <comment ref="AF80" authorId="0" shapeId="0" xr:uid="{14D862B8-A7EB-46CA-B310-BA8746DBE57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F83" authorId="0" shapeId="0" xr:uid="{CCB7426A-970B-4D92-B9DA-A90F8C00BEA8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86" authorId="0" shapeId="0" xr:uid="{514CB09C-3BC0-4536-97C4-F6AB8F0FEC3D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9/15/2028</t>
        </r>
      </text>
    </comment>
    <comment ref="AJ88" authorId="0" shapeId="0" xr:uid="{629EA78E-A55C-40A1-89FC-61EBA6F2B76C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AC91" authorId="0" shapeId="0" xr:uid="{31E18DA6-E979-4EDF-BED1-A71F15993A30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Until 8/15/2028
</t>
        </r>
      </text>
    </comment>
    <comment ref="AC94" authorId="1" shapeId="0" xr:uid="{3FE9752B-A76F-4114-A082-4B9954EF77D7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12/15/2027</t>
        </r>
      </text>
    </comment>
    <comment ref="AF94" authorId="0" shapeId="0" xr:uid="{8D9F4623-2803-4FE2-BE17-DE6426AE15D8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96" authorId="1" shapeId="0" xr:uid="{9F819685-EA1B-4D57-A949-D992CF0B352C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05/15/2027</t>
        </r>
      </text>
    </comment>
    <comment ref="AF96" authorId="0" shapeId="0" xr:uid="{89D48AA0-0C54-4D5F-8BAA-A96940D0BF49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</t>
        </r>
      </text>
    </comment>
  </commentList>
</comments>
</file>

<file path=xl/sharedStrings.xml><?xml version="1.0" encoding="utf-8"?>
<sst xmlns="http://schemas.openxmlformats.org/spreadsheetml/2006/main" count="1010" uniqueCount="584">
  <si>
    <t>NAME</t>
  </si>
  <si>
    <t>ITEM</t>
  </si>
  <si>
    <t>DIVISION</t>
  </si>
  <si>
    <t>PERA</t>
  </si>
  <si>
    <t>TOTAL</t>
  </si>
  <si>
    <t>Withholding Tax</t>
  </si>
  <si>
    <t>MPL</t>
  </si>
  <si>
    <t>Mobile Phone Amort.</t>
  </si>
  <si>
    <t>ATIEA</t>
  </si>
  <si>
    <t>Loans</t>
  </si>
  <si>
    <t>AMPCI</t>
  </si>
  <si>
    <t>Disallowance</t>
  </si>
  <si>
    <t>Landbank 
Loan</t>
  </si>
  <si>
    <t>Net Take Home Pay</t>
  </si>
  <si>
    <t>Share</t>
  </si>
  <si>
    <t>Al P. Camaya</t>
  </si>
  <si>
    <t>ISD</t>
  </si>
  <si>
    <t>Alfredo S. Aton</t>
  </si>
  <si>
    <t>Director IV</t>
  </si>
  <si>
    <t>AFU-OD</t>
  </si>
  <si>
    <t>Althea D. Perez</t>
  </si>
  <si>
    <t>Agric. II</t>
  </si>
  <si>
    <t>PAD</t>
  </si>
  <si>
    <t>Alyza Jane D. Villamarzo</t>
  </si>
  <si>
    <t>Amelito A. Belaro</t>
  </si>
  <si>
    <t>Angelica Marie T. Umali</t>
  </si>
  <si>
    <t>Ansherina G. Torres</t>
  </si>
  <si>
    <t>DMO II</t>
  </si>
  <si>
    <t>Antonieta J. Arceo</t>
  </si>
  <si>
    <t>Arlene S. Nilo</t>
  </si>
  <si>
    <t>AO V</t>
  </si>
  <si>
    <t>Armando R. Ricablanca</t>
  </si>
  <si>
    <t>Adm. Asst. II</t>
  </si>
  <si>
    <t>Arnel R. Bunda</t>
  </si>
  <si>
    <t>PLO I</t>
  </si>
  <si>
    <t>PPD</t>
  </si>
  <si>
    <t>Athena AB. Baguisi</t>
  </si>
  <si>
    <t>MPS III</t>
  </si>
  <si>
    <t>Adm. Aide IV</t>
  </si>
  <si>
    <t>Beatriz A. Yanga</t>
  </si>
  <si>
    <t>Bernard James R. Tandang</t>
  </si>
  <si>
    <t>PEO II</t>
  </si>
  <si>
    <t>Camilo M. Alberto</t>
  </si>
  <si>
    <t>AO I</t>
  </si>
  <si>
    <t>CDMD</t>
  </si>
  <si>
    <t>Charisa N. Miral</t>
  </si>
  <si>
    <t>AO II</t>
  </si>
  <si>
    <t>Christine U. Suay</t>
  </si>
  <si>
    <t>PLO II</t>
  </si>
  <si>
    <t>Cindy C. Alfonso</t>
  </si>
  <si>
    <t>Clemente A. Gabion</t>
  </si>
  <si>
    <t>Film Editor II</t>
  </si>
  <si>
    <t>Corazon Z. Cabangbang</t>
  </si>
  <si>
    <t>Cyril C. Cuerbo</t>
  </si>
  <si>
    <t>Czarina S. Mamino</t>
  </si>
  <si>
    <t>Dailinda D. Yadao</t>
  </si>
  <si>
    <t>Daniel U. Nilo</t>
  </si>
  <si>
    <t>Adm. Asst. I</t>
  </si>
  <si>
    <t>Darwin C. Bibit</t>
  </si>
  <si>
    <t>Dino Jenn C. Lubguban</t>
  </si>
  <si>
    <t>DMO I</t>
  </si>
  <si>
    <t>Dominador N. Estoesta</t>
  </si>
  <si>
    <t>Donato M. Tangonan</t>
  </si>
  <si>
    <t>Edena P. Sayson</t>
  </si>
  <si>
    <t>DMO III</t>
  </si>
  <si>
    <t>Editha S. Vinuya</t>
  </si>
  <si>
    <t>Elsa A. Parot</t>
  </si>
  <si>
    <t>Emerson R. Deñado</t>
  </si>
  <si>
    <t>Emmanuel I. Mendoza</t>
  </si>
  <si>
    <t>Erika Z. Vizcarra</t>
  </si>
  <si>
    <t>Erlinda R. Vinarao</t>
  </si>
  <si>
    <t>Eufemia A. Atienza</t>
  </si>
  <si>
    <t>SG I</t>
  </si>
  <si>
    <t>Eugene B. Berces</t>
  </si>
  <si>
    <t>Evelyn D. Soriano</t>
  </si>
  <si>
    <t>AO IV</t>
  </si>
  <si>
    <t>PDO I</t>
  </si>
  <si>
    <t>Fidelyn C. Agustin</t>
  </si>
  <si>
    <t>Franco Gabriel P. Borlagdan</t>
  </si>
  <si>
    <t>G. Mark Anthony C. Alforque I</t>
  </si>
  <si>
    <t>PEO I</t>
  </si>
  <si>
    <t>Gay Ritchel GQ.Dianala</t>
  </si>
  <si>
    <t>James Gilbert SJ. Castuera</t>
  </si>
  <si>
    <t>Agric. I</t>
  </si>
  <si>
    <t>Janelle Faye B. Tanudtanud</t>
  </si>
  <si>
    <t>Janina G. Drueco</t>
  </si>
  <si>
    <t>MPS II</t>
  </si>
  <si>
    <t>Jeannette A. Mateo</t>
  </si>
  <si>
    <t>Jejorian C. Quisel</t>
  </si>
  <si>
    <t>Jereme Jon M. Dumaraos</t>
  </si>
  <si>
    <t>Joeven C. Calasagsag</t>
  </si>
  <si>
    <t>Jonaly E. Villasis</t>
  </si>
  <si>
    <t>Jonarex Z. Miral</t>
  </si>
  <si>
    <t>Jose D. Tanhueco</t>
  </si>
  <si>
    <t>Josefina M. de los Santos</t>
  </si>
  <si>
    <t>Adm. Asst. III</t>
  </si>
  <si>
    <t>Josephine K. Aben</t>
  </si>
  <si>
    <t>MPS I</t>
  </si>
  <si>
    <t>Jun G. Balangatan</t>
  </si>
  <si>
    <t>Karl Louise M. Salibio</t>
  </si>
  <si>
    <t>Karlene Grace Z. Tandang</t>
  </si>
  <si>
    <t>Katrina Liza O. Concepcion</t>
  </si>
  <si>
    <t>Kelly Alyza Evign A. Corcuera</t>
  </si>
  <si>
    <t>Kim Joseph M. Medrana</t>
  </si>
  <si>
    <t>Kim Maverick C. Narvaez</t>
  </si>
  <si>
    <t>Ladylyn R. Jose</t>
  </si>
  <si>
    <t>Larry Illich N. Souribio</t>
  </si>
  <si>
    <t>Leonila D. Caiz</t>
  </si>
  <si>
    <t>Levi B. Reyes</t>
  </si>
  <si>
    <t>AO III</t>
  </si>
  <si>
    <t>Ma. Lourdes A. Roxas</t>
  </si>
  <si>
    <t>Librarian II</t>
  </si>
  <si>
    <t>Manolita A. Tan</t>
  </si>
  <si>
    <t>Manuel M. Dimalaluan</t>
  </si>
  <si>
    <t>Maria Fae LD. Magpantay</t>
  </si>
  <si>
    <t>Marilyn A. Sonaco</t>
  </si>
  <si>
    <t>Marilyn J. Bautista</t>
  </si>
  <si>
    <t>Marisa O. Galgo</t>
  </si>
  <si>
    <t>Mark Nello B. Alvarez</t>
  </si>
  <si>
    <t>Marlene Q. Pintac</t>
  </si>
  <si>
    <t>Mary Ann Jay M. Somyden</t>
  </si>
  <si>
    <t>Michelle S. Montiel</t>
  </si>
  <si>
    <t>Milagros C. Urbano</t>
  </si>
  <si>
    <t>PLO V</t>
  </si>
  <si>
    <t>Milo P. Felipe</t>
  </si>
  <si>
    <t>Adm. Aide VI</t>
  </si>
  <si>
    <t>Nemielynn P. Pangilinan</t>
  </si>
  <si>
    <t>Sr. Agric.</t>
  </si>
  <si>
    <t>Nida E. Velasco</t>
  </si>
  <si>
    <t>Norberto C. Roque</t>
  </si>
  <si>
    <t>Pamela MG. Mappala</t>
  </si>
  <si>
    <t>Info. Officer IV</t>
  </si>
  <si>
    <t>Pedro R. Tortoles</t>
  </si>
  <si>
    <t>Rachel R. Raval</t>
  </si>
  <si>
    <t>Rae Bernadette Ianna</t>
  </si>
  <si>
    <t>Ralph Ian A. Esteves</t>
  </si>
  <si>
    <t>Rechilda R. Gregorio</t>
  </si>
  <si>
    <t>Remedios L. Somera</t>
  </si>
  <si>
    <t>Renelle Joy A. Tabinas</t>
  </si>
  <si>
    <t>PDO II</t>
  </si>
  <si>
    <t>Renz P. Sanchez</t>
  </si>
  <si>
    <t>Reynaldo M. Jayme</t>
  </si>
  <si>
    <t>Reynante P. Somera</t>
  </si>
  <si>
    <t>Rhea D. Bautista</t>
  </si>
  <si>
    <t>Richard E. Bolon</t>
  </si>
  <si>
    <t>PDO III</t>
  </si>
  <si>
    <t>Robert D. Dellava</t>
  </si>
  <si>
    <t>Rolaine Ruzielle D. Odulio</t>
  </si>
  <si>
    <t>Romermart AM. Penamora</t>
  </si>
  <si>
    <t>Rose Ann P. Leonor</t>
  </si>
  <si>
    <t>PEO III</t>
  </si>
  <si>
    <t>Rosemarie B. Dulla</t>
  </si>
  <si>
    <t>Rudell S. Malit</t>
  </si>
  <si>
    <t>Adm. Aide V</t>
  </si>
  <si>
    <t>Sherrie C. Dreje</t>
  </si>
  <si>
    <t>Sofia Joy G. Quillope</t>
  </si>
  <si>
    <t>Thelma B. Austria</t>
  </si>
  <si>
    <t>DMO IV</t>
  </si>
  <si>
    <t>Theresa AB. Cosico</t>
  </si>
  <si>
    <t>Urbano P. Ordinanza</t>
  </si>
  <si>
    <t>Valentin M. Alberto</t>
  </si>
  <si>
    <t>Valentina S. Cagumbay</t>
  </si>
  <si>
    <t>Vicente S. Dayanghirang, Jr.</t>
  </si>
  <si>
    <t>PLO IV</t>
  </si>
  <si>
    <t>Vienna Grace P. Santos</t>
  </si>
  <si>
    <t>Wilma P. Lopez</t>
  </si>
  <si>
    <t>Yovina Claire A. Pauig</t>
  </si>
  <si>
    <t>Info. Officer III</t>
  </si>
  <si>
    <t>CERTIFIED :  Services duly rendered as stated.</t>
  </si>
  <si>
    <t xml:space="preserve">CERTIFIED :  Supporting documents complete and proper, and cash </t>
  </si>
  <si>
    <t>CERTIFIED :  Each employee whose name appears above has been paid the amount indicated opposite on his/her name.</t>
  </si>
  <si>
    <t xml:space="preserve">                     available in the amount of  P ___________________.</t>
  </si>
  <si>
    <t>ALOBS No.   :</t>
  </si>
  <si>
    <t>Date  :</t>
  </si>
  <si>
    <t>JBV No.  :</t>
  </si>
  <si>
    <t xml:space="preserve"> </t>
  </si>
  <si>
    <t>GROSS SALARY</t>
  </si>
  <si>
    <t>DEDUCTIONS</t>
  </si>
  <si>
    <t>NET TAKE HOME PAY</t>
  </si>
  <si>
    <t xml:space="preserve">Prepared By: </t>
  </si>
  <si>
    <t>Monthly Deduction (Disallowance A)</t>
  </si>
  <si>
    <t>Monthly Deduction (Disallowance B)</t>
  </si>
  <si>
    <t>disallowance B</t>
  </si>
  <si>
    <t>TOTAL DEDUCTION MONTHLY</t>
  </si>
  <si>
    <t>Note</t>
  </si>
  <si>
    <t>OKAY</t>
  </si>
  <si>
    <t>Basil F. Nunez</t>
  </si>
  <si>
    <t>Cipriano M. De Guzman</t>
  </si>
  <si>
    <t>Demetrio P. Legarde</t>
  </si>
  <si>
    <t>Jovanee S. Dela Cuadra</t>
  </si>
  <si>
    <t>kemuel M. Borromeo</t>
  </si>
  <si>
    <t xml:space="preserve">Kristine Grace C. Matignas </t>
  </si>
  <si>
    <t>Renato B. Dela Cruz</t>
  </si>
  <si>
    <t>Roy Son R. Dela Cruz</t>
  </si>
  <si>
    <t>Rumelia G. Dela Cruz</t>
  </si>
  <si>
    <t xml:space="preserve">Asterio P. Saliot </t>
  </si>
  <si>
    <t>Madonna Mae V. Madriaga</t>
  </si>
  <si>
    <t>Mafel Myda Y. Gonzales</t>
  </si>
  <si>
    <t>Alicia Rose D. Nebreja</t>
  </si>
  <si>
    <t>Angelica Chelsea S. Lota</t>
  </si>
  <si>
    <t>Gaudioso P. Cabague Jr.</t>
  </si>
  <si>
    <t>Dante G. Esguerra</t>
  </si>
  <si>
    <t>Luz A. Taposok</t>
  </si>
  <si>
    <t xml:space="preserve">Andrew D. Gasmen </t>
  </si>
  <si>
    <t>Rosemarie G. Delgado</t>
  </si>
  <si>
    <t>Omer D. Taposok</t>
  </si>
  <si>
    <t>Nenita P. Paca</t>
  </si>
  <si>
    <t>Danica E. Melegrito</t>
  </si>
  <si>
    <t>Iseult Kylie T. Capacio</t>
  </si>
  <si>
    <t>Jerwin C. Resuello</t>
  </si>
  <si>
    <t>Raquel B. Santos</t>
  </si>
  <si>
    <t>Certified By:</t>
  </si>
  <si>
    <t>P.</t>
  </si>
  <si>
    <t>S.</t>
  </si>
  <si>
    <t>Althea</t>
  </si>
  <si>
    <t>D.</t>
  </si>
  <si>
    <t>Perez</t>
  </si>
  <si>
    <t>A.</t>
  </si>
  <si>
    <t>T.</t>
  </si>
  <si>
    <t>G.</t>
  </si>
  <si>
    <t>Antonieta</t>
  </si>
  <si>
    <t>J.</t>
  </si>
  <si>
    <t>Arceo</t>
  </si>
  <si>
    <t>Nilo</t>
  </si>
  <si>
    <t>R.</t>
  </si>
  <si>
    <t>Arnel</t>
  </si>
  <si>
    <t>Bunda</t>
  </si>
  <si>
    <t>Ashlee</t>
  </si>
  <si>
    <t>Canilang</t>
  </si>
  <si>
    <t>Basil</t>
  </si>
  <si>
    <t>F.</t>
  </si>
  <si>
    <t>Nuñez</t>
  </si>
  <si>
    <t>Tandang</t>
  </si>
  <si>
    <t>Camilo</t>
  </si>
  <si>
    <t>M.</t>
  </si>
  <si>
    <t>Alberto</t>
  </si>
  <si>
    <t>N.</t>
  </si>
  <si>
    <t>U.</t>
  </si>
  <si>
    <t>Cindy</t>
  </si>
  <si>
    <t>C.</t>
  </si>
  <si>
    <t>Alfonso</t>
  </si>
  <si>
    <t>Clemente</t>
  </si>
  <si>
    <t>Gabion</t>
  </si>
  <si>
    <t>Z.</t>
  </si>
  <si>
    <t>Czarina</t>
  </si>
  <si>
    <t>Daniel</t>
  </si>
  <si>
    <t>Darwin</t>
  </si>
  <si>
    <t>Bibit</t>
  </si>
  <si>
    <t>Dominador</t>
  </si>
  <si>
    <t>Estoesta</t>
  </si>
  <si>
    <t>Donald</t>
  </si>
  <si>
    <t>B.</t>
  </si>
  <si>
    <t>Legarde</t>
  </si>
  <si>
    <t>Editha</t>
  </si>
  <si>
    <t>Vinuya</t>
  </si>
  <si>
    <t>Emerson</t>
  </si>
  <si>
    <t>Deñado</t>
  </si>
  <si>
    <t>Emmanuel</t>
  </si>
  <si>
    <t>I.</t>
  </si>
  <si>
    <t>Mendoza</t>
  </si>
  <si>
    <t>Borlagdan</t>
  </si>
  <si>
    <t>Janina</t>
  </si>
  <si>
    <t>Drueco</t>
  </si>
  <si>
    <t>Jejorian</t>
  </si>
  <si>
    <t>Joeven</t>
  </si>
  <si>
    <t>Calasagsag</t>
  </si>
  <si>
    <t>E.</t>
  </si>
  <si>
    <t>Jose</t>
  </si>
  <si>
    <t>Josefina</t>
  </si>
  <si>
    <t>Jovanee</t>
  </si>
  <si>
    <t>Julrose</t>
  </si>
  <si>
    <t>H.</t>
  </si>
  <si>
    <t>Jun</t>
  </si>
  <si>
    <t>Balangatan</t>
  </si>
  <si>
    <t>Salibio</t>
  </si>
  <si>
    <t>O.</t>
  </si>
  <si>
    <t>Kemuel</t>
  </si>
  <si>
    <t>Borromeo</t>
  </si>
  <si>
    <t>Ladylyn</t>
  </si>
  <si>
    <t>DR.</t>
  </si>
  <si>
    <t>Valencia</t>
  </si>
  <si>
    <t>Marilyn</t>
  </si>
  <si>
    <t>Bautista</t>
  </si>
  <si>
    <t>Marisa</t>
  </si>
  <si>
    <t>Galgo</t>
  </si>
  <si>
    <t>Alvarez</t>
  </si>
  <si>
    <t>Marlene</t>
  </si>
  <si>
    <t>Q.</t>
  </si>
  <si>
    <t>Pintac</t>
  </si>
  <si>
    <t>Milagros</t>
  </si>
  <si>
    <t>Urbano</t>
  </si>
  <si>
    <t>Nemielynn</t>
  </si>
  <si>
    <t>Pangilinan</t>
  </si>
  <si>
    <t>Mappala</t>
  </si>
  <si>
    <t>Rechilda</t>
  </si>
  <si>
    <t>Gregorio</t>
  </si>
  <si>
    <t>L.</t>
  </si>
  <si>
    <t>Richard</t>
  </si>
  <si>
    <t>Bolon</t>
  </si>
  <si>
    <t>Robert</t>
  </si>
  <si>
    <t>Dellava</t>
  </si>
  <si>
    <t>AM.</t>
  </si>
  <si>
    <t>Leonor</t>
  </si>
  <si>
    <t>Sherrie</t>
  </si>
  <si>
    <t>Dreje</t>
  </si>
  <si>
    <t>Cosico</t>
  </si>
  <si>
    <t>Wilma</t>
  </si>
  <si>
    <t>Lopez</t>
  </si>
  <si>
    <t>Pauig</t>
  </si>
  <si>
    <t>Bernard James</t>
  </si>
  <si>
    <t>Franco Gabriel</t>
  </si>
  <si>
    <t>Karl Louise</t>
  </si>
  <si>
    <t>Lian Janelle</t>
  </si>
  <si>
    <t>Maria Carmina</t>
  </si>
  <si>
    <t>Mark Nello</t>
  </si>
  <si>
    <t>Mary Joy</t>
  </si>
  <si>
    <t>Rolaine Ruzielle</t>
  </si>
  <si>
    <t>Roy Son</t>
  </si>
  <si>
    <t>Yovina Claire</t>
  </si>
  <si>
    <t>de Mesa</t>
  </si>
  <si>
    <t>dela Cuadra</t>
  </si>
  <si>
    <t>dela Torre</t>
  </si>
  <si>
    <t>G. Mark Anthony</t>
  </si>
  <si>
    <t>Rose Ann</t>
  </si>
  <si>
    <t>Alforque I</t>
  </si>
  <si>
    <t>C</t>
  </si>
  <si>
    <t>SURNAME</t>
  </si>
  <si>
    <t>FIRST NAME</t>
  </si>
  <si>
    <t xml:space="preserve">TOTAL </t>
  </si>
  <si>
    <t>Life and Retirement (SIC)</t>
  </si>
  <si>
    <t>Policy Loan (Regular)</t>
  </si>
  <si>
    <t>Emerg. Loan</t>
  </si>
  <si>
    <t>R E L (Housing)</t>
  </si>
  <si>
    <t>Conso. Loan</t>
  </si>
  <si>
    <t>Optional Premium (OULI)</t>
  </si>
  <si>
    <t>Policy Loan (Optional)</t>
  </si>
  <si>
    <t>Personal Cont.</t>
  </si>
  <si>
    <t>Monthly Dues</t>
  </si>
  <si>
    <t>Prov. Fund Share</t>
  </si>
  <si>
    <t>Prov. Fund Loan</t>
  </si>
  <si>
    <t>Total Deductions</t>
  </si>
  <si>
    <t>Aninacion</t>
  </si>
  <si>
    <t>Joshua</t>
  </si>
  <si>
    <t>Rommel</t>
  </si>
  <si>
    <t>Hallares</t>
  </si>
  <si>
    <t>Magpantay</t>
  </si>
  <si>
    <r>
      <t>Pe</t>
    </r>
    <r>
      <rPr>
        <sz val="11"/>
        <color theme="1"/>
        <rFont val="Arial"/>
        <family val="2"/>
      </rPr>
      <t>ñ</t>
    </r>
    <r>
      <rPr>
        <sz val="11"/>
        <color theme="1"/>
        <rFont val="Cambria"/>
        <family val="1"/>
      </rPr>
      <t>amora</t>
    </r>
  </si>
  <si>
    <t>delos Santos</t>
  </si>
  <si>
    <t>de la Cruz</t>
  </si>
  <si>
    <t>15th</t>
  </si>
  <si>
    <t>30th</t>
  </si>
  <si>
    <t>Maria Fae Leslie</t>
  </si>
  <si>
    <t>Theresa Aurora</t>
  </si>
  <si>
    <t>Coop 
Share</t>
  </si>
  <si>
    <t>Coop 
Loans</t>
  </si>
  <si>
    <t>Pamela Mariquita</t>
  </si>
  <si>
    <t>GFAL</t>
  </si>
  <si>
    <t>OCO II</t>
  </si>
  <si>
    <t>Tabor</t>
  </si>
  <si>
    <t>Jomar</t>
  </si>
  <si>
    <t>IO I</t>
  </si>
  <si>
    <t>Prov. (Healthcard)</t>
  </si>
  <si>
    <t>Arlene Geminiana</t>
  </si>
  <si>
    <t>Espeña</t>
  </si>
  <si>
    <t>God Rick</t>
  </si>
  <si>
    <t>Labilles</t>
  </si>
  <si>
    <t>Ericka Shane</t>
  </si>
  <si>
    <t>Mercader</t>
  </si>
  <si>
    <t>Lyka</t>
  </si>
  <si>
    <t>CPL</t>
  </si>
  <si>
    <t>ISR III</t>
  </si>
  <si>
    <t>Ragua</t>
  </si>
  <si>
    <t>Mary Anne</t>
  </si>
  <si>
    <t>Bombon</t>
  </si>
  <si>
    <t>Mary Angelyn</t>
  </si>
  <si>
    <t>Lanzon</t>
  </si>
  <si>
    <t>Mc Alter</t>
  </si>
  <si>
    <t>Bryll Christian</t>
  </si>
  <si>
    <t>Taruc</t>
  </si>
  <si>
    <t>Jennifer</t>
  </si>
  <si>
    <t>Panol</t>
  </si>
  <si>
    <t>Chandra Rachel</t>
  </si>
  <si>
    <t>Yago</t>
  </si>
  <si>
    <t>DAMC 
Loan</t>
  </si>
  <si>
    <t>Gillian Rose</t>
  </si>
  <si>
    <t>Marcos</t>
  </si>
  <si>
    <t>Joshua Ace</t>
  </si>
  <si>
    <t>Rodriguez</t>
  </si>
  <si>
    <t>Moo</t>
  </si>
  <si>
    <t xml:space="preserve">APPROVED FOR PAYMENT :  </t>
  </si>
  <si>
    <t>REMELYN R. RECOTER, MNSA, CESO III</t>
  </si>
  <si>
    <t>Undeducted Previous Transaction  Fee</t>
  </si>
  <si>
    <t>JONALYN T. TOLERO</t>
  </si>
  <si>
    <t xml:space="preserve">Philhealth </t>
  </si>
  <si>
    <t>Lao</t>
  </si>
  <si>
    <t>Rein</t>
  </si>
  <si>
    <t>GSIS</t>
  </si>
  <si>
    <t>HDMF (Pag-ibig)</t>
  </si>
  <si>
    <t>HDMF</t>
  </si>
  <si>
    <t>TENANTS</t>
  </si>
  <si>
    <t>Provident</t>
  </si>
  <si>
    <t>MI</t>
  </si>
  <si>
    <t>BASIC SALARY</t>
  </si>
  <si>
    <t xml:space="preserve">Unutilized Daily Subsistence Allowance </t>
  </si>
  <si>
    <t>MPL/STLRF</t>
  </si>
  <si>
    <t xml:space="preserve">
Accommodation</t>
  </si>
  <si>
    <t>Pag-ibig II/MP2</t>
  </si>
  <si>
    <t>DMO V</t>
  </si>
  <si>
    <t>Water Bill</t>
  </si>
  <si>
    <t>Electric Bill</t>
  </si>
  <si>
    <t>Agri. II</t>
  </si>
  <si>
    <t>Agri II</t>
  </si>
  <si>
    <t>MARISA O. GALGO</t>
  </si>
  <si>
    <t>Recoter</t>
  </si>
  <si>
    <t>Remelyn</t>
  </si>
  <si>
    <t>OD</t>
  </si>
  <si>
    <t>Director III</t>
  </si>
  <si>
    <t>Katipunan</t>
  </si>
  <si>
    <t>Jerusha Kyle Angela</t>
  </si>
  <si>
    <t>Rabino</t>
  </si>
  <si>
    <t>Gabao</t>
  </si>
  <si>
    <t>Jenny Rose</t>
  </si>
  <si>
    <t>Dacillo</t>
  </si>
  <si>
    <t>Perolino</t>
  </si>
  <si>
    <t>Edmer</t>
  </si>
  <si>
    <t>CMT II</t>
  </si>
  <si>
    <t>Datuin</t>
  </si>
  <si>
    <t>Linaac</t>
  </si>
  <si>
    <t>Aguilar</t>
  </si>
  <si>
    <t>Roxette Gelyn</t>
  </si>
  <si>
    <t>Tolero</t>
  </si>
  <si>
    <t>Jonalyn</t>
  </si>
  <si>
    <t>Repairs</t>
  </si>
  <si>
    <t>Administrative Assistant III</t>
  </si>
  <si>
    <t>Saluib</t>
  </si>
  <si>
    <t>Admin Assistant III</t>
  </si>
  <si>
    <t>AO V, HRMO-AFU-OD</t>
  </si>
  <si>
    <t>Baluyut</t>
  </si>
  <si>
    <t>Julia Marie</t>
  </si>
  <si>
    <t>Antipas</t>
  </si>
  <si>
    <t>Andrea Jane</t>
  </si>
  <si>
    <t>Abcede</t>
  </si>
  <si>
    <t>ISR II</t>
  </si>
  <si>
    <t>Turda</t>
  </si>
  <si>
    <t>Hershey</t>
  </si>
  <si>
    <t>Ma. Ruben Ana</t>
  </si>
  <si>
    <t>Mark Christopher</t>
  </si>
  <si>
    <t>Romermart Aubigne</t>
  </si>
  <si>
    <t>Dianne</t>
  </si>
  <si>
    <t>Bayot</t>
  </si>
  <si>
    <t>Salvania</t>
  </si>
  <si>
    <t>Dianne Marie</t>
  </si>
  <si>
    <t>Supervising Agric.</t>
  </si>
  <si>
    <t>GILLIAN ROSE L. SALUIB</t>
  </si>
  <si>
    <t>MPL LITE</t>
  </si>
  <si>
    <t>Alcantara</t>
  </si>
  <si>
    <t>Justine Ann</t>
  </si>
  <si>
    <t>Sangalang</t>
  </si>
  <si>
    <t>Janice</t>
  </si>
  <si>
    <t>Accountant III / Head, Finance Unit-OD</t>
  </si>
  <si>
    <t>Francisco</t>
  </si>
  <si>
    <t>IO II</t>
  </si>
  <si>
    <t>Accountant III</t>
  </si>
  <si>
    <t>Security</t>
  </si>
  <si>
    <t>AO V, HRMO Admin Unit-OD</t>
  </si>
  <si>
    <t>Clarissa</t>
  </si>
  <si>
    <t>Galorio</t>
  </si>
  <si>
    <t>Jarien</t>
  </si>
  <si>
    <t>Pardo</t>
  </si>
  <si>
    <t>Interno</t>
  </si>
  <si>
    <t>D</t>
  </si>
  <si>
    <t>Khevin</t>
  </si>
  <si>
    <t>Justin Paolo</t>
  </si>
  <si>
    <t>Healthcard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</si>
  <si>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</si>
  <si>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JOSEFINA M. DELOS SANTOS</t>
  </si>
  <si>
    <t xml:space="preserve"> AO I, Disbursing Officer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</si>
  <si>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</si>
  <si>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Gabuyo</t>
  </si>
  <si>
    <t>Dyna Rose</t>
  </si>
  <si>
    <t>Pilariza</t>
  </si>
  <si>
    <t>Erika Nitz</t>
  </si>
  <si>
    <t>V.</t>
  </si>
  <si>
    <t>UCPB 
Loan</t>
  </si>
  <si>
    <t>OSEC-DAB-AG1-116-2014</t>
  </si>
  <si>
    <t>OSEC-DAB-PLO1-12-1998</t>
  </si>
  <si>
    <t>OSEC-DAB-DMO1-125-2014</t>
  </si>
  <si>
    <t>OSEC-DAB-DMO1-129-2014</t>
  </si>
  <si>
    <t>OSEC-DAB-PEO3-55-2014</t>
  </si>
  <si>
    <t>OSEC-DAB-PEO2-13-1998</t>
  </si>
  <si>
    <t>OSEC-DAB-ADAS3-98-2004</t>
  </si>
  <si>
    <t>OSEC-DAB-AG2-1317-1998</t>
  </si>
  <si>
    <t>OSEC-DAB-PLO2-54-2014</t>
  </si>
  <si>
    <t>OSEC-DAB-ADAS1-52-2004</t>
  </si>
  <si>
    <t>OSEC-DAB-DIR3-55-1998</t>
  </si>
  <si>
    <t>OSEC-DAB-OCO2-3-1998</t>
  </si>
  <si>
    <t>OSEC-DAB-DMO1-130-2014</t>
  </si>
  <si>
    <t>OSEC-DAB-SECG1-262-1998</t>
  </si>
  <si>
    <t>OSEC-DAB-DMO3-63-2014</t>
  </si>
  <si>
    <t>OSEC-DAB-ADAS2-98-2004</t>
  </si>
  <si>
    <t>OSEC-DAB-ADA5-17-2004</t>
  </si>
  <si>
    <t>OSEC-DAB-DMO2-62-2014</t>
  </si>
  <si>
    <t>OSEC-DAB-INFOSR3-18-2014</t>
  </si>
  <si>
    <t>OSEC-DAB-DMO3-61-2014</t>
  </si>
  <si>
    <t>OSEC-DAB-PLO1-1-1998</t>
  </si>
  <si>
    <t>OSEC-DAB-SVAG-105-1998</t>
  </si>
  <si>
    <t>OSEC-DAB-MPXS2-19-2014</t>
  </si>
  <si>
    <t>OSEC-DAB-DMO3-62-2014</t>
  </si>
  <si>
    <t>OSEC-DAB-CTMT2-50-2014</t>
  </si>
  <si>
    <t>OSEC-DAB-DMO2-67-2014</t>
  </si>
  <si>
    <t>OSEC-DAB-AG1-162-1998</t>
  </si>
  <si>
    <t>OSEC-DAB-AG2-1328-1998</t>
  </si>
  <si>
    <t>OSEC-DAB-INFO2-25-1998</t>
  </si>
  <si>
    <t>OSEC-DAB-SECG1-258-1998</t>
  </si>
  <si>
    <t>OSEC-DAB-ADOF1-75-2004</t>
  </si>
  <si>
    <t>OSEC-DAB-AG2-968-1998</t>
  </si>
  <si>
    <t>OSEC-DAB-SRAG-162-1998</t>
  </si>
  <si>
    <t>OSEC-DAB-DMO2-60-2014</t>
  </si>
  <si>
    <t>OSEC-DAB-PDO1-60-2014</t>
  </si>
  <si>
    <t>OSEC-DAB-ADA4-412-2004</t>
  </si>
  <si>
    <t>OSEC-DAB-ADOF3-93-2004</t>
  </si>
  <si>
    <t>OSEC-DAB-INFO1-55-2014</t>
  </si>
  <si>
    <t>OSEC-DAB-FED2-1-1998</t>
  </si>
  <si>
    <t>OSEC-DAB-PLO1-16-2014</t>
  </si>
  <si>
    <t>OSEC-DAB-ADOF5-84-2004</t>
  </si>
  <si>
    <t>OSEC-DAB-LIB2-53-2014</t>
  </si>
  <si>
    <t>OSEC-DAB-ADAS2-111-2004</t>
  </si>
  <si>
    <t>OSEC-DAB-AG1-115-2014</t>
  </si>
  <si>
    <t>OSEC-DAB-AG2-1077-1998</t>
  </si>
  <si>
    <t>OSEC-DAB-INFOSR2-52-2014</t>
  </si>
  <si>
    <t>OSEC-DAB-DMO1-126-2014</t>
  </si>
  <si>
    <t>OSEC-DAB-PEO2-67-2014</t>
  </si>
  <si>
    <t>OSEC-DAB-AG2-1306-1998</t>
  </si>
  <si>
    <t>OSEC-DAB-PEO1-58-2014</t>
  </si>
  <si>
    <t>OSEC-DAB-ADOF3-95-2004</t>
  </si>
  <si>
    <t>OSEC-DAB-PLO4-3-1998</t>
  </si>
  <si>
    <t>OSEC-DAB-AG1-120-2014</t>
  </si>
  <si>
    <t>OSEC-DAB-ADA4-407-2004</t>
  </si>
  <si>
    <t>OSEC-DAB-DMO2-65-2014</t>
  </si>
  <si>
    <t>OSEC-DAB-INFO4-2-1998</t>
  </si>
  <si>
    <t>OSEC-DAB-DMO2-58-2014</t>
  </si>
  <si>
    <t>OSEC-DAB-DMO1-124-2014</t>
  </si>
  <si>
    <t>OSEC-DAB-ADA6-184-2004</t>
  </si>
  <si>
    <t>OSEC-DAB-PEO1-57-2014</t>
  </si>
  <si>
    <t>OSEC-DAB-ADOF5-85-2004</t>
  </si>
  <si>
    <t>OSEC-DAB-ADAS1-54-2004</t>
  </si>
  <si>
    <t>OSEC-DAB-ADA4-411-2004</t>
  </si>
  <si>
    <t>OSEC-DAB-SRAG-14-1998</t>
  </si>
  <si>
    <t>OSEC-DAB-PLO2-53-2014</t>
  </si>
  <si>
    <t>OSEC-DAB-ADOF2-54-2014</t>
  </si>
  <si>
    <t>OSEC-DAB-INFO3-10-1998</t>
  </si>
  <si>
    <t>OSEC-DAB-DMO2-57-2014</t>
  </si>
  <si>
    <t>OSEC-DAB-INFO1-56-2014</t>
  </si>
  <si>
    <t>OSEC-DAB-DMO3-60-2014</t>
  </si>
  <si>
    <t>OSEC-DAB-ADOF2-53-2004</t>
  </si>
  <si>
    <t>OSEC-DAB-ADOF4-99-2004</t>
  </si>
  <si>
    <t>OSEC-DAB-ADOF1-74-2004</t>
  </si>
  <si>
    <t>OSEC-DAB-ADAS3-97-2004</t>
  </si>
  <si>
    <t>OSEC-DAB-DIR4-1-1998</t>
  </si>
  <si>
    <t>OSEC-DAB-PDO2-55-2014</t>
  </si>
  <si>
    <t>OSEC-DAB-MPXS3-5-1998</t>
  </si>
  <si>
    <t>OSEC-DAB-A3-19-1998</t>
  </si>
  <si>
    <t>OSEC-DAB-DMO1-132-2014</t>
  </si>
  <si>
    <t>OSEC-DAB-MPXS1-54-2014</t>
  </si>
  <si>
    <t>OSEC-DAB-AG2-1110-1998</t>
  </si>
  <si>
    <t>OSEC-DAB-PDO3-62-2014</t>
  </si>
  <si>
    <t>OSEC-DAB-ADOF4-98-2004</t>
  </si>
  <si>
    <t>OSEC-DAB-ADAS3-47-2014</t>
  </si>
  <si>
    <t>OSEC-DAB-DMO1-127-2014</t>
  </si>
  <si>
    <t>OSEC-DAB-PLO5-3-1998</t>
  </si>
  <si>
    <t>OSEC-DAB-DMO1-123-2014</t>
  </si>
  <si>
    <t>OSEC-DAB-DMO5-26-2014</t>
  </si>
  <si>
    <t>OSEC-DAB-DMO4-27-2014</t>
  </si>
  <si>
    <t>ITEM NUMBER</t>
  </si>
  <si>
    <t>DATE OF 
ORIGINAL APPOINTMENT</t>
  </si>
  <si>
    <t>DATE OF 
LAST PROMOTION</t>
  </si>
  <si>
    <t>SALARY GRADE</t>
  </si>
  <si>
    <t>STEP</t>
  </si>
  <si>
    <t>Salary Grade</t>
  </si>
  <si>
    <t>Third Tranche</t>
  </si>
  <si>
    <t xml:space="preserve"> APPROVED FOR PAYMENT :  </t>
  </si>
  <si>
    <t>GENERAL PAYROLL FOR THE MONTH OF MARCH 2026</t>
  </si>
  <si>
    <t>PLO III</t>
  </si>
  <si>
    <t>OSEC-DAB-PLO3-3-1998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</si>
</sst>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.000_-;\-* #,##0.000_-;_-* &quot;-&quot;??_-;_-@_-"/>
    <numFmt numFmtId="166" formatCode="mm/dd/yy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name val="Arial"/>
      <family val="2"/>
    </font>
    <font>
      <b/>
      <sz val="11"/>
      <color theme="1"/>
      <name val="Cambria"/>
      <family val="1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rgb="FFFF0000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mbria"/>
      <family val="1"/>
    </font>
    <font>
      <b/>
      <sz val="11"/>
      <color theme="0"/>
      <name val="Cambria"/>
      <family val="1"/>
    </font>
    <font>
      <sz val="11"/>
      <name val="Calibri"/>
      <family val="2"/>
    </font>
    <font>
      <sz val="12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202">
    <xf numFmtId="0" fontId="0" fillId="0" borderId="0" xfId="0"/>
    <xf numFmtId="0" fontId="9" fillId="0" borderId="0" xfId="2" applyFont="1"/>
    <xf numFmtId="164" fontId="9" fillId="0" borderId="0" xfId="3" applyFont="1"/>
    <xf numFmtId="164" fontId="10" fillId="0" borderId="0" xfId="3" applyFont="1"/>
    <xf numFmtId="0" fontId="11" fillId="0" borderId="0" xfId="2" applyFont="1"/>
    <xf numFmtId="0" fontId="10" fillId="0" borderId="0" xfId="2" applyFont="1"/>
    <xf numFmtId="0" fontId="12" fillId="0" borderId="0" xfId="2" applyFont="1"/>
    <xf numFmtId="0" fontId="8" fillId="0" borderId="0" xfId="2" applyFont="1"/>
    <xf numFmtId="164" fontId="12" fillId="0" borderId="0" xfId="3" applyFont="1"/>
    <xf numFmtId="0" fontId="8" fillId="0" borderId="10" xfId="2" applyFont="1" applyBorder="1"/>
    <xf numFmtId="164" fontId="8" fillId="0" borderId="10" xfId="2" applyNumberFormat="1" applyFont="1" applyBorder="1"/>
    <xf numFmtId="0" fontId="6" fillId="0" borderId="0" xfId="2" applyFont="1"/>
    <xf numFmtId="0" fontId="13" fillId="0" borderId="0" xfId="2" applyFont="1" applyAlignment="1">
      <alignment horizontal="center" vertical="center" wrapText="1"/>
    </xf>
    <xf numFmtId="164" fontId="13" fillId="0" borderId="0" xfId="3" applyFont="1" applyAlignment="1">
      <alignment horizontal="center" vertical="center" wrapText="1"/>
    </xf>
    <xf numFmtId="164" fontId="14" fillId="0" borderId="0" xfId="3" applyFont="1" applyAlignment="1">
      <alignment horizontal="center" vertical="center" wrapText="1"/>
    </xf>
    <xf numFmtId="0" fontId="15" fillId="2" borderId="0" xfId="2" applyFont="1" applyFill="1"/>
    <xf numFmtId="164" fontId="15" fillId="2" borderId="0" xfId="3" applyFont="1" applyFill="1"/>
    <xf numFmtId="164" fontId="16" fillId="0" borderId="0" xfId="3" applyFont="1"/>
    <xf numFmtId="164" fontId="15" fillId="0" borderId="0" xfId="3" applyFont="1"/>
    <xf numFmtId="0" fontId="16" fillId="0" borderId="0" xfId="2" applyFont="1"/>
    <xf numFmtId="164" fontId="17" fillId="0" borderId="0" xfId="3" applyFont="1"/>
    <xf numFmtId="0" fontId="15" fillId="0" borderId="0" xfId="2" applyFont="1"/>
    <xf numFmtId="164" fontId="16" fillId="3" borderId="0" xfId="3" applyFont="1" applyFill="1"/>
    <xf numFmtId="0" fontId="16" fillId="3" borderId="0" xfId="2" applyFont="1" applyFill="1"/>
    <xf numFmtId="164" fontId="17" fillId="3" borderId="0" xfId="3" applyFont="1" applyFill="1"/>
    <xf numFmtId="164" fontId="14" fillId="0" borderId="0" xfId="3" applyFont="1"/>
    <xf numFmtId="0" fontId="12" fillId="0" borderId="0" xfId="0" applyFont="1"/>
    <xf numFmtId="0" fontId="4" fillId="0" borderId="0" xfId="2"/>
    <xf numFmtId="3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Protection="1">
      <protection locked="0"/>
    </xf>
    <xf numFmtId="166" fontId="3" fillId="0" borderId="0" xfId="0" applyNumberFormat="1" applyFont="1" applyProtection="1">
      <protection locked="0"/>
    </xf>
    <xf numFmtId="43" fontId="3" fillId="0" borderId="0" xfId="1" applyFont="1" applyFill="1" applyProtection="1">
      <protection locked="0"/>
    </xf>
    <xf numFmtId="43" fontId="3" fillId="0" borderId="0" xfId="1" applyFont="1" applyProtection="1">
      <protection locked="0"/>
    </xf>
    <xf numFmtId="43" fontId="21" fillId="0" borderId="0" xfId="1" applyFont="1" applyFill="1" applyProtection="1">
      <protection locked="0"/>
    </xf>
    <xf numFmtId="43" fontId="3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5" fillId="0" borderId="13" xfId="0" applyFont="1" applyBorder="1" applyAlignment="1" applyProtection="1">
      <alignment horizontal="centerContinuous" vertical="center" wrapText="1"/>
      <protection locked="0"/>
    </xf>
    <xf numFmtId="0" fontId="5" fillId="0" borderId="16" xfId="0" applyFont="1" applyBorder="1" applyAlignment="1" applyProtection="1">
      <alignment horizontal="centerContinuous" vertical="center" wrapText="1"/>
      <protection locked="0"/>
    </xf>
    <xf numFmtId="0" fontId="5" fillId="0" borderId="14" xfId="0" applyFont="1" applyBorder="1" applyAlignment="1" applyProtection="1">
      <alignment horizontal="centerContinuous" vertical="center" wrapText="1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166" fontId="5" fillId="0" borderId="12" xfId="0" applyNumberFormat="1" applyFont="1" applyBorder="1" applyAlignment="1" applyProtection="1">
      <alignment vertical="center" wrapText="1"/>
      <protection locked="0"/>
    </xf>
    <xf numFmtId="43" fontId="5" fillId="0" borderId="12" xfId="5" applyFont="1" applyFill="1" applyBorder="1" applyAlignment="1" applyProtection="1">
      <alignment vertical="center" wrapText="1"/>
      <protection locked="0"/>
    </xf>
    <xf numFmtId="43" fontId="5" fillId="0" borderId="20" xfId="5" applyFont="1" applyFill="1" applyBorder="1" applyAlignment="1" applyProtection="1">
      <alignment horizontal="centerContinuous" vertical="center" wrapText="1"/>
      <protection locked="0"/>
    </xf>
    <xf numFmtId="43" fontId="5" fillId="0" borderId="21" xfId="5" applyFont="1" applyFill="1" applyBorder="1" applyAlignment="1" applyProtection="1">
      <alignment horizontal="centerContinuous" vertical="center" wrapText="1"/>
      <protection locked="0"/>
    </xf>
    <xf numFmtId="43" fontId="22" fillId="0" borderId="21" xfId="5" applyFont="1" applyFill="1" applyBorder="1" applyAlignment="1" applyProtection="1">
      <alignment horizontal="centerContinuous" vertical="center" wrapText="1"/>
      <protection locked="0"/>
    </xf>
    <xf numFmtId="43" fontId="5" fillId="0" borderId="22" xfId="5" applyFont="1" applyFill="1" applyBorder="1" applyAlignment="1" applyProtection="1">
      <alignment horizontal="centerContinuous" vertical="center" wrapText="1"/>
      <protection locked="0"/>
    </xf>
    <xf numFmtId="0" fontId="22" fillId="0" borderId="12" xfId="0" applyFont="1" applyBorder="1" applyAlignment="1" applyProtection="1">
      <alignment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Continuous" vertical="center" wrapText="1"/>
      <protection locked="0"/>
    </xf>
    <xf numFmtId="0" fontId="5" fillId="0" borderId="21" xfId="0" applyFont="1" applyBorder="1" applyAlignment="1" applyProtection="1">
      <alignment horizontal="centerContinuous" vertical="center" wrapText="1"/>
      <protection locked="0"/>
    </xf>
    <xf numFmtId="0" fontId="5" fillId="0" borderId="22" xfId="0" applyFont="1" applyBorder="1" applyAlignment="1" applyProtection="1">
      <alignment horizontal="centerContinuous" vertical="center" wrapText="1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166" fontId="5" fillId="0" borderId="11" xfId="0" applyNumberFormat="1" applyFont="1" applyBorder="1" applyAlignment="1" applyProtection="1">
      <alignment horizontal="center" vertical="center" wrapText="1"/>
      <protection locked="0"/>
    </xf>
    <xf numFmtId="43" fontId="5" fillId="0" borderId="11" xfId="5" applyFont="1" applyFill="1" applyBorder="1" applyAlignment="1" applyProtection="1">
      <alignment horizontal="center" vertical="center" wrapText="1"/>
      <protection locked="0"/>
    </xf>
    <xf numFmtId="43" fontId="5" fillId="3" borderId="11" xfId="5" applyFont="1" applyFill="1" applyBorder="1" applyAlignment="1" applyProtection="1">
      <alignment horizontal="center" vertical="center" wrapText="1"/>
      <protection locked="0"/>
    </xf>
    <xf numFmtId="43" fontId="22" fillId="0" borderId="11" xfId="5" applyFont="1" applyFill="1" applyBorder="1" applyAlignment="1" applyProtection="1">
      <alignment horizontal="center" vertical="center" wrapText="1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3" fillId="0" borderId="5" xfId="0" quotePrefix="1" applyFont="1" applyBorder="1" applyAlignment="1" applyProtection="1">
      <alignment horizontal="right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2" xfId="0" applyFont="1" applyBorder="1" applyProtection="1">
      <protection locked="0"/>
    </xf>
    <xf numFmtId="0" fontId="3" fillId="0" borderId="6" xfId="0" applyFont="1" applyBorder="1" applyAlignment="1" applyProtection="1">
      <alignment wrapText="1"/>
      <protection locked="0"/>
    </xf>
    <xf numFmtId="166" fontId="3" fillId="0" borderId="6" xfId="0" applyNumberFormat="1" applyFont="1" applyBorder="1" applyAlignment="1" applyProtection="1">
      <alignment wrapText="1"/>
      <protection locked="0"/>
    </xf>
    <xf numFmtId="43" fontId="21" fillId="0" borderId="11" xfId="1" applyFont="1" applyFill="1" applyBorder="1" applyProtection="1">
      <protection locked="0"/>
    </xf>
    <xf numFmtId="164" fontId="3" fillId="0" borderId="11" xfId="0" applyNumberFormat="1" applyFont="1" applyBorder="1" applyProtection="1">
      <protection locked="0"/>
    </xf>
    <xf numFmtId="43" fontId="3" fillId="0" borderId="11" xfId="0" applyNumberFormat="1" applyFont="1" applyBorder="1" applyProtection="1">
      <protection locked="0"/>
    </xf>
    <xf numFmtId="0" fontId="3" fillId="0" borderId="11" xfId="0" applyFont="1" applyBorder="1" applyProtection="1">
      <protection locked="0"/>
    </xf>
    <xf numFmtId="166" fontId="3" fillId="0" borderId="11" xfId="0" applyNumberFormat="1" applyFont="1" applyBorder="1" applyProtection="1">
      <protection locked="0"/>
    </xf>
    <xf numFmtId="166" fontId="3" fillId="0" borderId="2" xfId="0" applyNumberFormat="1" applyFont="1" applyBorder="1" applyProtection="1">
      <protection locked="0"/>
    </xf>
    <xf numFmtId="43" fontId="21" fillId="0" borderId="2" xfId="1" applyFont="1" applyFill="1" applyBorder="1" applyProtection="1">
      <protection locked="0"/>
    </xf>
    <xf numFmtId="43" fontId="21" fillId="0" borderId="2" xfId="1" applyFont="1" applyFill="1" applyBorder="1" applyAlignment="1" applyProtection="1">
      <alignment horizontal="center"/>
      <protection locked="0"/>
    </xf>
    <xf numFmtId="43" fontId="21" fillId="3" borderId="2" xfId="1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43" fontId="21" fillId="3" borderId="11" xfId="1" applyFont="1" applyFill="1" applyBorder="1" applyProtection="1">
      <protection locked="0"/>
    </xf>
    <xf numFmtId="43" fontId="21" fillId="0" borderId="11" xfId="0" applyNumberFormat="1" applyFont="1" applyBorder="1" applyProtection="1">
      <protection locked="0"/>
    </xf>
    <xf numFmtId="43" fontId="21" fillId="2" borderId="2" xfId="1" applyFont="1" applyFill="1" applyBorder="1" applyProtection="1">
      <protection locked="0"/>
    </xf>
    <xf numFmtId="43" fontId="21" fillId="0" borderId="0" xfId="1" applyFont="1" applyFill="1" applyBorder="1" applyProtection="1">
      <protection locked="0"/>
    </xf>
    <xf numFmtId="165" fontId="21" fillId="0" borderId="11" xfId="1" applyNumberFormat="1" applyFont="1" applyFill="1" applyBorder="1" applyProtection="1">
      <protection locked="0"/>
    </xf>
    <xf numFmtId="0" fontId="21" fillId="0" borderId="2" xfId="0" applyFont="1" applyBorder="1" applyAlignment="1" applyProtection="1">
      <alignment wrapText="1"/>
      <protection locked="0"/>
    </xf>
    <xf numFmtId="0" fontId="21" fillId="0" borderId="2" xfId="0" applyFont="1" applyBorder="1" applyProtection="1">
      <protection locked="0"/>
    </xf>
    <xf numFmtId="166" fontId="21" fillId="0" borderId="2" xfId="0" applyNumberFormat="1" applyFont="1" applyBorder="1" applyProtection="1">
      <protection locked="0"/>
    </xf>
    <xf numFmtId="0" fontId="3" fillId="0" borderId="24" xfId="0" applyFont="1" applyBorder="1" applyProtection="1">
      <protection locked="0"/>
    </xf>
    <xf numFmtId="0" fontId="3" fillId="0" borderId="1" xfId="0" applyFont="1" applyBorder="1" applyProtection="1">
      <protection locked="0"/>
    </xf>
    <xf numFmtId="166" fontId="3" fillId="0" borderId="1" xfId="0" applyNumberFormat="1" applyFont="1" applyBorder="1" applyProtection="1">
      <protection locked="0"/>
    </xf>
    <xf numFmtId="43" fontId="5" fillId="0" borderId="8" xfId="1" applyFont="1" applyFill="1" applyBorder="1" applyProtection="1">
      <protection locked="0"/>
    </xf>
    <xf numFmtId="43" fontId="5" fillId="0" borderId="2" xfId="1" applyFont="1" applyFill="1" applyBorder="1" applyProtection="1">
      <protection locked="0"/>
    </xf>
    <xf numFmtId="43" fontId="5" fillId="0" borderId="1" xfId="1" applyFont="1" applyFill="1" applyBorder="1" applyProtection="1">
      <protection locked="0"/>
    </xf>
    <xf numFmtId="43" fontId="3" fillId="0" borderId="1" xfId="1" applyFont="1" applyBorder="1" applyProtection="1">
      <protection locked="0"/>
    </xf>
    <xf numFmtId="0" fontId="27" fillId="0" borderId="3" xfId="0" applyFont="1" applyBorder="1" applyProtection="1">
      <protection locked="0"/>
    </xf>
    <xf numFmtId="0" fontId="27" fillId="0" borderId="0" xfId="0" applyFont="1" applyProtection="1">
      <protection locked="0"/>
    </xf>
    <xf numFmtId="166" fontId="27" fillId="0" borderId="0" xfId="0" applyNumberFormat="1" applyFont="1" applyProtection="1">
      <protection locked="0"/>
    </xf>
    <xf numFmtId="43" fontId="27" fillId="0" borderId="0" xfId="1" applyFont="1" applyFill="1" applyBorder="1" applyProtection="1">
      <protection locked="0"/>
    </xf>
    <xf numFmtId="43" fontId="27" fillId="0" borderId="0" xfId="1" applyFont="1" applyProtection="1">
      <protection locked="0"/>
    </xf>
    <xf numFmtId="0" fontId="31" fillId="0" borderId="0" xfId="0" applyFont="1" applyProtection="1">
      <protection locked="0"/>
    </xf>
    <xf numFmtId="0" fontId="27" fillId="0" borderId="4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0" fillId="0" borderId="0" xfId="0" applyFont="1" applyProtection="1">
      <protection locked="0"/>
    </xf>
    <xf numFmtId="43" fontId="3" fillId="0" borderId="0" xfId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43" fontId="5" fillId="0" borderId="0" xfId="1" applyFont="1" applyFill="1" applyBorder="1" applyProtection="1">
      <protection locked="0"/>
    </xf>
    <xf numFmtId="0" fontId="7" fillId="0" borderId="0" xfId="0" applyFont="1" applyProtection="1">
      <protection locked="0"/>
    </xf>
    <xf numFmtId="0" fontId="9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left"/>
      <protection locked="0"/>
    </xf>
    <xf numFmtId="166" fontId="0" fillId="0" borderId="0" xfId="0" applyNumberForma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164" fontId="6" fillId="0" borderId="0" xfId="0" applyNumberFormat="1" applyFont="1" applyProtection="1">
      <protection locked="0"/>
    </xf>
    <xf numFmtId="0" fontId="6" fillId="0" borderId="4" xfId="0" applyFont="1" applyBorder="1" applyProtection="1">
      <protection locked="0"/>
    </xf>
    <xf numFmtId="43" fontId="0" fillId="0" borderId="0" xfId="1" applyFont="1" applyProtection="1">
      <protection locked="0"/>
    </xf>
    <xf numFmtId="0" fontId="0" fillId="0" borderId="3" xfId="0" applyBorder="1" applyProtection="1">
      <protection locked="0"/>
    </xf>
    <xf numFmtId="0" fontId="8" fillId="0" borderId="0" xfId="0" applyFont="1" applyProtection="1">
      <protection locked="0"/>
    </xf>
    <xf numFmtId="0" fontId="23" fillId="0" borderId="0" xfId="0" applyFont="1" applyProtection="1">
      <protection locked="0"/>
    </xf>
    <xf numFmtId="0" fontId="0" fillId="0" borderId="4" xfId="0" applyBorder="1" applyProtection="1">
      <protection locked="0"/>
    </xf>
    <xf numFmtId="0" fontId="24" fillId="0" borderId="1" xfId="0" applyFont="1" applyBorder="1" applyAlignment="1" applyProtection="1">
      <alignment horizontal="left"/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5" xfId="0" applyFont="1" applyBorder="1" applyProtection="1">
      <protection locked="0"/>
    </xf>
    <xf numFmtId="0" fontId="0" fillId="0" borderId="1" xfId="0" applyBorder="1" applyProtection="1">
      <protection locked="0"/>
    </xf>
    <xf numFmtId="0" fontId="6" fillId="0" borderId="1" xfId="0" applyFont="1" applyBorder="1" applyProtection="1">
      <protection locked="0"/>
    </xf>
    <xf numFmtId="166" fontId="6" fillId="0" borderId="1" xfId="0" applyNumberFormat="1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6" fillId="0" borderId="6" xfId="0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0" fillId="0" borderId="7" xfId="0" applyBorder="1" applyProtection="1">
      <protection locked="0"/>
    </xf>
    <xf numFmtId="0" fontId="23" fillId="0" borderId="1" xfId="0" applyFont="1" applyBorder="1" applyProtection="1">
      <protection locked="0"/>
    </xf>
    <xf numFmtId="0" fontId="0" fillId="0" borderId="6" xfId="0" applyBorder="1" applyProtection="1">
      <protection locked="0"/>
    </xf>
    <xf numFmtId="166" fontId="6" fillId="0" borderId="0" xfId="0" applyNumberFormat="1" applyFont="1" applyProtection="1">
      <protection locked="0"/>
    </xf>
    <xf numFmtId="0" fontId="23" fillId="0" borderId="8" xfId="0" applyFont="1" applyBorder="1" applyProtection="1">
      <protection locked="0"/>
    </xf>
    <xf numFmtId="0" fontId="0" fillId="0" borderId="9" xfId="0" applyBorder="1" applyProtection="1"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9" xfId="0" applyFont="1" applyBorder="1" applyProtection="1">
      <protection locked="0"/>
    </xf>
    <xf numFmtId="0" fontId="0" fillId="0" borderId="5" xfId="0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166" fontId="0" fillId="0" borderId="1" xfId="0" applyNumberFormat="1" applyBorder="1" applyProtection="1">
      <protection locked="0"/>
    </xf>
    <xf numFmtId="0" fontId="8" fillId="0" borderId="1" xfId="0" applyFont="1" applyBorder="1" applyProtection="1">
      <protection locked="0"/>
    </xf>
    <xf numFmtId="43" fontId="5" fillId="0" borderId="0" xfId="1" applyFont="1" applyFill="1" applyProtection="1">
      <protection locked="0"/>
    </xf>
    <xf numFmtId="43" fontId="22" fillId="0" borderId="0" xfId="1" applyFont="1" applyFill="1" applyProtection="1">
      <protection locked="0"/>
    </xf>
    <xf numFmtId="43" fontId="5" fillId="0" borderId="12" xfId="5" applyFont="1" applyBorder="1" applyAlignment="1" applyProtection="1">
      <alignment vertical="center" wrapText="1"/>
      <protection locked="0"/>
    </xf>
    <xf numFmtId="43" fontId="5" fillId="0" borderId="11" xfId="5" applyFont="1" applyBorder="1" applyAlignment="1" applyProtection="1">
      <alignment horizontal="center" vertical="center" wrapText="1"/>
      <protection locked="0"/>
    </xf>
    <xf numFmtId="43" fontId="3" fillId="0" borderId="11" xfId="1" applyFont="1" applyFill="1" applyBorder="1" applyProtection="1">
      <protection locked="0"/>
    </xf>
    <xf numFmtId="43" fontId="5" fillId="0" borderId="11" xfId="1" applyFont="1" applyFill="1" applyBorder="1" applyProtection="1">
      <protection locked="0"/>
    </xf>
    <xf numFmtId="43" fontId="3" fillId="0" borderId="2" xfId="1" applyFont="1" applyFill="1" applyBorder="1" applyProtection="1">
      <protection locked="0"/>
    </xf>
    <xf numFmtId="43" fontId="27" fillId="0" borderId="0" xfId="1" applyFont="1" applyBorder="1" applyProtection="1">
      <protection locked="0"/>
    </xf>
    <xf numFmtId="43" fontId="28" fillId="0" borderId="0" xfId="1" applyFont="1" applyFill="1" applyBorder="1" applyProtection="1">
      <protection locked="0"/>
    </xf>
    <xf numFmtId="43" fontId="3" fillId="0" borderId="0" xfId="1" applyFont="1" applyBorder="1" applyProtection="1">
      <protection locked="0"/>
    </xf>
    <xf numFmtId="43" fontId="3" fillId="0" borderId="6" xfId="1" applyFont="1" applyFill="1" applyBorder="1" applyProtection="1">
      <protection hidden="1"/>
    </xf>
    <xf numFmtId="43" fontId="3" fillId="0" borderId="0" xfId="1" applyFont="1" applyFill="1" applyProtection="1">
      <protection hidden="1"/>
    </xf>
    <xf numFmtId="43" fontId="21" fillId="0" borderId="0" xfId="1" applyFont="1" applyFill="1" applyProtection="1">
      <protection hidden="1"/>
    </xf>
    <xf numFmtId="43" fontId="5" fillId="0" borderId="12" xfId="5" applyFont="1" applyFill="1" applyBorder="1" applyAlignment="1" applyProtection="1">
      <alignment vertical="center" wrapText="1"/>
      <protection hidden="1"/>
    </xf>
    <xf numFmtId="43" fontId="5" fillId="0" borderId="11" xfId="5" applyFont="1" applyFill="1" applyBorder="1" applyAlignment="1" applyProtection="1">
      <alignment horizontal="center" vertical="center" wrapText="1"/>
      <protection hidden="1"/>
    </xf>
    <xf numFmtId="43" fontId="5" fillId="0" borderId="8" xfId="1" applyFont="1" applyFill="1" applyBorder="1" applyProtection="1">
      <protection hidden="1"/>
    </xf>
    <xf numFmtId="43" fontId="27" fillId="0" borderId="0" xfId="1" applyFont="1" applyFill="1" applyBorder="1" applyProtection="1">
      <protection hidden="1"/>
    </xf>
    <xf numFmtId="0" fontId="31" fillId="0" borderId="0" xfId="0" applyFont="1" applyProtection="1">
      <protection hidden="1"/>
    </xf>
    <xf numFmtId="0" fontId="30" fillId="0" borderId="0" xfId="0" applyFont="1" applyProtection="1">
      <protection hidden="1"/>
    </xf>
    <xf numFmtId="43" fontId="3" fillId="0" borderId="0" xfId="1" applyFont="1" applyFill="1" applyBorder="1" applyProtection="1">
      <protection hidden="1"/>
    </xf>
    <xf numFmtId="0" fontId="0" fillId="0" borderId="1" xfId="0" applyBorder="1" applyProtection="1">
      <protection hidden="1"/>
    </xf>
    <xf numFmtId="43" fontId="21" fillId="3" borderId="2" xfId="1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3" fontId="21" fillId="0" borderId="2" xfId="1" applyFont="1" applyFill="1" applyBorder="1"/>
    <xf numFmtId="0" fontId="0" fillId="0" borderId="25" xfId="0" applyBorder="1" applyProtection="1">
      <protection locked="0"/>
    </xf>
    <xf numFmtId="0" fontId="0" fillId="0" borderId="19" xfId="0" applyBorder="1" applyProtection="1">
      <protection locked="0"/>
    </xf>
    <xf numFmtId="0" fontId="7" fillId="0" borderId="19" xfId="0" applyFont="1" applyBorder="1" applyProtection="1">
      <protection locked="0"/>
    </xf>
    <xf numFmtId="0" fontId="23" fillId="0" borderId="19" xfId="0" applyFont="1" applyBorder="1" applyProtection="1">
      <protection locked="0"/>
    </xf>
    <xf numFmtId="0" fontId="24" fillId="0" borderId="0" xfId="0" applyFont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43" fontId="27" fillId="0" borderId="19" xfId="1" applyFont="1" applyFill="1" applyBorder="1" applyProtection="1">
      <protection locked="0"/>
    </xf>
    <xf numFmtId="43" fontId="27" fillId="0" borderId="19" xfId="0" applyNumberFormat="1" applyFont="1" applyBorder="1" applyProtection="1">
      <protection locked="0"/>
    </xf>
    <xf numFmtId="43" fontId="27" fillId="0" borderId="7" xfId="0" applyNumberFormat="1" applyFont="1" applyBorder="1" applyProtection="1">
      <protection locked="0"/>
    </xf>
    <xf numFmtId="164" fontId="3" fillId="0" borderId="0" xfId="0" applyNumberFormat="1" applyFont="1" applyProtection="1">
      <protection locked="0"/>
    </xf>
    <xf numFmtId="43" fontId="27" fillId="0" borderId="7" xfId="1" applyFont="1" applyFill="1" applyBorder="1" applyProtection="1">
      <protection locked="0"/>
    </xf>
    <xf numFmtId="43" fontId="27" fillId="0" borderId="4" xfId="1" applyFont="1" applyFill="1" applyBorder="1" applyProtection="1">
      <protection locked="0"/>
    </xf>
    <xf numFmtId="43" fontId="21" fillId="0" borderId="0" xfId="0" applyNumberFormat="1" applyFont="1" applyProtection="1">
      <protection locked="0"/>
    </xf>
    <xf numFmtId="43" fontId="3" fillId="0" borderId="4" xfId="1" applyFont="1" applyFill="1" applyBorder="1" applyProtection="1">
      <protection locked="0"/>
    </xf>
    <xf numFmtId="164" fontId="6" fillId="0" borderId="4" xfId="0" applyNumberFormat="1" applyFont="1" applyBorder="1" applyProtection="1">
      <protection locked="0"/>
    </xf>
    <xf numFmtId="166" fontId="3" fillId="0" borderId="2" xfId="0" applyNumberFormat="1" applyFont="1" applyBorder="1" applyAlignment="1" applyProtection="1">
      <alignment horizontal="right"/>
      <protection locked="0"/>
    </xf>
    <xf numFmtId="0" fontId="29" fillId="0" borderId="0" xfId="0" applyFont="1" applyProtection="1">
      <protection locked="0"/>
    </xf>
    <xf numFmtId="166" fontId="21" fillId="0" borderId="0" xfId="0" applyNumberFormat="1" applyFont="1" applyProtection="1">
      <protection locked="0"/>
    </xf>
    <xf numFmtId="43" fontId="5" fillId="0" borderId="0" xfId="1" applyFont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2" applyAlignment="1">
      <alignment horizontal="center"/>
    </xf>
  </cellXfs>
  <cellStyles count="14">
    <cellStyle name="Comma" xfId="1" builtinId="3"/>
    <cellStyle name="Comma 2" xfId="3" xr:uid="{00000000-0005-0000-0000-000001000000}"/>
    <cellStyle name="Comma 2 2" xfId="4" xr:uid="{00000000-0005-0000-0000-000002000000}"/>
    <cellStyle name="Comma 2 2 2" xfId="9" xr:uid="{A463ACB4-2D17-4723-B7D3-0F3FA667539D}"/>
    <cellStyle name="Comma 2 3" xfId="8" xr:uid="{40FCA21C-2A2A-4680-A01D-2A055F414A3D}"/>
    <cellStyle name="Comma 3" xfId="5" xr:uid="{DD674AC8-CA30-4959-B5F2-4E8E87777B93}"/>
    <cellStyle name="Comma 3 2" xfId="10" xr:uid="{67F14035-C768-4385-9F35-784D69D768BF}"/>
    <cellStyle name="Comma 4" xfId="6" xr:uid="{087255F5-E2CE-4226-AF60-848EB8DF1F92}"/>
    <cellStyle name="Comma 4 2" xfId="11" xr:uid="{B55C986B-F644-479B-A644-7A45B7C215AC}"/>
    <cellStyle name="Comma 5" xfId="7" xr:uid="{FD8C5B86-8BDE-4727-9420-2E60CFCE3F97}"/>
    <cellStyle name="Normal" xfId="0" builtinId="0"/>
    <cellStyle name="Normal 2" xfId="2" xr:uid="{00000000-0005-0000-0000-000004000000}"/>
    <cellStyle name="Normal 3 2" xfId="12" xr:uid="{B5048B3E-28C9-4ECA-A873-217D81209229}"/>
    <cellStyle name="Normal 3 2 3" xfId="13" xr:uid="{3909479C-A313-4DF4-BE16-5A6A9D27B43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331309</xdr:colOff>
      <xdr:row>1</xdr:row>
      <xdr:rowOff>91108</xdr:rowOff>
    </xdr:from>
    <xdr:to>
      <xdr:col>5</xdr:col>
      <xdr:colOff>612918</xdr:colOff>
      <xdr:row>2</xdr:row>
      <xdr:rowOff>463826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BBA8E9C9-73F1-E8DA-A6B1-C16860949F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1309" y="281608"/>
          <a:ext cx="5259457" cy="894522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237272</xdr:colOff>
      <xdr:row>1</xdr:row>
      <xdr:rowOff>43850</xdr:rowOff>
    </xdr:from>
    <xdr:to>
      <xdr:col>6</xdr:col>
      <xdr:colOff>97323</xdr:colOff>
      <xdr:row>2</xdr:row>
      <xdr:rowOff>487245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5473D8E-3FDF-D6C0-469F-146E2D37E0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72" y="223144"/>
          <a:ext cx="5711202" cy="970072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43"/>
  <sheetViews>
    <sheetView workbookViewId="0">
      <selection activeCell="B32" sqref="B32"/>
    </sheetView>
  </sheetViews>
  <sheetFormatPr defaultColWidth="9.1328125" defaultRowHeight="15" x14ac:dyDescent="0.4"/>
  <cols>
    <col min="1" max="1" width="9.1328125" style="19"/>
    <col min="2" max="2" width="32.1328125" style="19" customWidth="1"/>
    <col min="3" max="3" width="20.3984375" style="19" customWidth="1"/>
    <col min="4" max="4" width="14.73046875" style="17" bestFit="1" customWidth="1"/>
    <col min="5" max="5" width="26.265625" style="19" customWidth="1"/>
    <col min="6" max="6" width="15.3984375" style="17" customWidth="1"/>
    <col min="7" max="7" width="16.73046875" style="20" customWidth="1"/>
    <col min="8" max="8" width="10.73046875" style="17" bestFit="1" customWidth="1"/>
    <col min="9" max="257" width="9.1328125" style="17"/>
    <col min="258" max="258" width="32.1328125" style="17" customWidth="1"/>
    <col min="259" max="259" width="20.3984375" style="17" customWidth="1"/>
    <col min="260" max="260" width="14.73046875" style="17" bestFit="1" customWidth="1"/>
    <col min="261" max="261" width="26.265625" style="17" customWidth="1"/>
    <col min="262" max="262" width="15.3984375" style="17" customWidth="1"/>
    <col min="263" max="263" width="16.73046875" style="17" customWidth="1"/>
    <col min="264" max="264" width="10.73046875" style="17" bestFit="1" customWidth="1"/>
    <col min="265" max="513" width="9.1328125" style="17"/>
    <col min="514" max="514" width="32.1328125" style="17" customWidth="1"/>
    <col min="515" max="515" width="20.3984375" style="17" customWidth="1"/>
    <col min="516" max="516" width="14.73046875" style="17" bestFit="1" customWidth="1"/>
    <col min="517" max="517" width="26.265625" style="17" customWidth="1"/>
    <col min="518" max="518" width="15.3984375" style="17" customWidth="1"/>
    <col min="519" max="519" width="16.73046875" style="17" customWidth="1"/>
    <col min="520" max="520" width="10.73046875" style="17" bestFit="1" customWidth="1"/>
    <col min="521" max="769" width="9.1328125" style="17"/>
    <col min="770" max="770" width="32.1328125" style="17" customWidth="1"/>
    <col min="771" max="771" width="20.3984375" style="17" customWidth="1"/>
    <col min="772" max="772" width="14.73046875" style="17" bestFit="1" customWidth="1"/>
    <col min="773" max="773" width="26.265625" style="17" customWidth="1"/>
    <col min="774" max="774" width="15.3984375" style="17" customWidth="1"/>
    <col min="775" max="775" width="16.73046875" style="17" customWidth="1"/>
    <col min="776" max="776" width="10.73046875" style="17" bestFit="1" customWidth="1"/>
    <col min="777" max="1025" width="9.1328125" style="17"/>
    <col min="1026" max="1026" width="32.1328125" style="17" customWidth="1"/>
    <col min="1027" max="1027" width="20.3984375" style="17" customWidth="1"/>
    <col min="1028" max="1028" width="14.73046875" style="17" bestFit="1" customWidth="1"/>
    <col min="1029" max="1029" width="26.265625" style="17" customWidth="1"/>
    <col min="1030" max="1030" width="15.3984375" style="17" customWidth="1"/>
    <col min="1031" max="1031" width="16.73046875" style="17" customWidth="1"/>
    <col min="1032" max="1032" width="10.73046875" style="17" bestFit="1" customWidth="1"/>
    <col min="1033" max="1281" width="9.1328125" style="17"/>
    <col min="1282" max="1282" width="32.1328125" style="17" customWidth="1"/>
    <col min="1283" max="1283" width="20.3984375" style="17" customWidth="1"/>
    <col min="1284" max="1284" width="14.73046875" style="17" bestFit="1" customWidth="1"/>
    <col min="1285" max="1285" width="26.265625" style="17" customWidth="1"/>
    <col min="1286" max="1286" width="15.3984375" style="17" customWidth="1"/>
    <col min="1287" max="1287" width="16.73046875" style="17" customWidth="1"/>
    <col min="1288" max="1288" width="10.73046875" style="17" bestFit="1" customWidth="1"/>
    <col min="1289" max="1537" width="9.1328125" style="17"/>
    <col min="1538" max="1538" width="32.1328125" style="17" customWidth="1"/>
    <col min="1539" max="1539" width="20.3984375" style="17" customWidth="1"/>
    <col min="1540" max="1540" width="14.73046875" style="17" bestFit="1" customWidth="1"/>
    <col min="1541" max="1541" width="26.265625" style="17" customWidth="1"/>
    <col min="1542" max="1542" width="15.3984375" style="17" customWidth="1"/>
    <col min="1543" max="1543" width="16.73046875" style="17" customWidth="1"/>
    <col min="1544" max="1544" width="10.73046875" style="17" bestFit="1" customWidth="1"/>
    <col min="1545" max="1793" width="9.1328125" style="17"/>
    <col min="1794" max="1794" width="32.1328125" style="17" customWidth="1"/>
    <col min="1795" max="1795" width="20.3984375" style="17" customWidth="1"/>
    <col min="1796" max="1796" width="14.73046875" style="17" bestFit="1" customWidth="1"/>
    <col min="1797" max="1797" width="26.265625" style="17" customWidth="1"/>
    <col min="1798" max="1798" width="15.3984375" style="17" customWidth="1"/>
    <col min="1799" max="1799" width="16.73046875" style="17" customWidth="1"/>
    <col min="1800" max="1800" width="10.73046875" style="17" bestFit="1" customWidth="1"/>
    <col min="1801" max="2049" width="9.1328125" style="17"/>
    <col min="2050" max="2050" width="32.1328125" style="17" customWidth="1"/>
    <col min="2051" max="2051" width="20.3984375" style="17" customWidth="1"/>
    <col min="2052" max="2052" width="14.73046875" style="17" bestFit="1" customWidth="1"/>
    <col min="2053" max="2053" width="26.265625" style="17" customWidth="1"/>
    <col min="2054" max="2054" width="15.3984375" style="17" customWidth="1"/>
    <col min="2055" max="2055" width="16.73046875" style="17" customWidth="1"/>
    <col min="2056" max="2056" width="10.73046875" style="17" bestFit="1" customWidth="1"/>
    <col min="2057" max="2305" width="9.1328125" style="17"/>
    <col min="2306" max="2306" width="32.1328125" style="17" customWidth="1"/>
    <col min="2307" max="2307" width="20.3984375" style="17" customWidth="1"/>
    <col min="2308" max="2308" width="14.73046875" style="17" bestFit="1" customWidth="1"/>
    <col min="2309" max="2309" width="26.265625" style="17" customWidth="1"/>
    <col min="2310" max="2310" width="15.3984375" style="17" customWidth="1"/>
    <col min="2311" max="2311" width="16.73046875" style="17" customWidth="1"/>
    <col min="2312" max="2312" width="10.73046875" style="17" bestFit="1" customWidth="1"/>
    <col min="2313" max="2561" width="9.1328125" style="17"/>
    <col min="2562" max="2562" width="32.1328125" style="17" customWidth="1"/>
    <col min="2563" max="2563" width="20.3984375" style="17" customWidth="1"/>
    <col min="2564" max="2564" width="14.73046875" style="17" bestFit="1" customWidth="1"/>
    <col min="2565" max="2565" width="26.265625" style="17" customWidth="1"/>
    <col min="2566" max="2566" width="15.3984375" style="17" customWidth="1"/>
    <col min="2567" max="2567" width="16.73046875" style="17" customWidth="1"/>
    <col min="2568" max="2568" width="10.73046875" style="17" bestFit="1" customWidth="1"/>
    <col min="2569" max="2817" width="9.1328125" style="17"/>
    <col min="2818" max="2818" width="32.1328125" style="17" customWidth="1"/>
    <col min="2819" max="2819" width="20.3984375" style="17" customWidth="1"/>
    <col min="2820" max="2820" width="14.73046875" style="17" bestFit="1" customWidth="1"/>
    <col min="2821" max="2821" width="26.265625" style="17" customWidth="1"/>
    <col min="2822" max="2822" width="15.3984375" style="17" customWidth="1"/>
    <col min="2823" max="2823" width="16.73046875" style="17" customWidth="1"/>
    <col min="2824" max="2824" width="10.73046875" style="17" bestFit="1" customWidth="1"/>
    <col min="2825" max="3073" width="9.1328125" style="17"/>
    <col min="3074" max="3074" width="32.1328125" style="17" customWidth="1"/>
    <col min="3075" max="3075" width="20.3984375" style="17" customWidth="1"/>
    <col min="3076" max="3076" width="14.73046875" style="17" bestFit="1" customWidth="1"/>
    <col min="3077" max="3077" width="26.265625" style="17" customWidth="1"/>
    <col min="3078" max="3078" width="15.3984375" style="17" customWidth="1"/>
    <col min="3079" max="3079" width="16.73046875" style="17" customWidth="1"/>
    <col min="3080" max="3080" width="10.73046875" style="17" bestFit="1" customWidth="1"/>
    <col min="3081" max="3329" width="9.1328125" style="17"/>
    <col min="3330" max="3330" width="32.1328125" style="17" customWidth="1"/>
    <col min="3331" max="3331" width="20.3984375" style="17" customWidth="1"/>
    <col min="3332" max="3332" width="14.73046875" style="17" bestFit="1" customWidth="1"/>
    <col min="3333" max="3333" width="26.265625" style="17" customWidth="1"/>
    <col min="3334" max="3334" width="15.3984375" style="17" customWidth="1"/>
    <col min="3335" max="3335" width="16.73046875" style="17" customWidth="1"/>
    <col min="3336" max="3336" width="10.73046875" style="17" bestFit="1" customWidth="1"/>
    <col min="3337" max="3585" width="9.1328125" style="17"/>
    <col min="3586" max="3586" width="32.1328125" style="17" customWidth="1"/>
    <col min="3587" max="3587" width="20.3984375" style="17" customWidth="1"/>
    <col min="3588" max="3588" width="14.73046875" style="17" bestFit="1" customWidth="1"/>
    <col min="3589" max="3589" width="26.265625" style="17" customWidth="1"/>
    <col min="3590" max="3590" width="15.3984375" style="17" customWidth="1"/>
    <col min="3591" max="3591" width="16.73046875" style="17" customWidth="1"/>
    <col min="3592" max="3592" width="10.73046875" style="17" bestFit="1" customWidth="1"/>
    <col min="3593" max="3841" width="9.1328125" style="17"/>
    <col min="3842" max="3842" width="32.1328125" style="17" customWidth="1"/>
    <col min="3843" max="3843" width="20.3984375" style="17" customWidth="1"/>
    <col min="3844" max="3844" width="14.73046875" style="17" bestFit="1" customWidth="1"/>
    <col min="3845" max="3845" width="26.265625" style="17" customWidth="1"/>
    <col min="3846" max="3846" width="15.3984375" style="17" customWidth="1"/>
    <col min="3847" max="3847" width="16.73046875" style="17" customWidth="1"/>
    <col min="3848" max="3848" width="10.73046875" style="17" bestFit="1" customWidth="1"/>
    <col min="3849" max="4097" width="9.1328125" style="17"/>
    <col min="4098" max="4098" width="32.1328125" style="17" customWidth="1"/>
    <col min="4099" max="4099" width="20.3984375" style="17" customWidth="1"/>
    <col min="4100" max="4100" width="14.73046875" style="17" bestFit="1" customWidth="1"/>
    <col min="4101" max="4101" width="26.265625" style="17" customWidth="1"/>
    <col min="4102" max="4102" width="15.3984375" style="17" customWidth="1"/>
    <col min="4103" max="4103" width="16.73046875" style="17" customWidth="1"/>
    <col min="4104" max="4104" width="10.73046875" style="17" bestFit="1" customWidth="1"/>
    <col min="4105" max="4353" width="9.1328125" style="17"/>
    <col min="4354" max="4354" width="32.1328125" style="17" customWidth="1"/>
    <col min="4355" max="4355" width="20.3984375" style="17" customWidth="1"/>
    <col min="4356" max="4356" width="14.73046875" style="17" bestFit="1" customWidth="1"/>
    <col min="4357" max="4357" width="26.265625" style="17" customWidth="1"/>
    <col min="4358" max="4358" width="15.3984375" style="17" customWidth="1"/>
    <col min="4359" max="4359" width="16.73046875" style="17" customWidth="1"/>
    <col min="4360" max="4360" width="10.73046875" style="17" bestFit="1" customWidth="1"/>
    <col min="4361" max="4609" width="9.1328125" style="17"/>
    <col min="4610" max="4610" width="32.1328125" style="17" customWidth="1"/>
    <col min="4611" max="4611" width="20.3984375" style="17" customWidth="1"/>
    <col min="4612" max="4612" width="14.73046875" style="17" bestFit="1" customWidth="1"/>
    <col min="4613" max="4613" width="26.265625" style="17" customWidth="1"/>
    <col min="4614" max="4614" width="15.3984375" style="17" customWidth="1"/>
    <col min="4615" max="4615" width="16.73046875" style="17" customWidth="1"/>
    <col min="4616" max="4616" width="10.73046875" style="17" bestFit="1" customWidth="1"/>
    <col min="4617" max="4865" width="9.1328125" style="17"/>
    <col min="4866" max="4866" width="32.1328125" style="17" customWidth="1"/>
    <col min="4867" max="4867" width="20.3984375" style="17" customWidth="1"/>
    <col min="4868" max="4868" width="14.73046875" style="17" bestFit="1" customWidth="1"/>
    <col min="4869" max="4869" width="26.265625" style="17" customWidth="1"/>
    <col min="4870" max="4870" width="15.3984375" style="17" customWidth="1"/>
    <col min="4871" max="4871" width="16.73046875" style="17" customWidth="1"/>
    <col min="4872" max="4872" width="10.73046875" style="17" bestFit="1" customWidth="1"/>
    <col min="4873" max="5121" width="9.1328125" style="17"/>
    <col min="5122" max="5122" width="32.1328125" style="17" customWidth="1"/>
    <col min="5123" max="5123" width="20.3984375" style="17" customWidth="1"/>
    <col min="5124" max="5124" width="14.73046875" style="17" bestFit="1" customWidth="1"/>
    <col min="5125" max="5125" width="26.265625" style="17" customWidth="1"/>
    <col min="5126" max="5126" width="15.3984375" style="17" customWidth="1"/>
    <col min="5127" max="5127" width="16.73046875" style="17" customWidth="1"/>
    <col min="5128" max="5128" width="10.73046875" style="17" bestFit="1" customWidth="1"/>
    <col min="5129" max="5377" width="9.1328125" style="17"/>
    <col min="5378" max="5378" width="32.1328125" style="17" customWidth="1"/>
    <col min="5379" max="5379" width="20.3984375" style="17" customWidth="1"/>
    <col min="5380" max="5380" width="14.73046875" style="17" bestFit="1" customWidth="1"/>
    <col min="5381" max="5381" width="26.265625" style="17" customWidth="1"/>
    <col min="5382" max="5382" width="15.3984375" style="17" customWidth="1"/>
    <col min="5383" max="5383" width="16.73046875" style="17" customWidth="1"/>
    <col min="5384" max="5384" width="10.73046875" style="17" bestFit="1" customWidth="1"/>
    <col min="5385" max="5633" width="9.1328125" style="17"/>
    <col min="5634" max="5634" width="32.1328125" style="17" customWidth="1"/>
    <col min="5635" max="5635" width="20.3984375" style="17" customWidth="1"/>
    <col min="5636" max="5636" width="14.73046875" style="17" bestFit="1" customWidth="1"/>
    <col min="5637" max="5637" width="26.265625" style="17" customWidth="1"/>
    <col min="5638" max="5638" width="15.3984375" style="17" customWidth="1"/>
    <col min="5639" max="5639" width="16.73046875" style="17" customWidth="1"/>
    <col min="5640" max="5640" width="10.73046875" style="17" bestFit="1" customWidth="1"/>
    <col min="5641" max="5889" width="9.1328125" style="17"/>
    <col min="5890" max="5890" width="32.1328125" style="17" customWidth="1"/>
    <col min="5891" max="5891" width="20.3984375" style="17" customWidth="1"/>
    <col min="5892" max="5892" width="14.73046875" style="17" bestFit="1" customWidth="1"/>
    <col min="5893" max="5893" width="26.265625" style="17" customWidth="1"/>
    <col min="5894" max="5894" width="15.3984375" style="17" customWidth="1"/>
    <col min="5895" max="5895" width="16.73046875" style="17" customWidth="1"/>
    <col min="5896" max="5896" width="10.73046875" style="17" bestFit="1" customWidth="1"/>
    <col min="5897" max="6145" width="9.1328125" style="17"/>
    <col min="6146" max="6146" width="32.1328125" style="17" customWidth="1"/>
    <col min="6147" max="6147" width="20.3984375" style="17" customWidth="1"/>
    <col min="6148" max="6148" width="14.73046875" style="17" bestFit="1" customWidth="1"/>
    <col min="6149" max="6149" width="26.265625" style="17" customWidth="1"/>
    <col min="6150" max="6150" width="15.3984375" style="17" customWidth="1"/>
    <col min="6151" max="6151" width="16.73046875" style="17" customWidth="1"/>
    <col min="6152" max="6152" width="10.73046875" style="17" bestFit="1" customWidth="1"/>
    <col min="6153" max="6401" width="9.1328125" style="17"/>
    <col min="6402" max="6402" width="32.1328125" style="17" customWidth="1"/>
    <col min="6403" max="6403" width="20.3984375" style="17" customWidth="1"/>
    <col min="6404" max="6404" width="14.73046875" style="17" bestFit="1" customWidth="1"/>
    <col min="6405" max="6405" width="26.265625" style="17" customWidth="1"/>
    <col min="6406" max="6406" width="15.3984375" style="17" customWidth="1"/>
    <col min="6407" max="6407" width="16.73046875" style="17" customWidth="1"/>
    <col min="6408" max="6408" width="10.73046875" style="17" bestFit="1" customWidth="1"/>
    <col min="6409" max="6657" width="9.1328125" style="17"/>
    <col min="6658" max="6658" width="32.1328125" style="17" customWidth="1"/>
    <col min="6659" max="6659" width="20.3984375" style="17" customWidth="1"/>
    <col min="6660" max="6660" width="14.73046875" style="17" bestFit="1" customWidth="1"/>
    <col min="6661" max="6661" width="26.265625" style="17" customWidth="1"/>
    <col min="6662" max="6662" width="15.3984375" style="17" customWidth="1"/>
    <col min="6663" max="6663" width="16.73046875" style="17" customWidth="1"/>
    <col min="6664" max="6664" width="10.73046875" style="17" bestFit="1" customWidth="1"/>
    <col min="6665" max="6913" width="9.1328125" style="17"/>
    <col min="6914" max="6914" width="32.1328125" style="17" customWidth="1"/>
    <col min="6915" max="6915" width="20.3984375" style="17" customWidth="1"/>
    <col min="6916" max="6916" width="14.73046875" style="17" bestFit="1" customWidth="1"/>
    <col min="6917" max="6917" width="26.265625" style="17" customWidth="1"/>
    <col min="6918" max="6918" width="15.3984375" style="17" customWidth="1"/>
    <col min="6919" max="6919" width="16.73046875" style="17" customWidth="1"/>
    <col min="6920" max="6920" width="10.73046875" style="17" bestFit="1" customWidth="1"/>
    <col min="6921" max="7169" width="9.1328125" style="17"/>
    <col min="7170" max="7170" width="32.1328125" style="17" customWidth="1"/>
    <col min="7171" max="7171" width="20.3984375" style="17" customWidth="1"/>
    <col min="7172" max="7172" width="14.73046875" style="17" bestFit="1" customWidth="1"/>
    <col min="7173" max="7173" width="26.265625" style="17" customWidth="1"/>
    <col min="7174" max="7174" width="15.3984375" style="17" customWidth="1"/>
    <col min="7175" max="7175" width="16.73046875" style="17" customWidth="1"/>
    <col min="7176" max="7176" width="10.73046875" style="17" bestFit="1" customWidth="1"/>
    <col min="7177" max="7425" width="9.1328125" style="17"/>
    <col min="7426" max="7426" width="32.1328125" style="17" customWidth="1"/>
    <col min="7427" max="7427" width="20.3984375" style="17" customWidth="1"/>
    <col min="7428" max="7428" width="14.73046875" style="17" bestFit="1" customWidth="1"/>
    <col min="7429" max="7429" width="26.265625" style="17" customWidth="1"/>
    <col min="7430" max="7430" width="15.3984375" style="17" customWidth="1"/>
    <col min="7431" max="7431" width="16.73046875" style="17" customWidth="1"/>
    <col min="7432" max="7432" width="10.73046875" style="17" bestFit="1" customWidth="1"/>
    <col min="7433" max="7681" width="9.1328125" style="17"/>
    <col min="7682" max="7682" width="32.1328125" style="17" customWidth="1"/>
    <col min="7683" max="7683" width="20.3984375" style="17" customWidth="1"/>
    <col min="7684" max="7684" width="14.73046875" style="17" bestFit="1" customWidth="1"/>
    <col min="7685" max="7685" width="26.265625" style="17" customWidth="1"/>
    <col min="7686" max="7686" width="15.3984375" style="17" customWidth="1"/>
    <col min="7687" max="7687" width="16.73046875" style="17" customWidth="1"/>
    <col min="7688" max="7688" width="10.73046875" style="17" bestFit="1" customWidth="1"/>
    <col min="7689" max="7937" width="9.1328125" style="17"/>
    <col min="7938" max="7938" width="32.1328125" style="17" customWidth="1"/>
    <col min="7939" max="7939" width="20.3984375" style="17" customWidth="1"/>
    <col min="7940" max="7940" width="14.73046875" style="17" bestFit="1" customWidth="1"/>
    <col min="7941" max="7941" width="26.265625" style="17" customWidth="1"/>
    <col min="7942" max="7942" width="15.3984375" style="17" customWidth="1"/>
    <col min="7943" max="7943" width="16.73046875" style="17" customWidth="1"/>
    <col min="7944" max="7944" width="10.73046875" style="17" bestFit="1" customWidth="1"/>
    <col min="7945" max="8193" width="9.1328125" style="17"/>
    <col min="8194" max="8194" width="32.1328125" style="17" customWidth="1"/>
    <col min="8195" max="8195" width="20.3984375" style="17" customWidth="1"/>
    <col min="8196" max="8196" width="14.73046875" style="17" bestFit="1" customWidth="1"/>
    <col min="8197" max="8197" width="26.265625" style="17" customWidth="1"/>
    <col min="8198" max="8198" width="15.3984375" style="17" customWidth="1"/>
    <col min="8199" max="8199" width="16.73046875" style="17" customWidth="1"/>
    <col min="8200" max="8200" width="10.73046875" style="17" bestFit="1" customWidth="1"/>
    <col min="8201" max="8449" width="9.1328125" style="17"/>
    <col min="8450" max="8450" width="32.1328125" style="17" customWidth="1"/>
    <col min="8451" max="8451" width="20.3984375" style="17" customWidth="1"/>
    <col min="8452" max="8452" width="14.73046875" style="17" bestFit="1" customWidth="1"/>
    <col min="8453" max="8453" width="26.265625" style="17" customWidth="1"/>
    <col min="8454" max="8454" width="15.3984375" style="17" customWidth="1"/>
    <col min="8455" max="8455" width="16.73046875" style="17" customWidth="1"/>
    <col min="8456" max="8456" width="10.73046875" style="17" bestFit="1" customWidth="1"/>
    <col min="8457" max="8705" width="9.1328125" style="17"/>
    <col min="8706" max="8706" width="32.1328125" style="17" customWidth="1"/>
    <col min="8707" max="8707" width="20.3984375" style="17" customWidth="1"/>
    <col min="8708" max="8708" width="14.73046875" style="17" bestFit="1" customWidth="1"/>
    <col min="8709" max="8709" width="26.265625" style="17" customWidth="1"/>
    <col min="8710" max="8710" width="15.3984375" style="17" customWidth="1"/>
    <col min="8711" max="8711" width="16.73046875" style="17" customWidth="1"/>
    <col min="8712" max="8712" width="10.73046875" style="17" bestFit="1" customWidth="1"/>
    <col min="8713" max="8961" width="9.1328125" style="17"/>
    <col min="8962" max="8962" width="32.1328125" style="17" customWidth="1"/>
    <col min="8963" max="8963" width="20.3984375" style="17" customWidth="1"/>
    <col min="8964" max="8964" width="14.73046875" style="17" bestFit="1" customWidth="1"/>
    <col min="8965" max="8965" width="26.265625" style="17" customWidth="1"/>
    <col min="8966" max="8966" width="15.3984375" style="17" customWidth="1"/>
    <col min="8967" max="8967" width="16.73046875" style="17" customWidth="1"/>
    <col min="8968" max="8968" width="10.73046875" style="17" bestFit="1" customWidth="1"/>
    <col min="8969" max="9217" width="9.1328125" style="17"/>
    <col min="9218" max="9218" width="32.1328125" style="17" customWidth="1"/>
    <col min="9219" max="9219" width="20.3984375" style="17" customWidth="1"/>
    <col min="9220" max="9220" width="14.73046875" style="17" bestFit="1" customWidth="1"/>
    <col min="9221" max="9221" width="26.265625" style="17" customWidth="1"/>
    <col min="9222" max="9222" width="15.3984375" style="17" customWidth="1"/>
    <col min="9223" max="9223" width="16.73046875" style="17" customWidth="1"/>
    <col min="9224" max="9224" width="10.73046875" style="17" bestFit="1" customWidth="1"/>
    <col min="9225" max="9473" width="9.1328125" style="17"/>
    <col min="9474" max="9474" width="32.1328125" style="17" customWidth="1"/>
    <col min="9475" max="9475" width="20.3984375" style="17" customWidth="1"/>
    <col min="9476" max="9476" width="14.73046875" style="17" bestFit="1" customWidth="1"/>
    <col min="9477" max="9477" width="26.265625" style="17" customWidth="1"/>
    <col min="9478" max="9478" width="15.3984375" style="17" customWidth="1"/>
    <col min="9479" max="9479" width="16.73046875" style="17" customWidth="1"/>
    <col min="9480" max="9480" width="10.73046875" style="17" bestFit="1" customWidth="1"/>
    <col min="9481" max="9729" width="9.1328125" style="17"/>
    <col min="9730" max="9730" width="32.1328125" style="17" customWidth="1"/>
    <col min="9731" max="9731" width="20.3984375" style="17" customWidth="1"/>
    <col min="9732" max="9732" width="14.73046875" style="17" bestFit="1" customWidth="1"/>
    <col min="9733" max="9733" width="26.265625" style="17" customWidth="1"/>
    <col min="9734" max="9734" width="15.3984375" style="17" customWidth="1"/>
    <col min="9735" max="9735" width="16.73046875" style="17" customWidth="1"/>
    <col min="9736" max="9736" width="10.73046875" style="17" bestFit="1" customWidth="1"/>
    <col min="9737" max="9985" width="9.1328125" style="17"/>
    <col min="9986" max="9986" width="32.1328125" style="17" customWidth="1"/>
    <col min="9987" max="9987" width="20.3984375" style="17" customWidth="1"/>
    <col min="9988" max="9988" width="14.73046875" style="17" bestFit="1" customWidth="1"/>
    <col min="9989" max="9989" width="26.265625" style="17" customWidth="1"/>
    <col min="9990" max="9990" width="15.3984375" style="17" customWidth="1"/>
    <col min="9991" max="9991" width="16.73046875" style="17" customWidth="1"/>
    <col min="9992" max="9992" width="10.73046875" style="17" bestFit="1" customWidth="1"/>
    <col min="9993" max="10241" width="9.1328125" style="17"/>
    <col min="10242" max="10242" width="32.1328125" style="17" customWidth="1"/>
    <col min="10243" max="10243" width="20.3984375" style="17" customWidth="1"/>
    <col min="10244" max="10244" width="14.73046875" style="17" bestFit="1" customWidth="1"/>
    <col min="10245" max="10245" width="26.265625" style="17" customWidth="1"/>
    <col min="10246" max="10246" width="15.3984375" style="17" customWidth="1"/>
    <col min="10247" max="10247" width="16.73046875" style="17" customWidth="1"/>
    <col min="10248" max="10248" width="10.73046875" style="17" bestFit="1" customWidth="1"/>
    <col min="10249" max="10497" width="9.1328125" style="17"/>
    <col min="10498" max="10498" width="32.1328125" style="17" customWidth="1"/>
    <col min="10499" max="10499" width="20.3984375" style="17" customWidth="1"/>
    <col min="10500" max="10500" width="14.73046875" style="17" bestFit="1" customWidth="1"/>
    <col min="10501" max="10501" width="26.265625" style="17" customWidth="1"/>
    <col min="10502" max="10502" width="15.3984375" style="17" customWidth="1"/>
    <col min="10503" max="10503" width="16.73046875" style="17" customWidth="1"/>
    <col min="10504" max="10504" width="10.73046875" style="17" bestFit="1" customWidth="1"/>
    <col min="10505" max="10753" width="9.1328125" style="17"/>
    <col min="10754" max="10754" width="32.1328125" style="17" customWidth="1"/>
    <col min="10755" max="10755" width="20.3984375" style="17" customWidth="1"/>
    <col min="10756" max="10756" width="14.73046875" style="17" bestFit="1" customWidth="1"/>
    <col min="10757" max="10757" width="26.265625" style="17" customWidth="1"/>
    <col min="10758" max="10758" width="15.3984375" style="17" customWidth="1"/>
    <col min="10759" max="10759" width="16.73046875" style="17" customWidth="1"/>
    <col min="10760" max="10760" width="10.73046875" style="17" bestFit="1" customWidth="1"/>
    <col min="10761" max="11009" width="9.1328125" style="17"/>
    <col min="11010" max="11010" width="32.1328125" style="17" customWidth="1"/>
    <col min="11011" max="11011" width="20.3984375" style="17" customWidth="1"/>
    <col min="11012" max="11012" width="14.73046875" style="17" bestFit="1" customWidth="1"/>
    <col min="11013" max="11013" width="26.265625" style="17" customWidth="1"/>
    <col min="11014" max="11014" width="15.3984375" style="17" customWidth="1"/>
    <col min="11015" max="11015" width="16.73046875" style="17" customWidth="1"/>
    <col min="11016" max="11016" width="10.73046875" style="17" bestFit="1" customWidth="1"/>
    <col min="11017" max="11265" width="9.1328125" style="17"/>
    <col min="11266" max="11266" width="32.1328125" style="17" customWidth="1"/>
    <col min="11267" max="11267" width="20.3984375" style="17" customWidth="1"/>
    <col min="11268" max="11268" width="14.73046875" style="17" bestFit="1" customWidth="1"/>
    <col min="11269" max="11269" width="26.265625" style="17" customWidth="1"/>
    <col min="11270" max="11270" width="15.3984375" style="17" customWidth="1"/>
    <col min="11271" max="11271" width="16.73046875" style="17" customWidth="1"/>
    <col min="11272" max="11272" width="10.73046875" style="17" bestFit="1" customWidth="1"/>
    <col min="11273" max="11521" width="9.1328125" style="17"/>
    <col min="11522" max="11522" width="32.1328125" style="17" customWidth="1"/>
    <col min="11523" max="11523" width="20.3984375" style="17" customWidth="1"/>
    <col min="11524" max="11524" width="14.73046875" style="17" bestFit="1" customWidth="1"/>
    <col min="11525" max="11525" width="26.265625" style="17" customWidth="1"/>
    <col min="11526" max="11526" width="15.3984375" style="17" customWidth="1"/>
    <col min="11527" max="11527" width="16.73046875" style="17" customWidth="1"/>
    <col min="11528" max="11528" width="10.73046875" style="17" bestFit="1" customWidth="1"/>
    <col min="11529" max="11777" width="9.1328125" style="17"/>
    <col min="11778" max="11778" width="32.1328125" style="17" customWidth="1"/>
    <col min="11779" max="11779" width="20.3984375" style="17" customWidth="1"/>
    <col min="11780" max="11780" width="14.73046875" style="17" bestFit="1" customWidth="1"/>
    <col min="11781" max="11781" width="26.265625" style="17" customWidth="1"/>
    <col min="11782" max="11782" width="15.3984375" style="17" customWidth="1"/>
    <col min="11783" max="11783" width="16.73046875" style="17" customWidth="1"/>
    <col min="11784" max="11784" width="10.73046875" style="17" bestFit="1" customWidth="1"/>
    <col min="11785" max="12033" width="9.1328125" style="17"/>
    <col min="12034" max="12034" width="32.1328125" style="17" customWidth="1"/>
    <col min="12035" max="12035" width="20.3984375" style="17" customWidth="1"/>
    <col min="12036" max="12036" width="14.73046875" style="17" bestFit="1" customWidth="1"/>
    <col min="12037" max="12037" width="26.265625" style="17" customWidth="1"/>
    <col min="12038" max="12038" width="15.3984375" style="17" customWidth="1"/>
    <col min="12039" max="12039" width="16.73046875" style="17" customWidth="1"/>
    <col min="12040" max="12040" width="10.73046875" style="17" bestFit="1" customWidth="1"/>
    <col min="12041" max="12289" width="9.1328125" style="17"/>
    <col min="12290" max="12290" width="32.1328125" style="17" customWidth="1"/>
    <col min="12291" max="12291" width="20.3984375" style="17" customWidth="1"/>
    <col min="12292" max="12292" width="14.73046875" style="17" bestFit="1" customWidth="1"/>
    <col min="12293" max="12293" width="26.265625" style="17" customWidth="1"/>
    <col min="12294" max="12294" width="15.3984375" style="17" customWidth="1"/>
    <col min="12295" max="12295" width="16.73046875" style="17" customWidth="1"/>
    <col min="12296" max="12296" width="10.73046875" style="17" bestFit="1" customWidth="1"/>
    <col min="12297" max="12545" width="9.1328125" style="17"/>
    <col min="12546" max="12546" width="32.1328125" style="17" customWidth="1"/>
    <col min="12547" max="12547" width="20.3984375" style="17" customWidth="1"/>
    <col min="12548" max="12548" width="14.73046875" style="17" bestFit="1" customWidth="1"/>
    <col min="12549" max="12549" width="26.265625" style="17" customWidth="1"/>
    <col min="12550" max="12550" width="15.3984375" style="17" customWidth="1"/>
    <col min="12551" max="12551" width="16.73046875" style="17" customWidth="1"/>
    <col min="12552" max="12552" width="10.73046875" style="17" bestFit="1" customWidth="1"/>
    <col min="12553" max="12801" width="9.1328125" style="17"/>
    <col min="12802" max="12802" width="32.1328125" style="17" customWidth="1"/>
    <col min="12803" max="12803" width="20.3984375" style="17" customWidth="1"/>
    <col min="12804" max="12804" width="14.73046875" style="17" bestFit="1" customWidth="1"/>
    <col min="12805" max="12805" width="26.265625" style="17" customWidth="1"/>
    <col min="12806" max="12806" width="15.3984375" style="17" customWidth="1"/>
    <col min="12807" max="12807" width="16.73046875" style="17" customWidth="1"/>
    <col min="12808" max="12808" width="10.73046875" style="17" bestFit="1" customWidth="1"/>
    <col min="12809" max="13057" width="9.1328125" style="17"/>
    <col min="13058" max="13058" width="32.1328125" style="17" customWidth="1"/>
    <col min="13059" max="13059" width="20.3984375" style="17" customWidth="1"/>
    <col min="13060" max="13060" width="14.73046875" style="17" bestFit="1" customWidth="1"/>
    <col min="13061" max="13061" width="26.265625" style="17" customWidth="1"/>
    <col min="13062" max="13062" width="15.3984375" style="17" customWidth="1"/>
    <col min="13063" max="13063" width="16.73046875" style="17" customWidth="1"/>
    <col min="13064" max="13064" width="10.73046875" style="17" bestFit="1" customWidth="1"/>
    <col min="13065" max="13313" width="9.1328125" style="17"/>
    <col min="13314" max="13314" width="32.1328125" style="17" customWidth="1"/>
    <col min="13315" max="13315" width="20.3984375" style="17" customWidth="1"/>
    <col min="13316" max="13316" width="14.73046875" style="17" bestFit="1" customWidth="1"/>
    <col min="13317" max="13317" width="26.265625" style="17" customWidth="1"/>
    <col min="13318" max="13318" width="15.3984375" style="17" customWidth="1"/>
    <col min="13319" max="13319" width="16.73046875" style="17" customWidth="1"/>
    <col min="13320" max="13320" width="10.73046875" style="17" bestFit="1" customWidth="1"/>
    <col min="13321" max="13569" width="9.1328125" style="17"/>
    <col min="13570" max="13570" width="32.1328125" style="17" customWidth="1"/>
    <col min="13571" max="13571" width="20.3984375" style="17" customWidth="1"/>
    <col min="13572" max="13572" width="14.73046875" style="17" bestFit="1" customWidth="1"/>
    <col min="13573" max="13573" width="26.265625" style="17" customWidth="1"/>
    <col min="13574" max="13574" width="15.3984375" style="17" customWidth="1"/>
    <col min="13575" max="13575" width="16.73046875" style="17" customWidth="1"/>
    <col min="13576" max="13576" width="10.73046875" style="17" bestFit="1" customWidth="1"/>
    <col min="13577" max="13825" width="9.1328125" style="17"/>
    <col min="13826" max="13826" width="32.1328125" style="17" customWidth="1"/>
    <col min="13827" max="13827" width="20.3984375" style="17" customWidth="1"/>
    <col min="13828" max="13828" width="14.73046875" style="17" bestFit="1" customWidth="1"/>
    <col min="13829" max="13829" width="26.265625" style="17" customWidth="1"/>
    <col min="13830" max="13830" width="15.3984375" style="17" customWidth="1"/>
    <col min="13831" max="13831" width="16.73046875" style="17" customWidth="1"/>
    <col min="13832" max="13832" width="10.73046875" style="17" bestFit="1" customWidth="1"/>
    <col min="13833" max="14081" width="9.1328125" style="17"/>
    <col min="14082" max="14082" width="32.1328125" style="17" customWidth="1"/>
    <col min="14083" max="14083" width="20.3984375" style="17" customWidth="1"/>
    <col min="14084" max="14084" width="14.73046875" style="17" bestFit="1" customWidth="1"/>
    <col min="14085" max="14085" width="26.265625" style="17" customWidth="1"/>
    <col min="14086" max="14086" width="15.3984375" style="17" customWidth="1"/>
    <col min="14087" max="14087" width="16.73046875" style="17" customWidth="1"/>
    <col min="14088" max="14088" width="10.73046875" style="17" bestFit="1" customWidth="1"/>
    <col min="14089" max="14337" width="9.1328125" style="17"/>
    <col min="14338" max="14338" width="32.1328125" style="17" customWidth="1"/>
    <col min="14339" max="14339" width="20.3984375" style="17" customWidth="1"/>
    <col min="14340" max="14340" width="14.73046875" style="17" bestFit="1" customWidth="1"/>
    <col min="14341" max="14341" width="26.265625" style="17" customWidth="1"/>
    <col min="14342" max="14342" width="15.3984375" style="17" customWidth="1"/>
    <col min="14343" max="14343" width="16.73046875" style="17" customWidth="1"/>
    <col min="14344" max="14344" width="10.73046875" style="17" bestFit="1" customWidth="1"/>
    <col min="14345" max="14593" width="9.1328125" style="17"/>
    <col min="14594" max="14594" width="32.1328125" style="17" customWidth="1"/>
    <col min="14595" max="14595" width="20.3984375" style="17" customWidth="1"/>
    <col min="14596" max="14596" width="14.73046875" style="17" bestFit="1" customWidth="1"/>
    <col min="14597" max="14597" width="26.265625" style="17" customWidth="1"/>
    <col min="14598" max="14598" width="15.3984375" style="17" customWidth="1"/>
    <col min="14599" max="14599" width="16.73046875" style="17" customWidth="1"/>
    <col min="14600" max="14600" width="10.73046875" style="17" bestFit="1" customWidth="1"/>
    <col min="14601" max="14849" width="9.1328125" style="17"/>
    <col min="14850" max="14850" width="32.1328125" style="17" customWidth="1"/>
    <col min="14851" max="14851" width="20.3984375" style="17" customWidth="1"/>
    <col min="14852" max="14852" width="14.73046875" style="17" bestFit="1" customWidth="1"/>
    <col min="14853" max="14853" width="26.265625" style="17" customWidth="1"/>
    <col min="14854" max="14854" width="15.3984375" style="17" customWidth="1"/>
    <col min="14855" max="14855" width="16.73046875" style="17" customWidth="1"/>
    <col min="14856" max="14856" width="10.73046875" style="17" bestFit="1" customWidth="1"/>
    <col min="14857" max="15105" width="9.1328125" style="17"/>
    <col min="15106" max="15106" width="32.1328125" style="17" customWidth="1"/>
    <col min="15107" max="15107" width="20.3984375" style="17" customWidth="1"/>
    <col min="15108" max="15108" width="14.73046875" style="17" bestFit="1" customWidth="1"/>
    <col min="15109" max="15109" width="26.265625" style="17" customWidth="1"/>
    <col min="15110" max="15110" width="15.3984375" style="17" customWidth="1"/>
    <col min="15111" max="15111" width="16.73046875" style="17" customWidth="1"/>
    <col min="15112" max="15112" width="10.73046875" style="17" bestFit="1" customWidth="1"/>
    <col min="15113" max="15361" width="9.1328125" style="17"/>
    <col min="15362" max="15362" width="32.1328125" style="17" customWidth="1"/>
    <col min="15363" max="15363" width="20.3984375" style="17" customWidth="1"/>
    <col min="15364" max="15364" width="14.73046875" style="17" bestFit="1" customWidth="1"/>
    <col min="15365" max="15365" width="26.265625" style="17" customWidth="1"/>
    <col min="15366" max="15366" width="15.3984375" style="17" customWidth="1"/>
    <col min="15367" max="15367" width="16.73046875" style="17" customWidth="1"/>
    <col min="15368" max="15368" width="10.73046875" style="17" bestFit="1" customWidth="1"/>
    <col min="15369" max="15617" width="9.1328125" style="17"/>
    <col min="15618" max="15618" width="32.1328125" style="17" customWidth="1"/>
    <col min="15619" max="15619" width="20.3984375" style="17" customWidth="1"/>
    <col min="15620" max="15620" width="14.73046875" style="17" bestFit="1" customWidth="1"/>
    <col min="15621" max="15621" width="26.265625" style="17" customWidth="1"/>
    <col min="15622" max="15622" width="15.3984375" style="17" customWidth="1"/>
    <col min="15623" max="15623" width="16.73046875" style="17" customWidth="1"/>
    <col min="15624" max="15624" width="10.73046875" style="17" bestFit="1" customWidth="1"/>
    <col min="15625" max="15873" width="9.1328125" style="17"/>
    <col min="15874" max="15874" width="32.1328125" style="17" customWidth="1"/>
    <col min="15875" max="15875" width="20.3984375" style="17" customWidth="1"/>
    <col min="15876" max="15876" width="14.73046875" style="17" bestFit="1" customWidth="1"/>
    <col min="15877" max="15877" width="26.265625" style="17" customWidth="1"/>
    <col min="15878" max="15878" width="15.3984375" style="17" customWidth="1"/>
    <col min="15879" max="15879" width="16.73046875" style="17" customWidth="1"/>
    <col min="15880" max="15880" width="10.73046875" style="17" bestFit="1" customWidth="1"/>
    <col min="15881" max="16129" width="9.1328125" style="17"/>
    <col min="16130" max="16130" width="32.1328125" style="17" customWidth="1"/>
    <col min="16131" max="16131" width="20.3984375" style="17" customWidth="1"/>
    <col min="16132" max="16132" width="14.73046875" style="17" bestFit="1" customWidth="1"/>
    <col min="16133" max="16133" width="26.265625" style="17" customWidth="1"/>
    <col min="16134" max="16134" width="15.3984375" style="17" customWidth="1"/>
    <col min="16135" max="16135" width="16.73046875" style="17" customWidth="1"/>
    <col min="16136" max="16136" width="10.73046875" style="17" bestFit="1" customWidth="1"/>
    <col min="16137" max="16384" width="9.1328125" style="17"/>
  </cols>
  <sheetData>
    <row r="2" spans="1:8" s="13" customFormat="1" ht="45" x14ac:dyDescent="0.45">
      <c r="A2" s="12"/>
      <c r="B2" s="12" t="s">
        <v>0</v>
      </c>
      <c r="C2" s="12" t="s">
        <v>180</v>
      </c>
      <c r="E2" s="12" t="s">
        <v>181</v>
      </c>
      <c r="F2" s="13" t="s">
        <v>182</v>
      </c>
      <c r="G2" s="14" t="s">
        <v>183</v>
      </c>
    </row>
    <row r="3" spans="1:8" s="18" customFormat="1" x14ac:dyDescent="0.4">
      <c r="A3" s="15">
        <v>1</v>
      </c>
      <c r="B3" s="15" t="s">
        <v>15</v>
      </c>
      <c r="C3" s="16">
        <v>1000</v>
      </c>
      <c r="D3" s="16" t="s">
        <v>184</v>
      </c>
      <c r="E3" s="16">
        <v>1000</v>
      </c>
      <c r="F3" s="16"/>
      <c r="G3" s="16">
        <f>C3+E3</f>
        <v>2000</v>
      </c>
      <c r="H3" s="17"/>
    </row>
    <row r="4" spans="1:8" s="18" customFormat="1" x14ac:dyDescent="0.4">
      <c r="A4" s="19">
        <v>2</v>
      </c>
      <c r="B4" s="19" t="s">
        <v>17</v>
      </c>
      <c r="C4" s="17">
        <v>0</v>
      </c>
      <c r="D4" s="17"/>
      <c r="E4" s="17">
        <v>833.33333333333337</v>
      </c>
      <c r="F4" s="17"/>
      <c r="G4" s="20"/>
      <c r="H4" s="17"/>
    </row>
    <row r="5" spans="1:8" x14ac:dyDescent="0.4">
      <c r="A5" s="19">
        <v>4</v>
      </c>
      <c r="B5" s="19" t="s">
        <v>20</v>
      </c>
      <c r="C5" s="17">
        <v>574.83333333333337</v>
      </c>
      <c r="D5" s="17" t="s">
        <v>185</v>
      </c>
      <c r="E5" s="17">
        <v>1055.5555555555557</v>
      </c>
      <c r="F5" s="17" t="s">
        <v>185</v>
      </c>
      <c r="G5" s="20">
        <v>1630.3888888888891</v>
      </c>
      <c r="H5" s="18"/>
    </row>
    <row r="6" spans="1:8" x14ac:dyDescent="0.4">
      <c r="A6" s="19">
        <v>5</v>
      </c>
      <c r="B6" s="19" t="s">
        <v>23</v>
      </c>
      <c r="C6" s="17">
        <v>458.33333333333331</v>
      </c>
      <c r="D6" s="17" t="s">
        <v>185</v>
      </c>
      <c r="E6" s="17">
        <v>0</v>
      </c>
      <c r="F6" s="17" t="s">
        <v>185</v>
      </c>
      <c r="G6" s="20">
        <v>458.33333333333331</v>
      </c>
    </row>
    <row r="7" spans="1:8" x14ac:dyDescent="0.4">
      <c r="A7" s="19">
        <v>6</v>
      </c>
      <c r="B7" s="19" t="s">
        <v>24</v>
      </c>
      <c r="C7" s="17">
        <v>273.35416666666669</v>
      </c>
      <c r="D7" s="17" t="s">
        <v>185</v>
      </c>
      <c r="E7" s="17">
        <v>0</v>
      </c>
      <c r="F7" s="17" t="s">
        <v>185</v>
      </c>
      <c r="G7" s="20">
        <v>273.35416666666669</v>
      </c>
    </row>
    <row r="8" spans="1:8" x14ac:dyDescent="0.4">
      <c r="A8" s="19">
        <v>9</v>
      </c>
      <c r="B8" s="19" t="s">
        <v>25</v>
      </c>
      <c r="C8" s="17">
        <v>429.16666666666669</v>
      </c>
      <c r="D8" s="17" t="s">
        <v>185</v>
      </c>
      <c r="E8" s="17">
        <v>0</v>
      </c>
      <c r="F8" s="17" t="s">
        <v>185</v>
      </c>
      <c r="G8" s="20">
        <v>429.16666666666669</v>
      </c>
    </row>
    <row r="9" spans="1:8" x14ac:dyDescent="0.4">
      <c r="A9" s="19">
        <v>10</v>
      </c>
      <c r="B9" s="19" t="s">
        <v>26</v>
      </c>
      <c r="C9" s="17">
        <v>899.83333333333337</v>
      </c>
      <c r="D9" s="17" t="s">
        <v>185</v>
      </c>
      <c r="E9" s="17">
        <v>760.11111111111109</v>
      </c>
      <c r="F9" s="17" t="s">
        <v>185</v>
      </c>
      <c r="G9" s="20">
        <v>1659.9444444444443</v>
      </c>
    </row>
    <row r="10" spans="1:8" x14ac:dyDescent="0.4">
      <c r="A10" s="19">
        <v>11</v>
      </c>
      <c r="B10" s="19" t="s">
        <v>28</v>
      </c>
      <c r="C10" s="17">
        <v>979.16666666666663</v>
      </c>
      <c r="D10" s="17" t="s">
        <v>185</v>
      </c>
      <c r="E10" s="17">
        <v>1000</v>
      </c>
      <c r="F10" s="17" t="s">
        <v>185</v>
      </c>
      <c r="G10" s="20">
        <v>1979.1666666666665</v>
      </c>
    </row>
    <row r="11" spans="1:8" x14ac:dyDescent="0.4">
      <c r="A11" s="19">
        <v>12</v>
      </c>
      <c r="B11" s="19" t="s">
        <v>29</v>
      </c>
      <c r="C11" s="17">
        <v>0</v>
      </c>
      <c r="D11" s="17" t="s">
        <v>185</v>
      </c>
      <c r="E11" s="17">
        <v>0</v>
      </c>
      <c r="F11" s="17" t="s">
        <v>185</v>
      </c>
      <c r="G11" s="20">
        <v>0</v>
      </c>
    </row>
    <row r="12" spans="1:8" x14ac:dyDescent="0.4">
      <c r="A12" s="19">
        <v>13</v>
      </c>
      <c r="B12" s="19" t="s">
        <v>31</v>
      </c>
      <c r="C12" s="17">
        <v>0</v>
      </c>
      <c r="D12" s="17" t="s">
        <v>184</v>
      </c>
      <c r="E12" s="17">
        <v>0</v>
      </c>
      <c r="F12" s="17" t="s">
        <v>185</v>
      </c>
      <c r="G12" s="20">
        <v>0</v>
      </c>
    </row>
    <row r="13" spans="1:8" x14ac:dyDescent="0.4">
      <c r="A13" s="19">
        <v>14</v>
      </c>
      <c r="B13" s="19" t="s">
        <v>33</v>
      </c>
      <c r="C13" s="17"/>
      <c r="D13" s="17">
        <v>-31.25</v>
      </c>
      <c r="E13" s="17">
        <v>0</v>
      </c>
      <c r="F13" s="17" t="s">
        <v>185</v>
      </c>
      <c r="G13" s="17"/>
      <c r="H13" s="20">
        <v>-31.25</v>
      </c>
    </row>
    <row r="14" spans="1:8" x14ac:dyDescent="0.4">
      <c r="A14" s="19">
        <v>16</v>
      </c>
      <c r="B14" s="19" t="s">
        <v>36</v>
      </c>
      <c r="C14" s="17">
        <v>934.29708333333326</v>
      </c>
      <c r="D14" s="17" t="s">
        <v>185</v>
      </c>
      <c r="E14" s="17">
        <v>1.1111111117416942E-3</v>
      </c>
      <c r="F14" s="17" t="s">
        <v>185</v>
      </c>
      <c r="G14" s="20">
        <v>934.29819444444502</v>
      </c>
    </row>
    <row r="15" spans="1:8" x14ac:dyDescent="0.4">
      <c r="A15" s="19">
        <v>17</v>
      </c>
      <c r="B15" s="19" t="s">
        <v>186</v>
      </c>
      <c r="C15" s="17"/>
      <c r="D15" s="17">
        <v>-62.5</v>
      </c>
      <c r="E15" s="17">
        <v>0</v>
      </c>
      <c r="F15" s="17" t="s">
        <v>185</v>
      </c>
      <c r="G15" s="17"/>
      <c r="H15" s="20">
        <v>-62.5</v>
      </c>
    </row>
    <row r="16" spans="1:8" x14ac:dyDescent="0.4">
      <c r="A16" s="21">
        <v>18</v>
      </c>
      <c r="B16" s="21" t="s">
        <v>39</v>
      </c>
      <c r="C16" s="18">
        <v>0</v>
      </c>
      <c r="D16" s="18">
        <v>121827</v>
      </c>
      <c r="E16" s="18">
        <v>0</v>
      </c>
      <c r="F16" s="18">
        <v>35000</v>
      </c>
      <c r="G16" s="20">
        <v>0</v>
      </c>
      <c r="H16" s="18"/>
    </row>
    <row r="17" spans="1:8" x14ac:dyDescent="0.4">
      <c r="A17" s="19">
        <v>19</v>
      </c>
      <c r="B17" s="19" t="s">
        <v>40</v>
      </c>
      <c r="C17" s="17">
        <v>2102.9583333333335</v>
      </c>
      <c r="E17" s="17">
        <v>1569.4444444444443</v>
      </c>
      <c r="F17" s="17" t="s">
        <v>185</v>
      </c>
      <c r="G17" s="20">
        <v>3672.4027777777778</v>
      </c>
    </row>
    <row r="18" spans="1:8" x14ac:dyDescent="0.4">
      <c r="A18" s="19">
        <v>20</v>
      </c>
      <c r="B18" s="19" t="s">
        <v>42</v>
      </c>
      <c r="C18" s="17">
        <v>0</v>
      </c>
      <c r="D18" s="17" t="s">
        <v>185</v>
      </c>
      <c r="E18" s="17">
        <v>0</v>
      </c>
      <c r="F18" s="17" t="s">
        <v>185</v>
      </c>
      <c r="G18" s="20">
        <v>0</v>
      </c>
    </row>
    <row r="19" spans="1:8" x14ac:dyDescent="0.4">
      <c r="A19" s="19">
        <v>21</v>
      </c>
      <c r="B19" s="19" t="s">
        <v>45</v>
      </c>
      <c r="C19" s="17">
        <v>1512.3333333333333</v>
      </c>
      <c r="D19" s="17" t="s">
        <v>185</v>
      </c>
      <c r="E19" s="17">
        <v>1944.4444444444443</v>
      </c>
      <c r="F19" s="17" t="s">
        <v>185</v>
      </c>
      <c r="G19" s="20">
        <v>3456.7777777777774</v>
      </c>
    </row>
    <row r="20" spans="1:8" x14ac:dyDescent="0.4">
      <c r="A20" s="19">
        <v>22</v>
      </c>
      <c r="B20" s="19" t="s">
        <v>47</v>
      </c>
      <c r="C20" s="17">
        <v>691.5</v>
      </c>
      <c r="D20" s="17" t="s">
        <v>185</v>
      </c>
      <c r="E20" s="17">
        <v>0</v>
      </c>
      <c r="F20" s="17" t="s">
        <v>185</v>
      </c>
      <c r="G20" s="20">
        <v>691.5</v>
      </c>
    </row>
    <row r="21" spans="1:8" x14ac:dyDescent="0.4">
      <c r="A21" s="19">
        <v>23</v>
      </c>
      <c r="B21" s="19" t="s">
        <v>49</v>
      </c>
      <c r="C21" s="17">
        <v>979.16666666666663</v>
      </c>
      <c r="D21" s="17" t="s">
        <v>185</v>
      </c>
      <c r="E21" s="17">
        <v>500</v>
      </c>
      <c r="F21" s="17" t="s">
        <v>185</v>
      </c>
      <c r="G21" s="20">
        <v>1479.1666666666665</v>
      </c>
    </row>
    <row r="22" spans="1:8" x14ac:dyDescent="0.4">
      <c r="A22" s="19">
        <v>24</v>
      </c>
      <c r="B22" s="19" t="s">
        <v>187</v>
      </c>
      <c r="C22" s="17">
        <v>544.83333333333337</v>
      </c>
      <c r="D22" s="17" t="s">
        <v>185</v>
      </c>
      <c r="E22" s="17">
        <v>277.77777777777777</v>
      </c>
      <c r="G22" s="20">
        <v>822.61111111111109</v>
      </c>
    </row>
    <row r="23" spans="1:8" x14ac:dyDescent="0.4">
      <c r="A23" s="19">
        <v>25</v>
      </c>
      <c r="B23" s="19" t="s">
        <v>50</v>
      </c>
      <c r="C23" s="17">
        <v>1139.9791666666667</v>
      </c>
      <c r="D23" s="17" t="s">
        <v>185</v>
      </c>
      <c r="E23" s="17">
        <v>0</v>
      </c>
      <c r="F23" s="17" t="s">
        <v>185</v>
      </c>
      <c r="G23" s="20">
        <v>1139.9791666666667</v>
      </c>
    </row>
    <row r="24" spans="1:8" x14ac:dyDescent="0.4">
      <c r="A24" s="19">
        <v>26</v>
      </c>
      <c r="B24" s="19" t="s">
        <v>52</v>
      </c>
      <c r="C24" s="17">
        <v>608.79</v>
      </c>
      <c r="D24" s="17" t="s">
        <v>185</v>
      </c>
      <c r="E24" s="17">
        <v>0</v>
      </c>
      <c r="F24" s="17" t="s">
        <v>185</v>
      </c>
      <c r="G24" s="20">
        <v>608.79</v>
      </c>
    </row>
    <row r="25" spans="1:8" x14ac:dyDescent="0.4">
      <c r="A25" s="19">
        <v>27</v>
      </c>
      <c r="B25" s="19" t="s">
        <v>53</v>
      </c>
      <c r="C25" s="17">
        <v>428</v>
      </c>
      <c r="D25" s="17" t="s">
        <v>185</v>
      </c>
      <c r="E25" s="17">
        <v>0</v>
      </c>
      <c r="F25" s="17" t="s">
        <v>185</v>
      </c>
      <c r="G25" s="20">
        <v>428</v>
      </c>
    </row>
    <row r="26" spans="1:8" x14ac:dyDescent="0.4">
      <c r="A26" s="19">
        <v>28</v>
      </c>
      <c r="B26" s="19" t="s">
        <v>54</v>
      </c>
      <c r="C26" s="17">
        <v>0</v>
      </c>
      <c r="D26" s="17" t="s">
        <v>185</v>
      </c>
      <c r="E26" s="17">
        <v>555.55555555555554</v>
      </c>
      <c r="F26" s="17" t="s">
        <v>185</v>
      </c>
      <c r="G26" s="20">
        <v>555.55555555555554</v>
      </c>
    </row>
    <row r="27" spans="1:8" x14ac:dyDescent="0.4">
      <c r="A27" s="19">
        <v>29</v>
      </c>
      <c r="B27" s="19" t="s">
        <v>55</v>
      </c>
      <c r="C27" s="17">
        <v>0</v>
      </c>
      <c r="D27" s="17" t="s">
        <v>185</v>
      </c>
      <c r="E27" s="17">
        <v>0</v>
      </c>
      <c r="F27" s="17" t="s">
        <v>185</v>
      </c>
      <c r="G27" s="20">
        <v>0</v>
      </c>
    </row>
    <row r="28" spans="1:8" x14ac:dyDescent="0.4">
      <c r="A28" s="19">
        <v>31</v>
      </c>
      <c r="B28" s="19" t="s">
        <v>56</v>
      </c>
      <c r="C28" s="17">
        <v>0</v>
      </c>
      <c r="D28" s="17" t="s">
        <v>185</v>
      </c>
      <c r="E28" s="17">
        <v>0</v>
      </c>
      <c r="F28" s="17" t="s">
        <v>185</v>
      </c>
      <c r="G28" s="20">
        <v>0</v>
      </c>
    </row>
    <row r="29" spans="1:8" x14ac:dyDescent="0.4">
      <c r="A29" s="21">
        <v>33</v>
      </c>
      <c r="B29" s="21" t="s">
        <v>58</v>
      </c>
      <c r="C29" s="18">
        <v>978.125</v>
      </c>
      <c r="D29" s="18" t="s">
        <v>185</v>
      </c>
      <c r="E29" s="18">
        <v>0</v>
      </c>
      <c r="F29" s="18" t="s">
        <v>185</v>
      </c>
      <c r="G29" s="18">
        <v>978.125</v>
      </c>
      <c r="H29" s="18"/>
    </row>
    <row r="30" spans="1:8" x14ac:dyDescent="0.4">
      <c r="A30" s="21">
        <v>34</v>
      </c>
      <c r="B30" s="21" t="s">
        <v>188</v>
      </c>
      <c r="C30" s="18">
        <v>0</v>
      </c>
      <c r="D30" s="18">
        <v>106621</v>
      </c>
      <c r="E30" s="18">
        <v>0</v>
      </c>
      <c r="F30" s="18">
        <v>35000</v>
      </c>
      <c r="G30" s="20">
        <v>0</v>
      </c>
      <c r="H30" s="18"/>
    </row>
    <row r="31" spans="1:8" s="22" customFormat="1" x14ac:dyDescent="0.4">
      <c r="A31" s="19">
        <v>35</v>
      </c>
      <c r="B31" s="19" t="s">
        <v>59</v>
      </c>
      <c r="C31" s="17"/>
      <c r="D31" s="17">
        <v>-41.666666666666664</v>
      </c>
      <c r="E31" s="17">
        <v>0</v>
      </c>
      <c r="F31" s="17" t="s">
        <v>185</v>
      </c>
      <c r="G31" s="17"/>
      <c r="H31" s="20">
        <v>-41.666666666666664</v>
      </c>
    </row>
    <row r="32" spans="1:8" x14ac:dyDescent="0.4">
      <c r="A32" s="19">
        <v>36</v>
      </c>
      <c r="B32" s="19" t="s">
        <v>61</v>
      </c>
      <c r="C32" s="17">
        <v>580.16666666666663</v>
      </c>
      <c r="D32" s="17" t="s">
        <v>185</v>
      </c>
      <c r="E32" s="17">
        <v>0</v>
      </c>
      <c r="F32" s="17" t="s">
        <v>185</v>
      </c>
      <c r="G32" s="20">
        <v>580.16666666666663</v>
      </c>
    </row>
    <row r="33" spans="1:8" s="18" customFormat="1" x14ac:dyDescent="0.4">
      <c r="A33" s="19">
        <v>37</v>
      </c>
      <c r="B33" s="19" t="s">
        <v>62</v>
      </c>
      <c r="C33" s="17">
        <v>565.0625</v>
      </c>
      <c r="D33" s="17" t="s">
        <v>185</v>
      </c>
      <c r="E33" s="17">
        <v>0</v>
      </c>
      <c r="F33" s="17" t="s">
        <v>185</v>
      </c>
      <c r="G33" s="20">
        <v>565.0625</v>
      </c>
      <c r="H33" s="17"/>
    </row>
    <row r="34" spans="1:8" x14ac:dyDescent="0.4">
      <c r="A34" s="19">
        <v>38</v>
      </c>
      <c r="B34" s="19" t="s">
        <v>63</v>
      </c>
      <c r="C34" s="17">
        <v>0</v>
      </c>
      <c r="D34" s="17" t="s">
        <v>184</v>
      </c>
      <c r="E34" s="17">
        <v>0</v>
      </c>
      <c r="F34" s="17" t="s">
        <v>184</v>
      </c>
      <c r="G34" s="20">
        <v>3500</v>
      </c>
    </row>
    <row r="35" spans="1:8" x14ac:dyDescent="0.4">
      <c r="A35" s="19">
        <v>39</v>
      </c>
      <c r="B35" s="19" t="s">
        <v>65</v>
      </c>
      <c r="C35" s="17">
        <v>1033.5416666666667</v>
      </c>
      <c r="D35" s="17" t="s">
        <v>185</v>
      </c>
      <c r="E35" s="17">
        <v>1944.4444444444443</v>
      </c>
      <c r="F35" s="17" t="s">
        <v>185</v>
      </c>
      <c r="G35" s="20">
        <v>2977.9861111111113</v>
      </c>
    </row>
    <row r="36" spans="1:8" x14ac:dyDescent="0.4">
      <c r="A36" s="19">
        <v>40</v>
      </c>
      <c r="B36" s="19" t="s">
        <v>66</v>
      </c>
      <c r="C36" s="17">
        <v>2905.1666666666665</v>
      </c>
      <c r="E36" s="17">
        <v>1944.4444444444443</v>
      </c>
      <c r="G36" s="20">
        <v>4849.6111111111113</v>
      </c>
    </row>
    <row r="37" spans="1:8" x14ac:dyDescent="0.4">
      <c r="A37" s="19">
        <v>41</v>
      </c>
      <c r="B37" s="19" t="s">
        <v>67</v>
      </c>
      <c r="C37" s="17">
        <v>489.58333333333331</v>
      </c>
      <c r="D37" s="17" t="s">
        <v>185</v>
      </c>
      <c r="E37" s="17">
        <v>0</v>
      </c>
      <c r="F37" s="17" t="s">
        <v>185</v>
      </c>
      <c r="G37" s="20">
        <v>489.58333333333331</v>
      </c>
    </row>
    <row r="38" spans="1:8" x14ac:dyDescent="0.4">
      <c r="A38" s="19">
        <v>42</v>
      </c>
      <c r="B38" s="19" t="s">
        <v>68</v>
      </c>
      <c r="C38" s="17">
        <v>668.4375</v>
      </c>
      <c r="D38" s="17" t="s">
        <v>185</v>
      </c>
      <c r="E38" s="17">
        <v>0</v>
      </c>
      <c r="F38" s="17" t="s">
        <v>185</v>
      </c>
      <c r="G38" s="20">
        <v>668.4375</v>
      </c>
    </row>
    <row r="39" spans="1:8" x14ac:dyDescent="0.4">
      <c r="A39" s="19">
        <v>43</v>
      </c>
      <c r="B39" s="19" t="s">
        <v>69</v>
      </c>
      <c r="C39" s="17">
        <v>197.91666666666666</v>
      </c>
      <c r="D39" s="17" t="s">
        <v>185</v>
      </c>
      <c r="E39" s="17">
        <v>0</v>
      </c>
      <c r="F39" s="17" t="s">
        <v>185</v>
      </c>
      <c r="G39" s="20">
        <v>197.91666666666666</v>
      </c>
    </row>
    <row r="40" spans="1:8" x14ac:dyDescent="0.4">
      <c r="A40" s="19">
        <v>44</v>
      </c>
      <c r="B40" s="19" t="s">
        <v>70</v>
      </c>
      <c r="C40" s="17">
        <v>0</v>
      </c>
      <c r="D40" s="17" t="s">
        <v>184</v>
      </c>
      <c r="E40" s="17">
        <v>0</v>
      </c>
      <c r="F40" s="17" t="s">
        <v>184</v>
      </c>
      <c r="G40" s="20">
        <v>0</v>
      </c>
    </row>
    <row r="41" spans="1:8" x14ac:dyDescent="0.4">
      <c r="A41" s="21">
        <v>45</v>
      </c>
      <c r="B41" s="21" t="s">
        <v>71</v>
      </c>
      <c r="C41" s="18"/>
      <c r="D41" s="18" t="s">
        <v>185</v>
      </c>
      <c r="E41" s="18">
        <v>2000</v>
      </c>
      <c r="F41" s="18" t="s">
        <v>185</v>
      </c>
      <c r="G41" s="18">
        <v>2000</v>
      </c>
      <c r="H41" s="18"/>
    </row>
    <row r="42" spans="1:8" x14ac:dyDescent="0.4">
      <c r="A42" s="19">
        <v>46</v>
      </c>
      <c r="B42" s="19" t="s">
        <v>73</v>
      </c>
      <c r="C42" s="17"/>
      <c r="D42" s="17">
        <v>-103.72916666666667</v>
      </c>
      <c r="E42" s="17">
        <v>0</v>
      </c>
      <c r="F42" s="17" t="s">
        <v>185</v>
      </c>
      <c r="G42" s="17"/>
      <c r="H42" s="20">
        <v>-103.72916666666667</v>
      </c>
    </row>
    <row r="43" spans="1:8" x14ac:dyDescent="0.4">
      <c r="A43" s="19">
        <v>47</v>
      </c>
      <c r="B43" s="19" t="s">
        <v>74</v>
      </c>
      <c r="C43" s="17">
        <v>587.33333333333337</v>
      </c>
      <c r="D43" s="17" t="s">
        <v>185</v>
      </c>
      <c r="E43" s="17">
        <v>555.55555555555554</v>
      </c>
      <c r="F43" s="17" t="s">
        <v>185</v>
      </c>
      <c r="G43" s="20">
        <v>1142.8888888888889</v>
      </c>
    </row>
    <row r="44" spans="1:8" x14ac:dyDescent="0.4">
      <c r="A44" s="19">
        <v>48</v>
      </c>
      <c r="B44" s="19" t="s">
        <v>77</v>
      </c>
      <c r="C44" s="17">
        <v>595.11916666666673</v>
      </c>
      <c r="D44" s="17" t="s">
        <v>185</v>
      </c>
      <c r="E44" s="17">
        <v>500</v>
      </c>
      <c r="F44" s="17" t="s">
        <v>185</v>
      </c>
      <c r="G44" s="20">
        <v>1095.1191666666668</v>
      </c>
    </row>
    <row r="45" spans="1:8" x14ac:dyDescent="0.4">
      <c r="A45" s="19">
        <v>49</v>
      </c>
      <c r="B45" s="19" t="s">
        <v>78</v>
      </c>
      <c r="C45" s="17">
        <v>2488.874166666667</v>
      </c>
      <c r="E45" s="17">
        <v>1944.4444444444453</v>
      </c>
      <c r="G45" s="20">
        <v>4433.3186111111117</v>
      </c>
    </row>
    <row r="46" spans="1:8" x14ac:dyDescent="0.4">
      <c r="A46" s="19">
        <v>51</v>
      </c>
      <c r="B46" s="19" t="s">
        <v>81</v>
      </c>
      <c r="C46" s="17">
        <v>1013.5833333333334</v>
      </c>
      <c r="D46" s="17" t="s">
        <v>185</v>
      </c>
      <c r="E46" s="17">
        <v>1500</v>
      </c>
      <c r="G46" s="20">
        <v>2513.5833333333335</v>
      </c>
    </row>
    <row r="47" spans="1:8" x14ac:dyDescent="0.4">
      <c r="A47" s="19">
        <v>53</v>
      </c>
      <c r="B47" s="19" t="s">
        <v>82</v>
      </c>
      <c r="C47" s="17">
        <v>1376.6041666666667</v>
      </c>
      <c r="D47" s="17" t="s">
        <v>185</v>
      </c>
      <c r="E47" s="17">
        <v>0</v>
      </c>
      <c r="F47" s="17" t="s">
        <v>185</v>
      </c>
      <c r="G47" s="20">
        <v>1376.6041666666667</v>
      </c>
    </row>
    <row r="48" spans="1:8" x14ac:dyDescent="0.4">
      <c r="A48" s="19">
        <v>54</v>
      </c>
      <c r="B48" s="19" t="s">
        <v>84</v>
      </c>
      <c r="C48" s="17">
        <v>837.33333333333337</v>
      </c>
      <c r="D48" s="17" t="s">
        <v>185</v>
      </c>
      <c r="E48" s="17">
        <v>661.11111111111109</v>
      </c>
      <c r="F48" s="17" t="s">
        <v>185</v>
      </c>
      <c r="G48" s="20">
        <v>1498.4444444444443</v>
      </c>
    </row>
    <row r="49" spans="1:8" x14ac:dyDescent="0.4">
      <c r="A49" s="19">
        <v>55</v>
      </c>
      <c r="B49" s="19" t="s">
        <v>85</v>
      </c>
      <c r="C49" s="17">
        <v>64.651249999999891</v>
      </c>
      <c r="D49" s="17" t="s">
        <v>185</v>
      </c>
      <c r="E49" s="17">
        <v>555.55555555555634</v>
      </c>
      <c r="F49" s="17" t="s">
        <v>185</v>
      </c>
      <c r="G49" s="20">
        <v>620.20680555555623</v>
      </c>
    </row>
    <row r="50" spans="1:8" x14ac:dyDescent="0.4">
      <c r="A50" s="19">
        <v>56</v>
      </c>
      <c r="B50" s="19" t="s">
        <v>87</v>
      </c>
      <c r="C50" s="17">
        <v>521.83333333333337</v>
      </c>
      <c r="D50" s="17" t="s">
        <v>185</v>
      </c>
      <c r="E50" s="17">
        <v>666.66666666666663</v>
      </c>
      <c r="F50" s="17" t="s">
        <v>185</v>
      </c>
      <c r="G50" s="20">
        <v>1188.5</v>
      </c>
    </row>
    <row r="51" spans="1:8" x14ac:dyDescent="0.4">
      <c r="A51" s="19">
        <v>57</v>
      </c>
      <c r="B51" s="19" t="s">
        <v>88</v>
      </c>
      <c r="C51" s="17">
        <v>0</v>
      </c>
      <c r="D51" s="17" t="s">
        <v>185</v>
      </c>
      <c r="E51" s="17">
        <v>555.55555555555554</v>
      </c>
      <c r="F51" s="17" t="s">
        <v>185</v>
      </c>
      <c r="G51" s="20">
        <v>555.55555555555554</v>
      </c>
    </row>
    <row r="52" spans="1:8" x14ac:dyDescent="0.4">
      <c r="A52" s="19">
        <v>58</v>
      </c>
      <c r="B52" s="19" t="s">
        <v>89</v>
      </c>
      <c r="C52" s="17"/>
      <c r="D52" s="17">
        <v>-41.666666666666664</v>
      </c>
      <c r="E52" s="17">
        <v>0</v>
      </c>
      <c r="F52" s="17" t="s">
        <v>185</v>
      </c>
      <c r="G52" s="17"/>
      <c r="H52" s="20">
        <v>-41.666666666666664</v>
      </c>
    </row>
    <row r="53" spans="1:8" x14ac:dyDescent="0.4">
      <c r="A53" s="19">
        <v>60</v>
      </c>
      <c r="B53" s="19" t="s">
        <v>90</v>
      </c>
      <c r="C53" s="17">
        <v>339.58333333333331</v>
      </c>
      <c r="D53" s="17" t="s">
        <v>185</v>
      </c>
      <c r="E53" s="17">
        <v>0</v>
      </c>
      <c r="F53" s="17" t="s">
        <v>185</v>
      </c>
      <c r="G53" s="20">
        <v>339.58333333333331</v>
      </c>
    </row>
    <row r="54" spans="1:8" x14ac:dyDescent="0.4">
      <c r="A54" s="19">
        <v>61</v>
      </c>
      <c r="B54" s="19" t="s">
        <v>91</v>
      </c>
      <c r="C54" s="17">
        <v>750</v>
      </c>
      <c r="D54" s="17" t="s">
        <v>185</v>
      </c>
      <c r="E54" s="17">
        <v>0</v>
      </c>
      <c r="F54" s="17" t="s">
        <v>185</v>
      </c>
      <c r="G54" s="20">
        <v>750</v>
      </c>
    </row>
    <row r="55" spans="1:8" x14ac:dyDescent="0.4">
      <c r="A55" s="19">
        <v>62</v>
      </c>
      <c r="B55" s="19" t="s">
        <v>92</v>
      </c>
      <c r="C55" s="17">
        <v>1512.3333333333333</v>
      </c>
      <c r="D55" s="17" t="s">
        <v>185</v>
      </c>
      <c r="E55" s="17">
        <v>1944.4444444444443</v>
      </c>
      <c r="F55" s="17" t="s">
        <v>185</v>
      </c>
      <c r="G55" s="20">
        <v>3456.7777777777774</v>
      </c>
    </row>
    <row r="56" spans="1:8" x14ac:dyDescent="0.4">
      <c r="A56" s="19">
        <v>63</v>
      </c>
      <c r="B56" s="19" t="s">
        <v>93</v>
      </c>
      <c r="C56" s="17"/>
      <c r="D56" s="17">
        <v>-10.416666666666666</v>
      </c>
      <c r="E56" s="17">
        <v>0</v>
      </c>
      <c r="F56" s="17" t="s">
        <v>185</v>
      </c>
      <c r="G56" s="17"/>
      <c r="H56" s="20">
        <v>-10.416666666666666</v>
      </c>
    </row>
    <row r="57" spans="1:8" x14ac:dyDescent="0.4">
      <c r="A57" s="19">
        <v>64</v>
      </c>
      <c r="B57" s="19" t="s">
        <v>94</v>
      </c>
      <c r="C57" s="17">
        <v>635.66666666666663</v>
      </c>
      <c r="D57" s="17" t="s">
        <v>185</v>
      </c>
      <c r="E57" s="17">
        <v>0</v>
      </c>
      <c r="F57" s="17" t="s">
        <v>185</v>
      </c>
      <c r="G57" s="20">
        <v>635.66666666666663</v>
      </c>
    </row>
    <row r="58" spans="1:8" x14ac:dyDescent="0.4">
      <c r="A58" s="19">
        <v>65</v>
      </c>
      <c r="B58" s="19" t="s">
        <v>96</v>
      </c>
      <c r="C58" s="17">
        <v>2199.8333333333335</v>
      </c>
      <c r="D58" s="17" t="s">
        <v>185</v>
      </c>
      <c r="E58" s="17">
        <v>1944.4444444444443</v>
      </c>
      <c r="F58" s="17" t="s">
        <v>185</v>
      </c>
      <c r="G58" s="20">
        <v>4144.2777777777774</v>
      </c>
    </row>
    <row r="59" spans="1:8" x14ac:dyDescent="0.4">
      <c r="A59" s="19">
        <v>66</v>
      </c>
      <c r="B59" s="19" t="s">
        <v>189</v>
      </c>
      <c r="C59" s="17">
        <v>462.33333333333331</v>
      </c>
      <c r="D59" s="17" t="s">
        <v>185</v>
      </c>
      <c r="E59" s="17">
        <v>0</v>
      </c>
      <c r="F59" s="17" t="s">
        <v>185</v>
      </c>
      <c r="G59" s="20">
        <v>462.33333333333331</v>
      </c>
    </row>
    <row r="60" spans="1:8" x14ac:dyDescent="0.4">
      <c r="A60" s="19">
        <v>67</v>
      </c>
      <c r="B60" s="19" t="s">
        <v>98</v>
      </c>
      <c r="C60" s="17"/>
      <c r="D60" s="17">
        <v>-0.14583333333333334</v>
      </c>
      <c r="E60" s="17">
        <v>0</v>
      </c>
      <c r="F60" s="17" t="s">
        <v>185</v>
      </c>
      <c r="G60" s="17"/>
      <c r="H60" s="20">
        <v>-0.14583333333333334</v>
      </c>
    </row>
    <row r="61" spans="1:8" x14ac:dyDescent="0.4">
      <c r="A61" s="19">
        <v>68</v>
      </c>
      <c r="B61" s="19" t="s">
        <v>99</v>
      </c>
      <c r="C61" s="17">
        <v>0</v>
      </c>
      <c r="D61" s="17" t="s">
        <v>185</v>
      </c>
      <c r="E61" s="17">
        <v>555.55555555555554</v>
      </c>
      <c r="G61" s="20">
        <v>555.55555555555554</v>
      </c>
    </row>
    <row r="62" spans="1:8" x14ac:dyDescent="0.4">
      <c r="A62" s="19">
        <v>69</v>
      </c>
      <c r="B62" s="19" t="s">
        <v>100</v>
      </c>
      <c r="C62" s="17">
        <v>489.58333333333331</v>
      </c>
      <c r="D62" s="17" t="s">
        <v>185</v>
      </c>
      <c r="E62" s="17">
        <v>500</v>
      </c>
      <c r="F62" s="17" t="s">
        <v>185</v>
      </c>
      <c r="G62" s="20">
        <v>989.58333333333326</v>
      </c>
    </row>
    <row r="63" spans="1:8" x14ac:dyDescent="0.4">
      <c r="A63" s="19">
        <v>70</v>
      </c>
      <c r="B63" s="19" t="s">
        <v>101</v>
      </c>
      <c r="C63" s="17">
        <v>0</v>
      </c>
      <c r="D63" s="17" t="s">
        <v>185</v>
      </c>
      <c r="E63" s="17">
        <v>555.55555555555554</v>
      </c>
      <c r="F63" s="17" t="s">
        <v>185</v>
      </c>
      <c r="G63" s="20">
        <v>555.55555555555554</v>
      </c>
    </row>
    <row r="64" spans="1:8" x14ac:dyDescent="0.4">
      <c r="A64" s="19">
        <v>71</v>
      </c>
      <c r="B64" s="19" t="s">
        <v>102</v>
      </c>
      <c r="C64" s="17">
        <v>0</v>
      </c>
      <c r="D64" s="17" t="s">
        <v>185</v>
      </c>
      <c r="E64" s="17">
        <v>555.55555555555554</v>
      </c>
      <c r="F64" s="17" t="s">
        <v>185</v>
      </c>
      <c r="G64" s="20">
        <v>555.55555555555554</v>
      </c>
    </row>
    <row r="65" spans="1:8" x14ac:dyDescent="0.4">
      <c r="A65" s="19">
        <v>72</v>
      </c>
      <c r="B65" s="19" t="s">
        <v>190</v>
      </c>
      <c r="C65" s="17">
        <v>207.79166666666666</v>
      </c>
      <c r="D65" s="17" t="s">
        <v>185</v>
      </c>
      <c r="E65" s="17">
        <v>555.55555555555554</v>
      </c>
      <c r="F65" s="17" t="s">
        <v>185</v>
      </c>
      <c r="G65" s="20">
        <v>763.34722222222217</v>
      </c>
    </row>
    <row r="66" spans="1:8" x14ac:dyDescent="0.4">
      <c r="A66" s="19">
        <v>73</v>
      </c>
      <c r="B66" s="19" t="s">
        <v>103</v>
      </c>
      <c r="C66" s="17">
        <v>341.91666666666669</v>
      </c>
      <c r="D66" s="17" t="s">
        <v>185</v>
      </c>
      <c r="E66" s="17">
        <v>722.22222222222217</v>
      </c>
      <c r="G66" s="20">
        <v>1064.1388888888889</v>
      </c>
    </row>
    <row r="67" spans="1:8" x14ac:dyDescent="0.4">
      <c r="A67" s="19">
        <v>74</v>
      </c>
      <c r="B67" s="19" t="s">
        <v>104</v>
      </c>
      <c r="C67" s="17">
        <v>708.16666666666663</v>
      </c>
      <c r="D67" s="17" t="s">
        <v>185</v>
      </c>
      <c r="E67" s="17">
        <v>0</v>
      </c>
      <c r="F67" s="17" t="s">
        <v>185</v>
      </c>
      <c r="G67" s="20">
        <v>708.16666666666663</v>
      </c>
    </row>
    <row r="68" spans="1:8" x14ac:dyDescent="0.4">
      <c r="A68" s="19">
        <v>75</v>
      </c>
      <c r="B68" s="19" t="s">
        <v>191</v>
      </c>
      <c r="C68" s="17">
        <v>0</v>
      </c>
      <c r="D68" s="17" t="s">
        <v>185</v>
      </c>
      <c r="E68" s="17">
        <v>0</v>
      </c>
      <c r="F68" s="17" t="s">
        <v>185</v>
      </c>
      <c r="G68" s="20">
        <v>0</v>
      </c>
    </row>
    <row r="69" spans="1:8" x14ac:dyDescent="0.4">
      <c r="A69" s="19">
        <v>76</v>
      </c>
      <c r="B69" s="19" t="s">
        <v>105</v>
      </c>
      <c r="C69" s="17">
        <v>0</v>
      </c>
      <c r="D69" s="17" t="s">
        <v>185</v>
      </c>
      <c r="E69" s="17">
        <v>0</v>
      </c>
      <c r="F69" s="17" t="s">
        <v>185</v>
      </c>
      <c r="G69" s="20">
        <v>0</v>
      </c>
    </row>
    <row r="70" spans="1:8" x14ac:dyDescent="0.4">
      <c r="A70" s="19">
        <v>77</v>
      </c>
      <c r="B70" s="19" t="s">
        <v>106</v>
      </c>
      <c r="C70" s="17">
        <v>585.47222222222217</v>
      </c>
      <c r="D70" s="17" t="s">
        <v>185</v>
      </c>
      <c r="E70" s="17">
        <v>666.66666666666663</v>
      </c>
      <c r="F70" s="17" t="s">
        <v>185</v>
      </c>
      <c r="G70" s="20">
        <v>1252.1388888888887</v>
      </c>
    </row>
    <row r="71" spans="1:8" x14ac:dyDescent="0.4">
      <c r="A71" s="19">
        <v>78</v>
      </c>
      <c r="B71" s="19" t="s">
        <v>107</v>
      </c>
      <c r="C71" s="17"/>
      <c r="D71" s="17">
        <v>-166.66666666666666</v>
      </c>
      <c r="E71" s="17">
        <v>0</v>
      </c>
      <c r="F71" s="17" t="s">
        <v>185</v>
      </c>
      <c r="G71" s="17"/>
      <c r="H71" s="20">
        <v>-166.66666666666666</v>
      </c>
    </row>
    <row r="72" spans="1:8" x14ac:dyDescent="0.4">
      <c r="A72" s="19">
        <v>79</v>
      </c>
      <c r="B72" s="19" t="s">
        <v>108</v>
      </c>
      <c r="C72" s="17"/>
      <c r="D72" s="17">
        <v>-12.5</v>
      </c>
      <c r="E72" s="17">
        <v>0</v>
      </c>
      <c r="F72" s="17" t="s">
        <v>185</v>
      </c>
      <c r="G72" s="17"/>
      <c r="H72" s="20">
        <v>-12.5</v>
      </c>
    </row>
    <row r="73" spans="1:8" x14ac:dyDescent="0.4">
      <c r="A73" s="19">
        <v>81</v>
      </c>
      <c r="B73" s="19" t="s">
        <v>110</v>
      </c>
      <c r="C73" s="17">
        <v>445.04166666666669</v>
      </c>
      <c r="D73" s="17" t="s">
        <v>185</v>
      </c>
      <c r="E73" s="17">
        <v>611.11111111111109</v>
      </c>
      <c r="F73" s="17" t="s">
        <v>185</v>
      </c>
      <c r="G73" s="20">
        <v>1056.1527777777778</v>
      </c>
    </row>
    <row r="74" spans="1:8" x14ac:dyDescent="0.4">
      <c r="A74" s="19">
        <v>84</v>
      </c>
      <c r="B74" s="19" t="s">
        <v>112</v>
      </c>
      <c r="C74" s="17"/>
      <c r="D74" s="17">
        <v>-104.16666666666667</v>
      </c>
      <c r="E74" s="17">
        <v>0</v>
      </c>
      <c r="F74" s="17" t="s">
        <v>185</v>
      </c>
      <c r="G74" s="17"/>
      <c r="H74" s="20">
        <v>-104.16666666666667</v>
      </c>
    </row>
    <row r="75" spans="1:8" x14ac:dyDescent="0.4">
      <c r="A75" s="19">
        <v>85</v>
      </c>
      <c r="B75" s="19" t="s">
        <v>113</v>
      </c>
      <c r="C75" s="17">
        <v>1770.6666666666667</v>
      </c>
      <c r="D75" s="17" t="s">
        <v>185</v>
      </c>
      <c r="E75" s="17">
        <v>1944.4444444444443</v>
      </c>
      <c r="F75" s="17" t="s">
        <v>185</v>
      </c>
      <c r="G75" s="20">
        <v>3715.1111111111113</v>
      </c>
    </row>
    <row r="76" spans="1:8" x14ac:dyDescent="0.4">
      <c r="A76" s="19">
        <v>86</v>
      </c>
      <c r="B76" s="19" t="s">
        <v>114</v>
      </c>
      <c r="C76" s="17">
        <v>453.02333333333326</v>
      </c>
      <c r="D76" s="17" t="s">
        <v>185</v>
      </c>
      <c r="E76" s="17">
        <v>555.55555555555554</v>
      </c>
      <c r="F76" s="17" t="s">
        <v>185</v>
      </c>
      <c r="G76" s="20">
        <v>1008.5788888888887</v>
      </c>
    </row>
    <row r="77" spans="1:8" x14ac:dyDescent="0.4">
      <c r="A77" s="19">
        <v>87</v>
      </c>
      <c r="B77" s="19" t="s">
        <v>115</v>
      </c>
      <c r="C77" s="17">
        <v>601.91666666666663</v>
      </c>
      <c r="D77" s="17" t="s">
        <v>185</v>
      </c>
      <c r="E77" s="17">
        <v>166.66666666666666</v>
      </c>
      <c r="F77" s="17" t="s">
        <v>185</v>
      </c>
      <c r="G77" s="20">
        <v>768.58333333333326</v>
      </c>
    </row>
    <row r="78" spans="1:8" s="18" customFormat="1" x14ac:dyDescent="0.4">
      <c r="A78" s="19">
        <v>88</v>
      </c>
      <c r="B78" s="19" t="s">
        <v>116</v>
      </c>
      <c r="C78" s="17">
        <v>325.4375</v>
      </c>
      <c r="D78" s="17" t="s">
        <v>185</v>
      </c>
      <c r="E78" s="17">
        <v>0</v>
      </c>
      <c r="F78" s="17" t="s">
        <v>185</v>
      </c>
      <c r="G78" s="20">
        <v>325.4375</v>
      </c>
      <c r="H78" s="17"/>
    </row>
    <row r="79" spans="1:8" x14ac:dyDescent="0.4">
      <c r="A79" s="19">
        <v>89</v>
      </c>
      <c r="B79" s="19" t="s">
        <v>117</v>
      </c>
      <c r="C79" s="17"/>
      <c r="D79" s="17">
        <v>-41.666666666666664</v>
      </c>
      <c r="E79" s="17">
        <v>0</v>
      </c>
      <c r="F79" s="17" t="s">
        <v>185</v>
      </c>
      <c r="G79" s="17"/>
      <c r="H79" s="20">
        <v>-41.666666666666664</v>
      </c>
    </row>
    <row r="80" spans="1:8" x14ac:dyDescent="0.4">
      <c r="A80" s="19">
        <v>90</v>
      </c>
      <c r="B80" s="19" t="s">
        <v>79</v>
      </c>
      <c r="C80" s="17">
        <v>637.02083333333337</v>
      </c>
      <c r="D80" s="17" t="s">
        <v>185</v>
      </c>
      <c r="E80" s="17">
        <v>0</v>
      </c>
      <c r="F80" s="17" t="s">
        <v>185</v>
      </c>
      <c r="G80" s="20">
        <v>637.02083333333337</v>
      </c>
    </row>
    <row r="81" spans="1:8" x14ac:dyDescent="0.4">
      <c r="A81" s="19">
        <v>91</v>
      </c>
      <c r="B81" s="19" t="s">
        <v>118</v>
      </c>
      <c r="C81" s="17">
        <v>22.4375</v>
      </c>
      <c r="D81" s="17" t="s">
        <v>185</v>
      </c>
      <c r="E81" s="17">
        <v>555.55555555555554</v>
      </c>
      <c r="F81" s="17" t="s">
        <v>185</v>
      </c>
      <c r="G81" s="20">
        <v>577.99305555555554</v>
      </c>
    </row>
    <row r="82" spans="1:8" x14ac:dyDescent="0.4">
      <c r="A82" s="19">
        <v>92</v>
      </c>
      <c r="B82" s="19" t="s">
        <v>119</v>
      </c>
      <c r="C82" s="17">
        <v>379</v>
      </c>
      <c r="D82" s="17" t="s">
        <v>185</v>
      </c>
      <c r="E82" s="17">
        <v>777.77777777777783</v>
      </c>
      <c r="G82" s="20">
        <v>1156.7777777777778</v>
      </c>
    </row>
    <row r="83" spans="1:8" x14ac:dyDescent="0.4">
      <c r="A83" s="23">
        <v>93</v>
      </c>
      <c r="B83" s="23" t="s">
        <v>120</v>
      </c>
      <c r="C83" s="22">
        <v>0</v>
      </c>
      <c r="D83" s="22" t="s">
        <v>184</v>
      </c>
      <c r="E83" s="22">
        <v>200</v>
      </c>
      <c r="F83" s="22" t="s">
        <v>185</v>
      </c>
      <c r="G83" s="24">
        <v>200</v>
      </c>
      <c r="H83" s="22"/>
    </row>
    <row r="84" spans="1:8" x14ac:dyDescent="0.4">
      <c r="A84" s="19">
        <v>94</v>
      </c>
      <c r="B84" s="19" t="s">
        <v>121</v>
      </c>
      <c r="C84" s="17">
        <v>758.16666666666663</v>
      </c>
      <c r="D84" s="17" t="s">
        <v>185</v>
      </c>
      <c r="E84" s="17">
        <v>0</v>
      </c>
      <c r="F84" s="17" t="s">
        <v>185</v>
      </c>
      <c r="G84" s="20">
        <v>758.16666666666663</v>
      </c>
    </row>
    <row r="85" spans="1:8" x14ac:dyDescent="0.4">
      <c r="A85" s="19">
        <v>95</v>
      </c>
      <c r="B85" s="19" t="s">
        <v>122</v>
      </c>
      <c r="C85" s="17">
        <v>1000</v>
      </c>
      <c r="D85" s="17" t="s">
        <v>185</v>
      </c>
      <c r="E85" s="17">
        <v>1000</v>
      </c>
      <c r="F85" s="17" t="s">
        <v>185</v>
      </c>
      <c r="G85" s="20">
        <v>2000</v>
      </c>
    </row>
    <row r="86" spans="1:8" x14ac:dyDescent="0.4">
      <c r="A86" s="19">
        <v>96</v>
      </c>
      <c r="B86" s="19" t="s">
        <v>124</v>
      </c>
      <c r="C86" s="17">
        <v>2235.1041666666665</v>
      </c>
      <c r="E86" s="17">
        <v>1944.4444444444443</v>
      </c>
      <c r="G86" s="20">
        <v>4179.5486111111113</v>
      </c>
    </row>
    <row r="87" spans="1:8" x14ac:dyDescent="0.4">
      <c r="A87" s="21">
        <v>97</v>
      </c>
      <c r="B87" s="21" t="s">
        <v>126</v>
      </c>
      <c r="C87" s="18">
        <v>1000</v>
      </c>
      <c r="D87" s="18" t="s">
        <v>184</v>
      </c>
      <c r="E87" s="18">
        <v>1000</v>
      </c>
      <c r="F87" s="18" t="s">
        <v>185</v>
      </c>
      <c r="G87" s="18">
        <v>2000</v>
      </c>
      <c r="H87" s="18"/>
    </row>
    <row r="88" spans="1:8" x14ac:dyDescent="0.4">
      <c r="A88" s="19">
        <v>99</v>
      </c>
      <c r="B88" s="19" t="s">
        <v>128</v>
      </c>
      <c r="C88" s="17">
        <v>470.16666666666669</v>
      </c>
      <c r="D88" s="17" t="s">
        <v>185</v>
      </c>
      <c r="E88" s="17">
        <v>666.66666666666663</v>
      </c>
      <c r="F88" s="17" t="s">
        <v>185</v>
      </c>
      <c r="G88" s="20">
        <v>1136.8333333333333</v>
      </c>
    </row>
    <row r="89" spans="1:8" x14ac:dyDescent="0.4">
      <c r="A89" s="19">
        <v>100</v>
      </c>
      <c r="B89" s="19" t="s">
        <v>129</v>
      </c>
      <c r="C89" s="17">
        <v>714.27083333333337</v>
      </c>
      <c r="D89" s="17" t="s">
        <v>185</v>
      </c>
      <c r="E89" s="17">
        <v>0</v>
      </c>
      <c r="F89" s="17" t="s">
        <v>185</v>
      </c>
      <c r="G89" s="20">
        <v>714.27083333333337</v>
      </c>
    </row>
    <row r="90" spans="1:8" x14ac:dyDescent="0.4">
      <c r="A90" s="19">
        <v>102</v>
      </c>
      <c r="B90" s="19" t="s">
        <v>130</v>
      </c>
      <c r="C90" s="17">
        <v>500</v>
      </c>
      <c r="D90" s="17" t="s">
        <v>184</v>
      </c>
      <c r="E90" s="17">
        <v>500</v>
      </c>
      <c r="F90" s="17" t="s">
        <v>185</v>
      </c>
      <c r="G90" s="20">
        <f>C90+E90</f>
        <v>1000</v>
      </c>
    </row>
    <row r="91" spans="1:8" x14ac:dyDescent="0.4">
      <c r="A91" s="19">
        <v>103</v>
      </c>
      <c r="B91" s="19" t="s">
        <v>132</v>
      </c>
      <c r="C91" s="17">
        <v>354.41666666666669</v>
      </c>
      <c r="D91" s="17" t="s">
        <v>185</v>
      </c>
      <c r="E91" s="17">
        <v>0</v>
      </c>
      <c r="F91" s="17" t="s">
        <v>185</v>
      </c>
      <c r="G91" s="20">
        <v>354.41666666666669</v>
      </c>
    </row>
    <row r="92" spans="1:8" x14ac:dyDescent="0.4">
      <c r="A92" s="19">
        <v>104</v>
      </c>
      <c r="B92" s="19" t="s">
        <v>133</v>
      </c>
      <c r="C92" s="17">
        <v>501.60416666666669</v>
      </c>
      <c r="D92" s="17" t="s">
        <v>185</v>
      </c>
      <c r="E92" s="17">
        <v>0</v>
      </c>
      <c r="F92" s="17" t="s">
        <v>185</v>
      </c>
      <c r="G92" s="20">
        <v>501.60416666666669</v>
      </c>
    </row>
    <row r="93" spans="1:8" x14ac:dyDescent="0.4">
      <c r="A93" s="19">
        <v>105</v>
      </c>
      <c r="B93" s="19" t="s">
        <v>134</v>
      </c>
      <c r="C93" s="17">
        <v>165.05833333333339</v>
      </c>
      <c r="D93" s="17" t="s">
        <v>185</v>
      </c>
      <c r="E93" s="17">
        <v>555.55555555555475</v>
      </c>
      <c r="F93" s="17" t="s">
        <v>185</v>
      </c>
      <c r="G93" s="20">
        <v>720.61388888888814</v>
      </c>
    </row>
    <row r="94" spans="1:8" x14ac:dyDescent="0.4">
      <c r="A94" s="19">
        <v>106</v>
      </c>
      <c r="B94" s="19" t="s">
        <v>135</v>
      </c>
      <c r="C94" s="17">
        <v>1988.3829166666667</v>
      </c>
      <c r="D94" s="17" t="s">
        <v>185</v>
      </c>
      <c r="E94" s="17">
        <v>1944.4444444444443</v>
      </c>
      <c r="F94" s="17" t="s">
        <v>185</v>
      </c>
      <c r="G94" s="20">
        <v>3932.8273611111108</v>
      </c>
    </row>
    <row r="95" spans="1:8" x14ac:dyDescent="0.4">
      <c r="A95" s="19">
        <v>108</v>
      </c>
      <c r="B95" s="19" t="s">
        <v>136</v>
      </c>
      <c r="C95" s="17">
        <v>0</v>
      </c>
      <c r="D95" s="17" t="s">
        <v>185</v>
      </c>
      <c r="E95" s="17">
        <v>0</v>
      </c>
      <c r="F95" s="17" t="s">
        <v>185</v>
      </c>
      <c r="G95" s="20">
        <v>0</v>
      </c>
    </row>
    <row r="96" spans="1:8" x14ac:dyDescent="0.4">
      <c r="A96" s="19">
        <v>109</v>
      </c>
      <c r="B96" s="19" t="s">
        <v>137</v>
      </c>
      <c r="C96" s="17">
        <v>1261.25</v>
      </c>
      <c r="D96" s="17" t="s">
        <v>185</v>
      </c>
      <c r="E96" s="17">
        <v>555.55555555555554</v>
      </c>
      <c r="G96" s="20">
        <v>1816.8055555555557</v>
      </c>
    </row>
    <row r="97" spans="1:8" x14ac:dyDescent="0.4">
      <c r="A97" s="19">
        <v>110</v>
      </c>
      <c r="B97" s="19" t="s">
        <v>192</v>
      </c>
      <c r="C97" s="17"/>
      <c r="D97" s="17">
        <v>-50</v>
      </c>
      <c r="E97" s="17">
        <v>0</v>
      </c>
      <c r="F97" s="17" t="s">
        <v>185</v>
      </c>
      <c r="G97" s="17"/>
      <c r="H97" s="20">
        <v>-50</v>
      </c>
    </row>
    <row r="98" spans="1:8" x14ac:dyDescent="0.4">
      <c r="A98" s="19">
        <v>111</v>
      </c>
      <c r="B98" s="19" t="s">
        <v>138</v>
      </c>
      <c r="C98" s="17">
        <v>979.16666666666663</v>
      </c>
      <c r="D98" s="17" t="s">
        <v>185</v>
      </c>
      <c r="E98" s="17">
        <v>500</v>
      </c>
      <c r="F98" s="17" t="s">
        <v>185</v>
      </c>
      <c r="G98" s="20">
        <v>1479.1666666666665</v>
      </c>
    </row>
    <row r="99" spans="1:8" x14ac:dyDescent="0.4">
      <c r="A99" s="19">
        <v>112</v>
      </c>
      <c r="B99" s="19" t="s">
        <v>140</v>
      </c>
      <c r="C99" s="17">
        <v>895.83333333333337</v>
      </c>
      <c r="D99" s="17" t="s">
        <v>185</v>
      </c>
      <c r="E99" s="17">
        <v>0</v>
      </c>
      <c r="F99" s="17" t="s">
        <v>185</v>
      </c>
      <c r="G99" s="20">
        <v>895.83333333333337</v>
      </c>
    </row>
    <row r="100" spans="1:8" x14ac:dyDescent="0.4">
      <c r="A100" s="19">
        <v>113</v>
      </c>
      <c r="B100" s="19" t="s">
        <v>141</v>
      </c>
      <c r="C100" s="17">
        <v>549.95833333333337</v>
      </c>
      <c r="D100" s="17" t="s">
        <v>185</v>
      </c>
      <c r="E100" s="17">
        <v>0</v>
      </c>
      <c r="F100" s="17" t="s">
        <v>185</v>
      </c>
      <c r="G100" s="20">
        <v>549.95833333333337</v>
      </c>
    </row>
    <row r="101" spans="1:8" x14ac:dyDescent="0.4">
      <c r="A101" s="19">
        <v>114</v>
      </c>
      <c r="B101" s="19" t="s">
        <v>142</v>
      </c>
      <c r="C101" s="17">
        <v>555.13</v>
      </c>
      <c r="D101" s="17" t="s">
        <v>184</v>
      </c>
      <c r="E101" s="17">
        <v>0</v>
      </c>
      <c r="F101" s="17" t="s">
        <v>185</v>
      </c>
      <c r="G101" s="20">
        <v>555.13</v>
      </c>
    </row>
    <row r="102" spans="1:8" x14ac:dyDescent="0.4">
      <c r="A102" s="19">
        <v>115</v>
      </c>
      <c r="B102" s="19" t="s">
        <v>143</v>
      </c>
      <c r="C102" s="17">
        <v>731.08333333333337</v>
      </c>
      <c r="D102" s="17" t="s">
        <v>185</v>
      </c>
      <c r="E102" s="17">
        <v>0</v>
      </c>
      <c r="F102" s="17" t="s">
        <v>185</v>
      </c>
      <c r="G102" s="20">
        <v>731.08333333333337</v>
      </c>
    </row>
    <row r="103" spans="1:8" x14ac:dyDescent="0.4">
      <c r="A103" s="19">
        <v>116</v>
      </c>
      <c r="B103" s="19" t="s">
        <v>144</v>
      </c>
      <c r="C103" s="17">
        <v>590.9375</v>
      </c>
      <c r="D103" s="17" t="s">
        <v>185</v>
      </c>
      <c r="E103" s="17">
        <v>0</v>
      </c>
      <c r="F103" s="17" t="s">
        <v>185</v>
      </c>
      <c r="G103" s="20">
        <v>590.9375</v>
      </c>
    </row>
    <row r="104" spans="1:8" x14ac:dyDescent="0.4">
      <c r="A104" s="19">
        <v>117</v>
      </c>
      <c r="B104" s="19" t="s">
        <v>146</v>
      </c>
      <c r="C104" s="17">
        <v>452.04166666666669</v>
      </c>
      <c r="D104" s="17" t="s">
        <v>185</v>
      </c>
      <c r="E104" s="17">
        <v>0</v>
      </c>
      <c r="F104" s="17" t="s">
        <v>185</v>
      </c>
      <c r="G104" s="20">
        <v>452.04166666666669</v>
      </c>
    </row>
    <row r="105" spans="1:8" x14ac:dyDescent="0.4">
      <c r="A105" s="19">
        <v>118</v>
      </c>
      <c r="B105" s="19" t="s">
        <v>147</v>
      </c>
      <c r="C105" s="17">
        <v>53.6875</v>
      </c>
      <c r="D105" s="17" t="s">
        <v>185</v>
      </c>
      <c r="E105" s="17">
        <v>944.44444444444446</v>
      </c>
      <c r="G105" s="20">
        <v>998.13194444444446</v>
      </c>
    </row>
    <row r="106" spans="1:8" x14ac:dyDescent="0.4">
      <c r="A106" s="19">
        <v>119</v>
      </c>
      <c r="B106" s="19" t="s">
        <v>148</v>
      </c>
      <c r="C106" s="17">
        <v>272.4375</v>
      </c>
      <c r="D106" s="17" t="s">
        <v>185</v>
      </c>
      <c r="E106" s="17">
        <v>555.55555555555554</v>
      </c>
      <c r="F106" s="17" t="s">
        <v>185</v>
      </c>
      <c r="G106" s="20">
        <v>827.99305555555554</v>
      </c>
    </row>
    <row r="107" spans="1:8" s="18" customFormat="1" x14ac:dyDescent="0.4">
      <c r="A107" s="19">
        <v>120</v>
      </c>
      <c r="B107" s="19" t="s">
        <v>149</v>
      </c>
      <c r="C107" s="17">
        <v>958.33333333333337</v>
      </c>
      <c r="D107" s="17" t="s">
        <v>185</v>
      </c>
      <c r="E107" s="17">
        <v>888.88888888888891</v>
      </c>
      <c r="F107" s="17"/>
      <c r="G107" s="20">
        <v>1847.2222222222222</v>
      </c>
      <c r="H107" s="17"/>
    </row>
    <row r="108" spans="1:8" x14ac:dyDescent="0.4">
      <c r="A108" s="19">
        <v>121</v>
      </c>
      <c r="B108" s="19" t="s">
        <v>151</v>
      </c>
      <c r="C108" s="17">
        <v>1000</v>
      </c>
      <c r="D108" s="17" t="s">
        <v>185</v>
      </c>
      <c r="E108" s="17">
        <v>555.55555555555554</v>
      </c>
      <c r="F108" s="17" t="s">
        <v>185</v>
      </c>
      <c r="G108" s="20">
        <v>1555.5555555555557</v>
      </c>
    </row>
    <row r="109" spans="1:8" x14ac:dyDescent="0.4">
      <c r="A109" s="19">
        <v>123</v>
      </c>
      <c r="B109" s="19" t="s">
        <v>193</v>
      </c>
      <c r="C109" s="17">
        <v>465.88020833333331</v>
      </c>
      <c r="E109" s="17">
        <v>0</v>
      </c>
      <c r="G109" s="20">
        <v>465.88020833333331</v>
      </c>
    </row>
    <row r="110" spans="1:8" x14ac:dyDescent="0.4">
      <c r="A110" s="19">
        <v>124</v>
      </c>
      <c r="B110" s="19" t="s">
        <v>152</v>
      </c>
      <c r="C110" s="17">
        <v>0</v>
      </c>
      <c r="D110" s="17" t="s">
        <v>185</v>
      </c>
      <c r="E110" s="17">
        <v>0</v>
      </c>
      <c r="F110" s="17" t="s">
        <v>185</v>
      </c>
      <c r="G110" s="20">
        <v>0</v>
      </c>
    </row>
    <row r="111" spans="1:8" x14ac:dyDescent="0.4">
      <c r="A111" s="19">
        <v>125</v>
      </c>
      <c r="B111" s="19" t="s">
        <v>194</v>
      </c>
      <c r="C111" s="17"/>
      <c r="D111" s="17">
        <v>-104.16666666666667</v>
      </c>
      <c r="E111" s="17">
        <v>0</v>
      </c>
      <c r="F111" s="17" t="s">
        <v>185</v>
      </c>
      <c r="G111" s="17"/>
      <c r="H111" s="20">
        <v>-104.16666666666667</v>
      </c>
    </row>
    <row r="112" spans="1:8" x14ac:dyDescent="0.4">
      <c r="A112" s="19">
        <v>126</v>
      </c>
      <c r="B112" s="19" t="s">
        <v>154</v>
      </c>
      <c r="C112" s="17">
        <v>574.83333333333337</v>
      </c>
      <c r="D112" s="17" t="s">
        <v>185</v>
      </c>
      <c r="E112" s="17">
        <v>1055.5555555555557</v>
      </c>
      <c r="F112" s="17" t="s">
        <v>185</v>
      </c>
      <c r="G112" s="20">
        <v>1630.3888888888891</v>
      </c>
    </row>
    <row r="113" spans="1:7" x14ac:dyDescent="0.4">
      <c r="A113" s="19">
        <v>127</v>
      </c>
      <c r="B113" s="19" t="s">
        <v>155</v>
      </c>
      <c r="C113" s="17"/>
      <c r="E113" s="17">
        <v>555.55555555555554</v>
      </c>
      <c r="F113" s="17" t="s">
        <v>185</v>
      </c>
      <c r="G113" s="20">
        <v>493.05555555555554</v>
      </c>
    </row>
    <row r="114" spans="1:7" x14ac:dyDescent="0.4">
      <c r="A114" s="19">
        <v>128</v>
      </c>
      <c r="B114" s="19" t="s">
        <v>156</v>
      </c>
      <c r="C114" s="17">
        <v>0</v>
      </c>
      <c r="D114" s="17" t="s">
        <v>185</v>
      </c>
      <c r="E114" s="17">
        <v>5000</v>
      </c>
      <c r="F114" s="17" t="s">
        <v>185</v>
      </c>
      <c r="G114" s="20">
        <v>5000</v>
      </c>
    </row>
    <row r="115" spans="1:7" x14ac:dyDescent="0.4">
      <c r="A115" s="19">
        <v>129</v>
      </c>
      <c r="B115" s="19" t="s">
        <v>158</v>
      </c>
      <c r="C115" s="17">
        <v>0</v>
      </c>
      <c r="D115" s="17" t="s">
        <v>185</v>
      </c>
      <c r="E115" s="17">
        <v>555.55555555555554</v>
      </c>
      <c r="F115" s="17" t="s">
        <v>185</v>
      </c>
      <c r="G115" s="20">
        <v>555.55555555555554</v>
      </c>
    </row>
    <row r="116" spans="1:7" x14ac:dyDescent="0.4">
      <c r="A116" s="19">
        <v>130</v>
      </c>
      <c r="B116" s="19" t="s">
        <v>159</v>
      </c>
      <c r="C116" s="17">
        <v>450.66666666666669</v>
      </c>
      <c r="D116" s="17" t="s">
        <v>185</v>
      </c>
      <c r="E116" s="17">
        <v>0</v>
      </c>
      <c r="F116" s="17" t="s">
        <v>185</v>
      </c>
      <c r="G116" s="20">
        <v>450.66666666666669</v>
      </c>
    </row>
    <row r="117" spans="1:7" x14ac:dyDescent="0.4">
      <c r="A117" s="19">
        <v>131</v>
      </c>
      <c r="B117" s="19" t="s">
        <v>160</v>
      </c>
      <c r="C117" s="17">
        <v>562.9375</v>
      </c>
      <c r="D117" s="17" t="s">
        <v>185</v>
      </c>
      <c r="E117" s="17">
        <v>0</v>
      </c>
      <c r="F117" s="17" t="s">
        <v>185</v>
      </c>
      <c r="G117" s="20">
        <v>562.9375</v>
      </c>
    </row>
    <row r="118" spans="1:7" x14ac:dyDescent="0.4">
      <c r="A118" s="19">
        <v>132</v>
      </c>
      <c r="B118" s="19" t="s">
        <v>161</v>
      </c>
      <c r="C118" s="17">
        <v>544.60416666666663</v>
      </c>
      <c r="D118" s="17" t="s">
        <v>185</v>
      </c>
      <c r="E118" s="17">
        <v>0</v>
      </c>
      <c r="F118" s="17" t="s">
        <v>185</v>
      </c>
      <c r="G118" s="20">
        <v>544.60416666666663</v>
      </c>
    </row>
    <row r="119" spans="1:7" x14ac:dyDescent="0.4">
      <c r="A119" s="19">
        <v>133</v>
      </c>
      <c r="B119" s="19" t="s">
        <v>162</v>
      </c>
      <c r="C119" s="17">
        <v>10120.67</v>
      </c>
      <c r="D119" s="17" t="s">
        <v>185</v>
      </c>
      <c r="E119" s="17">
        <v>2916.67</v>
      </c>
      <c r="F119" s="17" t="s">
        <v>185</v>
      </c>
      <c r="G119" s="20">
        <v>13037.34</v>
      </c>
    </row>
    <row r="120" spans="1:7" x14ac:dyDescent="0.4">
      <c r="A120" s="19">
        <v>134</v>
      </c>
      <c r="B120" s="19" t="s">
        <v>164</v>
      </c>
      <c r="C120" s="17">
        <v>899.83333333333337</v>
      </c>
      <c r="D120" s="17" t="s">
        <v>185</v>
      </c>
      <c r="E120" s="17">
        <v>555.55555555555554</v>
      </c>
      <c r="F120" s="17" t="s">
        <v>185</v>
      </c>
      <c r="G120" s="20">
        <v>1455.3888888888889</v>
      </c>
    </row>
    <row r="121" spans="1:7" x14ac:dyDescent="0.4">
      <c r="A121" s="19">
        <v>135</v>
      </c>
      <c r="B121" s="19" t="s">
        <v>165</v>
      </c>
      <c r="C121" s="17">
        <v>0</v>
      </c>
      <c r="D121" s="17" t="s">
        <v>185</v>
      </c>
      <c r="E121" s="17">
        <v>0</v>
      </c>
      <c r="F121" s="17" t="s">
        <v>185</v>
      </c>
      <c r="G121" s="20">
        <v>0</v>
      </c>
    </row>
    <row r="122" spans="1:7" x14ac:dyDescent="0.4">
      <c r="A122" s="19">
        <v>136</v>
      </c>
      <c r="B122" s="19" t="s">
        <v>166</v>
      </c>
      <c r="C122" s="17">
        <v>961.5</v>
      </c>
      <c r="D122" s="17" t="s">
        <v>185</v>
      </c>
      <c r="E122" s="17">
        <v>0</v>
      </c>
      <c r="F122" s="17" t="s">
        <v>185</v>
      </c>
      <c r="G122" s="20">
        <v>961.5</v>
      </c>
    </row>
    <row r="124" spans="1:7" x14ac:dyDescent="0.4">
      <c r="G124" s="25">
        <f>SUM(G3:G123)</f>
        <v>133884.33923611115</v>
      </c>
    </row>
    <row r="128" spans="1:7" x14ac:dyDescent="0.4">
      <c r="A128" s="19">
        <v>15</v>
      </c>
      <c r="B128" s="19" t="s">
        <v>195</v>
      </c>
      <c r="C128" s="17">
        <v>3477.5208333333335</v>
      </c>
      <c r="E128" s="17">
        <v>1944.4444444444443</v>
      </c>
      <c r="G128" s="20">
        <v>5421.9652777777774</v>
      </c>
    </row>
    <row r="129" spans="1:8" x14ac:dyDescent="0.4">
      <c r="A129" s="19">
        <v>82</v>
      </c>
      <c r="B129" s="19" t="s">
        <v>196</v>
      </c>
      <c r="C129" s="17">
        <v>2482.1041666666665</v>
      </c>
      <c r="E129" s="17">
        <v>1944.4444444444443</v>
      </c>
      <c r="G129" s="20">
        <v>4426.5486111111113</v>
      </c>
    </row>
    <row r="130" spans="1:8" x14ac:dyDescent="0.4">
      <c r="A130" s="19">
        <v>83</v>
      </c>
      <c r="B130" s="19" t="s">
        <v>197</v>
      </c>
      <c r="C130" s="17">
        <v>2137.0208333333335</v>
      </c>
      <c r="E130" s="17">
        <v>1944.4444444444443</v>
      </c>
      <c r="G130" s="20">
        <v>4081.4652777777778</v>
      </c>
    </row>
    <row r="131" spans="1:8" x14ac:dyDescent="0.4">
      <c r="A131" s="19">
        <v>3</v>
      </c>
      <c r="B131" s="19" t="s">
        <v>198</v>
      </c>
      <c r="C131" s="17">
        <v>2290.2222222222222</v>
      </c>
      <c r="E131" s="17">
        <v>0</v>
      </c>
      <c r="G131" s="20">
        <v>2290.2222222222222</v>
      </c>
    </row>
    <row r="132" spans="1:8" x14ac:dyDescent="0.4">
      <c r="A132" s="19">
        <v>8</v>
      </c>
      <c r="B132" s="19" t="s">
        <v>199</v>
      </c>
      <c r="C132" s="17">
        <v>2323.1666666666665</v>
      </c>
      <c r="E132" s="17">
        <v>0</v>
      </c>
      <c r="G132" s="20">
        <v>2323.1666666666665</v>
      </c>
    </row>
    <row r="133" spans="1:8" x14ac:dyDescent="0.4">
      <c r="A133" s="19">
        <v>50</v>
      </c>
      <c r="B133" s="19" t="s">
        <v>200</v>
      </c>
      <c r="C133" s="17">
        <v>2212.59375</v>
      </c>
      <c r="E133" s="17">
        <v>555.55555555555554</v>
      </c>
      <c r="G133" s="20">
        <v>2768.1493055555557</v>
      </c>
    </row>
    <row r="134" spans="1:8" x14ac:dyDescent="0.4">
      <c r="A134" s="19">
        <v>32</v>
      </c>
      <c r="B134" s="19" t="s">
        <v>201</v>
      </c>
      <c r="C134" s="17">
        <v>3217.7708333333335</v>
      </c>
      <c r="E134" s="17">
        <v>0</v>
      </c>
      <c r="G134" s="20">
        <v>3217.7708333333335</v>
      </c>
    </row>
    <row r="135" spans="1:8" x14ac:dyDescent="0.4">
      <c r="A135" s="19">
        <v>80</v>
      </c>
      <c r="B135" s="19" t="s">
        <v>202</v>
      </c>
      <c r="C135" s="17">
        <v>1388.8888888888889</v>
      </c>
      <c r="E135" s="17">
        <v>1944.4444444444443</v>
      </c>
      <c r="G135" s="20">
        <v>3333.333333333333</v>
      </c>
    </row>
    <row r="136" spans="1:8" x14ac:dyDescent="0.4">
      <c r="A136" s="19">
        <v>7</v>
      </c>
      <c r="B136" s="19" t="s">
        <v>203</v>
      </c>
      <c r="C136" s="17">
        <v>2181.7916666666665</v>
      </c>
      <c r="E136" s="17">
        <v>1944.4444444444443</v>
      </c>
      <c r="G136" s="20">
        <v>4126.2361111111113</v>
      </c>
    </row>
    <row r="137" spans="1:8" s="22" customFormat="1" x14ac:dyDescent="0.4">
      <c r="A137" s="23">
        <v>122</v>
      </c>
      <c r="B137" s="23" t="s">
        <v>204</v>
      </c>
      <c r="C137" s="22">
        <v>2133.8541666666665</v>
      </c>
      <c r="E137" s="22">
        <v>1944.4444444444443</v>
      </c>
      <c r="G137" s="24">
        <v>4078.2986111111109</v>
      </c>
    </row>
    <row r="138" spans="1:8" s="22" customFormat="1" x14ac:dyDescent="0.4">
      <c r="A138" s="23">
        <v>101</v>
      </c>
      <c r="B138" s="23" t="s">
        <v>205</v>
      </c>
      <c r="C138" s="22">
        <v>0</v>
      </c>
      <c r="E138" s="22">
        <v>1944.4444444444443</v>
      </c>
      <c r="G138" s="24">
        <v>1944.4444444444443</v>
      </c>
    </row>
    <row r="139" spans="1:8" x14ac:dyDescent="0.4">
      <c r="A139" s="21">
        <v>98</v>
      </c>
      <c r="B139" s="21" t="s">
        <v>206</v>
      </c>
      <c r="C139" s="17">
        <v>0</v>
      </c>
      <c r="D139" s="17">
        <v>99285</v>
      </c>
      <c r="E139" s="17">
        <v>0</v>
      </c>
      <c r="F139" s="18">
        <v>35000</v>
      </c>
      <c r="G139" s="20">
        <v>0</v>
      </c>
    </row>
    <row r="140" spans="1:8" s="18" customFormat="1" x14ac:dyDescent="0.4">
      <c r="A140" s="21">
        <v>30</v>
      </c>
      <c r="B140" s="21" t="s">
        <v>207</v>
      </c>
      <c r="C140" s="18">
        <v>2252</v>
      </c>
      <c r="E140" s="18">
        <v>0</v>
      </c>
      <c r="G140" s="18">
        <v>2252</v>
      </c>
    </row>
    <row r="141" spans="1:8" x14ac:dyDescent="0.4">
      <c r="A141" s="19">
        <v>52</v>
      </c>
      <c r="B141" s="19" t="s">
        <v>208</v>
      </c>
      <c r="C141" s="17">
        <v>2593.8724999999999</v>
      </c>
      <c r="E141" s="17">
        <v>1944.4444444444443</v>
      </c>
      <c r="G141" s="20">
        <v>4538.3169444444447</v>
      </c>
    </row>
    <row r="142" spans="1:8" x14ac:dyDescent="0.4">
      <c r="A142" s="19">
        <v>59</v>
      </c>
      <c r="B142" s="19" t="s">
        <v>209</v>
      </c>
      <c r="C142" s="17">
        <v>2028.3802083333333</v>
      </c>
      <c r="E142" s="17">
        <v>1944.4444444444443</v>
      </c>
      <c r="G142" s="20">
        <v>3972.8246527777774</v>
      </c>
    </row>
    <row r="143" spans="1:8" s="18" customFormat="1" x14ac:dyDescent="0.4">
      <c r="A143" s="19">
        <v>107</v>
      </c>
      <c r="B143" s="19" t="s">
        <v>210</v>
      </c>
      <c r="C143" s="17">
        <v>1942.5416666666667</v>
      </c>
      <c r="D143" s="17"/>
      <c r="E143" s="17">
        <v>0</v>
      </c>
      <c r="F143" s="17"/>
      <c r="G143" s="20">
        <v>1942.5416666666667</v>
      </c>
      <c r="H143" s="17"/>
    </row>
  </sheetData>
  <conditionalFormatting sqref="D1:D122 D124:D65536">
    <cfRule type="cellIs" dxfId="2" priority="1" stopIfTrue="1" operator="lessThan">
      <formula>0</formula>
    </cfRule>
  </conditionalFormatting>
  <conditionalFormatting sqref="G1:G5 C1:C122 E1:E122 H6:H18 G19:G122 C124:C65536 E124:E65536 G124:G65536">
    <cfRule type="cellIs" dxfId="1" priority="2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115" zoomScaleNormal="115" workbookViewId="0">
      <selection activeCell="E23" sqref="E23"/>
    </sheetView>
  </sheetViews>
  <sheetFormatPr defaultRowHeight="12.75" x14ac:dyDescent="0.35"/>
  <cols>
    <col min="1" max="2" width="9.1328125" style="6"/>
    <col min="3" max="4" width="18" style="6" customWidth="1"/>
    <col min="5" max="5" width="20.265625" style="6" customWidth="1"/>
    <col min="6" max="6" width="11.86328125" style="6" bestFit="1" customWidth="1"/>
    <col min="7" max="258" width="9.1328125" style="6"/>
    <col min="259" max="260" width="18" style="6" customWidth="1"/>
    <col min="261" max="261" width="20.265625" style="6" customWidth="1"/>
    <col min="262" max="262" width="11.265625" style="6" bestFit="1" customWidth="1"/>
    <col min="263" max="514" width="9.1328125" style="6"/>
    <col min="515" max="516" width="18" style="6" customWidth="1"/>
    <col min="517" max="517" width="20.265625" style="6" customWidth="1"/>
    <col min="518" max="518" width="11.265625" style="6" bestFit="1" customWidth="1"/>
    <col min="519" max="770" width="9.1328125" style="6"/>
    <col min="771" max="772" width="18" style="6" customWidth="1"/>
    <col min="773" max="773" width="20.265625" style="6" customWidth="1"/>
    <col min="774" max="774" width="11.265625" style="6" bestFit="1" customWidth="1"/>
    <col min="775" max="1026" width="9.1328125" style="6"/>
    <col min="1027" max="1028" width="18" style="6" customWidth="1"/>
    <col min="1029" max="1029" width="20.265625" style="6" customWidth="1"/>
    <col min="1030" max="1030" width="11.265625" style="6" bestFit="1" customWidth="1"/>
    <col min="1031" max="1282" width="9.1328125" style="6"/>
    <col min="1283" max="1284" width="18" style="6" customWidth="1"/>
    <col min="1285" max="1285" width="20.265625" style="6" customWidth="1"/>
    <col min="1286" max="1286" width="11.265625" style="6" bestFit="1" customWidth="1"/>
    <col min="1287" max="1538" width="9.1328125" style="6"/>
    <col min="1539" max="1540" width="18" style="6" customWidth="1"/>
    <col min="1541" max="1541" width="20.265625" style="6" customWidth="1"/>
    <col min="1542" max="1542" width="11.265625" style="6" bestFit="1" customWidth="1"/>
    <col min="1543" max="1794" width="9.1328125" style="6"/>
    <col min="1795" max="1796" width="18" style="6" customWidth="1"/>
    <col min="1797" max="1797" width="20.265625" style="6" customWidth="1"/>
    <col min="1798" max="1798" width="11.265625" style="6" bestFit="1" customWidth="1"/>
    <col min="1799" max="2050" width="9.1328125" style="6"/>
    <col min="2051" max="2052" width="18" style="6" customWidth="1"/>
    <col min="2053" max="2053" width="20.265625" style="6" customWidth="1"/>
    <col min="2054" max="2054" width="11.265625" style="6" bestFit="1" customWidth="1"/>
    <col min="2055" max="2306" width="9.1328125" style="6"/>
    <col min="2307" max="2308" width="18" style="6" customWidth="1"/>
    <col min="2309" max="2309" width="20.265625" style="6" customWidth="1"/>
    <col min="2310" max="2310" width="11.265625" style="6" bestFit="1" customWidth="1"/>
    <col min="2311" max="2562" width="9.1328125" style="6"/>
    <col min="2563" max="2564" width="18" style="6" customWidth="1"/>
    <col min="2565" max="2565" width="20.265625" style="6" customWidth="1"/>
    <col min="2566" max="2566" width="11.265625" style="6" bestFit="1" customWidth="1"/>
    <col min="2567" max="2818" width="9.1328125" style="6"/>
    <col min="2819" max="2820" width="18" style="6" customWidth="1"/>
    <col min="2821" max="2821" width="20.265625" style="6" customWidth="1"/>
    <col min="2822" max="2822" width="11.265625" style="6" bestFit="1" customWidth="1"/>
    <col min="2823" max="3074" width="9.1328125" style="6"/>
    <col min="3075" max="3076" width="18" style="6" customWidth="1"/>
    <col min="3077" max="3077" width="20.265625" style="6" customWidth="1"/>
    <col min="3078" max="3078" width="11.265625" style="6" bestFit="1" customWidth="1"/>
    <col min="3079" max="3330" width="9.1328125" style="6"/>
    <col min="3331" max="3332" width="18" style="6" customWidth="1"/>
    <col min="3333" max="3333" width="20.265625" style="6" customWidth="1"/>
    <col min="3334" max="3334" width="11.265625" style="6" bestFit="1" customWidth="1"/>
    <col min="3335" max="3586" width="9.1328125" style="6"/>
    <col min="3587" max="3588" width="18" style="6" customWidth="1"/>
    <col min="3589" max="3589" width="20.265625" style="6" customWidth="1"/>
    <col min="3590" max="3590" width="11.265625" style="6" bestFit="1" customWidth="1"/>
    <col min="3591" max="3842" width="9.1328125" style="6"/>
    <col min="3843" max="3844" width="18" style="6" customWidth="1"/>
    <col min="3845" max="3845" width="20.265625" style="6" customWidth="1"/>
    <col min="3846" max="3846" width="11.265625" style="6" bestFit="1" customWidth="1"/>
    <col min="3847" max="4098" width="9.1328125" style="6"/>
    <col min="4099" max="4100" width="18" style="6" customWidth="1"/>
    <col min="4101" max="4101" width="20.265625" style="6" customWidth="1"/>
    <col min="4102" max="4102" width="11.265625" style="6" bestFit="1" customWidth="1"/>
    <col min="4103" max="4354" width="9.1328125" style="6"/>
    <col min="4355" max="4356" width="18" style="6" customWidth="1"/>
    <col min="4357" max="4357" width="20.265625" style="6" customWidth="1"/>
    <col min="4358" max="4358" width="11.265625" style="6" bestFit="1" customWidth="1"/>
    <col min="4359" max="4610" width="9.1328125" style="6"/>
    <col min="4611" max="4612" width="18" style="6" customWidth="1"/>
    <col min="4613" max="4613" width="20.265625" style="6" customWidth="1"/>
    <col min="4614" max="4614" width="11.265625" style="6" bestFit="1" customWidth="1"/>
    <col min="4615" max="4866" width="9.1328125" style="6"/>
    <col min="4867" max="4868" width="18" style="6" customWidth="1"/>
    <col min="4869" max="4869" width="20.265625" style="6" customWidth="1"/>
    <col min="4870" max="4870" width="11.265625" style="6" bestFit="1" customWidth="1"/>
    <col min="4871" max="5122" width="9.1328125" style="6"/>
    <col min="5123" max="5124" width="18" style="6" customWidth="1"/>
    <col min="5125" max="5125" width="20.265625" style="6" customWidth="1"/>
    <col min="5126" max="5126" width="11.265625" style="6" bestFit="1" customWidth="1"/>
    <col min="5127" max="5378" width="9.1328125" style="6"/>
    <col min="5379" max="5380" width="18" style="6" customWidth="1"/>
    <col min="5381" max="5381" width="20.265625" style="6" customWidth="1"/>
    <col min="5382" max="5382" width="11.265625" style="6" bestFit="1" customWidth="1"/>
    <col min="5383" max="5634" width="9.1328125" style="6"/>
    <col min="5635" max="5636" width="18" style="6" customWidth="1"/>
    <col min="5637" max="5637" width="20.265625" style="6" customWidth="1"/>
    <col min="5638" max="5638" width="11.265625" style="6" bestFit="1" customWidth="1"/>
    <col min="5639" max="5890" width="9.1328125" style="6"/>
    <col min="5891" max="5892" width="18" style="6" customWidth="1"/>
    <col min="5893" max="5893" width="20.265625" style="6" customWidth="1"/>
    <col min="5894" max="5894" width="11.265625" style="6" bestFit="1" customWidth="1"/>
    <col min="5895" max="6146" width="9.1328125" style="6"/>
    <col min="6147" max="6148" width="18" style="6" customWidth="1"/>
    <col min="6149" max="6149" width="20.265625" style="6" customWidth="1"/>
    <col min="6150" max="6150" width="11.265625" style="6" bestFit="1" customWidth="1"/>
    <col min="6151" max="6402" width="9.1328125" style="6"/>
    <col min="6403" max="6404" width="18" style="6" customWidth="1"/>
    <col min="6405" max="6405" width="20.265625" style="6" customWidth="1"/>
    <col min="6406" max="6406" width="11.265625" style="6" bestFit="1" customWidth="1"/>
    <col min="6407" max="6658" width="9.1328125" style="6"/>
    <col min="6659" max="6660" width="18" style="6" customWidth="1"/>
    <col min="6661" max="6661" width="20.265625" style="6" customWidth="1"/>
    <col min="6662" max="6662" width="11.265625" style="6" bestFit="1" customWidth="1"/>
    <col min="6663" max="6914" width="9.1328125" style="6"/>
    <col min="6915" max="6916" width="18" style="6" customWidth="1"/>
    <col min="6917" max="6917" width="20.265625" style="6" customWidth="1"/>
    <col min="6918" max="6918" width="11.265625" style="6" bestFit="1" customWidth="1"/>
    <col min="6919" max="7170" width="9.1328125" style="6"/>
    <col min="7171" max="7172" width="18" style="6" customWidth="1"/>
    <col min="7173" max="7173" width="20.265625" style="6" customWidth="1"/>
    <col min="7174" max="7174" width="11.265625" style="6" bestFit="1" customWidth="1"/>
    <col min="7175" max="7426" width="9.1328125" style="6"/>
    <col min="7427" max="7428" width="18" style="6" customWidth="1"/>
    <col min="7429" max="7429" width="20.265625" style="6" customWidth="1"/>
    <col min="7430" max="7430" width="11.265625" style="6" bestFit="1" customWidth="1"/>
    <col min="7431" max="7682" width="9.1328125" style="6"/>
    <col min="7683" max="7684" width="18" style="6" customWidth="1"/>
    <col min="7685" max="7685" width="20.265625" style="6" customWidth="1"/>
    <col min="7686" max="7686" width="11.265625" style="6" bestFit="1" customWidth="1"/>
    <col min="7687" max="7938" width="9.1328125" style="6"/>
    <col min="7939" max="7940" width="18" style="6" customWidth="1"/>
    <col min="7941" max="7941" width="20.265625" style="6" customWidth="1"/>
    <col min="7942" max="7942" width="11.265625" style="6" bestFit="1" customWidth="1"/>
    <col min="7943" max="8194" width="9.1328125" style="6"/>
    <col min="8195" max="8196" width="18" style="6" customWidth="1"/>
    <col min="8197" max="8197" width="20.265625" style="6" customWidth="1"/>
    <col min="8198" max="8198" width="11.265625" style="6" bestFit="1" customWidth="1"/>
    <col min="8199" max="8450" width="9.1328125" style="6"/>
    <col min="8451" max="8452" width="18" style="6" customWidth="1"/>
    <col min="8453" max="8453" width="20.265625" style="6" customWidth="1"/>
    <col min="8454" max="8454" width="11.265625" style="6" bestFit="1" customWidth="1"/>
    <col min="8455" max="8706" width="9.1328125" style="6"/>
    <col min="8707" max="8708" width="18" style="6" customWidth="1"/>
    <col min="8709" max="8709" width="20.265625" style="6" customWidth="1"/>
    <col min="8710" max="8710" width="11.265625" style="6" bestFit="1" customWidth="1"/>
    <col min="8711" max="8962" width="9.1328125" style="6"/>
    <col min="8963" max="8964" width="18" style="6" customWidth="1"/>
    <col min="8965" max="8965" width="20.265625" style="6" customWidth="1"/>
    <col min="8966" max="8966" width="11.265625" style="6" bestFit="1" customWidth="1"/>
    <col min="8967" max="9218" width="9.1328125" style="6"/>
    <col min="9219" max="9220" width="18" style="6" customWidth="1"/>
    <col min="9221" max="9221" width="20.265625" style="6" customWidth="1"/>
    <col min="9222" max="9222" width="11.265625" style="6" bestFit="1" customWidth="1"/>
    <col min="9223" max="9474" width="9.1328125" style="6"/>
    <col min="9475" max="9476" width="18" style="6" customWidth="1"/>
    <col min="9477" max="9477" width="20.265625" style="6" customWidth="1"/>
    <col min="9478" max="9478" width="11.265625" style="6" bestFit="1" customWidth="1"/>
    <col min="9479" max="9730" width="9.1328125" style="6"/>
    <col min="9731" max="9732" width="18" style="6" customWidth="1"/>
    <col min="9733" max="9733" width="20.265625" style="6" customWidth="1"/>
    <col min="9734" max="9734" width="11.265625" style="6" bestFit="1" customWidth="1"/>
    <col min="9735" max="9986" width="9.1328125" style="6"/>
    <col min="9987" max="9988" width="18" style="6" customWidth="1"/>
    <col min="9989" max="9989" width="20.265625" style="6" customWidth="1"/>
    <col min="9990" max="9990" width="11.265625" style="6" bestFit="1" customWidth="1"/>
    <col min="9991" max="10242" width="9.1328125" style="6"/>
    <col min="10243" max="10244" width="18" style="6" customWidth="1"/>
    <col min="10245" max="10245" width="20.265625" style="6" customWidth="1"/>
    <col min="10246" max="10246" width="11.265625" style="6" bestFit="1" customWidth="1"/>
    <col min="10247" max="10498" width="9.1328125" style="6"/>
    <col min="10499" max="10500" width="18" style="6" customWidth="1"/>
    <col min="10501" max="10501" width="20.265625" style="6" customWidth="1"/>
    <col min="10502" max="10502" width="11.265625" style="6" bestFit="1" customWidth="1"/>
    <col min="10503" max="10754" width="9.1328125" style="6"/>
    <col min="10755" max="10756" width="18" style="6" customWidth="1"/>
    <col min="10757" max="10757" width="20.265625" style="6" customWidth="1"/>
    <col min="10758" max="10758" width="11.265625" style="6" bestFit="1" customWidth="1"/>
    <col min="10759" max="11010" width="9.1328125" style="6"/>
    <col min="11011" max="11012" width="18" style="6" customWidth="1"/>
    <col min="11013" max="11013" width="20.265625" style="6" customWidth="1"/>
    <col min="11014" max="11014" width="11.265625" style="6" bestFit="1" customWidth="1"/>
    <col min="11015" max="11266" width="9.1328125" style="6"/>
    <col min="11267" max="11268" width="18" style="6" customWidth="1"/>
    <col min="11269" max="11269" width="20.265625" style="6" customWidth="1"/>
    <col min="11270" max="11270" width="11.265625" style="6" bestFit="1" customWidth="1"/>
    <col min="11271" max="11522" width="9.1328125" style="6"/>
    <col min="11523" max="11524" width="18" style="6" customWidth="1"/>
    <col min="11525" max="11525" width="20.265625" style="6" customWidth="1"/>
    <col min="11526" max="11526" width="11.265625" style="6" bestFit="1" customWidth="1"/>
    <col min="11527" max="11778" width="9.1328125" style="6"/>
    <col min="11779" max="11780" width="18" style="6" customWidth="1"/>
    <col min="11781" max="11781" width="20.265625" style="6" customWidth="1"/>
    <col min="11782" max="11782" width="11.265625" style="6" bestFit="1" customWidth="1"/>
    <col min="11783" max="12034" width="9.1328125" style="6"/>
    <col min="12035" max="12036" width="18" style="6" customWidth="1"/>
    <col min="12037" max="12037" width="20.265625" style="6" customWidth="1"/>
    <col min="12038" max="12038" width="11.265625" style="6" bestFit="1" customWidth="1"/>
    <col min="12039" max="12290" width="9.1328125" style="6"/>
    <col min="12291" max="12292" width="18" style="6" customWidth="1"/>
    <col min="12293" max="12293" width="20.265625" style="6" customWidth="1"/>
    <col min="12294" max="12294" width="11.265625" style="6" bestFit="1" customWidth="1"/>
    <col min="12295" max="12546" width="9.1328125" style="6"/>
    <col min="12547" max="12548" width="18" style="6" customWidth="1"/>
    <col min="12549" max="12549" width="20.265625" style="6" customWidth="1"/>
    <col min="12550" max="12550" width="11.265625" style="6" bestFit="1" customWidth="1"/>
    <col min="12551" max="12802" width="9.1328125" style="6"/>
    <col min="12803" max="12804" width="18" style="6" customWidth="1"/>
    <col min="12805" max="12805" width="20.265625" style="6" customWidth="1"/>
    <col min="12806" max="12806" width="11.265625" style="6" bestFit="1" customWidth="1"/>
    <col min="12807" max="13058" width="9.1328125" style="6"/>
    <col min="13059" max="13060" width="18" style="6" customWidth="1"/>
    <col min="13061" max="13061" width="20.265625" style="6" customWidth="1"/>
    <col min="13062" max="13062" width="11.265625" style="6" bestFit="1" customWidth="1"/>
    <col min="13063" max="13314" width="9.1328125" style="6"/>
    <col min="13315" max="13316" width="18" style="6" customWidth="1"/>
    <col min="13317" max="13317" width="20.265625" style="6" customWidth="1"/>
    <col min="13318" max="13318" width="11.265625" style="6" bestFit="1" customWidth="1"/>
    <col min="13319" max="13570" width="9.1328125" style="6"/>
    <col min="13571" max="13572" width="18" style="6" customWidth="1"/>
    <col min="13573" max="13573" width="20.265625" style="6" customWidth="1"/>
    <col min="13574" max="13574" width="11.265625" style="6" bestFit="1" customWidth="1"/>
    <col min="13575" max="13826" width="9.1328125" style="6"/>
    <col min="13827" max="13828" width="18" style="6" customWidth="1"/>
    <col min="13829" max="13829" width="20.265625" style="6" customWidth="1"/>
    <col min="13830" max="13830" width="11.265625" style="6" bestFit="1" customWidth="1"/>
    <col min="13831" max="14082" width="9.1328125" style="6"/>
    <col min="14083" max="14084" width="18" style="6" customWidth="1"/>
    <col min="14085" max="14085" width="20.265625" style="6" customWidth="1"/>
    <col min="14086" max="14086" width="11.265625" style="6" bestFit="1" customWidth="1"/>
    <col min="14087" max="14338" width="9.1328125" style="6"/>
    <col min="14339" max="14340" width="18" style="6" customWidth="1"/>
    <col min="14341" max="14341" width="20.265625" style="6" customWidth="1"/>
    <col min="14342" max="14342" width="11.265625" style="6" bestFit="1" customWidth="1"/>
    <col min="14343" max="14594" width="9.1328125" style="6"/>
    <col min="14595" max="14596" width="18" style="6" customWidth="1"/>
    <col min="14597" max="14597" width="20.265625" style="6" customWidth="1"/>
    <col min="14598" max="14598" width="11.265625" style="6" bestFit="1" customWidth="1"/>
    <col min="14599" max="14850" width="9.1328125" style="6"/>
    <col min="14851" max="14852" width="18" style="6" customWidth="1"/>
    <col min="14853" max="14853" width="20.265625" style="6" customWidth="1"/>
    <col min="14854" max="14854" width="11.265625" style="6" bestFit="1" customWidth="1"/>
    <col min="14855" max="15106" width="9.1328125" style="6"/>
    <col min="15107" max="15108" width="18" style="6" customWidth="1"/>
    <col min="15109" max="15109" width="20.265625" style="6" customWidth="1"/>
    <col min="15110" max="15110" width="11.265625" style="6" bestFit="1" customWidth="1"/>
    <col min="15111" max="15362" width="9.1328125" style="6"/>
    <col min="15363" max="15364" width="18" style="6" customWidth="1"/>
    <col min="15365" max="15365" width="20.265625" style="6" customWidth="1"/>
    <col min="15366" max="15366" width="11.265625" style="6" bestFit="1" customWidth="1"/>
    <col min="15367" max="15618" width="9.1328125" style="6"/>
    <col min="15619" max="15620" width="18" style="6" customWidth="1"/>
    <col min="15621" max="15621" width="20.265625" style="6" customWidth="1"/>
    <col min="15622" max="15622" width="11.265625" style="6" bestFit="1" customWidth="1"/>
    <col min="15623" max="15874" width="9.1328125" style="6"/>
    <col min="15875" max="15876" width="18" style="6" customWidth="1"/>
    <col min="15877" max="15877" width="20.265625" style="6" customWidth="1"/>
    <col min="15878" max="15878" width="11.265625" style="6" bestFit="1" customWidth="1"/>
    <col min="15879" max="16130" width="9.1328125" style="6"/>
    <col min="16131" max="16132" width="18" style="6" customWidth="1"/>
    <col min="16133" max="16133" width="20.265625" style="6" customWidth="1"/>
    <col min="16134" max="16134" width="11.265625" style="6" bestFit="1" customWidth="1"/>
    <col min="16135" max="16384" width="9.1328125" style="6"/>
  </cols>
  <sheetData>
    <row r="1" spans="1:40" s="1" customFormat="1" ht="13.9" x14ac:dyDescent="0.4">
      <c r="G1" s="2"/>
      <c r="H1" s="2"/>
      <c r="I1" s="3"/>
      <c r="J1" s="2"/>
      <c r="K1" s="2"/>
      <c r="L1" s="2"/>
      <c r="M1" s="2"/>
      <c r="N1" s="2"/>
      <c r="O1" s="2"/>
      <c r="P1" s="2"/>
      <c r="Q1" s="2"/>
    </row>
    <row r="2" spans="1:40" s="1" customFormat="1" ht="41.25" customHeight="1" x14ac:dyDescent="0.4">
      <c r="G2" s="2"/>
      <c r="H2" s="2"/>
      <c r="I2" s="3"/>
      <c r="J2" s="2"/>
      <c r="K2" s="2"/>
      <c r="L2" s="2"/>
      <c r="M2" s="2"/>
      <c r="N2" s="2"/>
      <c r="O2" s="2"/>
      <c r="P2" s="2"/>
      <c r="Q2" s="2"/>
    </row>
    <row r="3" spans="1:40" s="1" customFormat="1" ht="41.25" customHeight="1" x14ac:dyDescent="0.4">
      <c r="G3" s="2"/>
      <c r="H3" s="2"/>
      <c r="I3" s="3"/>
      <c r="J3" s="2"/>
      <c r="K3" s="2"/>
      <c r="L3" s="2"/>
      <c r="M3" s="2"/>
      <c r="N3" s="2"/>
      <c r="O3" s="2"/>
      <c r="P3" s="2"/>
      <c r="Q3" s="2"/>
    </row>
    <row r="4" spans="1:40" s="5" customFormat="1" ht="32.25" customHeight="1" x14ac:dyDescent="0.6">
      <c r="A4" s="4" t="s">
        <v>581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AB4" s="6"/>
      <c r="AI4" s="6"/>
      <c r="AN4" s="6"/>
    </row>
    <row r="6" spans="1:40" s="7" customFormat="1" ht="13.15" x14ac:dyDescent="0.4">
      <c r="C6" s="7" t="s">
        <v>176</v>
      </c>
      <c r="D6" s="7" t="s">
        <v>177</v>
      </c>
      <c r="E6" s="7" t="s">
        <v>178</v>
      </c>
    </row>
    <row r="7" spans="1:40" s="27" customFormat="1" x14ac:dyDescent="0.35">
      <c r="B7" s="27" t="s">
        <v>415</v>
      </c>
      <c r="C7" s="8">
        <f>SUMIF(PAYOUT!$F:$F,'PER DIVISION'!$B:$B,PAYOUT!N:N)</f>
        <v>330485</v>
      </c>
      <c r="D7" s="8">
        <f>SUMIF(PAYOUT!$F:$F,'PER DIVISION'!$B:$B,PAYOUT!AZ:AZ)</f>
        <v>156279.82</v>
      </c>
      <c r="E7" s="8">
        <f t="shared" ref="E7:E12" si="0">C7-D7</f>
        <v>174205.18</v>
      </c>
    </row>
    <row r="8" spans="1:40" x14ac:dyDescent="0.35">
      <c r="B8" s="6" t="s">
        <v>19</v>
      </c>
      <c r="C8" s="8">
        <f>SUMIF(PAYOUT!$F:$F,'PER DIVISION'!$B:$B,PAYOUT!N:N)</f>
        <v>698293</v>
      </c>
      <c r="D8" s="8">
        <f>SUMIF(PAYOUT!$F:$F,'PER DIVISION'!$B:$B,PAYOUT!AZ:AZ)</f>
        <v>346871.17000000004</v>
      </c>
      <c r="E8" s="8">
        <f t="shared" si="0"/>
        <v>351421.82999999996</v>
      </c>
      <c r="F8" s="8">
        <f>SUMIF(PAYOUT!$F:$F,'PER DIVISION'!$B:$B,PAYOUT!BA:BA)-E8</f>
        <v>0</v>
      </c>
    </row>
    <row r="9" spans="1:40" x14ac:dyDescent="0.35">
      <c r="B9" s="6" t="s">
        <v>44</v>
      </c>
      <c r="C9" s="8">
        <f>SUMIF(PAYOUT!$F:$F,'PER DIVISION'!$B:$B,PAYOUT!N:N)</f>
        <v>780421</v>
      </c>
      <c r="D9" s="8">
        <f>SUMIF(PAYOUT!$F:$F,'PER DIVISION'!$B:$B,PAYOUT!AZ:AZ)</f>
        <v>352045.30999999994</v>
      </c>
      <c r="E9" s="8">
        <f t="shared" si="0"/>
        <v>428375.69000000006</v>
      </c>
      <c r="F9" s="8">
        <f>SUMIF(PAYOUT!$F:$F,'PER DIVISION'!$B:$B,PAYOUT!BA:BA)-E9</f>
        <v>0</v>
      </c>
    </row>
    <row r="10" spans="1:40" x14ac:dyDescent="0.35">
      <c r="B10" s="6" t="s">
        <v>16</v>
      </c>
      <c r="C10" s="8">
        <f>SUMIF(PAYOUT!$F:$F,'PER DIVISION'!$B:$B,PAYOUT!N:N)</f>
        <v>803664</v>
      </c>
      <c r="D10" s="8">
        <f>SUMIF(PAYOUT!$F:$F,'PER DIVISION'!$B:$B,PAYOUT!AZ:AZ)</f>
        <v>375711.08</v>
      </c>
      <c r="E10" s="8">
        <f t="shared" si="0"/>
        <v>427952.92</v>
      </c>
      <c r="F10" s="8">
        <f>SUMIF(PAYOUT!$F:$F,'PER DIVISION'!$B:$B,PAYOUT!BA:BA)-E10</f>
        <v>0</v>
      </c>
    </row>
    <row r="11" spans="1:40" x14ac:dyDescent="0.35">
      <c r="B11" s="6" t="s">
        <v>22</v>
      </c>
      <c r="C11" s="8">
        <f>SUMIF(PAYOUT!$F:$F,'PER DIVISION'!$B:$B,PAYOUT!N:N)</f>
        <v>701706</v>
      </c>
      <c r="D11" s="8">
        <f>SUMIF(PAYOUT!$F:$F,'PER DIVISION'!$B:$B,PAYOUT!AZ:AZ)</f>
        <v>361221.01999999996</v>
      </c>
      <c r="E11" s="8">
        <f t="shared" si="0"/>
        <v>340484.98000000004</v>
      </c>
      <c r="F11" s="8">
        <f>SUMIF(PAYOUT!$F:$F,'PER DIVISION'!$B:$B,PAYOUT!BA:BA)-E11</f>
        <v>0</v>
      </c>
    </row>
    <row r="12" spans="1:40" x14ac:dyDescent="0.35">
      <c r="B12" s="6" t="s">
        <v>35</v>
      </c>
      <c r="C12" s="8">
        <f>SUMIF(PAYOUT!$F:$F,'PER DIVISION'!$B:$B,PAYOUT!N:N)</f>
        <v>786858</v>
      </c>
      <c r="D12" s="8">
        <f>SUMIF(PAYOUT!$F:$F,'PER DIVISION'!$B:$B,PAYOUT!AZ:AZ)</f>
        <v>304753.98</v>
      </c>
      <c r="E12" s="8">
        <f t="shared" si="0"/>
        <v>482104.02</v>
      </c>
      <c r="F12" s="8">
        <f>SUMIF(PAYOUT!$F:$F,'PER DIVISION'!$B:$B,PAYOUT!BA:BA)-E12</f>
        <v>0</v>
      </c>
    </row>
    <row r="13" spans="1:40" x14ac:dyDescent="0.35">
      <c r="C13" s="8">
        <f>SUMIF(PAYOUT!$F:$F,'PER DIVISION'!$B:$B,PAYOUT!N:N)</f>
        <v>0</v>
      </c>
    </row>
    <row r="14" spans="1:40" ht="13.5" thickBot="1" x14ac:dyDescent="0.45">
      <c r="B14" s="9" t="s">
        <v>4</v>
      </c>
      <c r="C14" s="10">
        <f>SUM(C7:C13)</f>
        <v>4101427</v>
      </c>
      <c r="D14" s="10">
        <f t="shared" ref="D14:E14" si="1">SUM(D7:D13)</f>
        <v>1896882.3800000001</v>
      </c>
      <c r="E14" s="10">
        <f t="shared" si="1"/>
        <v>2204544.62</v>
      </c>
      <c r="F14" s="10">
        <f>SUM(F8:F13)</f>
        <v>0</v>
      </c>
    </row>
    <row r="15" spans="1:40" ht="13.15" thickTop="1" x14ac:dyDescent="0.35"/>
    <row r="18" spans="1:38" s="1" customFormat="1" ht="27" customHeight="1" x14ac:dyDescent="0.4">
      <c r="A18" s="1" t="s">
        <v>179</v>
      </c>
      <c r="B18" s="11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AB18" s="2"/>
      <c r="AC18" s="2"/>
      <c r="AD18" s="3"/>
      <c r="AE18" s="2"/>
      <c r="AF18" s="2"/>
      <c r="AG18" s="2"/>
      <c r="AH18" s="2"/>
      <c r="AI18" s="2"/>
      <c r="AJ18" s="2"/>
      <c r="AK18" s="2"/>
      <c r="AL18" s="2"/>
    </row>
    <row r="19" spans="1:38" ht="30.75" customHeight="1" x14ac:dyDescent="0.4">
      <c r="B19" s="198" t="s">
        <v>392</v>
      </c>
      <c r="C19" s="198"/>
      <c r="D19" s="198"/>
    </row>
    <row r="20" spans="1:38" x14ac:dyDescent="0.35">
      <c r="B20" s="201" t="s">
        <v>435</v>
      </c>
      <c r="C20" s="201"/>
      <c r="D20" s="201"/>
    </row>
    <row r="23" spans="1:38" ht="24.75" customHeight="1" x14ac:dyDescent="0.35">
      <c r="A23" s="26" t="s">
        <v>211</v>
      </c>
      <c r="B23" s="26"/>
      <c r="C23" s="26"/>
    </row>
    <row r="24" spans="1:38" x14ac:dyDescent="0.35">
      <c r="A24" s="26"/>
      <c r="B24" s="199" t="s">
        <v>412</v>
      </c>
      <c r="C24" s="199"/>
      <c r="D24" s="199"/>
    </row>
    <row r="25" spans="1:38" ht="21" customHeight="1" x14ac:dyDescent="0.35">
      <c r="A25" s="26"/>
      <c r="B25" s="199"/>
      <c r="C25" s="199"/>
      <c r="D25" s="199"/>
    </row>
    <row r="26" spans="1:38" x14ac:dyDescent="0.35">
      <c r="A26" s="26"/>
      <c r="B26" s="200" t="s">
        <v>436</v>
      </c>
      <c r="C26" s="200"/>
      <c r="D26" s="200"/>
    </row>
  </sheetData>
  <mergeCells count="4">
    <mergeCell ref="B19:D19"/>
    <mergeCell ref="B24:D25"/>
    <mergeCell ref="B26:D26"/>
    <mergeCell ref="B20:D20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231A-D40E-4B73-BEE9-657FE612B0AA}">
  <dimension ref="A2:I36"/>
  <sheetViews>
    <sheetView zoomScale="85" zoomScaleNormal="85" workbookViewId="0">
      <selection activeCell="A3" sqref="A3"/>
    </sheetView>
  </sheetViews>
  <sheetFormatPr defaultRowHeight="14.25" x14ac:dyDescent="0.45"/>
  <cols>
    <col min="1" max="1" width="7.1328125" customWidth="1"/>
  </cols>
  <sheetData>
    <row r="2" spans="1:9" x14ac:dyDescent="0.45">
      <c r="A2" t="s">
        <v>579</v>
      </c>
    </row>
    <row r="3" spans="1:9" ht="25.5" customHeight="1" x14ac:dyDescent="0.45">
      <c r="A3" s="29" t="s">
        <v>578</v>
      </c>
      <c r="B3" s="30">
        <v>1</v>
      </c>
      <c r="C3" s="30">
        <v>2</v>
      </c>
      <c r="D3" s="30">
        <v>3</v>
      </c>
      <c r="E3" s="30">
        <v>4</v>
      </c>
      <c r="F3" s="30">
        <v>5</v>
      </c>
      <c r="G3" s="30">
        <v>6</v>
      </c>
      <c r="H3" s="30">
        <v>7</v>
      </c>
      <c r="I3" s="30">
        <v>8</v>
      </c>
    </row>
    <row r="4" spans="1:9" x14ac:dyDescent="0.45">
      <c r="A4">
        <v>1</v>
      </c>
      <c r="B4" s="28">
        <v>14634</v>
      </c>
      <c r="C4" s="28">
        <v>14730</v>
      </c>
      <c r="D4" s="28">
        <v>14849</v>
      </c>
      <c r="E4" s="28">
        <v>14968</v>
      </c>
      <c r="F4" s="28">
        <v>15089</v>
      </c>
      <c r="G4" s="28">
        <v>15211</v>
      </c>
      <c r="H4" s="28">
        <v>15333</v>
      </c>
      <c r="I4" s="28">
        <v>15456</v>
      </c>
    </row>
    <row r="5" spans="1:9" x14ac:dyDescent="0.45">
      <c r="A5">
        <v>2</v>
      </c>
      <c r="B5" s="28">
        <v>15522</v>
      </c>
      <c r="C5" s="28">
        <v>15636</v>
      </c>
      <c r="D5" s="28">
        <v>15752</v>
      </c>
      <c r="E5" s="28">
        <v>15869</v>
      </c>
      <c r="F5" s="28">
        <v>15986</v>
      </c>
      <c r="G5" s="28">
        <v>16103</v>
      </c>
      <c r="H5" s="28">
        <v>16223</v>
      </c>
      <c r="I5" s="28">
        <v>16342</v>
      </c>
    </row>
    <row r="6" spans="1:9" x14ac:dyDescent="0.45">
      <c r="A6">
        <v>3</v>
      </c>
      <c r="B6" s="28">
        <v>16486</v>
      </c>
      <c r="C6" s="28">
        <v>16610</v>
      </c>
      <c r="D6" s="28">
        <v>16732</v>
      </c>
      <c r="E6" s="28">
        <v>16856</v>
      </c>
      <c r="F6" s="28">
        <v>16982</v>
      </c>
      <c r="G6" s="28">
        <v>17106</v>
      </c>
      <c r="H6" s="28">
        <v>17234</v>
      </c>
      <c r="I6" s="28">
        <v>17360</v>
      </c>
    </row>
    <row r="7" spans="1:9" x14ac:dyDescent="0.45">
      <c r="A7">
        <v>4</v>
      </c>
      <c r="B7" s="28">
        <v>17506</v>
      </c>
      <c r="C7" s="28">
        <v>17636</v>
      </c>
      <c r="D7" s="28">
        <v>17767</v>
      </c>
      <c r="E7" s="28">
        <v>17898</v>
      </c>
      <c r="F7" s="28">
        <v>18031</v>
      </c>
      <c r="G7" s="28">
        <v>18163</v>
      </c>
      <c r="H7" s="28">
        <v>18298</v>
      </c>
      <c r="I7" s="28">
        <v>18433</v>
      </c>
    </row>
    <row r="8" spans="1:9" x14ac:dyDescent="0.45">
      <c r="A8">
        <v>5</v>
      </c>
      <c r="B8" s="28">
        <v>18581</v>
      </c>
      <c r="C8" s="28">
        <v>18720</v>
      </c>
      <c r="D8" s="28">
        <v>18858</v>
      </c>
      <c r="E8" s="28">
        <v>18998</v>
      </c>
      <c r="F8" s="28">
        <v>19137</v>
      </c>
      <c r="G8" s="28">
        <v>19280</v>
      </c>
      <c r="H8" s="28">
        <v>19423</v>
      </c>
      <c r="I8" s="28">
        <v>19565</v>
      </c>
    </row>
    <row r="9" spans="1:9" x14ac:dyDescent="0.45">
      <c r="A9">
        <v>6</v>
      </c>
      <c r="B9" s="28">
        <v>19710</v>
      </c>
      <c r="C9" s="28">
        <v>19862</v>
      </c>
      <c r="D9" s="28">
        <v>20009</v>
      </c>
      <c r="E9" s="28">
        <v>20158</v>
      </c>
      <c r="F9" s="28">
        <v>20307</v>
      </c>
      <c r="G9" s="28">
        <v>20456</v>
      </c>
      <c r="H9" s="28">
        <v>20609</v>
      </c>
      <c r="I9" s="28">
        <v>20761</v>
      </c>
    </row>
    <row r="10" spans="1:9" x14ac:dyDescent="0.45">
      <c r="A10">
        <v>7</v>
      </c>
      <c r="B10" s="28">
        <v>20914</v>
      </c>
      <c r="C10" s="28">
        <v>21069</v>
      </c>
      <c r="D10" s="28">
        <v>21224</v>
      </c>
      <c r="E10" s="28">
        <v>21382</v>
      </c>
      <c r="F10" s="28">
        <v>21539</v>
      </c>
      <c r="G10" s="28">
        <v>21699</v>
      </c>
      <c r="H10" s="28">
        <v>21859</v>
      </c>
      <c r="I10" s="28">
        <v>22022</v>
      </c>
    </row>
    <row r="11" spans="1:9" x14ac:dyDescent="0.45">
      <c r="A11">
        <v>8</v>
      </c>
      <c r="B11" s="28">
        <v>22423</v>
      </c>
      <c r="C11" s="28">
        <v>22627</v>
      </c>
      <c r="D11" s="28">
        <v>22832</v>
      </c>
      <c r="E11" s="28">
        <v>23038</v>
      </c>
      <c r="F11" s="28">
        <v>23246</v>
      </c>
      <c r="G11" s="28">
        <v>23456</v>
      </c>
      <c r="H11" s="28">
        <v>23668</v>
      </c>
      <c r="I11" s="28">
        <v>23883</v>
      </c>
    </row>
    <row r="12" spans="1:9" x14ac:dyDescent="0.45">
      <c r="A12">
        <v>9</v>
      </c>
      <c r="B12" s="28">
        <v>24329</v>
      </c>
      <c r="C12" s="28">
        <v>24523</v>
      </c>
      <c r="D12" s="28">
        <v>24720</v>
      </c>
      <c r="E12" s="28">
        <v>24917</v>
      </c>
      <c r="F12" s="28">
        <v>25117</v>
      </c>
      <c r="G12" s="28">
        <v>25318</v>
      </c>
      <c r="H12" s="28">
        <v>25521</v>
      </c>
      <c r="I12" s="28">
        <v>25725</v>
      </c>
    </row>
    <row r="13" spans="1:9" x14ac:dyDescent="0.45">
      <c r="A13">
        <v>10</v>
      </c>
      <c r="B13" s="28">
        <v>26917</v>
      </c>
      <c r="C13" s="28">
        <v>27131</v>
      </c>
      <c r="D13" s="28">
        <v>27347</v>
      </c>
      <c r="E13" s="28">
        <v>27565</v>
      </c>
      <c r="F13" s="28">
        <v>27786</v>
      </c>
      <c r="G13" s="28">
        <v>28007</v>
      </c>
      <c r="H13" s="28">
        <v>28230</v>
      </c>
      <c r="I13" s="28">
        <v>28456</v>
      </c>
    </row>
    <row r="14" spans="1:9" x14ac:dyDescent="0.45">
      <c r="A14">
        <v>11</v>
      </c>
      <c r="B14" s="28">
        <v>31705</v>
      </c>
      <c r="C14" s="28">
        <v>31820</v>
      </c>
      <c r="D14" s="28">
        <v>32109</v>
      </c>
      <c r="E14" s="28">
        <v>32401</v>
      </c>
      <c r="F14" s="28">
        <v>32697</v>
      </c>
      <c r="G14" s="28">
        <v>32998</v>
      </c>
      <c r="H14" s="28">
        <v>33302</v>
      </c>
      <c r="I14" s="28">
        <v>33611</v>
      </c>
    </row>
    <row r="15" spans="1:9" x14ac:dyDescent="0.45">
      <c r="A15">
        <v>12</v>
      </c>
      <c r="B15" s="28">
        <v>33947</v>
      </c>
      <c r="C15" s="28">
        <v>34069</v>
      </c>
      <c r="D15" s="28">
        <v>34357</v>
      </c>
      <c r="E15" s="28">
        <v>34648</v>
      </c>
      <c r="F15" s="28">
        <v>34943</v>
      </c>
      <c r="G15" s="28">
        <v>35242</v>
      </c>
      <c r="H15" s="28">
        <v>35544</v>
      </c>
      <c r="I15" s="28">
        <v>35850</v>
      </c>
    </row>
    <row r="16" spans="1:9" x14ac:dyDescent="0.45">
      <c r="A16">
        <v>13</v>
      </c>
      <c r="B16" s="28">
        <v>36125</v>
      </c>
      <c r="C16" s="28">
        <v>36283</v>
      </c>
      <c r="D16" s="28">
        <v>36599</v>
      </c>
      <c r="E16" s="28">
        <v>36919</v>
      </c>
      <c r="F16" s="28">
        <v>37244</v>
      </c>
      <c r="G16" s="28">
        <v>37572</v>
      </c>
      <c r="H16" s="28">
        <v>37904</v>
      </c>
      <c r="I16" s="28">
        <v>38241</v>
      </c>
    </row>
    <row r="17" spans="1:9" x14ac:dyDescent="0.45">
      <c r="A17">
        <v>14</v>
      </c>
      <c r="B17" s="28">
        <v>38764</v>
      </c>
      <c r="C17" s="28">
        <v>39141</v>
      </c>
      <c r="D17" s="28">
        <v>39523</v>
      </c>
      <c r="E17" s="28">
        <v>39910</v>
      </c>
      <c r="F17" s="28">
        <v>40300</v>
      </c>
      <c r="G17" s="28">
        <v>40696</v>
      </c>
      <c r="H17" s="28">
        <v>41097</v>
      </c>
      <c r="I17" s="28">
        <v>41503</v>
      </c>
    </row>
    <row r="18" spans="1:9" x14ac:dyDescent="0.45">
      <c r="A18">
        <v>15</v>
      </c>
      <c r="B18" s="28">
        <v>42178</v>
      </c>
      <c r="C18" s="28">
        <v>42594</v>
      </c>
      <c r="D18" s="28">
        <v>43015</v>
      </c>
      <c r="E18" s="28">
        <v>43442</v>
      </c>
      <c r="F18" s="28">
        <v>43874</v>
      </c>
      <c r="G18" s="28">
        <v>44310</v>
      </c>
      <c r="H18" s="28">
        <v>44753</v>
      </c>
      <c r="I18" s="28">
        <v>45202</v>
      </c>
    </row>
    <row r="19" spans="1:9" x14ac:dyDescent="0.45">
      <c r="A19">
        <v>16</v>
      </c>
      <c r="B19" s="28">
        <v>45694</v>
      </c>
      <c r="C19" s="28">
        <v>46152</v>
      </c>
      <c r="D19" s="28">
        <v>46615</v>
      </c>
      <c r="E19" s="28">
        <v>47084</v>
      </c>
      <c r="F19" s="28">
        <v>47559</v>
      </c>
      <c r="G19" s="28">
        <v>48040</v>
      </c>
      <c r="H19" s="28">
        <v>48528</v>
      </c>
      <c r="I19" s="28">
        <v>49020</v>
      </c>
    </row>
    <row r="20" spans="1:9" x14ac:dyDescent="0.45">
      <c r="A20">
        <v>17</v>
      </c>
      <c r="B20" s="28">
        <v>49562</v>
      </c>
      <c r="C20" s="28">
        <v>50066</v>
      </c>
      <c r="D20" s="28">
        <v>50576</v>
      </c>
      <c r="E20" s="28">
        <v>51092</v>
      </c>
      <c r="F20" s="28">
        <v>51614</v>
      </c>
      <c r="G20" s="28">
        <v>52144</v>
      </c>
      <c r="H20" s="28">
        <v>52678</v>
      </c>
      <c r="I20" s="28">
        <v>53221</v>
      </c>
    </row>
    <row r="21" spans="1:9" x14ac:dyDescent="0.45">
      <c r="A21">
        <v>18</v>
      </c>
      <c r="B21" s="28">
        <v>53818</v>
      </c>
      <c r="C21" s="28">
        <v>54371</v>
      </c>
      <c r="D21" s="28">
        <v>54933</v>
      </c>
      <c r="E21" s="28">
        <v>55499</v>
      </c>
      <c r="F21" s="28">
        <v>56075</v>
      </c>
      <c r="G21" s="28">
        <v>56657</v>
      </c>
      <c r="H21" s="28">
        <v>57246</v>
      </c>
      <c r="I21" s="28">
        <v>57842</v>
      </c>
    </row>
    <row r="22" spans="1:9" x14ac:dyDescent="0.45">
      <c r="A22">
        <v>19</v>
      </c>
      <c r="B22" s="28">
        <v>59153</v>
      </c>
      <c r="C22" s="28">
        <v>59966</v>
      </c>
      <c r="D22" s="28">
        <v>60793</v>
      </c>
      <c r="E22" s="28">
        <v>61632</v>
      </c>
      <c r="F22" s="28">
        <v>62486</v>
      </c>
      <c r="G22" s="28">
        <v>63353</v>
      </c>
      <c r="H22" s="28">
        <v>64236</v>
      </c>
      <c r="I22" s="28">
        <v>65132</v>
      </c>
    </row>
    <row r="23" spans="1:9" x14ac:dyDescent="0.45">
      <c r="A23">
        <v>20</v>
      </c>
      <c r="B23" s="28">
        <v>66052</v>
      </c>
      <c r="C23" s="28">
        <v>66970</v>
      </c>
      <c r="D23" s="28">
        <v>67904</v>
      </c>
      <c r="E23" s="28">
        <v>68853</v>
      </c>
      <c r="F23" s="28">
        <v>69818</v>
      </c>
      <c r="G23" s="28">
        <v>70772</v>
      </c>
      <c r="H23" s="28">
        <v>71727</v>
      </c>
      <c r="I23" s="28">
        <v>72671</v>
      </c>
    </row>
    <row r="24" spans="1:9" x14ac:dyDescent="0.45">
      <c r="A24">
        <v>21</v>
      </c>
      <c r="B24" s="28">
        <v>73303</v>
      </c>
      <c r="C24" s="28">
        <v>74337</v>
      </c>
      <c r="D24" s="28">
        <v>75388</v>
      </c>
      <c r="E24" s="28">
        <v>76456</v>
      </c>
      <c r="F24" s="28">
        <v>77542</v>
      </c>
      <c r="G24" s="28">
        <v>78645</v>
      </c>
      <c r="H24" s="28">
        <v>79692</v>
      </c>
      <c r="I24" s="28">
        <v>80831</v>
      </c>
    </row>
    <row r="25" spans="1:9" x14ac:dyDescent="0.45">
      <c r="A25">
        <v>22</v>
      </c>
      <c r="B25" s="28">
        <v>81796</v>
      </c>
      <c r="C25" s="28">
        <v>82963</v>
      </c>
      <c r="D25" s="28">
        <v>84151</v>
      </c>
      <c r="E25" s="28">
        <v>85356</v>
      </c>
      <c r="F25" s="28">
        <v>86582</v>
      </c>
      <c r="G25" s="28">
        <v>87746</v>
      </c>
      <c r="H25" s="28">
        <v>89011</v>
      </c>
      <c r="I25" s="28">
        <v>90295</v>
      </c>
    </row>
    <row r="26" spans="1:9" x14ac:dyDescent="0.45">
      <c r="A26">
        <v>23</v>
      </c>
      <c r="B26" s="28">
        <v>91306</v>
      </c>
      <c r="C26" s="28">
        <v>92622</v>
      </c>
      <c r="D26" s="28">
        <v>93962</v>
      </c>
      <c r="E26" s="28">
        <v>95330</v>
      </c>
      <c r="F26" s="28">
        <v>96823</v>
      </c>
      <c r="G26" s="28">
        <v>98341</v>
      </c>
      <c r="H26" s="28">
        <v>99883</v>
      </c>
      <c r="I26" s="28">
        <v>101318</v>
      </c>
    </row>
    <row r="27" spans="1:9" x14ac:dyDescent="0.45">
      <c r="A27">
        <v>24</v>
      </c>
      <c r="B27" s="28">
        <v>102603</v>
      </c>
      <c r="C27" s="28">
        <v>104209</v>
      </c>
      <c r="D27" s="28">
        <v>105841</v>
      </c>
      <c r="E27" s="28">
        <v>107500</v>
      </c>
      <c r="F27" s="28">
        <v>109185</v>
      </c>
      <c r="G27" s="28">
        <v>110898</v>
      </c>
      <c r="H27" s="28">
        <v>112533</v>
      </c>
      <c r="I27" s="28">
        <v>114301</v>
      </c>
    </row>
    <row r="28" spans="1:9" x14ac:dyDescent="0.45">
      <c r="A28">
        <v>25</v>
      </c>
      <c r="B28" s="28">
        <v>116643</v>
      </c>
      <c r="C28" s="28">
        <v>118469</v>
      </c>
      <c r="D28" s="28">
        <v>120326</v>
      </c>
      <c r="E28" s="28">
        <v>122212</v>
      </c>
      <c r="F28" s="28">
        <v>124131</v>
      </c>
      <c r="G28" s="28">
        <v>126079</v>
      </c>
      <c r="H28" s="28">
        <v>128061</v>
      </c>
      <c r="I28" s="28">
        <v>130073</v>
      </c>
    </row>
    <row r="29" spans="1:9" x14ac:dyDescent="0.45">
      <c r="A29">
        <v>26</v>
      </c>
      <c r="B29" s="28">
        <v>131807</v>
      </c>
      <c r="C29" s="28">
        <v>133870</v>
      </c>
      <c r="D29" s="28">
        <v>135968</v>
      </c>
      <c r="E29" s="28">
        <v>138100</v>
      </c>
      <c r="F29" s="28">
        <v>140268</v>
      </c>
      <c r="G29" s="28">
        <v>142469</v>
      </c>
      <c r="H29" s="28">
        <v>144707</v>
      </c>
      <c r="I29" s="28">
        <v>146983</v>
      </c>
    </row>
    <row r="30" spans="1:9" x14ac:dyDescent="0.45">
      <c r="A30">
        <v>27</v>
      </c>
      <c r="B30" s="28">
        <v>148940</v>
      </c>
      <c r="C30" s="28">
        <v>151273</v>
      </c>
      <c r="D30" s="28">
        <v>153644</v>
      </c>
      <c r="E30" s="28">
        <v>155906</v>
      </c>
      <c r="F30" s="28">
        <v>158353</v>
      </c>
      <c r="G30" s="28">
        <v>160235</v>
      </c>
      <c r="H30" s="28">
        <v>162752</v>
      </c>
      <c r="I30" s="28">
        <v>165310</v>
      </c>
    </row>
    <row r="31" spans="1:9" x14ac:dyDescent="0.45">
      <c r="A31">
        <v>28</v>
      </c>
      <c r="B31" s="28">
        <v>167129</v>
      </c>
      <c r="C31" s="28">
        <v>169752</v>
      </c>
      <c r="D31" s="28">
        <v>172418</v>
      </c>
      <c r="E31" s="28">
        <v>174797</v>
      </c>
      <c r="F31" s="28">
        <v>177545</v>
      </c>
      <c r="G31" s="28">
        <v>180339</v>
      </c>
      <c r="H31" s="28">
        <v>182660</v>
      </c>
      <c r="I31" s="28">
        <v>185537</v>
      </c>
    </row>
    <row r="32" spans="1:9" x14ac:dyDescent="0.45">
      <c r="A32">
        <v>29</v>
      </c>
      <c r="B32" s="28">
        <v>187531</v>
      </c>
      <c r="C32" s="28">
        <v>190482</v>
      </c>
      <c r="D32" s="28">
        <v>193480</v>
      </c>
      <c r="E32" s="28">
        <v>196528</v>
      </c>
      <c r="F32" s="28">
        <v>199624</v>
      </c>
      <c r="G32" s="28">
        <v>202005</v>
      </c>
      <c r="H32" s="28">
        <v>205191</v>
      </c>
      <c r="I32" s="28">
        <v>208430</v>
      </c>
    </row>
    <row r="33" spans="1:9" x14ac:dyDescent="0.45">
      <c r="A33">
        <v>30</v>
      </c>
      <c r="B33" s="28">
        <v>210718</v>
      </c>
      <c r="C33" s="28">
        <v>214038</v>
      </c>
      <c r="D33" s="28">
        <v>217207</v>
      </c>
      <c r="E33" s="28">
        <v>220425</v>
      </c>
      <c r="F33" s="28">
        <v>223691</v>
      </c>
      <c r="G33" s="28">
        <v>227224</v>
      </c>
      <c r="H33" s="28">
        <v>230595</v>
      </c>
      <c r="I33" s="28">
        <v>234240</v>
      </c>
    </row>
    <row r="34" spans="1:9" x14ac:dyDescent="0.45">
      <c r="A34">
        <v>31</v>
      </c>
      <c r="B34" s="28">
        <v>300961</v>
      </c>
      <c r="C34" s="28">
        <v>306691</v>
      </c>
      <c r="D34" s="28">
        <v>312532</v>
      </c>
      <c r="E34" s="28">
        <v>318182</v>
      </c>
      <c r="F34" s="28">
        <v>323938</v>
      </c>
      <c r="G34" s="28">
        <v>329989</v>
      </c>
      <c r="H34" s="28">
        <v>336092</v>
      </c>
      <c r="I34" s="28">
        <v>342310</v>
      </c>
    </row>
    <row r="35" spans="1:9" x14ac:dyDescent="0.45">
      <c r="A35">
        <v>32</v>
      </c>
      <c r="B35" s="28">
        <v>356237</v>
      </c>
      <c r="C35" s="28">
        <v>363257</v>
      </c>
      <c r="D35" s="28">
        <v>370418</v>
      </c>
      <c r="E35" s="28">
        <v>377359</v>
      </c>
      <c r="F35" s="28">
        <v>384805</v>
      </c>
      <c r="G35" s="28">
        <v>392400</v>
      </c>
      <c r="H35" s="28">
        <v>400150</v>
      </c>
      <c r="I35" s="28">
        <v>408055</v>
      </c>
    </row>
    <row r="36" spans="1:9" x14ac:dyDescent="0.45">
      <c r="A36">
        <v>33</v>
      </c>
      <c r="B36" s="28">
        <v>449157</v>
      </c>
      <c r="C36" s="28">
        <v>462329</v>
      </c>
    </row>
  </sheetData>
  <sheetProtection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WH119"/>
  <sheetViews>
    <sheetView tabSelected="1" view="pageBreakPreview" topLeftCell="J1" zoomScale="85" zoomScaleNormal="85" zoomScaleSheetLayoutView="85" workbookViewId="0">
      <pane ySplit="7" topLeftCell="A11" activePane="bottomLeft" state="frozenSplit"/>
      <selection pane="bottomLeft" activeCell="O16" sqref="O16"/>
    </sheetView>
  </sheetViews>
  <sheetFormatPr defaultRowHeight="13.5" outlineLevelRow="1" outlineLevelCol="1" x14ac:dyDescent="0.35"/>
  <cols>
    <col min="1" max="1" width="6.86328125" style="31" customWidth="1"/>
    <col min="2" max="2" width="21.3984375" style="31" bestFit="1" customWidth="1"/>
    <col min="3" max="3" width="21.59765625" style="31" customWidth="1"/>
    <col min="4" max="4" width="9.86328125" style="31" customWidth="1"/>
    <col min="5" max="5" width="15.86328125" style="31" customWidth="1"/>
    <col min="6" max="6" width="12.1328125" style="31" customWidth="1"/>
    <col min="7" max="7" width="27.86328125" style="31" customWidth="1" outlineLevel="1"/>
    <col min="8" max="9" width="17" style="32" customWidth="1" outlineLevel="1"/>
    <col min="10" max="10" width="11.265625" style="31" customWidth="1" outlineLevel="1"/>
    <col min="11" max="11" width="10.3984375" style="31" customWidth="1" outlineLevel="1"/>
    <col min="12" max="12" width="15.86328125" style="162" customWidth="1"/>
    <col min="13" max="13" width="15" style="34" customWidth="1"/>
    <col min="14" max="14" width="22.265625" style="151" customWidth="1"/>
    <col min="15" max="15" width="14.59765625" style="33" customWidth="1" outlineLevel="1"/>
    <col min="16" max="16" width="13.86328125" style="33" customWidth="1" outlineLevel="1"/>
    <col min="17" max="17" width="12.86328125" style="35" customWidth="1" outlineLevel="1"/>
    <col min="18" max="18" width="11.59765625" style="33" customWidth="1" outlineLevel="1"/>
    <col min="19" max="19" width="14.3984375" style="33" customWidth="1" outlineLevel="1"/>
    <col min="20" max="20" width="10.73046875" style="33" customWidth="1" outlineLevel="1"/>
    <col min="21" max="21" width="12.265625" style="33" customWidth="1" outlineLevel="1"/>
    <col min="22" max="23" width="15.73046875" style="33" customWidth="1" outlineLevel="1"/>
    <col min="24" max="24" width="12.265625" style="33" customWidth="1" outlineLevel="1"/>
    <col min="25" max="25" width="15" style="33" customWidth="1" outlineLevel="1"/>
    <col min="26" max="26" width="15.86328125" style="33" customWidth="1" outlineLevel="1"/>
    <col min="27" max="27" width="14.86328125" style="31" customWidth="1" outlineLevel="1"/>
    <col min="28" max="28" width="13.3984375" style="37" customWidth="1" outlineLevel="1"/>
    <col min="29" max="30" width="13.59765625" style="31" customWidth="1" outlineLevel="1"/>
    <col min="31" max="31" width="14" style="31" customWidth="1" outlineLevel="1"/>
    <col min="32" max="32" width="13.59765625" style="31" customWidth="1" outlineLevel="1"/>
    <col min="33" max="33" width="12.73046875" style="31" customWidth="1" outlineLevel="1"/>
    <col min="34" max="35" width="12.265625" style="31" customWidth="1" outlineLevel="1"/>
    <col min="36" max="36" width="11.3984375" style="31" customWidth="1" outlineLevel="1"/>
    <col min="37" max="37" width="14.73046875" style="31" customWidth="1" outlineLevel="1"/>
    <col min="38" max="38" width="11.59765625" style="31" customWidth="1" outlineLevel="1" collapsed="1"/>
    <col min="39" max="39" width="12.73046875" style="31" customWidth="1" outlineLevel="1"/>
    <col min="40" max="45" width="14.59765625" style="31" customWidth="1" outlineLevel="1"/>
    <col min="46" max="48" width="12.73046875" style="31" customWidth="1" outlineLevel="1"/>
    <col min="49" max="49" width="12.3984375" style="31" customWidth="1" outlineLevel="1"/>
    <col min="50" max="50" width="14.86328125" style="31" customWidth="1" outlineLevel="1"/>
    <col min="51" max="51" width="13.86328125" style="31" customWidth="1" outlineLevel="1"/>
    <col min="52" max="55" width="16" style="31" customWidth="1"/>
    <col min="56" max="56" width="16.3984375" style="31" customWidth="1"/>
    <col min="57" max="57" width="12.59765625" style="31" customWidth="1"/>
    <col min="58" max="58" width="18" style="31" customWidth="1"/>
    <col min="59" max="60" width="9.1328125" style="31"/>
    <col min="61" max="61" width="12.3984375" style="34" bestFit="1" customWidth="1"/>
    <col min="62" max="266" width="9.1328125" style="31"/>
    <col min="267" max="267" width="32.265625" style="31" customWidth="1"/>
    <col min="268" max="269" width="9.1328125" style="31"/>
    <col min="270" max="270" width="11.59765625" style="31" customWidth="1"/>
    <col min="271" max="271" width="16" style="31" customWidth="1"/>
    <col min="272" max="272" width="14.265625" style="31" customWidth="1"/>
    <col min="273" max="273" width="17.73046875" style="31" customWidth="1"/>
    <col min="274" max="274" width="15.265625" style="31" customWidth="1"/>
    <col min="275" max="275" width="13.73046875" style="31" customWidth="1"/>
    <col min="276" max="277" width="12.1328125" style="31" customWidth="1"/>
    <col min="278" max="278" width="14.265625" style="31" customWidth="1"/>
    <col min="279" max="281" width="12.1328125" style="31" customWidth="1"/>
    <col min="282" max="282" width="0" style="31" hidden="1" customWidth="1"/>
    <col min="283" max="283" width="13.73046875" style="31" customWidth="1"/>
    <col min="284" max="284" width="12.86328125" style="31" customWidth="1"/>
    <col min="285" max="301" width="14.3984375" style="31" customWidth="1"/>
    <col min="302" max="304" width="16" style="31" bestFit="1" customWidth="1"/>
    <col min="305" max="522" width="9.1328125" style="31"/>
    <col min="523" max="523" width="32.265625" style="31" customWidth="1"/>
    <col min="524" max="525" width="9.1328125" style="31"/>
    <col min="526" max="526" width="11.59765625" style="31" customWidth="1"/>
    <col min="527" max="527" width="16" style="31" customWidth="1"/>
    <col min="528" max="528" width="14.265625" style="31" customWidth="1"/>
    <col min="529" max="529" width="17.73046875" style="31" customWidth="1"/>
    <col min="530" max="530" width="15.265625" style="31" customWidth="1"/>
    <col min="531" max="531" width="13.73046875" style="31" customWidth="1"/>
    <col min="532" max="533" width="12.1328125" style="31" customWidth="1"/>
    <col min="534" max="534" width="14.265625" style="31" customWidth="1"/>
    <col min="535" max="537" width="12.1328125" style="31" customWidth="1"/>
    <col min="538" max="538" width="0" style="31" hidden="1" customWidth="1"/>
    <col min="539" max="539" width="13.73046875" style="31" customWidth="1"/>
    <col min="540" max="540" width="12.86328125" style="31" customWidth="1"/>
    <col min="541" max="557" width="14.3984375" style="31" customWidth="1"/>
    <col min="558" max="560" width="16" style="31" bestFit="1" customWidth="1"/>
    <col min="561" max="778" width="9.1328125" style="31"/>
    <col min="779" max="779" width="32.265625" style="31" customWidth="1"/>
    <col min="780" max="781" width="9.1328125" style="31"/>
    <col min="782" max="782" width="11.59765625" style="31" customWidth="1"/>
    <col min="783" max="783" width="16" style="31" customWidth="1"/>
    <col min="784" max="784" width="14.265625" style="31" customWidth="1"/>
    <col min="785" max="785" width="17.73046875" style="31" customWidth="1"/>
    <col min="786" max="786" width="15.265625" style="31" customWidth="1"/>
    <col min="787" max="787" width="13.73046875" style="31" customWidth="1"/>
    <col min="788" max="789" width="12.1328125" style="31" customWidth="1"/>
    <col min="790" max="790" width="14.265625" style="31" customWidth="1"/>
    <col min="791" max="793" width="12.1328125" style="31" customWidth="1"/>
    <col min="794" max="794" width="0" style="31" hidden="1" customWidth="1"/>
    <col min="795" max="795" width="13.73046875" style="31" customWidth="1"/>
    <col min="796" max="796" width="12.86328125" style="31" customWidth="1"/>
    <col min="797" max="813" width="14.3984375" style="31" customWidth="1"/>
    <col min="814" max="816" width="16" style="31" bestFit="1" customWidth="1"/>
    <col min="817" max="1034" width="9.1328125" style="31"/>
    <col min="1035" max="1035" width="32.265625" style="31" customWidth="1"/>
    <col min="1036" max="1037" width="9.1328125" style="31"/>
    <col min="1038" max="1038" width="11.59765625" style="31" customWidth="1"/>
    <col min="1039" max="1039" width="16" style="31" customWidth="1"/>
    <col min="1040" max="1040" width="14.265625" style="31" customWidth="1"/>
    <col min="1041" max="1041" width="17.73046875" style="31" customWidth="1"/>
    <col min="1042" max="1042" width="15.265625" style="31" customWidth="1"/>
    <col min="1043" max="1043" width="13.73046875" style="31" customWidth="1"/>
    <col min="1044" max="1045" width="12.1328125" style="31" customWidth="1"/>
    <col min="1046" max="1046" width="14.265625" style="31" customWidth="1"/>
    <col min="1047" max="1049" width="12.1328125" style="31" customWidth="1"/>
    <col min="1050" max="1050" width="0" style="31" hidden="1" customWidth="1"/>
    <col min="1051" max="1051" width="13.73046875" style="31" customWidth="1"/>
    <col min="1052" max="1052" width="12.86328125" style="31" customWidth="1"/>
    <col min="1053" max="1069" width="14.3984375" style="31" customWidth="1"/>
    <col min="1070" max="1072" width="16" style="31" bestFit="1" customWidth="1"/>
    <col min="1073" max="1290" width="9.1328125" style="31"/>
    <col min="1291" max="1291" width="32.265625" style="31" customWidth="1"/>
    <col min="1292" max="1293" width="9.1328125" style="31"/>
    <col min="1294" max="1294" width="11.59765625" style="31" customWidth="1"/>
    <col min="1295" max="1295" width="16" style="31" customWidth="1"/>
    <col min="1296" max="1296" width="14.265625" style="31" customWidth="1"/>
    <col min="1297" max="1297" width="17.73046875" style="31" customWidth="1"/>
    <col min="1298" max="1298" width="15.265625" style="31" customWidth="1"/>
    <col min="1299" max="1299" width="13.73046875" style="31" customWidth="1"/>
    <col min="1300" max="1301" width="12.1328125" style="31" customWidth="1"/>
    <col min="1302" max="1302" width="14.265625" style="31" customWidth="1"/>
    <col min="1303" max="1305" width="12.1328125" style="31" customWidth="1"/>
    <col min="1306" max="1306" width="0" style="31" hidden="1" customWidth="1"/>
    <col min="1307" max="1307" width="13.73046875" style="31" customWidth="1"/>
    <col min="1308" max="1308" width="12.86328125" style="31" customWidth="1"/>
    <col min="1309" max="1325" width="14.3984375" style="31" customWidth="1"/>
    <col min="1326" max="1328" width="16" style="31" bestFit="1" customWidth="1"/>
    <col min="1329" max="1546" width="9.1328125" style="31"/>
    <col min="1547" max="1547" width="32.265625" style="31" customWidth="1"/>
    <col min="1548" max="1549" width="9.1328125" style="31"/>
    <col min="1550" max="1550" width="11.59765625" style="31" customWidth="1"/>
    <col min="1551" max="1551" width="16" style="31" customWidth="1"/>
    <col min="1552" max="1552" width="14.265625" style="31" customWidth="1"/>
    <col min="1553" max="1553" width="17.73046875" style="31" customWidth="1"/>
    <col min="1554" max="1554" width="15.265625" style="31" customWidth="1"/>
    <col min="1555" max="1555" width="13.73046875" style="31" customWidth="1"/>
    <col min="1556" max="1557" width="12.1328125" style="31" customWidth="1"/>
    <col min="1558" max="1558" width="14.265625" style="31" customWidth="1"/>
    <col min="1559" max="1561" width="12.1328125" style="31" customWidth="1"/>
    <col min="1562" max="1562" width="0" style="31" hidden="1" customWidth="1"/>
    <col min="1563" max="1563" width="13.73046875" style="31" customWidth="1"/>
    <col min="1564" max="1564" width="12.86328125" style="31" customWidth="1"/>
    <col min="1565" max="1581" width="14.3984375" style="31" customWidth="1"/>
    <col min="1582" max="1584" width="16" style="31" bestFit="1" customWidth="1"/>
    <col min="1585" max="1802" width="9.1328125" style="31"/>
    <col min="1803" max="1803" width="32.265625" style="31" customWidth="1"/>
    <col min="1804" max="1805" width="9.1328125" style="31"/>
    <col min="1806" max="1806" width="11.59765625" style="31" customWidth="1"/>
    <col min="1807" max="1807" width="16" style="31" customWidth="1"/>
    <col min="1808" max="1808" width="14.265625" style="31" customWidth="1"/>
    <col min="1809" max="1809" width="17.73046875" style="31" customWidth="1"/>
    <col min="1810" max="1810" width="15.265625" style="31" customWidth="1"/>
    <col min="1811" max="1811" width="13.73046875" style="31" customWidth="1"/>
    <col min="1812" max="1813" width="12.1328125" style="31" customWidth="1"/>
    <col min="1814" max="1814" width="14.265625" style="31" customWidth="1"/>
    <col min="1815" max="1817" width="12.1328125" style="31" customWidth="1"/>
    <col min="1818" max="1818" width="0" style="31" hidden="1" customWidth="1"/>
    <col min="1819" max="1819" width="13.73046875" style="31" customWidth="1"/>
    <col min="1820" max="1820" width="12.86328125" style="31" customWidth="1"/>
    <col min="1821" max="1837" width="14.3984375" style="31" customWidth="1"/>
    <col min="1838" max="1840" width="16" style="31" bestFit="1" customWidth="1"/>
    <col min="1841" max="2058" width="9.1328125" style="31"/>
    <col min="2059" max="2059" width="32.265625" style="31" customWidth="1"/>
    <col min="2060" max="2061" width="9.1328125" style="31"/>
    <col min="2062" max="2062" width="11.59765625" style="31" customWidth="1"/>
    <col min="2063" max="2063" width="16" style="31" customWidth="1"/>
    <col min="2064" max="2064" width="14.265625" style="31" customWidth="1"/>
    <col min="2065" max="2065" width="17.73046875" style="31" customWidth="1"/>
    <col min="2066" max="2066" width="15.265625" style="31" customWidth="1"/>
    <col min="2067" max="2067" width="13.73046875" style="31" customWidth="1"/>
    <col min="2068" max="2069" width="12.1328125" style="31" customWidth="1"/>
    <col min="2070" max="2070" width="14.265625" style="31" customWidth="1"/>
    <col min="2071" max="2073" width="12.1328125" style="31" customWidth="1"/>
    <col min="2074" max="2074" width="0" style="31" hidden="1" customWidth="1"/>
    <col min="2075" max="2075" width="13.73046875" style="31" customWidth="1"/>
    <col min="2076" max="2076" width="12.86328125" style="31" customWidth="1"/>
    <col min="2077" max="2093" width="14.3984375" style="31" customWidth="1"/>
    <col min="2094" max="2096" width="16" style="31" bestFit="1" customWidth="1"/>
    <col min="2097" max="2314" width="9.1328125" style="31"/>
    <col min="2315" max="2315" width="32.265625" style="31" customWidth="1"/>
    <col min="2316" max="2317" width="9.1328125" style="31"/>
    <col min="2318" max="2318" width="11.59765625" style="31" customWidth="1"/>
    <col min="2319" max="2319" width="16" style="31" customWidth="1"/>
    <col min="2320" max="2320" width="14.265625" style="31" customWidth="1"/>
    <col min="2321" max="2321" width="17.73046875" style="31" customWidth="1"/>
    <col min="2322" max="2322" width="15.265625" style="31" customWidth="1"/>
    <col min="2323" max="2323" width="13.73046875" style="31" customWidth="1"/>
    <col min="2324" max="2325" width="12.1328125" style="31" customWidth="1"/>
    <col min="2326" max="2326" width="14.265625" style="31" customWidth="1"/>
    <col min="2327" max="2329" width="12.1328125" style="31" customWidth="1"/>
    <col min="2330" max="2330" width="0" style="31" hidden="1" customWidth="1"/>
    <col min="2331" max="2331" width="13.73046875" style="31" customWidth="1"/>
    <col min="2332" max="2332" width="12.86328125" style="31" customWidth="1"/>
    <col min="2333" max="2349" width="14.3984375" style="31" customWidth="1"/>
    <col min="2350" max="2352" width="16" style="31" bestFit="1" customWidth="1"/>
    <col min="2353" max="2570" width="9.1328125" style="31"/>
    <col min="2571" max="2571" width="32.265625" style="31" customWidth="1"/>
    <col min="2572" max="2573" width="9.1328125" style="31"/>
    <col min="2574" max="2574" width="11.59765625" style="31" customWidth="1"/>
    <col min="2575" max="2575" width="16" style="31" customWidth="1"/>
    <col min="2576" max="2576" width="14.265625" style="31" customWidth="1"/>
    <col min="2577" max="2577" width="17.73046875" style="31" customWidth="1"/>
    <col min="2578" max="2578" width="15.265625" style="31" customWidth="1"/>
    <col min="2579" max="2579" width="13.73046875" style="31" customWidth="1"/>
    <col min="2580" max="2581" width="12.1328125" style="31" customWidth="1"/>
    <col min="2582" max="2582" width="14.265625" style="31" customWidth="1"/>
    <col min="2583" max="2585" width="12.1328125" style="31" customWidth="1"/>
    <col min="2586" max="2586" width="0" style="31" hidden="1" customWidth="1"/>
    <col min="2587" max="2587" width="13.73046875" style="31" customWidth="1"/>
    <col min="2588" max="2588" width="12.86328125" style="31" customWidth="1"/>
    <col min="2589" max="2605" width="14.3984375" style="31" customWidth="1"/>
    <col min="2606" max="2608" width="16" style="31" bestFit="1" customWidth="1"/>
    <col min="2609" max="2826" width="9.1328125" style="31"/>
    <col min="2827" max="2827" width="32.265625" style="31" customWidth="1"/>
    <col min="2828" max="2829" width="9.1328125" style="31"/>
    <col min="2830" max="2830" width="11.59765625" style="31" customWidth="1"/>
    <col min="2831" max="2831" width="16" style="31" customWidth="1"/>
    <col min="2832" max="2832" width="14.265625" style="31" customWidth="1"/>
    <col min="2833" max="2833" width="17.73046875" style="31" customWidth="1"/>
    <col min="2834" max="2834" width="15.265625" style="31" customWidth="1"/>
    <col min="2835" max="2835" width="13.73046875" style="31" customWidth="1"/>
    <col min="2836" max="2837" width="12.1328125" style="31" customWidth="1"/>
    <col min="2838" max="2838" width="14.265625" style="31" customWidth="1"/>
    <col min="2839" max="2841" width="12.1328125" style="31" customWidth="1"/>
    <col min="2842" max="2842" width="0" style="31" hidden="1" customWidth="1"/>
    <col min="2843" max="2843" width="13.73046875" style="31" customWidth="1"/>
    <col min="2844" max="2844" width="12.86328125" style="31" customWidth="1"/>
    <col min="2845" max="2861" width="14.3984375" style="31" customWidth="1"/>
    <col min="2862" max="2864" width="16" style="31" bestFit="1" customWidth="1"/>
    <col min="2865" max="3082" width="9.1328125" style="31"/>
    <col min="3083" max="3083" width="32.265625" style="31" customWidth="1"/>
    <col min="3084" max="3085" width="9.1328125" style="31"/>
    <col min="3086" max="3086" width="11.59765625" style="31" customWidth="1"/>
    <col min="3087" max="3087" width="16" style="31" customWidth="1"/>
    <col min="3088" max="3088" width="14.265625" style="31" customWidth="1"/>
    <col min="3089" max="3089" width="17.73046875" style="31" customWidth="1"/>
    <col min="3090" max="3090" width="15.265625" style="31" customWidth="1"/>
    <col min="3091" max="3091" width="13.73046875" style="31" customWidth="1"/>
    <col min="3092" max="3093" width="12.1328125" style="31" customWidth="1"/>
    <col min="3094" max="3094" width="14.265625" style="31" customWidth="1"/>
    <col min="3095" max="3097" width="12.1328125" style="31" customWidth="1"/>
    <col min="3098" max="3098" width="0" style="31" hidden="1" customWidth="1"/>
    <col min="3099" max="3099" width="13.73046875" style="31" customWidth="1"/>
    <col min="3100" max="3100" width="12.86328125" style="31" customWidth="1"/>
    <col min="3101" max="3117" width="14.3984375" style="31" customWidth="1"/>
    <col min="3118" max="3120" width="16" style="31" bestFit="1" customWidth="1"/>
    <col min="3121" max="3338" width="9.1328125" style="31"/>
    <col min="3339" max="3339" width="32.265625" style="31" customWidth="1"/>
    <col min="3340" max="3341" width="9.1328125" style="31"/>
    <col min="3342" max="3342" width="11.59765625" style="31" customWidth="1"/>
    <col min="3343" max="3343" width="16" style="31" customWidth="1"/>
    <col min="3344" max="3344" width="14.265625" style="31" customWidth="1"/>
    <col min="3345" max="3345" width="17.73046875" style="31" customWidth="1"/>
    <col min="3346" max="3346" width="15.265625" style="31" customWidth="1"/>
    <col min="3347" max="3347" width="13.73046875" style="31" customWidth="1"/>
    <col min="3348" max="3349" width="12.1328125" style="31" customWidth="1"/>
    <col min="3350" max="3350" width="14.265625" style="31" customWidth="1"/>
    <col min="3351" max="3353" width="12.1328125" style="31" customWidth="1"/>
    <col min="3354" max="3354" width="0" style="31" hidden="1" customWidth="1"/>
    <col min="3355" max="3355" width="13.73046875" style="31" customWidth="1"/>
    <col min="3356" max="3356" width="12.86328125" style="31" customWidth="1"/>
    <col min="3357" max="3373" width="14.3984375" style="31" customWidth="1"/>
    <col min="3374" max="3376" width="16" style="31" bestFit="1" customWidth="1"/>
    <col min="3377" max="3594" width="9.1328125" style="31"/>
    <col min="3595" max="3595" width="32.265625" style="31" customWidth="1"/>
    <col min="3596" max="3597" width="9.1328125" style="31"/>
    <col min="3598" max="3598" width="11.59765625" style="31" customWidth="1"/>
    <col min="3599" max="3599" width="16" style="31" customWidth="1"/>
    <col min="3600" max="3600" width="14.265625" style="31" customWidth="1"/>
    <col min="3601" max="3601" width="17.73046875" style="31" customWidth="1"/>
    <col min="3602" max="3602" width="15.265625" style="31" customWidth="1"/>
    <col min="3603" max="3603" width="13.73046875" style="31" customWidth="1"/>
    <col min="3604" max="3605" width="12.1328125" style="31" customWidth="1"/>
    <col min="3606" max="3606" width="14.265625" style="31" customWidth="1"/>
    <col min="3607" max="3609" width="12.1328125" style="31" customWidth="1"/>
    <col min="3610" max="3610" width="0" style="31" hidden="1" customWidth="1"/>
    <col min="3611" max="3611" width="13.73046875" style="31" customWidth="1"/>
    <col min="3612" max="3612" width="12.86328125" style="31" customWidth="1"/>
    <col min="3613" max="3629" width="14.3984375" style="31" customWidth="1"/>
    <col min="3630" max="3632" width="16" style="31" bestFit="1" customWidth="1"/>
    <col min="3633" max="3850" width="9.1328125" style="31"/>
    <col min="3851" max="3851" width="32.265625" style="31" customWidth="1"/>
    <col min="3852" max="3853" width="9.1328125" style="31"/>
    <col min="3854" max="3854" width="11.59765625" style="31" customWidth="1"/>
    <col min="3855" max="3855" width="16" style="31" customWidth="1"/>
    <col min="3856" max="3856" width="14.265625" style="31" customWidth="1"/>
    <col min="3857" max="3857" width="17.73046875" style="31" customWidth="1"/>
    <col min="3858" max="3858" width="15.265625" style="31" customWidth="1"/>
    <col min="3859" max="3859" width="13.73046875" style="31" customWidth="1"/>
    <col min="3860" max="3861" width="12.1328125" style="31" customWidth="1"/>
    <col min="3862" max="3862" width="14.265625" style="31" customWidth="1"/>
    <col min="3863" max="3865" width="12.1328125" style="31" customWidth="1"/>
    <col min="3866" max="3866" width="0" style="31" hidden="1" customWidth="1"/>
    <col min="3867" max="3867" width="13.73046875" style="31" customWidth="1"/>
    <col min="3868" max="3868" width="12.86328125" style="31" customWidth="1"/>
    <col min="3869" max="3885" width="14.3984375" style="31" customWidth="1"/>
    <col min="3886" max="3888" width="16" style="31" bestFit="1" customWidth="1"/>
    <col min="3889" max="4106" width="9.1328125" style="31"/>
    <col min="4107" max="4107" width="32.265625" style="31" customWidth="1"/>
    <col min="4108" max="4109" width="9.1328125" style="31"/>
    <col min="4110" max="4110" width="11.59765625" style="31" customWidth="1"/>
    <col min="4111" max="4111" width="16" style="31" customWidth="1"/>
    <col min="4112" max="4112" width="14.265625" style="31" customWidth="1"/>
    <col min="4113" max="4113" width="17.73046875" style="31" customWidth="1"/>
    <col min="4114" max="4114" width="15.265625" style="31" customWidth="1"/>
    <col min="4115" max="4115" width="13.73046875" style="31" customWidth="1"/>
    <col min="4116" max="4117" width="12.1328125" style="31" customWidth="1"/>
    <col min="4118" max="4118" width="14.265625" style="31" customWidth="1"/>
    <col min="4119" max="4121" width="12.1328125" style="31" customWidth="1"/>
    <col min="4122" max="4122" width="0" style="31" hidden="1" customWidth="1"/>
    <col min="4123" max="4123" width="13.73046875" style="31" customWidth="1"/>
    <col min="4124" max="4124" width="12.86328125" style="31" customWidth="1"/>
    <col min="4125" max="4141" width="14.3984375" style="31" customWidth="1"/>
    <col min="4142" max="4144" width="16" style="31" bestFit="1" customWidth="1"/>
    <col min="4145" max="4362" width="9.1328125" style="31"/>
    <col min="4363" max="4363" width="32.265625" style="31" customWidth="1"/>
    <col min="4364" max="4365" width="9.1328125" style="31"/>
    <col min="4366" max="4366" width="11.59765625" style="31" customWidth="1"/>
    <col min="4367" max="4367" width="16" style="31" customWidth="1"/>
    <col min="4368" max="4368" width="14.265625" style="31" customWidth="1"/>
    <col min="4369" max="4369" width="17.73046875" style="31" customWidth="1"/>
    <col min="4370" max="4370" width="15.265625" style="31" customWidth="1"/>
    <col min="4371" max="4371" width="13.73046875" style="31" customWidth="1"/>
    <col min="4372" max="4373" width="12.1328125" style="31" customWidth="1"/>
    <col min="4374" max="4374" width="14.265625" style="31" customWidth="1"/>
    <col min="4375" max="4377" width="12.1328125" style="31" customWidth="1"/>
    <col min="4378" max="4378" width="0" style="31" hidden="1" customWidth="1"/>
    <col min="4379" max="4379" width="13.73046875" style="31" customWidth="1"/>
    <col min="4380" max="4380" width="12.86328125" style="31" customWidth="1"/>
    <col min="4381" max="4397" width="14.3984375" style="31" customWidth="1"/>
    <col min="4398" max="4400" width="16" style="31" bestFit="1" customWidth="1"/>
    <col min="4401" max="4618" width="9.1328125" style="31"/>
    <col min="4619" max="4619" width="32.265625" style="31" customWidth="1"/>
    <col min="4620" max="4621" width="9.1328125" style="31"/>
    <col min="4622" max="4622" width="11.59765625" style="31" customWidth="1"/>
    <col min="4623" max="4623" width="16" style="31" customWidth="1"/>
    <col min="4624" max="4624" width="14.265625" style="31" customWidth="1"/>
    <col min="4625" max="4625" width="17.73046875" style="31" customWidth="1"/>
    <col min="4626" max="4626" width="15.265625" style="31" customWidth="1"/>
    <col min="4627" max="4627" width="13.73046875" style="31" customWidth="1"/>
    <col min="4628" max="4629" width="12.1328125" style="31" customWidth="1"/>
    <col min="4630" max="4630" width="14.265625" style="31" customWidth="1"/>
    <col min="4631" max="4633" width="12.1328125" style="31" customWidth="1"/>
    <col min="4634" max="4634" width="0" style="31" hidden="1" customWidth="1"/>
    <col min="4635" max="4635" width="13.73046875" style="31" customWidth="1"/>
    <col min="4636" max="4636" width="12.86328125" style="31" customWidth="1"/>
    <col min="4637" max="4653" width="14.3984375" style="31" customWidth="1"/>
    <col min="4654" max="4656" width="16" style="31" bestFit="1" customWidth="1"/>
    <col min="4657" max="4874" width="9.1328125" style="31"/>
    <col min="4875" max="4875" width="32.265625" style="31" customWidth="1"/>
    <col min="4876" max="4877" width="9.1328125" style="31"/>
    <col min="4878" max="4878" width="11.59765625" style="31" customWidth="1"/>
    <col min="4879" max="4879" width="16" style="31" customWidth="1"/>
    <col min="4880" max="4880" width="14.265625" style="31" customWidth="1"/>
    <col min="4881" max="4881" width="17.73046875" style="31" customWidth="1"/>
    <col min="4882" max="4882" width="15.265625" style="31" customWidth="1"/>
    <col min="4883" max="4883" width="13.73046875" style="31" customWidth="1"/>
    <col min="4884" max="4885" width="12.1328125" style="31" customWidth="1"/>
    <col min="4886" max="4886" width="14.265625" style="31" customWidth="1"/>
    <col min="4887" max="4889" width="12.1328125" style="31" customWidth="1"/>
    <col min="4890" max="4890" width="0" style="31" hidden="1" customWidth="1"/>
    <col min="4891" max="4891" width="13.73046875" style="31" customWidth="1"/>
    <col min="4892" max="4892" width="12.86328125" style="31" customWidth="1"/>
    <col min="4893" max="4909" width="14.3984375" style="31" customWidth="1"/>
    <col min="4910" max="4912" width="16" style="31" bestFit="1" customWidth="1"/>
    <col min="4913" max="5130" width="9.1328125" style="31"/>
    <col min="5131" max="5131" width="32.265625" style="31" customWidth="1"/>
    <col min="5132" max="5133" width="9.1328125" style="31"/>
    <col min="5134" max="5134" width="11.59765625" style="31" customWidth="1"/>
    <col min="5135" max="5135" width="16" style="31" customWidth="1"/>
    <col min="5136" max="5136" width="14.265625" style="31" customWidth="1"/>
    <col min="5137" max="5137" width="17.73046875" style="31" customWidth="1"/>
    <col min="5138" max="5138" width="15.265625" style="31" customWidth="1"/>
    <col min="5139" max="5139" width="13.73046875" style="31" customWidth="1"/>
    <col min="5140" max="5141" width="12.1328125" style="31" customWidth="1"/>
    <col min="5142" max="5142" width="14.265625" style="31" customWidth="1"/>
    <col min="5143" max="5145" width="12.1328125" style="31" customWidth="1"/>
    <col min="5146" max="5146" width="0" style="31" hidden="1" customWidth="1"/>
    <col min="5147" max="5147" width="13.73046875" style="31" customWidth="1"/>
    <col min="5148" max="5148" width="12.86328125" style="31" customWidth="1"/>
    <col min="5149" max="5165" width="14.3984375" style="31" customWidth="1"/>
    <col min="5166" max="5168" width="16" style="31" bestFit="1" customWidth="1"/>
    <col min="5169" max="5386" width="9.1328125" style="31"/>
    <col min="5387" max="5387" width="32.265625" style="31" customWidth="1"/>
    <col min="5388" max="5389" width="9.1328125" style="31"/>
    <col min="5390" max="5390" width="11.59765625" style="31" customWidth="1"/>
    <col min="5391" max="5391" width="16" style="31" customWidth="1"/>
    <col min="5392" max="5392" width="14.265625" style="31" customWidth="1"/>
    <col min="5393" max="5393" width="17.73046875" style="31" customWidth="1"/>
    <col min="5394" max="5394" width="15.265625" style="31" customWidth="1"/>
    <col min="5395" max="5395" width="13.73046875" style="31" customWidth="1"/>
    <col min="5396" max="5397" width="12.1328125" style="31" customWidth="1"/>
    <col min="5398" max="5398" width="14.265625" style="31" customWidth="1"/>
    <col min="5399" max="5401" width="12.1328125" style="31" customWidth="1"/>
    <col min="5402" max="5402" width="0" style="31" hidden="1" customWidth="1"/>
    <col min="5403" max="5403" width="13.73046875" style="31" customWidth="1"/>
    <col min="5404" max="5404" width="12.86328125" style="31" customWidth="1"/>
    <col min="5405" max="5421" width="14.3984375" style="31" customWidth="1"/>
    <col min="5422" max="5424" width="16" style="31" bestFit="1" customWidth="1"/>
    <col min="5425" max="5642" width="9.1328125" style="31"/>
    <col min="5643" max="5643" width="32.265625" style="31" customWidth="1"/>
    <col min="5644" max="5645" width="9.1328125" style="31"/>
    <col min="5646" max="5646" width="11.59765625" style="31" customWidth="1"/>
    <col min="5647" max="5647" width="16" style="31" customWidth="1"/>
    <col min="5648" max="5648" width="14.265625" style="31" customWidth="1"/>
    <col min="5649" max="5649" width="17.73046875" style="31" customWidth="1"/>
    <col min="5650" max="5650" width="15.265625" style="31" customWidth="1"/>
    <col min="5651" max="5651" width="13.73046875" style="31" customWidth="1"/>
    <col min="5652" max="5653" width="12.1328125" style="31" customWidth="1"/>
    <col min="5654" max="5654" width="14.265625" style="31" customWidth="1"/>
    <col min="5655" max="5657" width="12.1328125" style="31" customWidth="1"/>
    <col min="5658" max="5658" width="0" style="31" hidden="1" customWidth="1"/>
    <col min="5659" max="5659" width="13.73046875" style="31" customWidth="1"/>
    <col min="5660" max="5660" width="12.86328125" style="31" customWidth="1"/>
    <col min="5661" max="5677" width="14.3984375" style="31" customWidth="1"/>
    <col min="5678" max="5680" width="16" style="31" bestFit="1" customWidth="1"/>
    <col min="5681" max="5898" width="9.1328125" style="31"/>
    <col min="5899" max="5899" width="32.265625" style="31" customWidth="1"/>
    <col min="5900" max="5901" width="9.1328125" style="31"/>
    <col min="5902" max="5902" width="11.59765625" style="31" customWidth="1"/>
    <col min="5903" max="5903" width="16" style="31" customWidth="1"/>
    <col min="5904" max="5904" width="14.265625" style="31" customWidth="1"/>
    <col min="5905" max="5905" width="17.73046875" style="31" customWidth="1"/>
    <col min="5906" max="5906" width="15.265625" style="31" customWidth="1"/>
    <col min="5907" max="5907" width="13.73046875" style="31" customWidth="1"/>
    <col min="5908" max="5909" width="12.1328125" style="31" customWidth="1"/>
    <col min="5910" max="5910" width="14.265625" style="31" customWidth="1"/>
    <col min="5911" max="5913" width="12.1328125" style="31" customWidth="1"/>
    <col min="5914" max="5914" width="0" style="31" hidden="1" customWidth="1"/>
    <col min="5915" max="5915" width="13.73046875" style="31" customWidth="1"/>
    <col min="5916" max="5916" width="12.86328125" style="31" customWidth="1"/>
    <col min="5917" max="5933" width="14.3984375" style="31" customWidth="1"/>
    <col min="5934" max="5936" width="16" style="31" bestFit="1" customWidth="1"/>
    <col min="5937" max="6154" width="9.1328125" style="31"/>
    <col min="6155" max="6155" width="32.265625" style="31" customWidth="1"/>
    <col min="6156" max="6157" width="9.1328125" style="31"/>
    <col min="6158" max="6158" width="11.59765625" style="31" customWidth="1"/>
    <col min="6159" max="6159" width="16" style="31" customWidth="1"/>
    <col min="6160" max="6160" width="14.265625" style="31" customWidth="1"/>
    <col min="6161" max="6161" width="17.73046875" style="31" customWidth="1"/>
    <col min="6162" max="6162" width="15.265625" style="31" customWidth="1"/>
    <col min="6163" max="6163" width="13.73046875" style="31" customWidth="1"/>
    <col min="6164" max="6165" width="12.1328125" style="31" customWidth="1"/>
    <col min="6166" max="6166" width="14.265625" style="31" customWidth="1"/>
    <col min="6167" max="6169" width="12.1328125" style="31" customWidth="1"/>
    <col min="6170" max="6170" width="0" style="31" hidden="1" customWidth="1"/>
    <col min="6171" max="6171" width="13.73046875" style="31" customWidth="1"/>
    <col min="6172" max="6172" width="12.86328125" style="31" customWidth="1"/>
    <col min="6173" max="6189" width="14.3984375" style="31" customWidth="1"/>
    <col min="6190" max="6192" width="16" style="31" bestFit="1" customWidth="1"/>
    <col min="6193" max="6410" width="9.1328125" style="31"/>
    <col min="6411" max="6411" width="32.265625" style="31" customWidth="1"/>
    <col min="6412" max="6413" width="9.1328125" style="31"/>
    <col min="6414" max="6414" width="11.59765625" style="31" customWidth="1"/>
    <col min="6415" max="6415" width="16" style="31" customWidth="1"/>
    <col min="6416" max="6416" width="14.265625" style="31" customWidth="1"/>
    <col min="6417" max="6417" width="17.73046875" style="31" customWidth="1"/>
    <col min="6418" max="6418" width="15.265625" style="31" customWidth="1"/>
    <col min="6419" max="6419" width="13.73046875" style="31" customWidth="1"/>
    <col min="6420" max="6421" width="12.1328125" style="31" customWidth="1"/>
    <col min="6422" max="6422" width="14.265625" style="31" customWidth="1"/>
    <col min="6423" max="6425" width="12.1328125" style="31" customWidth="1"/>
    <col min="6426" max="6426" width="0" style="31" hidden="1" customWidth="1"/>
    <col min="6427" max="6427" width="13.73046875" style="31" customWidth="1"/>
    <col min="6428" max="6428" width="12.86328125" style="31" customWidth="1"/>
    <col min="6429" max="6445" width="14.3984375" style="31" customWidth="1"/>
    <col min="6446" max="6448" width="16" style="31" bestFit="1" customWidth="1"/>
    <col min="6449" max="6666" width="9.1328125" style="31"/>
    <col min="6667" max="6667" width="32.265625" style="31" customWidth="1"/>
    <col min="6668" max="6669" width="9.1328125" style="31"/>
    <col min="6670" max="6670" width="11.59765625" style="31" customWidth="1"/>
    <col min="6671" max="6671" width="16" style="31" customWidth="1"/>
    <col min="6672" max="6672" width="14.265625" style="31" customWidth="1"/>
    <col min="6673" max="6673" width="17.73046875" style="31" customWidth="1"/>
    <col min="6674" max="6674" width="15.265625" style="31" customWidth="1"/>
    <col min="6675" max="6675" width="13.73046875" style="31" customWidth="1"/>
    <col min="6676" max="6677" width="12.1328125" style="31" customWidth="1"/>
    <col min="6678" max="6678" width="14.265625" style="31" customWidth="1"/>
    <col min="6679" max="6681" width="12.1328125" style="31" customWidth="1"/>
    <col min="6682" max="6682" width="0" style="31" hidden="1" customWidth="1"/>
    <col min="6683" max="6683" width="13.73046875" style="31" customWidth="1"/>
    <col min="6684" max="6684" width="12.86328125" style="31" customWidth="1"/>
    <col min="6685" max="6701" width="14.3984375" style="31" customWidth="1"/>
    <col min="6702" max="6704" width="16" style="31" bestFit="1" customWidth="1"/>
    <col min="6705" max="6922" width="9.1328125" style="31"/>
    <col min="6923" max="6923" width="32.265625" style="31" customWidth="1"/>
    <col min="6924" max="6925" width="9.1328125" style="31"/>
    <col min="6926" max="6926" width="11.59765625" style="31" customWidth="1"/>
    <col min="6927" max="6927" width="16" style="31" customWidth="1"/>
    <col min="6928" max="6928" width="14.265625" style="31" customWidth="1"/>
    <col min="6929" max="6929" width="17.73046875" style="31" customWidth="1"/>
    <col min="6930" max="6930" width="15.265625" style="31" customWidth="1"/>
    <col min="6931" max="6931" width="13.73046875" style="31" customWidth="1"/>
    <col min="6932" max="6933" width="12.1328125" style="31" customWidth="1"/>
    <col min="6934" max="6934" width="14.265625" style="31" customWidth="1"/>
    <col min="6935" max="6937" width="12.1328125" style="31" customWidth="1"/>
    <col min="6938" max="6938" width="0" style="31" hidden="1" customWidth="1"/>
    <col min="6939" max="6939" width="13.73046875" style="31" customWidth="1"/>
    <col min="6940" max="6940" width="12.86328125" style="31" customWidth="1"/>
    <col min="6941" max="6957" width="14.3984375" style="31" customWidth="1"/>
    <col min="6958" max="6960" width="16" style="31" bestFit="1" customWidth="1"/>
    <col min="6961" max="7178" width="9.1328125" style="31"/>
    <col min="7179" max="7179" width="32.265625" style="31" customWidth="1"/>
    <col min="7180" max="7181" width="9.1328125" style="31"/>
    <col min="7182" max="7182" width="11.59765625" style="31" customWidth="1"/>
    <col min="7183" max="7183" width="16" style="31" customWidth="1"/>
    <col min="7184" max="7184" width="14.265625" style="31" customWidth="1"/>
    <col min="7185" max="7185" width="17.73046875" style="31" customWidth="1"/>
    <col min="7186" max="7186" width="15.265625" style="31" customWidth="1"/>
    <col min="7187" max="7187" width="13.73046875" style="31" customWidth="1"/>
    <col min="7188" max="7189" width="12.1328125" style="31" customWidth="1"/>
    <col min="7190" max="7190" width="14.265625" style="31" customWidth="1"/>
    <col min="7191" max="7193" width="12.1328125" style="31" customWidth="1"/>
    <col min="7194" max="7194" width="0" style="31" hidden="1" customWidth="1"/>
    <col min="7195" max="7195" width="13.73046875" style="31" customWidth="1"/>
    <col min="7196" max="7196" width="12.86328125" style="31" customWidth="1"/>
    <col min="7197" max="7213" width="14.3984375" style="31" customWidth="1"/>
    <col min="7214" max="7216" width="16" style="31" bestFit="1" customWidth="1"/>
    <col min="7217" max="7434" width="9.1328125" style="31"/>
    <col min="7435" max="7435" width="32.265625" style="31" customWidth="1"/>
    <col min="7436" max="7437" width="9.1328125" style="31"/>
    <col min="7438" max="7438" width="11.59765625" style="31" customWidth="1"/>
    <col min="7439" max="7439" width="16" style="31" customWidth="1"/>
    <col min="7440" max="7440" width="14.265625" style="31" customWidth="1"/>
    <col min="7441" max="7441" width="17.73046875" style="31" customWidth="1"/>
    <col min="7442" max="7442" width="15.265625" style="31" customWidth="1"/>
    <col min="7443" max="7443" width="13.73046875" style="31" customWidth="1"/>
    <col min="7444" max="7445" width="12.1328125" style="31" customWidth="1"/>
    <col min="7446" max="7446" width="14.265625" style="31" customWidth="1"/>
    <col min="7447" max="7449" width="12.1328125" style="31" customWidth="1"/>
    <col min="7450" max="7450" width="0" style="31" hidden="1" customWidth="1"/>
    <col min="7451" max="7451" width="13.73046875" style="31" customWidth="1"/>
    <col min="7452" max="7452" width="12.86328125" style="31" customWidth="1"/>
    <col min="7453" max="7469" width="14.3984375" style="31" customWidth="1"/>
    <col min="7470" max="7472" width="16" style="31" bestFit="1" customWidth="1"/>
    <col min="7473" max="7690" width="9.1328125" style="31"/>
    <col min="7691" max="7691" width="32.265625" style="31" customWidth="1"/>
    <col min="7692" max="7693" width="9.1328125" style="31"/>
    <col min="7694" max="7694" width="11.59765625" style="31" customWidth="1"/>
    <col min="7695" max="7695" width="16" style="31" customWidth="1"/>
    <col min="7696" max="7696" width="14.265625" style="31" customWidth="1"/>
    <col min="7697" max="7697" width="17.73046875" style="31" customWidth="1"/>
    <col min="7698" max="7698" width="15.265625" style="31" customWidth="1"/>
    <col min="7699" max="7699" width="13.73046875" style="31" customWidth="1"/>
    <col min="7700" max="7701" width="12.1328125" style="31" customWidth="1"/>
    <col min="7702" max="7702" width="14.265625" style="31" customWidth="1"/>
    <col min="7703" max="7705" width="12.1328125" style="31" customWidth="1"/>
    <col min="7706" max="7706" width="0" style="31" hidden="1" customWidth="1"/>
    <col min="7707" max="7707" width="13.73046875" style="31" customWidth="1"/>
    <col min="7708" max="7708" width="12.86328125" style="31" customWidth="1"/>
    <col min="7709" max="7725" width="14.3984375" style="31" customWidth="1"/>
    <col min="7726" max="7728" width="16" style="31" bestFit="1" customWidth="1"/>
    <col min="7729" max="7946" width="9.1328125" style="31"/>
    <col min="7947" max="7947" width="32.265625" style="31" customWidth="1"/>
    <col min="7948" max="7949" width="9.1328125" style="31"/>
    <col min="7950" max="7950" width="11.59765625" style="31" customWidth="1"/>
    <col min="7951" max="7951" width="16" style="31" customWidth="1"/>
    <col min="7952" max="7952" width="14.265625" style="31" customWidth="1"/>
    <col min="7953" max="7953" width="17.73046875" style="31" customWidth="1"/>
    <col min="7954" max="7954" width="15.265625" style="31" customWidth="1"/>
    <col min="7955" max="7955" width="13.73046875" style="31" customWidth="1"/>
    <col min="7956" max="7957" width="12.1328125" style="31" customWidth="1"/>
    <col min="7958" max="7958" width="14.265625" style="31" customWidth="1"/>
    <col min="7959" max="7961" width="12.1328125" style="31" customWidth="1"/>
    <col min="7962" max="7962" width="0" style="31" hidden="1" customWidth="1"/>
    <col min="7963" max="7963" width="13.73046875" style="31" customWidth="1"/>
    <col min="7964" max="7964" width="12.86328125" style="31" customWidth="1"/>
    <col min="7965" max="7981" width="14.3984375" style="31" customWidth="1"/>
    <col min="7982" max="7984" width="16" style="31" bestFit="1" customWidth="1"/>
    <col min="7985" max="8202" width="9.1328125" style="31"/>
    <col min="8203" max="8203" width="32.265625" style="31" customWidth="1"/>
    <col min="8204" max="8205" width="9.1328125" style="31"/>
    <col min="8206" max="8206" width="11.59765625" style="31" customWidth="1"/>
    <col min="8207" max="8207" width="16" style="31" customWidth="1"/>
    <col min="8208" max="8208" width="14.265625" style="31" customWidth="1"/>
    <col min="8209" max="8209" width="17.73046875" style="31" customWidth="1"/>
    <col min="8210" max="8210" width="15.265625" style="31" customWidth="1"/>
    <col min="8211" max="8211" width="13.73046875" style="31" customWidth="1"/>
    <col min="8212" max="8213" width="12.1328125" style="31" customWidth="1"/>
    <col min="8214" max="8214" width="14.265625" style="31" customWidth="1"/>
    <col min="8215" max="8217" width="12.1328125" style="31" customWidth="1"/>
    <col min="8218" max="8218" width="0" style="31" hidden="1" customWidth="1"/>
    <col min="8219" max="8219" width="13.73046875" style="31" customWidth="1"/>
    <col min="8220" max="8220" width="12.86328125" style="31" customWidth="1"/>
    <col min="8221" max="8237" width="14.3984375" style="31" customWidth="1"/>
    <col min="8238" max="8240" width="16" style="31" bestFit="1" customWidth="1"/>
    <col min="8241" max="8458" width="9.1328125" style="31"/>
    <col min="8459" max="8459" width="32.265625" style="31" customWidth="1"/>
    <col min="8460" max="8461" width="9.1328125" style="31"/>
    <col min="8462" max="8462" width="11.59765625" style="31" customWidth="1"/>
    <col min="8463" max="8463" width="16" style="31" customWidth="1"/>
    <col min="8464" max="8464" width="14.265625" style="31" customWidth="1"/>
    <col min="8465" max="8465" width="17.73046875" style="31" customWidth="1"/>
    <col min="8466" max="8466" width="15.265625" style="31" customWidth="1"/>
    <col min="8467" max="8467" width="13.73046875" style="31" customWidth="1"/>
    <col min="8468" max="8469" width="12.1328125" style="31" customWidth="1"/>
    <col min="8470" max="8470" width="14.265625" style="31" customWidth="1"/>
    <col min="8471" max="8473" width="12.1328125" style="31" customWidth="1"/>
    <col min="8474" max="8474" width="0" style="31" hidden="1" customWidth="1"/>
    <col min="8475" max="8475" width="13.73046875" style="31" customWidth="1"/>
    <col min="8476" max="8476" width="12.86328125" style="31" customWidth="1"/>
    <col min="8477" max="8493" width="14.3984375" style="31" customWidth="1"/>
    <col min="8494" max="8496" width="16" style="31" bestFit="1" customWidth="1"/>
    <col min="8497" max="8714" width="9.1328125" style="31"/>
    <col min="8715" max="8715" width="32.265625" style="31" customWidth="1"/>
    <col min="8716" max="8717" width="9.1328125" style="31"/>
    <col min="8718" max="8718" width="11.59765625" style="31" customWidth="1"/>
    <col min="8719" max="8719" width="16" style="31" customWidth="1"/>
    <col min="8720" max="8720" width="14.265625" style="31" customWidth="1"/>
    <col min="8721" max="8721" width="17.73046875" style="31" customWidth="1"/>
    <col min="8722" max="8722" width="15.265625" style="31" customWidth="1"/>
    <col min="8723" max="8723" width="13.73046875" style="31" customWidth="1"/>
    <col min="8724" max="8725" width="12.1328125" style="31" customWidth="1"/>
    <col min="8726" max="8726" width="14.265625" style="31" customWidth="1"/>
    <col min="8727" max="8729" width="12.1328125" style="31" customWidth="1"/>
    <col min="8730" max="8730" width="0" style="31" hidden="1" customWidth="1"/>
    <col min="8731" max="8731" width="13.73046875" style="31" customWidth="1"/>
    <col min="8732" max="8732" width="12.86328125" style="31" customWidth="1"/>
    <col min="8733" max="8749" width="14.3984375" style="31" customWidth="1"/>
    <col min="8750" max="8752" width="16" style="31" bestFit="1" customWidth="1"/>
    <col min="8753" max="8970" width="9.1328125" style="31"/>
    <col min="8971" max="8971" width="32.265625" style="31" customWidth="1"/>
    <col min="8972" max="8973" width="9.1328125" style="31"/>
    <col min="8974" max="8974" width="11.59765625" style="31" customWidth="1"/>
    <col min="8975" max="8975" width="16" style="31" customWidth="1"/>
    <col min="8976" max="8976" width="14.265625" style="31" customWidth="1"/>
    <col min="8977" max="8977" width="17.73046875" style="31" customWidth="1"/>
    <col min="8978" max="8978" width="15.265625" style="31" customWidth="1"/>
    <col min="8979" max="8979" width="13.73046875" style="31" customWidth="1"/>
    <col min="8980" max="8981" width="12.1328125" style="31" customWidth="1"/>
    <col min="8982" max="8982" width="14.265625" style="31" customWidth="1"/>
    <col min="8983" max="8985" width="12.1328125" style="31" customWidth="1"/>
    <col min="8986" max="8986" width="0" style="31" hidden="1" customWidth="1"/>
    <col min="8987" max="8987" width="13.73046875" style="31" customWidth="1"/>
    <col min="8988" max="8988" width="12.86328125" style="31" customWidth="1"/>
    <col min="8989" max="9005" width="14.3984375" style="31" customWidth="1"/>
    <col min="9006" max="9008" width="16" style="31" bestFit="1" customWidth="1"/>
    <col min="9009" max="9226" width="9.1328125" style="31"/>
    <col min="9227" max="9227" width="32.265625" style="31" customWidth="1"/>
    <col min="9228" max="9229" width="9.1328125" style="31"/>
    <col min="9230" max="9230" width="11.59765625" style="31" customWidth="1"/>
    <col min="9231" max="9231" width="16" style="31" customWidth="1"/>
    <col min="9232" max="9232" width="14.265625" style="31" customWidth="1"/>
    <col min="9233" max="9233" width="17.73046875" style="31" customWidth="1"/>
    <col min="9234" max="9234" width="15.265625" style="31" customWidth="1"/>
    <col min="9235" max="9235" width="13.73046875" style="31" customWidth="1"/>
    <col min="9236" max="9237" width="12.1328125" style="31" customWidth="1"/>
    <col min="9238" max="9238" width="14.265625" style="31" customWidth="1"/>
    <col min="9239" max="9241" width="12.1328125" style="31" customWidth="1"/>
    <col min="9242" max="9242" width="0" style="31" hidden="1" customWidth="1"/>
    <col min="9243" max="9243" width="13.73046875" style="31" customWidth="1"/>
    <col min="9244" max="9244" width="12.86328125" style="31" customWidth="1"/>
    <col min="9245" max="9261" width="14.3984375" style="31" customWidth="1"/>
    <col min="9262" max="9264" width="16" style="31" bestFit="1" customWidth="1"/>
    <col min="9265" max="9482" width="9.1328125" style="31"/>
    <col min="9483" max="9483" width="32.265625" style="31" customWidth="1"/>
    <col min="9484" max="9485" width="9.1328125" style="31"/>
    <col min="9486" max="9486" width="11.59765625" style="31" customWidth="1"/>
    <col min="9487" max="9487" width="16" style="31" customWidth="1"/>
    <col min="9488" max="9488" width="14.265625" style="31" customWidth="1"/>
    <col min="9489" max="9489" width="17.73046875" style="31" customWidth="1"/>
    <col min="9490" max="9490" width="15.265625" style="31" customWidth="1"/>
    <col min="9491" max="9491" width="13.73046875" style="31" customWidth="1"/>
    <col min="9492" max="9493" width="12.1328125" style="31" customWidth="1"/>
    <col min="9494" max="9494" width="14.265625" style="31" customWidth="1"/>
    <col min="9495" max="9497" width="12.1328125" style="31" customWidth="1"/>
    <col min="9498" max="9498" width="0" style="31" hidden="1" customWidth="1"/>
    <col min="9499" max="9499" width="13.73046875" style="31" customWidth="1"/>
    <col min="9500" max="9500" width="12.86328125" style="31" customWidth="1"/>
    <col min="9501" max="9517" width="14.3984375" style="31" customWidth="1"/>
    <col min="9518" max="9520" width="16" style="31" bestFit="1" customWidth="1"/>
    <col min="9521" max="9738" width="9.1328125" style="31"/>
    <col min="9739" max="9739" width="32.265625" style="31" customWidth="1"/>
    <col min="9740" max="9741" width="9.1328125" style="31"/>
    <col min="9742" max="9742" width="11.59765625" style="31" customWidth="1"/>
    <col min="9743" max="9743" width="16" style="31" customWidth="1"/>
    <col min="9744" max="9744" width="14.265625" style="31" customWidth="1"/>
    <col min="9745" max="9745" width="17.73046875" style="31" customWidth="1"/>
    <col min="9746" max="9746" width="15.265625" style="31" customWidth="1"/>
    <col min="9747" max="9747" width="13.73046875" style="31" customWidth="1"/>
    <col min="9748" max="9749" width="12.1328125" style="31" customWidth="1"/>
    <col min="9750" max="9750" width="14.265625" style="31" customWidth="1"/>
    <col min="9751" max="9753" width="12.1328125" style="31" customWidth="1"/>
    <col min="9754" max="9754" width="0" style="31" hidden="1" customWidth="1"/>
    <col min="9755" max="9755" width="13.73046875" style="31" customWidth="1"/>
    <col min="9756" max="9756" width="12.86328125" style="31" customWidth="1"/>
    <col min="9757" max="9773" width="14.3984375" style="31" customWidth="1"/>
    <col min="9774" max="9776" width="16" style="31" bestFit="1" customWidth="1"/>
    <col min="9777" max="9994" width="9.1328125" style="31"/>
    <col min="9995" max="9995" width="32.265625" style="31" customWidth="1"/>
    <col min="9996" max="9997" width="9.1328125" style="31"/>
    <col min="9998" max="9998" width="11.59765625" style="31" customWidth="1"/>
    <col min="9999" max="9999" width="16" style="31" customWidth="1"/>
    <col min="10000" max="10000" width="14.265625" style="31" customWidth="1"/>
    <col min="10001" max="10001" width="17.73046875" style="31" customWidth="1"/>
    <col min="10002" max="10002" width="15.265625" style="31" customWidth="1"/>
    <col min="10003" max="10003" width="13.73046875" style="31" customWidth="1"/>
    <col min="10004" max="10005" width="12.1328125" style="31" customWidth="1"/>
    <col min="10006" max="10006" width="14.265625" style="31" customWidth="1"/>
    <col min="10007" max="10009" width="12.1328125" style="31" customWidth="1"/>
    <col min="10010" max="10010" width="0" style="31" hidden="1" customWidth="1"/>
    <col min="10011" max="10011" width="13.73046875" style="31" customWidth="1"/>
    <col min="10012" max="10012" width="12.86328125" style="31" customWidth="1"/>
    <col min="10013" max="10029" width="14.3984375" style="31" customWidth="1"/>
    <col min="10030" max="10032" width="16" style="31" bestFit="1" customWidth="1"/>
    <col min="10033" max="10250" width="9.1328125" style="31"/>
    <col min="10251" max="10251" width="32.265625" style="31" customWidth="1"/>
    <col min="10252" max="10253" width="9.1328125" style="31"/>
    <col min="10254" max="10254" width="11.59765625" style="31" customWidth="1"/>
    <col min="10255" max="10255" width="16" style="31" customWidth="1"/>
    <col min="10256" max="10256" width="14.265625" style="31" customWidth="1"/>
    <col min="10257" max="10257" width="17.73046875" style="31" customWidth="1"/>
    <col min="10258" max="10258" width="15.265625" style="31" customWidth="1"/>
    <col min="10259" max="10259" width="13.73046875" style="31" customWidth="1"/>
    <col min="10260" max="10261" width="12.1328125" style="31" customWidth="1"/>
    <col min="10262" max="10262" width="14.265625" style="31" customWidth="1"/>
    <col min="10263" max="10265" width="12.1328125" style="31" customWidth="1"/>
    <col min="10266" max="10266" width="0" style="31" hidden="1" customWidth="1"/>
    <col min="10267" max="10267" width="13.73046875" style="31" customWidth="1"/>
    <col min="10268" max="10268" width="12.86328125" style="31" customWidth="1"/>
    <col min="10269" max="10285" width="14.3984375" style="31" customWidth="1"/>
    <col min="10286" max="10288" width="16" style="31" bestFit="1" customWidth="1"/>
    <col min="10289" max="10506" width="9.1328125" style="31"/>
    <col min="10507" max="10507" width="32.265625" style="31" customWidth="1"/>
    <col min="10508" max="10509" width="9.1328125" style="31"/>
    <col min="10510" max="10510" width="11.59765625" style="31" customWidth="1"/>
    <col min="10511" max="10511" width="16" style="31" customWidth="1"/>
    <col min="10512" max="10512" width="14.265625" style="31" customWidth="1"/>
    <col min="10513" max="10513" width="17.73046875" style="31" customWidth="1"/>
    <col min="10514" max="10514" width="15.265625" style="31" customWidth="1"/>
    <col min="10515" max="10515" width="13.73046875" style="31" customWidth="1"/>
    <col min="10516" max="10517" width="12.1328125" style="31" customWidth="1"/>
    <col min="10518" max="10518" width="14.265625" style="31" customWidth="1"/>
    <col min="10519" max="10521" width="12.1328125" style="31" customWidth="1"/>
    <col min="10522" max="10522" width="0" style="31" hidden="1" customWidth="1"/>
    <col min="10523" max="10523" width="13.73046875" style="31" customWidth="1"/>
    <col min="10524" max="10524" width="12.86328125" style="31" customWidth="1"/>
    <col min="10525" max="10541" width="14.3984375" style="31" customWidth="1"/>
    <col min="10542" max="10544" width="16" style="31" bestFit="1" customWidth="1"/>
    <col min="10545" max="10762" width="9.1328125" style="31"/>
    <col min="10763" max="10763" width="32.265625" style="31" customWidth="1"/>
    <col min="10764" max="10765" width="9.1328125" style="31"/>
    <col min="10766" max="10766" width="11.59765625" style="31" customWidth="1"/>
    <col min="10767" max="10767" width="16" style="31" customWidth="1"/>
    <col min="10768" max="10768" width="14.265625" style="31" customWidth="1"/>
    <col min="10769" max="10769" width="17.73046875" style="31" customWidth="1"/>
    <col min="10770" max="10770" width="15.265625" style="31" customWidth="1"/>
    <col min="10771" max="10771" width="13.73046875" style="31" customWidth="1"/>
    <col min="10772" max="10773" width="12.1328125" style="31" customWidth="1"/>
    <col min="10774" max="10774" width="14.265625" style="31" customWidth="1"/>
    <col min="10775" max="10777" width="12.1328125" style="31" customWidth="1"/>
    <col min="10778" max="10778" width="0" style="31" hidden="1" customWidth="1"/>
    <col min="10779" max="10779" width="13.73046875" style="31" customWidth="1"/>
    <col min="10780" max="10780" width="12.86328125" style="31" customWidth="1"/>
    <col min="10781" max="10797" width="14.3984375" style="31" customWidth="1"/>
    <col min="10798" max="10800" width="16" style="31" bestFit="1" customWidth="1"/>
    <col min="10801" max="11018" width="9.1328125" style="31"/>
    <col min="11019" max="11019" width="32.265625" style="31" customWidth="1"/>
    <col min="11020" max="11021" width="9.1328125" style="31"/>
    <col min="11022" max="11022" width="11.59765625" style="31" customWidth="1"/>
    <col min="11023" max="11023" width="16" style="31" customWidth="1"/>
    <col min="11024" max="11024" width="14.265625" style="31" customWidth="1"/>
    <col min="11025" max="11025" width="17.73046875" style="31" customWidth="1"/>
    <col min="11026" max="11026" width="15.265625" style="31" customWidth="1"/>
    <col min="11027" max="11027" width="13.73046875" style="31" customWidth="1"/>
    <col min="11028" max="11029" width="12.1328125" style="31" customWidth="1"/>
    <col min="11030" max="11030" width="14.265625" style="31" customWidth="1"/>
    <col min="11031" max="11033" width="12.1328125" style="31" customWidth="1"/>
    <col min="11034" max="11034" width="0" style="31" hidden="1" customWidth="1"/>
    <col min="11035" max="11035" width="13.73046875" style="31" customWidth="1"/>
    <col min="11036" max="11036" width="12.86328125" style="31" customWidth="1"/>
    <col min="11037" max="11053" width="14.3984375" style="31" customWidth="1"/>
    <col min="11054" max="11056" width="16" style="31" bestFit="1" customWidth="1"/>
    <col min="11057" max="11274" width="9.1328125" style="31"/>
    <col min="11275" max="11275" width="32.265625" style="31" customWidth="1"/>
    <col min="11276" max="11277" width="9.1328125" style="31"/>
    <col min="11278" max="11278" width="11.59765625" style="31" customWidth="1"/>
    <col min="11279" max="11279" width="16" style="31" customWidth="1"/>
    <col min="11280" max="11280" width="14.265625" style="31" customWidth="1"/>
    <col min="11281" max="11281" width="17.73046875" style="31" customWidth="1"/>
    <col min="11282" max="11282" width="15.265625" style="31" customWidth="1"/>
    <col min="11283" max="11283" width="13.73046875" style="31" customWidth="1"/>
    <col min="11284" max="11285" width="12.1328125" style="31" customWidth="1"/>
    <col min="11286" max="11286" width="14.265625" style="31" customWidth="1"/>
    <col min="11287" max="11289" width="12.1328125" style="31" customWidth="1"/>
    <col min="11290" max="11290" width="0" style="31" hidden="1" customWidth="1"/>
    <col min="11291" max="11291" width="13.73046875" style="31" customWidth="1"/>
    <col min="11292" max="11292" width="12.86328125" style="31" customWidth="1"/>
    <col min="11293" max="11309" width="14.3984375" style="31" customWidth="1"/>
    <col min="11310" max="11312" width="16" style="31" bestFit="1" customWidth="1"/>
    <col min="11313" max="11530" width="9.1328125" style="31"/>
    <col min="11531" max="11531" width="32.265625" style="31" customWidth="1"/>
    <col min="11532" max="11533" width="9.1328125" style="31"/>
    <col min="11534" max="11534" width="11.59765625" style="31" customWidth="1"/>
    <col min="11535" max="11535" width="16" style="31" customWidth="1"/>
    <col min="11536" max="11536" width="14.265625" style="31" customWidth="1"/>
    <col min="11537" max="11537" width="17.73046875" style="31" customWidth="1"/>
    <col min="11538" max="11538" width="15.265625" style="31" customWidth="1"/>
    <col min="11539" max="11539" width="13.73046875" style="31" customWidth="1"/>
    <col min="11540" max="11541" width="12.1328125" style="31" customWidth="1"/>
    <col min="11542" max="11542" width="14.265625" style="31" customWidth="1"/>
    <col min="11543" max="11545" width="12.1328125" style="31" customWidth="1"/>
    <col min="11546" max="11546" width="0" style="31" hidden="1" customWidth="1"/>
    <col min="11547" max="11547" width="13.73046875" style="31" customWidth="1"/>
    <col min="11548" max="11548" width="12.86328125" style="31" customWidth="1"/>
    <col min="11549" max="11565" width="14.3984375" style="31" customWidth="1"/>
    <col min="11566" max="11568" width="16" style="31" bestFit="1" customWidth="1"/>
    <col min="11569" max="11786" width="9.1328125" style="31"/>
    <col min="11787" max="11787" width="32.265625" style="31" customWidth="1"/>
    <col min="11788" max="11789" width="9.1328125" style="31"/>
    <col min="11790" max="11790" width="11.59765625" style="31" customWidth="1"/>
    <col min="11791" max="11791" width="16" style="31" customWidth="1"/>
    <col min="11792" max="11792" width="14.265625" style="31" customWidth="1"/>
    <col min="11793" max="11793" width="17.73046875" style="31" customWidth="1"/>
    <col min="11794" max="11794" width="15.265625" style="31" customWidth="1"/>
    <col min="11795" max="11795" width="13.73046875" style="31" customWidth="1"/>
    <col min="11796" max="11797" width="12.1328125" style="31" customWidth="1"/>
    <col min="11798" max="11798" width="14.265625" style="31" customWidth="1"/>
    <col min="11799" max="11801" width="12.1328125" style="31" customWidth="1"/>
    <col min="11802" max="11802" width="0" style="31" hidden="1" customWidth="1"/>
    <col min="11803" max="11803" width="13.73046875" style="31" customWidth="1"/>
    <col min="11804" max="11804" width="12.86328125" style="31" customWidth="1"/>
    <col min="11805" max="11821" width="14.3984375" style="31" customWidth="1"/>
    <col min="11822" max="11824" width="16" style="31" bestFit="1" customWidth="1"/>
    <col min="11825" max="12042" width="9.1328125" style="31"/>
    <col min="12043" max="12043" width="32.265625" style="31" customWidth="1"/>
    <col min="12044" max="12045" width="9.1328125" style="31"/>
    <col min="12046" max="12046" width="11.59765625" style="31" customWidth="1"/>
    <col min="12047" max="12047" width="16" style="31" customWidth="1"/>
    <col min="12048" max="12048" width="14.265625" style="31" customWidth="1"/>
    <col min="12049" max="12049" width="17.73046875" style="31" customWidth="1"/>
    <col min="12050" max="12050" width="15.265625" style="31" customWidth="1"/>
    <col min="12051" max="12051" width="13.73046875" style="31" customWidth="1"/>
    <col min="12052" max="12053" width="12.1328125" style="31" customWidth="1"/>
    <col min="12054" max="12054" width="14.265625" style="31" customWidth="1"/>
    <col min="12055" max="12057" width="12.1328125" style="31" customWidth="1"/>
    <col min="12058" max="12058" width="0" style="31" hidden="1" customWidth="1"/>
    <col min="12059" max="12059" width="13.73046875" style="31" customWidth="1"/>
    <col min="12060" max="12060" width="12.86328125" style="31" customWidth="1"/>
    <col min="12061" max="12077" width="14.3984375" style="31" customWidth="1"/>
    <col min="12078" max="12080" width="16" style="31" bestFit="1" customWidth="1"/>
    <col min="12081" max="12298" width="9.1328125" style="31"/>
    <col min="12299" max="12299" width="32.265625" style="31" customWidth="1"/>
    <col min="12300" max="12301" width="9.1328125" style="31"/>
    <col min="12302" max="12302" width="11.59765625" style="31" customWidth="1"/>
    <col min="12303" max="12303" width="16" style="31" customWidth="1"/>
    <col min="12304" max="12304" width="14.265625" style="31" customWidth="1"/>
    <col min="12305" max="12305" width="17.73046875" style="31" customWidth="1"/>
    <col min="12306" max="12306" width="15.265625" style="31" customWidth="1"/>
    <col min="12307" max="12307" width="13.73046875" style="31" customWidth="1"/>
    <col min="12308" max="12309" width="12.1328125" style="31" customWidth="1"/>
    <col min="12310" max="12310" width="14.265625" style="31" customWidth="1"/>
    <col min="12311" max="12313" width="12.1328125" style="31" customWidth="1"/>
    <col min="12314" max="12314" width="0" style="31" hidden="1" customWidth="1"/>
    <col min="12315" max="12315" width="13.73046875" style="31" customWidth="1"/>
    <col min="12316" max="12316" width="12.86328125" style="31" customWidth="1"/>
    <col min="12317" max="12333" width="14.3984375" style="31" customWidth="1"/>
    <col min="12334" max="12336" width="16" style="31" bestFit="1" customWidth="1"/>
    <col min="12337" max="12554" width="9.1328125" style="31"/>
    <col min="12555" max="12555" width="32.265625" style="31" customWidth="1"/>
    <col min="12556" max="12557" width="9.1328125" style="31"/>
    <col min="12558" max="12558" width="11.59765625" style="31" customWidth="1"/>
    <col min="12559" max="12559" width="16" style="31" customWidth="1"/>
    <col min="12560" max="12560" width="14.265625" style="31" customWidth="1"/>
    <col min="12561" max="12561" width="17.73046875" style="31" customWidth="1"/>
    <col min="12562" max="12562" width="15.265625" style="31" customWidth="1"/>
    <col min="12563" max="12563" width="13.73046875" style="31" customWidth="1"/>
    <col min="12564" max="12565" width="12.1328125" style="31" customWidth="1"/>
    <col min="12566" max="12566" width="14.265625" style="31" customWidth="1"/>
    <col min="12567" max="12569" width="12.1328125" style="31" customWidth="1"/>
    <col min="12570" max="12570" width="0" style="31" hidden="1" customWidth="1"/>
    <col min="12571" max="12571" width="13.73046875" style="31" customWidth="1"/>
    <col min="12572" max="12572" width="12.86328125" style="31" customWidth="1"/>
    <col min="12573" max="12589" width="14.3984375" style="31" customWidth="1"/>
    <col min="12590" max="12592" width="16" style="31" bestFit="1" customWidth="1"/>
    <col min="12593" max="12810" width="9.1328125" style="31"/>
    <col min="12811" max="12811" width="32.265625" style="31" customWidth="1"/>
    <col min="12812" max="12813" width="9.1328125" style="31"/>
    <col min="12814" max="12814" width="11.59765625" style="31" customWidth="1"/>
    <col min="12815" max="12815" width="16" style="31" customWidth="1"/>
    <col min="12816" max="12816" width="14.265625" style="31" customWidth="1"/>
    <col min="12817" max="12817" width="17.73046875" style="31" customWidth="1"/>
    <col min="12818" max="12818" width="15.265625" style="31" customWidth="1"/>
    <col min="12819" max="12819" width="13.73046875" style="31" customWidth="1"/>
    <col min="12820" max="12821" width="12.1328125" style="31" customWidth="1"/>
    <col min="12822" max="12822" width="14.265625" style="31" customWidth="1"/>
    <col min="12823" max="12825" width="12.1328125" style="31" customWidth="1"/>
    <col min="12826" max="12826" width="0" style="31" hidden="1" customWidth="1"/>
    <col min="12827" max="12827" width="13.73046875" style="31" customWidth="1"/>
    <col min="12828" max="12828" width="12.86328125" style="31" customWidth="1"/>
    <col min="12829" max="12845" width="14.3984375" style="31" customWidth="1"/>
    <col min="12846" max="12848" width="16" style="31" bestFit="1" customWidth="1"/>
    <col min="12849" max="13066" width="9.1328125" style="31"/>
    <col min="13067" max="13067" width="32.265625" style="31" customWidth="1"/>
    <col min="13068" max="13069" width="9.1328125" style="31"/>
    <col min="13070" max="13070" width="11.59765625" style="31" customWidth="1"/>
    <col min="13071" max="13071" width="16" style="31" customWidth="1"/>
    <col min="13072" max="13072" width="14.265625" style="31" customWidth="1"/>
    <col min="13073" max="13073" width="17.73046875" style="31" customWidth="1"/>
    <col min="13074" max="13074" width="15.265625" style="31" customWidth="1"/>
    <col min="13075" max="13075" width="13.73046875" style="31" customWidth="1"/>
    <col min="13076" max="13077" width="12.1328125" style="31" customWidth="1"/>
    <col min="13078" max="13078" width="14.265625" style="31" customWidth="1"/>
    <col min="13079" max="13081" width="12.1328125" style="31" customWidth="1"/>
    <col min="13082" max="13082" width="0" style="31" hidden="1" customWidth="1"/>
    <col min="13083" max="13083" width="13.73046875" style="31" customWidth="1"/>
    <col min="13084" max="13084" width="12.86328125" style="31" customWidth="1"/>
    <col min="13085" max="13101" width="14.3984375" style="31" customWidth="1"/>
    <col min="13102" max="13104" width="16" style="31" bestFit="1" customWidth="1"/>
    <col min="13105" max="13322" width="9.1328125" style="31"/>
    <col min="13323" max="13323" width="32.265625" style="31" customWidth="1"/>
    <col min="13324" max="13325" width="9.1328125" style="31"/>
    <col min="13326" max="13326" width="11.59765625" style="31" customWidth="1"/>
    <col min="13327" max="13327" width="16" style="31" customWidth="1"/>
    <col min="13328" max="13328" width="14.265625" style="31" customWidth="1"/>
    <col min="13329" max="13329" width="17.73046875" style="31" customWidth="1"/>
    <col min="13330" max="13330" width="15.265625" style="31" customWidth="1"/>
    <col min="13331" max="13331" width="13.73046875" style="31" customWidth="1"/>
    <col min="13332" max="13333" width="12.1328125" style="31" customWidth="1"/>
    <col min="13334" max="13334" width="14.265625" style="31" customWidth="1"/>
    <col min="13335" max="13337" width="12.1328125" style="31" customWidth="1"/>
    <col min="13338" max="13338" width="0" style="31" hidden="1" customWidth="1"/>
    <col min="13339" max="13339" width="13.73046875" style="31" customWidth="1"/>
    <col min="13340" max="13340" width="12.86328125" style="31" customWidth="1"/>
    <col min="13341" max="13357" width="14.3984375" style="31" customWidth="1"/>
    <col min="13358" max="13360" width="16" style="31" bestFit="1" customWidth="1"/>
    <col min="13361" max="13578" width="9.1328125" style="31"/>
    <col min="13579" max="13579" width="32.265625" style="31" customWidth="1"/>
    <col min="13580" max="13581" width="9.1328125" style="31"/>
    <col min="13582" max="13582" width="11.59765625" style="31" customWidth="1"/>
    <col min="13583" max="13583" width="16" style="31" customWidth="1"/>
    <col min="13584" max="13584" width="14.265625" style="31" customWidth="1"/>
    <col min="13585" max="13585" width="17.73046875" style="31" customWidth="1"/>
    <col min="13586" max="13586" width="15.265625" style="31" customWidth="1"/>
    <col min="13587" max="13587" width="13.73046875" style="31" customWidth="1"/>
    <col min="13588" max="13589" width="12.1328125" style="31" customWidth="1"/>
    <col min="13590" max="13590" width="14.265625" style="31" customWidth="1"/>
    <col min="13591" max="13593" width="12.1328125" style="31" customWidth="1"/>
    <col min="13594" max="13594" width="0" style="31" hidden="1" customWidth="1"/>
    <col min="13595" max="13595" width="13.73046875" style="31" customWidth="1"/>
    <col min="13596" max="13596" width="12.86328125" style="31" customWidth="1"/>
    <col min="13597" max="13613" width="14.3984375" style="31" customWidth="1"/>
    <col min="13614" max="13616" width="16" style="31" bestFit="1" customWidth="1"/>
    <col min="13617" max="13834" width="9.1328125" style="31"/>
    <col min="13835" max="13835" width="32.265625" style="31" customWidth="1"/>
    <col min="13836" max="13837" width="9.1328125" style="31"/>
    <col min="13838" max="13838" width="11.59765625" style="31" customWidth="1"/>
    <col min="13839" max="13839" width="16" style="31" customWidth="1"/>
    <col min="13840" max="13840" width="14.265625" style="31" customWidth="1"/>
    <col min="13841" max="13841" width="17.73046875" style="31" customWidth="1"/>
    <col min="13842" max="13842" width="15.265625" style="31" customWidth="1"/>
    <col min="13843" max="13843" width="13.73046875" style="31" customWidth="1"/>
    <col min="13844" max="13845" width="12.1328125" style="31" customWidth="1"/>
    <col min="13846" max="13846" width="14.265625" style="31" customWidth="1"/>
    <col min="13847" max="13849" width="12.1328125" style="31" customWidth="1"/>
    <col min="13850" max="13850" width="0" style="31" hidden="1" customWidth="1"/>
    <col min="13851" max="13851" width="13.73046875" style="31" customWidth="1"/>
    <col min="13852" max="13852" width="12.86328125" style="31" customWidth="1"/>
    <col min="13853" max="13869" width="14.3984375" style="31" customWidth="1"/>
    <col min="13870" max="13872" width="16" style="31" bestFit="1" customWidth="1"/>
    <col min="13873" max="14090" width="9.1328125" style="31"/>
    <col min="14091" max="14091" width="32.265625" style="31" customWidth="1"/>
    <col min="14092" max="14093" width="9.1328125" style="31"/>
    <col min="14094" max="14094" width="11.59765625" style="31" customWidth="1"/>
    <col min="14095" max="14095" width="16" style="31" customWidth="1"/>
    <col min="14096" max="14096" width="14.265625" style="31" customWidth="1"/>
    <col min="14097" max="14097" width="17.73046875" style="31" customWidth="1"/>
    <col min="14098" max="14098" width="15.265625" style="31" customWidth="1"/>
    <col min="14099" max="14099" width="13.73046875" style="31" customWidth="1"/>
    <col min="14100" max="14101" width="12.1328125" style="31" customWidth="1"/>
    <col min="14102" max="14102" width="14.265625" style="31" customWidth="1"/>
    <col min="14103" max="14105" width="12.1328125" style="31" customWidth="1"/>
    <col min="14106" max="14106" width="0" style="31" hidden="1" customWidth="1"/>
    <col min="14107" max="14107" width="13.73046875" style="31" customWidth="1"/>
    <col min="14108" max="14108" width="12.86328125" style="31" customWidth="1"/>
    <col min="14109" max="14125" width="14.3984375" style="31" customWidth="1"/>
    <col min="14126" max="14128" width="16" style="31" bestFit="1" customWidth="1"/>
    <col min="14129" max="14346" width="9.1328125" style="31"/>
    <col min="14347" max="14347" width="32.265625" style="31" customWidth="1"/>
    <col min="14348" max="14349" width="9.1328125" style="31"/>
    <col min="14350" max="14350" width="11.59765625" style="31" customWidth="1"/>
    <col min="14351" max="14351" width="16" style="31" customWidth="1"/>
    <col min="14352" max="14352" width="14.265625" style="31" customWidth="1"/>
    <col min="14353" max="14353" width="17.73046875" style="31" customWidth="1"/>
    <col min="14354" max="14354" width="15.265625" style="31" customWidth="1"/>
    <col min="14355" max="14355" width="13.73046875" style="31" customWidth="1"/>
    <col min="14356" max="14357" width="12.1328125" style="31" customWidth="1"/>
    <col min="14358" max="14358" width="14.265625" style="31" customWidth="1"/>
    <col min="14359" max="14361" width="12.1328125" style="31" customWidth="1"/>
    <col min="14362" max="14362" width="0" style="31" hidden="1" customWidth="1"/>
    <col min="14363" max="14363" width="13.73046875" style="31" customWidth="1"/>
    <col min="14364" max="14364" width="12.86328125" style="31" customWidth="1"/>
    <col min="14365" max="14381" width="14.3984375" style="31" customWidth="1"/>
    <col min="14382" max="14384" width="16" style="31" bestFit="1" customWidth="1"/>
    <col min="14385" max="14602" width="9.1328125" style="31"/>
    <col min="14603" max="14603" width="32.265625" style="31" customWidth="1"/>
    <col min="14604" max="14605" width="9.1328125" style="31"/>
    <col min="14606" max="14606" width="11.59765625" style="31" customWidth="1"/>
    <col min="14607" max="14607" width="16" style="31" customWidth="1"/>
    <col min="14608" max="14608" width="14.265625" style="31" customWidth="1"/>
    <col min="14609" max="14609" width="17.73046875" style="31" customWidth="1"/>
    <col min="14610" max="14610" width="15.265625" style="31" customWidth="1"/>
    <col min="14611" max="14611" width="13.73046875" style="31" customWidth="1"/>
    <col min="14612" max="14613" width="12.1328125" style="31" customWidth="1"/>
    <col min="14614" max="14614" width="14.265625" style="31" customWidth="1"/>
    <col min="14615" max="14617" width="12.1328125" style="31" customWidth="1"/>
    <col min="14618" max="14618" width="0" style="31" hidden="1" customWidth="1"/>
    <col min="14619" max="14619" width="13.73046875" style="31" customWidth="1"/>
    <col min="14620" max="14620" width="12.86328125" style="31" customWidth="1"/>
    <col min="14621" max="14637" width="14.3984375" style="31" customWidth="1"/>
    <col min="14638" max="14640" width="16" style="31" bestFit="1" customWidth="1"/>
    <col min="14641" max="14858" width="9.1328125" style="31"/>
    <col min="14859" max="14859" width="32.265625" style="31" customWidth="1"/>
    <col min="14860" max="14861" width="9.1328125" style="31"/>
    <col min="14862" max="14862" width="11.59765625" style="31" customWidth="1"/>
    <col min="14863" max="14863" width="16" style="31" customWidth="1"/>
    <col min="14864" max="14864" width="14.265625" style="31" customWidth="1"/>
    <col min="14865" max="14865" width="17.73046875" style="31" customWidth="1"/>
    <col min="14866" max="14866" width="15.265625" style="31" customWidth="1"/>
    <col min="14867" max="14867" width="13.73046875" style="31" customWidth="1"/>
    <col min="14868" max="14869" width="12.1328125" style="31" customWidth="1"/>
    <col min="14870" max="14870" width="14.265625" style="31" customWidth="1"/>
    <col min="14871" max="14873" width="12.1328125" style="31" customWidth="1"/>
    <col min="14874" max="14874" width="0" style="31" hidden="1" customWidth="1"/>
    <col min="14875" max="14875" width="13.73046875" style="31" customWidth="1"/>
    <col min="14876" max="14876" width="12.86328125" style="31" customWidth="1"/>
    <col min="14877" max="14893" width="14.3984375" style="31" customWidth="1"/>
    <col min="14894" max="14896" width="16" style="31" bestFit="1" customWidth="1"/>
    <col min="14897" max="15114" width="9.1328125" style="31"/>
    <col min="15115" max="15115" width="32.265625" style="31" customWidth="1"/>
    <col min="15116" max="15117" width="9.1328125" style="31"/>
    <col min="15118" max="15118" width="11.59765625" style="31" customWidth="1"/>
    <col min="15119" max="15119" width="16" style="31" customWidth="1"/>
    <col min="15120" max="15120" width="14.265625" style="31" customWidth="1"/>
    <col min="15121" max="15121" width="17.73046875" style="31" customWidth="1"/>
    <col min="15122" max="15122" width="15.265625" style="31" customWidth="1"/>
    <col min="15123" max="15123" width="13.73046875" style="31" customWidth="1"/>
    <col min="15124" max="15125" width="12.1328125" style="31" customWidth="1"/>
    <col min="15126" max="15126" width="14.265625" style="31" customWidth="1"/>
    <col min="15127" max="15129" width="12.1328125" style="31" customWidth="1"/>
    <col min="15130" max="15130" width="0" style="31" hidden="1" customWidth="1"/>
    <col min="15131" max="15131" width="13.73046875" style="31" customWidth="1"/>
    <col min="15132" max="15132" width="12.86328125" style="31" customWidth="1"/>
    <col min="15133" max="15149" width="14.3984375" style="31" customWidth="1"/>
    <col min="15150" max="15152" width="16" style="31" bestFit="1" customWidth="1"/>
    <col min="15153" max="15370" width="9.1328125" style="31"/>
    <col min="15371" max="15371" width="32.265625" style="31" customWidth="1"/>
    <col min="15372" max="15373" width="9.1328125" style="31"/>
    <col min="15374" max="15374" width="11.59765625" style="31" customWidth="1"/>
    <col min="15375" max="15375" width="16" style="31" customWidth="1"/>
    <col min="15376" max="15376" width="14.265625" style="31" customWidth="1"/>
    <col min="15377" max="15377" width="17.73046875" style="31" customWidth="1"/>
    <col min="15378" max="15378" width="15.265625" style="31" customWidth="1"/>
    <col min="15379" max="15379" width="13.73046875" style="31" customWidth="1"/>
    <col min="15380" max="15381" width="12.1328125" style="31" customWidth="1"/>
    <col min="15382" max="15382" width="14.265625" style="31" customWidth="1"/>
    <col min="15383" max="15385" width="12.1328125" style="31" customWidth="1"/>
    <col min="15386" max="15386" width="0" style="31" hidden="1" customWidth="1"/>
    <col min="15387" max="15387" width="13.73046875" style="31" customWidth="1"/>
    <col min="15388" max="15388" width="12.86328125" style="31" customWidth="1"/>
    <col min="15389" max="15405" width="14.3984375" style="31" customWidth="1"/>
    <col min="15406" max="15408" width="16" style="31" bestFit="1" customWidth="1"/>
    <col min="15409" max="15626" width="9.1328125" style="31"/>
    <col min="15627" max="15627" width="32.265625" style="31" customWidth="1"/>
    <col min="15628" max="15629" width="9.1328125" style="31"/>
    <col min="15630" max="15630" width="11.59765625" style="31" customWidth="1"/>
    <col min="15631" max="15631" width="16" style="31" customWidth="1"/>
    <col min="15632" max="15632" width="14.265625" style="31" customWidth="1"/>
    <col min="15633" max="15633" width="17.73046875" style="31" customWidth="1"/>
    <col min="15634" max="15634" width="15.265625" style="31" customWidth="1"/>
    <col min="15635" max="15635" width="13.73046875" style="31" customWidth="1"/>
    <col min="15636" max="15637" width="12.1328125" style="31" customWidth="1"/>
    <col min="15638" max="15638" width="14.265625" style="31" customWidth="1"/>
    <col min="15639" max="15641" width="12.1328125" style="31" customWidth="1"/>
    <col min="15642" max="15642" width="0" style="31" hidden="1" customWidth="1"/>
    <col min="15643" max="15643" width="13.73046875" style="31" customWidth="1"/>
    <col min="15644" max="15644" width="12.86328125" style="31" customWidth="1"/>
    <col min="15645" max="15661" width="14.3984375" style="31" customWidth="1"/>
    <col min="15662" max="15664" width="16" style="31" bestFit="1" customWidth="1"/>
    <col min="15665" max="15882" width="9.1328125" style="31"/>
    <col min="15883" max="15883" width="32.265625" style="31" customWidth="1"/>
    <col min="15884" max="15885" width="9.1328125" style="31"/>
    <col min="15886" max="15886" width="11.59765625" style="31" customWidth="1"/>
    <col min="15887" max="15887" width="16" style="31" customWidth="1"/>
    <col min="15888" max="15888" width="14.265625" style="31" customWidth="1"/>
    <col min="15889" max="15889" width="17.73046875" style="31" customWidth="1"/>
    <col min="15890" max="15890" width="15.265625" style="31" customWidth="1"/>
    <col min="15891" max="15891" width="13.73046875" style="31" customWidth="1"/>
    <col min="15892" max="15893" width="12.1328125" style="31" customWidth="1"/>
    <col min="15894" max="15894" width="14.265625" style="31" customWidth="1"/>
    <col min="15895" max="15897" width="12.1328125" style="31" customWidth="1"/>
    <col min="15898" max="15898" width="0" style="31" hidden="1" customWidth="1"/>
    <col min="15899" max="15899" width="13.73046875" style="31" customWidth="1"/>
    <col min="15900" max="15900" width="12.86328125" style="31" customWidth="1"/>
    <col min="15901" max="15917" width="14.3984375" style="31" customWidth="1"/>
    <col min="15918" max="15920" width="16" style="31" bestFit="1" customWidth="1"/>
    <col min="15921" max="16138" width="9.1328125" style="31"/>
    <col min="16139" max="16139" width="32.265625" style="31" customWidth="1"/>
    <col min="16140" max="16141" width="9.1328125" style="31"/>
    <col min="16142" max="16142" width="11.59765625" style="31" customWidth="1"/>
    <col min="16143" max="16143" width="16" style="31" customWidth="1"/>
    <col min="16144" max="16144" width="14.265625" style="31" customWidth="1"/>
    <col min="16145" max="16145" width="17.73046875" style="31" customWidth="1"/>
    <col min="16146" max="16146" width="15.265625" style="31" customWidth="1"/>
    <col min="16147" max="16147" width="13.73046875" style="31" customWidth="1"/>
    <col min="16148" max="16149" width="12.1328125" style="31" customWidth="1"/>
    <col min="16150" max="16150" width="14.265625" style="31" customWidth="1"/>
    <col min="16151" max="16153" width="12.1328125" style="31" customWidth="1"/>
    <col min="16154" max="16154" width="0" style="31" hidden="1" customWidth="1"/>
    <col min="16155" max="16155" width="13.73046875" style="31" customWidth="1"/>
    <col min="16156" max="16156" width="12.86328125" style="31" customWidth="1"/>
    <col min="16157" max="16173" width="14.3984375" style="31" customWidth="1"/>
    <col min="16174" max="16176" width="16" style="31" bestFit="1" customWidth="1"/>
    <col min="16177" max="16384" width="9.1328125" style="31"/>
  </cols>
  <sheetData>
    <row r="1" spans="1:61" x14ac:dyDescent="0.35">
      <c r="F1" s="31" t="s">
        <v>477</v>
      </c>
      <c r="S1" s="33" t="s">
        <v>175</v>
      </c>
      <c r="AA1" s="36" t="s">
        <v>175</v>
      </c>
      <c r="AC1" s="31" t="s">
        <v>175</v>
      </c>
    </row>
    <row r="2" spans="1:61" ht="41.25" customHeight="1" x14ac:dyDescent="0.35"/>
    <row r="3" spans="1:61" ht="45" customHeight="1" x14ac:dyDescent="0.35">
      <c r="M3" s="33"/>
      <c r="AA3" s="31" t="s">
        <v>474</v>
      </c>
    </row>
    <row r="4" spans="1:61" ht="28.5" customHeight="1" x14ac:dyDescent="0.55000000000000004">
      <c r="A4" s="38" t="str">
        <f>'PER DIVISION'!A4</f>
        <v>GENERAL PAYROLL FOR THE MONTH OF MARCH 2026</v>
      </c>
      <c r="M4" s="33"/>
      <c r="O4" s="31"/>
      <c r="P4" s="31"/>
      <c r="Q4" s="37"/>
      <c r="R4" s="31"/>
      <c r="S4" s="31"/>
      <c r="T4" s="31"/>
      <c r="U4" s="31"/>
      <c r="V4" s="31"/>
      <c r="W4" s="31"/>
      <c r="X4" s="31"/>
      <c r="Y4" s="31"/>
      <c r="Z4" s="31"/>
      <c r="AB4" s="31"/>
      <c r="AC4" s="37"/>
      <c r="AD4" s="37"/>
      <c r="AE4" s="37"/>
      <c r="AS4" s="37"/>
    </row>
    <row r="5" spans="1:61" s="37" customFormat="1" ht="19.5" customHeight="1" thickBot="1" x14ac:dyDescent="0.5">
      <c r="A5" s="192"/>
      <c r="H5" s="193"/>
      <c r="I5" s="193"/>
      <c r="L5" s="163"/>
      <c r="M5" s="35"/>
      <c r="N5" s="152"/>
      <c r="BI5" s="35"/>
    </row>
    <row r="6" spans="1:61" s="56" customFormat="1" ht="15.75" customHeight="1" x14ac:dyDescent="0.45">
      <c r="A6" s="195"/>
      <c r="B6" s="39" t="s">
        <v>0</v>
      </c>
      <c r="C6" s="40"/>
      <c r="D6" s="41"/>
      <c r="E6" s="42"/>
      <c r="F6" s="42"/>
      <c r="G6" s="42"/>
      <c r="H6" s="43"/>
      <c r="I6" s="43"/>
      <c r="J6" s="42"/>
      <c r="K6" s="42"/>
      <c r="L6" s="164"/>
      <c r="M6" s="153"/>
      <c r="N6" s="44"/>
      <c r="O6" s="45" t="s">
        <v>396</v>
      </c>
      <c r="P6" s="46"/>
      <c r="Q6" s="47"/>
      <c r="R6" s="46"/>
      <c r="S6" s="46"/>
      <c r="T6" s="46"/>
      <c r="U6" s="46"/>
      <c r="V6" s="46"/>
      <c r="W6" s="46"/>
      <c r="X6" s="46"/>
      <c r="Y6" s="48"/>
      <c r="Z6" s="44"/>
      <c r="AA6" s="42"/>
      <c r="AB6" s="49"/>
      <c r="AC6" s="39" t="s">
        <v>397</v>
      </c>
      <c r="AD6" s="40"/>
      <c r="AE6" s="50" t="s">
        <v>398</v>
      </c>
      <c r="AF6" s="42"/>
      <c r="AG6" s="39" t="s">
        <v>8</v>
      </c>
      <c r="AH6" s="40"/>
      <c r="AI6" s="40"/>
      <c r="AJ6" s="40"/>
      <c r="AK6" s="41"/>
      <c r="AL6" s="39" t="s">
        <v>10</v>
      </c>
      <c r="AM6" s="41"/>
      <c r="AN6" s="51" t="s">
        <v>399</v>
      </c>
      <c r="AO6" s="52"/>
      <c r="AP6" s="52"/>
      <c r="AQ6" s="53"/>
      <c r="AR6" s="53"/>
      <c r="AS6" s="54"/>
      <c r="AT6" s="42"/>
      <c r="AU6" s="42"/>
      <c r="AV6" s="42"/>
      <c r="AW6" s="51" t="s">
        <v>400</v>
      </c>
      <c r="AX6" s="52"/>
      <c r="AY6" s="53"/>
      <c r="AZ6" s="42"/>
      <c r="BA6" s="42"/>
      <c r="BB6" s="55"/>
      <c r="BC6" s="55"/>
      <c r="BF6" s="57"/>
      <c r="BI6" s="194" t="s">
        <v>11</v>
      </c>
    </row>
    <row r="7" spans="1:61" s="67" customFormat="1" ht="42.75" customHeight="1" x14ac:dyDescent="0.35">
      <c r="A7" s="196"/>
      <c r="B7" s="58" t="s">
        <v>326</v>
      </c>
      <c r="C7" s="58" t="s">
        <v>327</v>
      </c>
      <c r="D7" s="58" t="s">
        <v>401</v>
      </c>
      <c r="E7" s="58" t="s">
        <v>1</v>
      </c>
      <c r="F7" s="58" t="s">
        <v>2</v>
      </c>
      <c r="G7" s="58" t="s">
        <v>573</v>
      </c>
      <c r="H7" s="59" t="s">
        <v>574</v>
      </c>
      <c r="I7" s="59" t="s">
        <v>575</v>
      </c>
      <c r="J7" s="58" t="s">
        <v>576</v>
      </c>
      <c r="K7" s="58" t="s">
        <v>577</v>
      </c>
      <c r="L7" s="165" t="s">
        <v>402</v>
      </c>
      <c r="M7" s="154" t="s">
        <v>3</v>
      </c>
      <c r="N7" s="60" t="s">
        <v>4</v>
      </c>
      <c r="O7" s="60" t="s">
        <v>329</v>
      </c>
      <c r="P7" s="61" t="s">
        <v>330</v>
      </c>
      <c r="Q7" s="62" t="s">
        <v>331</v>
      </c>
      <c r="R7" s="60" t="s">
        <v>332</v>
      </c>
      <c r="S7" s="60" t="s">
        <v>333</v>
      </c>
      <c r="T7" s="60" t="s">
        <v>334</v>
      </c>
      <c r="U7" s="60" t="s">
        <v>335</v>
      </c>
      <c r="V7" s="60" t="s">
        <v>6</v>
      </c>
      <c r="W7" s="60" t="s">
        <v>454</v>
      </c>
      <c r="X7" s="60" t="s">
        <v>369</v>
      </c>
      <c r="Y7" s="60" t="s">
        <v>356</v>
      </c>
      <c r="Z7" s="60" t="s">
        <v>403</v>
      </c>
      <c r="AA7" s="58" t="s">
        <v>5</v>
      </c>
      <c r="AB7" s="63" t="s">
        <v>393</v>
      </c>
      <c r="AC7" s="58" t="s">
        <v>404</v>
      </c>
      <c r="AD7" s="58" t="s">
        <v>406</v>
      </c>
      <c r="AE7" s="58" t="s">
        <v>336</v>
      </c>
      <c r="AF7" s="58" t="s">
        <v>7</v>
      </c>
      <c r="AG7" s="58" t="s">
        <v>337</v>
      </c>
      <c r="AH7" s="58" t="s">
        <v>9</v>
      </c>
      <c r="AI7" s="58" t="s">
        <v>391</v>
      </c>
      <c r="AJ7" s="64" t="s">
        <v>14</v>
      </c>
      <c r="AK7" s="58" t="s">
        <v>473</v>
      </c>
      <c r="AL7" s="65" t="s">
        <v>353</v>
      </c>
      <c r="AM7" s="58" t="s">
        <v>354</v>
      </c>
      <c r="AN7" s="58" t="s">
        <v>405</v>
      </c>
      <c r="AO7" s="58" t="s">
        <v>408</v>
      </c>
      <c r="AP7" s="58" t="s">
        <v>409</v>
      </c>
      <c r="AQ7" s="58" t="s">
        <v>432</v>
      </c>
      <c r="AR7" s="58" t="s">
        <v>463</v>
      </c>
      <c r="AS7" s="64" t="s">
        <v>11</v>
      </c>
      <c r="AT7" s="58" t="s">
        <v>12</v>
      </c>
      <c r="AU7" s="58" t="s">
        <v>483</v>
      </c>
      <c r="AV7" s="65" t="s">
        <v>383</v>
      </c>
      <c r="AW7" s="65" t="s">
        <v>338</v>
      </c>
      <c r="AX7" s="58" t="s">
        <v>361</v>
      </c>
      <c r="AY7" s="58" t="s">
        <v>339</v>
      </c>
      <c r="AZ7" s="58" t="s">
        <v>340</v>
      </c>
      <c r="BA7" s="58" t="s">
        <v>13</v>
      </c>
      <c r="BB7" s="66" t="s">
        <v>349</v>
      </c>
      <c r="BC7" s="66" t="s">
        <v>350</v>
      </c>
      <c r="BI7" s="194"/>
    </row>
    <row r="8" spans="1:61" ht="14.25" customHeight="1" x14ac:dyDescent="0.35">
      <c r="A8" s="68">
        <v>1</v>
      </c>
      <c r="B8" s="69" t="s">
        <v>441</v>
      </c>
      <c r="C8" s="69" t="s">
        <v>448</v>
      </c>
      <c r="D8" s="69" t="s">
        <v>212</v>
      </c>
      <c r="E8" s="70" t="s">
        <v>83</v>
      </c>
      <c r="F8" s="69" t="s">
        <v>22</v>
      </c>
      <c r="G8" s="71" t="s">
        <v>484</v>
      </c>
      <c r="H8" s="72">
        <v>45376</v>
      </c>
      <c r="I8" s="72">
        <v>45376</v>
      </c>
      <c r="J8" s="71">
        <v>11</v>
      </c>
      <c r="K8" s="71">
        <v>1</v>
      </c>
      <c r="L8" s="161">
        <f>IFERROR(VLOOKUP(J8, DATA!$A$4:$I$36, MATCH(K8, DATA!$B$3:$I$3, 0)+1, FALSE), "")</f>
        <v>31705</v>
      </c>
      <c r="M8" s="155">
        <v>2000</v>
      </c>
      <c r="N8" s="156">
        <f>L8+M8</f>
        <v>33705</v>
      </c>
      <c r="O8" s="73">
        <f>ROUND(L8*9%,2)</f>
        <v>2853.45</v>
      </c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>
        <v>1468.9</v>
      </c>
      <c r="AB8" s="73">
        <f>ROUND(IF(L8&gt;79999.99,900,IF(L8&lt;10000.01,137.5,IF(10000&lt;L8&gt;80000,L8*2.5%))),2)-0.01</f>
        <v>792.62</v>
      </c>
      <c r="AC8" s="73"/>
      <c r="AD8" s="73">
        <v>1000</v>
      </c>
      <c r="AE8" s="73">
        <v>200</v>
      </c>
      <c r="AF8" s="73"/>
      <c r="AG8" s="73">
        <v>100</v>
      </c>
      <c r="AH8" s="73"/>
      <c r="AI8" s="73"/>
      <c r="AJ8" s="73"/>
      <c r="AK8" s="73"/>
      <c r="AL8" s="73"/>
      <c r="AM8" s="73"/>
      <c r="AN8" s="73">
        <v>2000</v>
      </c>
      <c r="AO8" s="73">
        <v>395.48</v>
      </c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4">
        <f t="shared" ref="AZ8:AZ39" si="0">ROUND(SUM(O8:AY8),2)</f>
        <v>8810.4500000000007</v>
      </c>
      <c r="BA8" s="75">
        <f t="shared" ref="BA8:BA39" si="1">ROUND(N8-AZ8,2)</f>
        <v>24894.55</v>
      </c>
      <c r="BB8" s="75">
        <f>ROUND(BA8/2,2)</f>
        <v>12447.28</v>
      </c>
      <c r="BC8" s="75">
        <f>BA8-BB8</f>
        <v>12447.269999999999</v>
      </c>
      <c r="BD8" s="34"/>
    </row>
    <row r="9" spans="1:61" ht="14.25" customHeight="1" x14ac:dyDescent="0.35">
      <c r="A9" s="68">
        <f t="shared" ref="A9:A72" si="2">A8+1</f>
        <v>2</v>
      </c>
      <c r="B9" s="69" t="s">
        <v>428</v>
      </c>
      <c r="C9" s="69" t="s">
        <v>429</v>
      </c>
      <c r="D9" s="69" t="s">
        <v>224</v>
      </c>
      <c r="E9" s="69" t="s">
        <v>34</v>
      </c>
      <c r="F9" s="69" t="s">
        <v>35</v>
      </c>
      <c r="G9" s="71" t="s">
        <v>485</v>
      </c>
      <c r="H9" s="72">
        <v>45236</v>
      </c>
      <c r="I9" s="72">
        <v>45236</v>
      </c>
      <c r="J9" s="71">
        <v>11</v>
      </c>
      <c r="K9" s="71">
        <v>1</v>
      </c>
      <c r="L9" s="161">
        <f>IFERROR(VLOOKUP(J9, DATA!$A$4:$I$36, MATCH(K9, DATA!$B$3:$I$3, 0)+1, FALSE), "")</f>
        <v>31705</v>
      </c>
      <c r="M9" s="155">
        <v>2000</v>
      </c>
      <c r="N9" s="156">
        <f t="shared" ref="N9:N68" si="3">L9+M9</f>
        <v>33705</v>
      </c>
      <c r="O9" s="73">
        <f t="shared" ref="O9:O71" si="4">ROUND(L9*9%,2)</f>
        <v>2853.45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>
        <v>1468.9</v>
      </c>
      <c r="AB9" s="73">
        <f>ROUND(IF(L9&gt;79999.99,900,IF(L9&lt;10000.01,137.5,IF(10000&lt;L9&gt;80000,L9*2.5%))),2)-0.01</f>
        <v>792.62</v>
      </c>
      <c r="AC9" s="73"/>
      <c r="AD9" s="73"/>
      <c r="AE9" s="73">
        <v>200</v>
      </c>
      <c r="AF9" s="73">
        <v>0</v>
      </c>
      <c r="AG9" s="73">
        <v>100</v>
      </c>
      <c r="AH9" s="73"/>
      <c r="AI9" s="73"/>
      <c r="AJ9" s="73"/>
      <c r="AK9" s="73"/>
      <c r="AL9" s="73"/>
      <c r="AM9" s="73"/>
      <c r="AN9" s="73">
        <v>2000</v>
      </c>
      <c r="AO9" s="73"/>
      <c r="AP9" s="73">
        <v>449.15</v>
      </c>
      <c r="AQ9" s="73"/>
      <c r="AR9" s="73"/>
      <c r="AS9" s="73"/>
      <c r="AT9" s="73"/>
      <c r="AU9" s="73"/>
      <c r="AV9" s="73"/>
      <c r="AW9" s="73"/>
      <c r="AX9" s="73"/>
      <c r="AY9" s="73"/>
      <c r="AZ9" s="74">
        <f t="shared" si="0"/>
        <v>7864.12</v>
      </c>
      <c r="BA9" s="75">
        <f t="shared" si="1"/>
        <v>25840.880000000001</v>
      </c>
      <c r="BB9" s="75">
        <f t="shared" ref="BB9:BB53" si="5">ROUND(BA9/2,2)</f>
        <v>12920.44</v>
      </c>
      <c r="BC9" s="75">
        <f t="shared" ref="BC9:BC53" si="6">BA9-BB9</f>
        <v>12920.44</v>
      </c>
      <c r="BD9" s="34"/>
    </row>
    <row r="10" spans="1:61" ht="14.25" customHeight="1" x14ac:dyDescent="0.35">
      <c r="A10" s="68">
        <f t="shared" si="2"/>
        <v>3</v>
      </c>
      <c r="B10" s="76" t="s">
        <v>235</v>
      </c>
      <c r="C10" s="76" t="s">
        <v>233</v>
      </c>
      <c r="D10" s="76" t="s">
        <v>234</v>
      </c>
      <c r="E10" s="76" t="s">
        <v>60</v>
      </c>
      <c r="F10" s="76" t="s">
        <v>44</v>
      </c>
      <c r="G10" s="76" t="s">
        <v>486</v>
      </c>
      <c r="H10" s="77">
        <v>35282</v>
      </c>
      <c r="I10" s="77">
        <v>42383</v>
      </c>
      <c r="J10" s="76">
        <v>11</v>
      </c>
      <c r="K10" s="76">
        <v>4</v>
      </c>
      <c r="L10" s="161">
        <f>IFERROR(VLOOKUP(J10, DATA!$A$4:$I$36, MATCH(K10, DATA!$B$3:$I$3, 0)+1, FALSE), "")</f>
        <v>32401</v>
      </c>
      <c r="M10" s="155">
        <v>2000</v>
      </c>
      <c r="N10" s="156">
        <f t="shared" si="3"/>
        <v>34401</v>
      </c>
      <c r="O10" s="73">
        <f t="shared" si="4"/>
        <v>2916.09</v>
      </c>
      <c r="P10" s="73"/>
      <c r="Q10" s="73"/>
      <c r="R10" s="73"/>
      <c r="S10" s="73">
        <v>3649.18</v>
      </c>
      <c r="T10" s="73"/>
      <c r="U10" s="73"/>
      <c r="V10" s="73"/>
      <c r="W10" s="73"/>
      <c r="X10" s="73"/>
      <c r="Y10" s="73"/>
      <c r="Z10" s="73"/>
      <c r="AA10" s="73">
        <v>1587.48</v>
      </c>
      <c r="AB10" s="73">
        <f>ROUND(IF(L10&gt;79999.99,900,IF(L10&lt;10000.01,137.5,IF(10000&lt;L10&gt;80000,L10*2.5%))),2)-0.01</f>
        <v>810.02</v>
      </c>
      <c r="AC10" s="73">
        <v>6012.73</v>
      </c>
      <c r="AD10" s="73">
        <v>500</v>
      </c>
      <c r="AE10" s="73">
        <v>200</v>
      </c>
      <c r="AF10" s="73">
        <v>0</v>
      </c>
      <c r="AG10" s="73">
        <v>100</v>
      </c>
      <c r="AH10" s="73"/>
      <c r="AI10" s="73"/>
      <c r="AJ10" s="73"/>
      <c r="AK10" s="73"/>
      <c r="AL10" s="73"/>
      <c r="AM10" s="73">
        <v>1000</v>
      </c>
      <c r="AN10" s="73"/>
      <c r="AO10" s="73"/>
      <c r="AP10" s="73"/>
      <c r="AQ10" s="73"/>
      <c r="AR10" s="73"/>
      <c r="AS10" s="73">
        <v>0</v>
      </c>
      <c r="AT10" s="73"/>
      <c r="AU10" s="73"/>
      <c r="AV10" s="73"/>
      <c r="AW10" s="73">
        <v>0</v>
      </c>
      <c r="AX10" s="73"/>
      <c r="AY10" s="73">
        <v>5162.5</v>
      </c>
      <c r="AZ10" s="74">
        <f t="shared" si="0"/>
        <v>21938</v>
      </c>
      <c r="BA10" s="75">
        <f t="shared" si="1"/>
        <v>12463</v>
      </c>
      <c r="BB10" s="75">
        <f t="shared" si="5"/>
        <v>6231.5</v>
      </c>
      <c r="BC10" s="75">
        <f t="shared" si="6"/>
        <v>6231.5</v>
      </c>
      <c r="BD10" s="34"/>
      <c r="BI10" s="34">
        <v>0</v>
      </c>
    </row>
    <row r="11" spans="1:61" ht="14.25" customHeight="1" x14ac:dyDescent="0.35">
      <c r="A11" s="68">
        <f t="shared" si="2"/>
        <v>4</v>
      </c>
      <c r="B11" s="76" t="s">
        <v>455</v>
      </c>
      <c r="C11" s="76" t="s">
        <v>456</v>
      </c>
      <c r="D11" s="76" t="s">
        <v>239</v>
      </c>
      <c r="E11" s="76" t="s">
        <v>60</v>
      </c>
      <c r="F11" s="76" t="s">
        <v>44</v>
      </c>
      <c r="G11" s="76" t="s">
        <v>487</v>
      </c>
      <c r="H11" s="77">
        <v>45665</v>
      </c>
      <c r="I11" s="77">
        <v>45665</v>
      </c>
      <c r="J11" s="76">
        <v>11</v>
      </c>
      <c r="K11" s="76">
        <v>1</v>
      </c>
      <c r="L11" s="161">
        <f>IFERROR(VLOOKUP(J11, DATA!$A$4:$I$36, MATCH(K11, DATA!$B$3:$I$3, 0)+1, FALSE), "")</f>
        <v>31705</v>
      </c>
      <c r="M11" s="155">
        <v>2000</v>
      </c>
      <c r="N11" s="156">
        <f t="shared" si="3"/>
        <v>33705</v>
      </c>
      <c r="O11" s="73">
        <f t="shared" si="4"/>
        <v>2853.45</v>
      </c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>
        <v>1468.9</v>
      </c>
      <c r="AB11" s="73">
        <f>ROUND(IF(L11&gt;79999.99,900,IF(L11&lt;10000.01,137.5,IF(10000&lt;L11&gt;80000,L11*2.5%))),2)-0.01</f>
        <v>792.62</v>
      </c>
      <c r="AC11" s="73"/>
      <c r="AD11" s="73"/>
      <c r="AE11" s="73">
        <v>200</v>
      </c>
      <c r="AF11" s="73"/>
      <c r="AG11" s="73">
        <v>100</v>
      </c>
      <c r="AH11" s="73"/>
      <c r="AI11" s="73"/>
      <c r="AJ11" s="73"/>
      <c r="AK11" s="73"/>
      <c r="AL11" s="73"/>
      <c r="AM11" s="73"/>
      <c r="AN11" s="73">
        <v>2000</v>
      </c>
      <c r="AO11" s="73">
        <v>461.39</v>
      </c>
      <c r="AP11" s="73">
        <v>704.35</v>
      </c>
      <c r="AQ11" s="73"/>
      <c r="AR11" s="73"/>
      <c r="AS11" s="73"/>
      <c r="AT11" s="73"/>
      <c r="AU11" s="73"/>
      <c r="AV11" s="73"/>
      <c r="AW11" s="73"/>
      <c r="AX11" s="73"/>
      <c r="AY11" s="73"/>
      <c r="AZ11" s="74">
        <f t="shared" si="0"/>
        <v>8580.7099999999991</v>
      </c>
      <c r="BA11" s="75">
        <f t="shared" si="1"/>
        <v>25124.29</v>
      </c>
      <c r="BB11" s="75">
        <f t="shared" ref="BB11" si="7">ROUND(BA11/2,2)</f>
        <v>12562.15</v>
      </c>
      <c r="BC11" s="75">
        <f t="shared" ref="BC11" si="8">BA11-BB11</f>
        <v>12562.140000000001</v>
      </c>
      <c r="BD11" s="34"/>
    </row>
    <row r="12" spans="1:61" ht="14.25" customHeight="1" x14ac:dyDescent="0.35">
      <c r="A12" s="68">
        <f t="shared" si="2"/>
        <v>5</v>
      </c>
      <c r="B12" s="70" t="s">
        <v>240</v>
      </c>
      <c r="C12" s="70" t="s">
        <v>238</v>
      </c>
      <c r="D12" s="70" t="s">
        <v>239</v>
      </c>
      <c r="E12" s="70" t="s">
        <v>150</v>
      </c>
      <c r="F12" s="70" t="s">
        <v>35</v>
      </c>
      <c r="G12" s="70" t="s">
        <v>488</v>
      </c>
      <c r="H12" s="78">
        <v>42278</v>
      </c>
      <c r="I12" s="191">
        <v>45737</v>
      </c>
      <c r="J12" s="70">
        <v>18</v>
      </c>
      <c r="K12" s="70">
        <v>1</v>
      </c>
      <c r="L12" s="161">
        <f>IFERROR(VLOOKUP(J12, DATA!$A$4:$I$36, MATCH(K12, DATA!$B$3:$I$3, 0)+1, FALSE), "")</f>
        <v>53818</v>
      </c>
      <c r="M12" s="157">
        <v>2000</v>
      </c>
      <c r="N12" s="156">
        <f t="shared" si="3"/>
        <v>55818</v>
      </c>
      <c r="O12" s="73">
        <f t="shared" si="4"/>
        <v>4843.62</v>
      </c>
      <c r="P12" s="79"/>
      <c r="Q12" s="79"/>
      <c r="R12" s="79"/>
      <c r="S12" s="79"/>
      <c r="T12" s="79"/>
      <c r="U12" s="79"/>
      <c r="V12" s="79"/>
      <c r="W12" s="79"/>
      <c r="X12" s="79"/>
      <c r="Y12" s="79">
        <v>9634.44</v>
      </c>
      <c r="Z12" s="79"/>
      <c r="AA12" s="73">
        <v>5936.18</v>
      </c>
      <c r="AB12" s="79">
        <f>ROUND(IF(L12&gt;79999.99,900,IF(L12&lt;10000.01,137.5,IF(10000&lt;L12&gt;80000,L12*2.5%))),2)</f>
        <v>1345.45</v>
      </c>
      <c r="AC12" s="79"/>
      <c r="AD12" s="79"/>
      <c r="AE12" s="73">
        <v>200</v>
      </c>
      <c r="AF12" s="79">
        <v>0</v>
      </c>
      <c r="AG12" s="79">
        <v>100</v>
      </c>
      <c r="AH12" s="79"/>
      <c r="AI12" s="79"/>
      <c r="AJ12" s="79"/>
      <c r="AK12" s="73"/>
      <c r="AL12" s="79"/>
      <c r="AM12" s="79"/>
      <c r="AN12" s="79"/>
      <c r="AO12" s="73"/>
      <c r="AP12" s="73"/>
      <c r="AQ12" s="73"/>
      <c r="AR12" s="73"/>
      <c r="AS12" s="79">
        <v>500</v>
      </c>
      <c r="AT12" s="79"/>
      <c r="AU12" s="79"/>
      <c r="AV12" s="79"/>
      <c r="AW12" s="79">
        <v>0</v>
      </c>
      <c r="AX12" s="79"/>
      <c r="AY12" s="79"/>
      <c r="AZ12" s="74">
        <f t="shared" si="0"/>
        <v>22559.69</v>
      </c>
      <c r="BA12" s="75">
        <f t="shared" si="1"/>
        <v>33258.31</v>
      </c>
      <c r="BB12" s="75">
        <f t="shared" si="5"/>
        <v>16629.16</v>
      </c>
      <c r="BC12" s="75">
        <f t="shared" si="6"/>
        <v>16629.149999999998</v>
      </c>
      <c r="BD12" s="34"/>
      <c r="BI12" s="34">
        <v>1479.1666666666665</v>
      </c>
    </row>
    <row r="13" spans="1:61" ht="14.25" customHeight="1" x14ac:dyDescent="0.35">
      <c r="A13" s="68">
        <f t="shared" si="2"/>
        <v>6</v>
      </c>
      <c r="B13" s="70" t="s">
        <v>324</v>
      </c>
      <c r="C13" s="70" t="s">
        <v>322</v>
      </c>
      <c r="D13" s="70" t="s">
        <v>325</v>
      </c>
      <c r="E13" s="70" t="s">
        <v>41</v>
      </c>
      <c r="F13" s="70" t="s">
        <v>35</v>
      </c>
      <c r="G13" s="70" t="s">
        <v>489</v>
      </c>
      <c r="H13" s="78">
        <v>42451</v>
      </c>
      <c r="I13" s="78">
        <v>44090</v>
      </c>
      <c r="J13" s="70">
        <v>15</v>
      </c>
      <c r="K13" s="70">
        <v>2</v>
      </c>
      <c r="L13" s="161">
        <f>IFERROR(VLOOKUP(J13, DATA!$A$4:$I$36, MATCH(K13, DATA!$B$3:$I$3, 0)+1, FALSE), "")</f>
        <v>42594</v>
      </c>
      <c r="M13" s="157">
        <v>2000</v>
      </c>
      <c r="N13" s="156">
        <f t="shared" si="3"/>
        <v>44594</v>
      </c>
      <c r="O13" s="73">
        <f t="shared" si="4"/>
        <v>3833.46</v>
      </c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3">
        <v>3791.96</v>
      </c>
      <c r="AB13" s="73">
        <f>ROUND(IF(L13&gt;79999.99,900,IF(L13&lt;10000.01,137.5,IF(10000&lt;L13&gt;80000,L13*2.5%))),2)</f>
        <v>1064.8499999999999</v>
      </c>
      <c r="AC13" s="79"/>
      <c r="AD13" s="79">
        <v>3000</v>
      </c>
      <c r="AE13" s="79">
        <v>1000</v>
      </c>
      <c r="AF13" s="79">
        <v>0</v>
      </c>
      <c r="AG13" s="79">
        <v>100</v>
      </c>
      <c r="AH13" s="79"/>
      <c r="AI13" s="79"/>
      <c r="AJ13" s="79"/>
      <c r="AK13" s="73"/>
      <c r="AL13" s="79">
        <v>1000</v>
      </c>
      <c r="AM13" s="79"/>
      <c r="AN13" s="79"/>
      <c r="AO13" s="73"/>
      <c r="AP13" s="73"/>
      <c r="AQ13" s="73"/>
      <c r="AR13" s="73"/>
      <c r="AS13" s="79">
        <v>0</v>
      </c>
      <c r="AT13" s="79"/>
      <c r="AU13" s="79"/>
      <c r="AV13" s="79"/>
      <c r="AW13" s="79">
        <v>0</v>
      </c>
      <c r="AX13" s="79"/>
      <c r="AY13" s="79"/>
      <c r="AZ13" s="74">
        <f t="shared" si="0"/>
        <v>13790.27</v>
      </c>
      <c r="BA13" s="75">
        <f t="shared" si="1"/>
        <v>30803.73</v>
      </c>
      <c r="BB13" s="75">
        <f t="shared" si="5"/>
        <v>15401.87</v>
      </c>
      <c r="BC13" s="75">
        <f t="shared" si="6"/>
        <v>15401.859999999999</v>
      </c>
      <c r="BD13" s="34"/>
      <c r="BI13" s="34">
        <v>637.02083333333337</v>
      </c>
    </row>
    <row r="14" spans="1:61" ht="14.25" customHeight="1" x14ac:dyDescent="0.35">
      <c r="A14" s="68">
        <f t="shared" si="2"/>
        <v>7</v>
      </c>
      <c r="B14" s="70" t="s">
        <v>285</v>
      </c>
      <c r="C14" s="70" t="s">
        <v>465</v>
      </c>
      <c r="D14" s="70" t="s">
        <v>234</v>
      </c>
      <c r="E14" s="70" t="s">
        <v>95</v>
      </c>
      <c r="F14" s="70" t="s">
        <v>19</v>
      </c>
      <c r="G14" s="70" t="s">
        <v>490</v>
      </c>
      <c r="H14" s="78">
        <v>45700</v>
      </c>
      <c r="I14" s="78">
        <v>45700</v>
      </c>
      <c r="J14" s="70">
        <v>9</v>
      </c>
      <c r="K14" s="70">
        <v>1</v>
      </c>
      <c r="L14" s="161">
        <f>IFERROR(VLOOKUP(J14, DATA!$A$4:$I$36, MATCH(K14, DATA!$B$3:$I$3, 0)+1, FALSE), "")</f>
        <v>24329</v>
      </c>
      <c r="M14" s="157">
        <v>2000</v>
      </c>
      <c r="N14" s="156">
        <f t="shared" ref="N14" si="9">L14+M14</f>
        <v>26329</v>
      </c>
      <c r="O14" s="73">
        <f t="shared" si="4"/>
        <v>2189.61</v>
      </c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3">
        <v>593.27</v>
      </c>
      <c r="AB14" s="73">
        <f>ROUND(IF(L14&gt;79999.99,900,IF(L14&lt;10000.01,137.5,IF(10000&lt;L14&gt;80000,L14*2.5%))),2)-0.01</f>
        <v>608.22</v>
      </c>
      <c r="AC14" s="79"/>
      <c r="AD14" s="79"/>
      <c r="AE14" s="79">
        <v>200</v>
      </c>
      <c r="AF14" s="79">
        <v>0</v>
      </c>
      <c r="AG14" s="79">
        <v>100</v>
      </c>
      <c r="AH14" s="79"/>
      <c r="AI14" s="79"/>
      <c r="AJ14" s="79"/>
      <c r="AK14" s="73"/>
      <c r="AL14" s="79"/>
      <c r="AM14" s="79"/>
      <c r="AN14" s="79"/>
      <c r="AO14" s="73"/>
      <c r="AP14" s="73"/>
      <c r="AQ14" s="73"/>
      <c r="AR14" s="73"/>
      <c r="AS14" s="79">
        <v>0</v>
      </c>
      <c r="AT14" s="79"/>
      <c r="AU14" s="79"/>
      <c r="AV14" s="79"/>
      <c r="AW14" s="79">
        <v>0</v>
      </c>
      <c r="AX14" s="79"/>
      <c r="AY14" s="79"/>
      <c r="AZ14" s="74">
        <f t="shared" si="0"/>
        <v>3691.1</v>
      </c>
      <c r="BA14" s="75">
        <f t="shared" si="1"/>
        <v>22637.9</v>
      </c>
      <c r="BB14" s="75">
        <f t="shared" ref="BB14" si="10">ROUND(BA14/2,2)</f>
        <v>11318.95</v>
      </c>
      <c r="BC14" s="75">
        <f t="shared" ref="BC14" si="11">BA14-BB14</f>
        <v>11318.95</v>
      </c>
      <c r="BD14" s="34"/>
      <c r="BI14" s="34">
        <v>578</v>
      </c>
    </row>
    <row r="15" spans="1:61" ht="14.25" customHeight="1" x14ac:dyDescent="0.35">
      <c r="A15" s="68">
        <f t="shared" si="2"/>
        <v>8</v>
      </c>
      <c r="B15" s="70" t="s">
        <v>285</v>
      </c>
      <c r="C15" s="70" t="s">
        <v>314</v>
      </c>
      <c r="D15" s="70" t="s">
        <v>251</v>
      </c>
      <c r="E15" s="70" t="s">
        <v>21</v>
      </c>
      <c r="F15" s="70" t="s">
        <v>22</v>
      </c>
      <c r="G15" s="70" t="s">
        <v>491</v>
      </c>
      <c r="H15" s="78">
        <v>42278</v>
      </c>
      <c r="I15" s="78">
        <v>44986</v>
      </c>
      <c r="J15" s="70">
        <v>15</v>
      </c>
      <c r="K15" s="70">
        <v>1</v>
      </c>
      <c r="L15" s="161">
        <f>IFERROR(VLOOKUP(J15, DATA!$A$4:$I$36, MATCH(K15, DATA!$B$3:$I$3, 0)+1, FALSE), "")</f>
        <v>42178</v>
      </c>
      <c r="M15" s="157">
        <v>2000</v>
      </c>
      <c r="N15" s="156">
        <f t="shared" si="3"/>
        <v>44178</v>
      </c>
      <c r="O15" s="73">
        <f t="shared" si="4"/>
        <v>3796.02</v>
      </c>
      <c r="P15" s="79"/>
      <c r="Q15" s="79"/>
      <c r="R15" s="79"/>
      <c r="S15" s="79"/>
      <c r="T15" s="79"/>
      <c r="U15" s="79"/>
      <c r="V15" s="79">
        <v>9317.65</v>
      </c>
      <c r="W15" s="79"/>
      <c r="X15" s="79"/>
      <c r="Y15" s="79"/>
      <c r="Z15" s="79"/>
      <c r="AA15" s="73">
        <v>3695.42</v>
      </c>
      <c r="AB15" s="73">
        <f>ROUND(IF(L15&gt;79999.99,900,IF(L15&lt;10000.01,137.5,IF(10000&lt;L15&gt;80000,L15*2.5%))),2)</f>
        <v>1054.45</v>
      </c>
      <c r="AC15" s="79"/>
      <c r="AD15" s="79">
        <v>2000</v>
      </c>
      <c r="AE15" s="79">
        <v>500</v>
      </c>
      <c r="AF15" s="79">
        <v>0</v>
      </c>
      <c r="AG15" s="79">
        <v>100</v>
      </c>
      <c r="AH15" s="79"/>
      <c r="AI15" s="79"/>
      <c r="AJ15" s="79"/>
      <c r="AK15" s="73"/>
      <c r="AL15" s="79"/>
      <c r="AM15" s="79"/>
      <c r="AN15" s="79"/>
      <c r="AO15" s="73"/>
      <c r="AP15" s="73"/>
      <c r="AQ15" s="73"/>
      <c r="AR15" s="73"/>
      <c r="AS15" s="79">
        <v>0</v>
      </c>
      <c r="AT15" s="79"/>
      <c r="AU15" s="79"/>
      <c r="AV15" s="79"/>
      <c r="AW15" s="79"/>
      <c r="AX15" s="79"/>
      <c r="AY15" s="79"/>
      <c r="AZ15" s="74">
        <f t="shared" si="0"/>
        <v>20463.54</v>
      </c>
      <c r="BA15" s="75">
        <f t="shared" si="1"/>
        <v>23714.46</v>
      </c>
      <c r="BB15" s="75">
        <f t="shared" si="5"/>
        <v>11857.23</v>
      </c>
      <c r="BC15" s="75">
        <f t="shared" si="6"/>
        <v>11857.23</v>
      </c>
      <c r="BD15" s="34"/>
      <c r="BI15" s="34">
        <v>578</v>
      </c>
    </row>
    <row r="16" spans="1:61" ht="14.25" customHeight="1" x14ac:dyDescent="0.35">
      <c r="A16" s="68">
        <f t="shared" si="2"/>
        <v>9</v>
      </c>
      <c r="B16" s="70" t="s">
        <v>341</v>
      </c>
      <c r="C16" s="70" t="s">
        <v>342</v>
      </c>
      <c r="D16" s="70" t="s">
        <v>219</v>
      </c>
      <c r="E16" s="70" t="s">
        <v>48</v>
      </c>
      <c r="F16" s="70" t="s">
        <v>35</v>
      </c>
      <c r="G16" s="70" t="s">
        <v>492</v>
      </c>
      <c r="H16" s="78">
        <v>43549</v>
      </c>
      <c r="I16" s="78">
        <v>44271</v>
      </c>
      <c r="J16" s="70">
        <v>15</v>
      </c>
      <c r="K16" s="70">
        <v>2</v>
      </c>
      <c r="L16" s="161">
        <f>IFERROR(VLOOKUP(J16, DATA!$A$4:$I$36, MATCH(K16, DATA!$B$3:$I$3, 0)+1, FALSE), "")</f>
        <v>42594</v>
      </c>
      <c r="M16" s="157">
        <v>2000</v>
      </c>
      <c r="N16" s="156">
        <f t="shared" si="3"/>
        <v>44594</v>
      </c>
      <c r="O16" s="73">
        <f t="shared" si="4"/>
        <v>3833.46</v>
      </c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3">
        <v>3791.96</v>
      </c>
      <c r="AB16" s="73">
        <f>ROUND(IF(L16&gt;79999.99,900,IF(L16&lt;10000.01,137.5,IF(10000&lt;L16&gt;80000,L16*2.5%))),2)</f>
        <v>1064.8499999999999</v>
      </c>
      <c r="AC16" s="79"/>
      <c r="AD16" s="79"/>
      <c r="AE16" s="73">
        <v>200</v>
      </c>
      <c r="AF16" s="79">
        <v>0</v>
      </c>
      <c r="AG16" s="79">
        <v>100</v>
      </c>
      <c r="AH16" s="79"/>
      <c r="AI16" s="79"/>
      <c r="AJ16" s="79"/>
      <c r="AK16" s="73"/>
      <c r="AL16" s="79"/>
      <c r="AM16" s="79"/>
      <c r="AN16" s="79"/>
      <c r="AO16" s="73"/>
      <c r="AP16" s="73"/>
      <c r="AQ16" s="73"/>
      <c r="AR16" s="73"/>
      <c r="AS16" s="79">
        <v>0</v>
      </c>
      <c r="AT16" s="79"/>
      <c r="AU16" s="79"/>
      <c r="AV16" s="79"/>
      <c r="AW16" s="79"/>
      <c r="AX16" s="79"/>
      <c r="AY16" s="79"/>
      <c r="AZ16" s="74">
        <f t="shared" si="0"/>
        <v>8990.27</v>
      </c>
      <c r="BA16" s="75">
        <f t="shared" si="1"/>
        <v>35603.730000000003</v>
      </c>
      <c r="BB16" s="75">
        <f t="shared" si="5"/>
        <v>17801.87</v>
      </c>
      <c r="BC16" s="75">
        <f t="shared" si="6"/>
        <v>17801.860000000004</v>
      </c>
      <c r="BD16" s="34"/>
    </row>
    <row r="17" spans="1:61" ht="14.25" customHeight="1" x14ac:dyDescent="0.35">
      <c r="A17" s="68">
        <f t="shared" si="2"/>
        <v>10</v>
      </c>
      <c r="B17" s="70" t="s">
        <v>439</v>
      </c>
      <c r="C17" s="70" t="s">
        <v>440</v>
      </c>
      <c r="D17" s="70" t="s">
        <v>234</v>
      </c>
      <c r="E17" s="70" t="s">
        <v>57</v>
      </c>
      <c r="F17" s="70" t="s">
        <v>16</v>
      </c>
      <c r="G17" s="70" t="s">
        <v>493</v>
      </c>
      <c r="H17" s="78">
        <v>45376</v>
      </c>
      <c r="I17" s="78">
        <v>45376</v>
      </c>
      <c r="J17" s="70">
        <v>7</v>
      </c>
      <c r="K17" s="70">
        <v>1</v>
      </c>
      <c r="L17" s="161">
        <f>IFERROR(VLOOKUP(J17, DATA!$A$4:$I$36, MATCH(K17, DATA!$B$3:$I$3, 0)+1, FALSE), "")</f>
        <v>20914</v>
      </c>
      <c r="M17" s="155">
        <v>2000</v>
      </c>
      <c r="N17" s="156">
        <f t="shared" si="3"/>
        <v>22914</v>
      </c>
      <c r="O17" s="73">
        <f t="shared" si="4"/>
        <v>1882.26</v>
      </c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3">
        <v>0</v>
      </c>
      <c r="AB17" s="73">
        <f>ROUND(IF(L17&gt;79999.99,900,IF(L17&lt;10000.01,137.5,IF(10000&lt;L17&gt;80000,L17*2.5%))),2)</f>
        <v>522.85</v>
      </c>
      <c r="AC17" s="79"/>
      <c r="AD17" s="79">
        <v>1000</v>
      </c>
      <c r="AE17" s="73">
        <v>200</v>
      </c>
      <c r="AF17" s="79"/>
      <c r="AG17" s="79">
        <v>100</v>
      </c>
      <c r="AH17" s="79"/>
      <c r="AI17" s="79"/>
      <c r="AJ17" s="79"/>
      <c r="AK17" s="73">
        <v>1000</v>
      </c>
      <c r="AL17" s="79"/>
      <c r="AM17" s="79"/>
      <c r="AN17" s="79"/>
      <c r="AO17" s="73"/>
      <c r="AP17" s="73"/>
      <c r="AQ17" s="73"/>
      <c r="AR17" s="73"/>
      <c r="AS17" s="79"/>
      <c r="AT17" s="79"/>
      <c r="AU17" s="79"/>
      <c r="AV17" s="79"/>
      <c r="AW17" s="79"/>
      <c r="AX17" s="79"/>
      <c r="AY17" s="79"/>
      <c r="AZ17" s="74">
        <f t="shared" si="0"/>
        <v>4705.1099999999997</v>
      </c>
      <c r="BA17" s="75">
        <f t="shared" si="1"/>
        <v>18208.89</v>
      </c>
      <c r="BB17" s="75">
        <f>ROUND(BA17/2,2)</f>
        <v>9104.4500000000007</v>
      </c>
      <c r="BC17" s="75">
        <f t="shared" si="6"/>
        <v>9104.4399999999987</v>
      </c>
      <c r="BD17" s="34"/>
    </row>
    <row r="18" spans="1:61" ht="14.25" customHeight="1" x14ac:dyDescent="0.35">
      <c r="A18" s="68">
        <f t="shared" si="2"/>
        <v>11</v>
      </c>
      <c r="B18" s="70" t="s">
        <v>222</v>
      </c>
      <c r="C18" s="70" t="s">
        <v>220</v>
      </c>
      <c r="D18" s="70" t="s">
        <v>221</v>
      </c>
      <c r="E18" s="70" t="s">
        <v>416</v>
      </c>
      <c r="F18" s="70" t="s">
        <v>415</v>
      </c>
      <c r="G18" s="70" t="s">
        <v>494</v>
      </c>
      <c r="H18" s="78">
        <v>34243</v>
      </c>
      <c r="I18" s="78">
        <v>44998</v>
      </c>
      <c r="J18" s="70">
        <v>27</v>
      </c>
      <c r="K18" s="70">
        <v>1</v>
      </c>
      <c r="L18" s="161">
        <f>IFERROR(VLOOKUP(J18, DATA!$A$4:$I$36, MATCH(K18, DATA!$B$3:$I$3, 0)+1, FALSE), "")</f>
        <v>148940</v>
      </c>
      <c r="M18" s="157">
        <v>2000</v>
      </c>
      <c r="N18" s="156">
        <f t="shared" si="3"/>
        <v>150940</v>
      </c>
      <c r="O18" s="73">
        <f t="shared" si="4"/>
        <v>13404.6</v>
      </c>
      <c r="P18" s="79">
        <v>500</v>
      </c>
      <c r="Q18" s="79">
        <v>655.56</v>
      </c>
      <c r="R18" s="79"/>
      <c r="S18" s="79"/>
      <c r="T18" s="79"/>
      <c r="U18" s="79"/>
      <c r="V18" s="79">
        <v>21327.3</v>
      </c>
      <c r="W18" s="79">
        <v>2333.33</v>
      </c>
      <c r="X18" s="79"/>
      <c r="Y18" s="79"/>
      <c r="Z18" s="79"/>
      <c r="AA18" s="73">
        <v>33536.75</v>
      </c>
      <c r="AB18" s="79">
        <v>2500</v>
      </c>
      <c r="AC18" s="79"/>
      <c r="AD18" s="79">
        <v>0</v>
      </c>
      <c r="AE18" s="73">
        <v>200</v>
      </c>
      <c r="AF18" s="79">
        <v>3000</v>
      </c>
      <c r="AG18" s="79"/>
      <c r="AH18" s="79"/>
      <c r="AI18" s="79"/>
      <c r="AJ18" s="79"/>
      <c r="AK18" s="73"/>
      <c r="AL18" s="79"/>
      <c r="AM18" s="79"/>
      <c r="AN18" s="79"/>
      <c r="AO18" s="73"/>
      <c r="AP18" s="73"/>
      <c r="AQ18" s="73"/>
      <c r="AR18" s="73"/>
      <c r="AS18" s="79">
        <v>0</v>
      </c>
      <c r="AT18" s="79">
        <v>9470.26</v>
      </c>
      <c r="AU18" s="79"/>
      <c r="AV18" s="79"/>
      <c r="AW18" s="79">
        <v>0</v>
      </c>
      <c r="AX18" s="79"/>
      <c r="AY18" s="79">
        <v>7364.14</v>
      </c>
      <c r="AZ18" s="74">
        <f t="shared" si="0"/>
        <v>94291.94</v>
      </c>
      <c r="BA18" s="75">
        <f t="shared" si="1"/>
        <v>56648.06</v>
      </c>
      <c r="BB18" s="75">
        <f t="shared" si="5"/>
        <v>28324.03</v>
      </c>
      <c r="BC18" s="75">
        <f t="shared" si="6"/>
        <v>28324.03</v>
      </c>
      <c r="BD18" s="34"/>
      <c r="BI18" s="34">
        <v>1979.1666666666665</v>
      </c>
    </row>
    <row r="19" spans="1:61" ht="14.25" customHeight="1" x14ac:dyDescent="0.35">
      <c r="A19" s="68">
        <f t="shared" si="2"/>
        <v>12</v>
      </c>
      <c r="B19" s="70" t="s">
        <v>273</v>
      </c>
      <c r="C19" s="70" t="s">
        <v>272</v>
      </c>
      <c r="D19" s="70" t="s">
        <v>219</v>
      </c>
      <c r="E19" s="70" t="s">
        <v>357</v>
      </c>
      <c r="F19" s="70" t="s">
        <v>16</v>
      </c>
      <c r="G19" s="70" t="s">
        <v>495</v>
      </c>
      <c r="H19" s="78">
        <v>34078</v>
      </c>
      <c r="I19" s="78">
        <v>38628</v>
      </c>
      <c r="J19" s="70">
        <v>8</v>
      </c>
      <c r="K19" s="70">
        <v>7</v>
      </c>
      <c r="L19" s="161">
        <f>IFERROR(VLOOKUP(J19, DATA!$A$4:$I$36, MATCH(K19, DATA!$B$3:$I$3, 0)+1, FALSE), "")</f>
        <v>23668</v>
      </c>
      <c r="M19" s="155">
        <v>2000</v>
      </c>
      <c r="N19" s="156">
        <f t="shared" si="3"/>
        <v>25668</v>
      </c>
      <c r="O19" s="73">
        <f t="shared" si="4"/>
        <v>2130.12</v>
      </c>
      <c r="P19" s="79">
        <v>200</v>
      </c>
      <c r="Q19" s="79"/>
      <c r="R19" s="79"/>
      <c r="S19" s="79"/>
      <c r="T19" s="79"/>
      <c r="U19" s="79"/>
      <c r="V19" s="79">
        <v>4847.84</v>
      </c>
      <c r="W19" s="79"/>
      <c r="X19" s="79"/>
      <c r="Y19" s="79"/>
      <c r="Z19" s="79"/>
      <c r="AA19" s="73">
        <v>23.91</v>
      </c>
      <c r="AB19" s="73">
        <f>ROUND(IF(L19&gt;79999.99,900,IF(L19&lt;10000.01,137.5,IF(10000&lt;L19&gt;80000,L19*2.5%))),2)</f>
        <v>591.70000000000005</v>
      </c>
      <c r="AC19" s="79">
        <v>4679.53</v>
      </c>
      <c r="AD19" s="79"/>
      <c r="AE19" s="73">
        <v>200</v>
      </c>
      <c r="AF19" s="79">
        <v>0</v>
      </c>
      <c r="AG19" s="79">
        <v>100</v>
      </c>
      <c r="AH19" s="79"/>
      <c r="AI19" s="79"/>
      <c r="AJ19" s="79"/>
      <c r="AK19" s="73"/>
      <c r="AL19" s="79">
        <v>300</v>
      </c>
      <c r="AM19" s="79">
        <v>1000</v>
      </c>
      <c r="AN19" s="79"/>
      <c r="AO19" s="73"/>
      <c r="AP19" s="73"/>
      <c r="AQ19" s="73"/>
      <c r="AR19" s="73"/>
      <c r="AS19" s="79">
        <v>0</v>
      </c>
      <c r="AT19" s="79"/>
      <c r="AU19" s="79"/>
      <c r="AV19" s="79"/>
      <c r="AW19" s="79">
        <v>0</v>
      </c>
      <c r="AX19" s="79"/>
      <c r="AY19" s="80">
        <v>4325.3500000000004</v>
      </c>
      <c r="AZ19" s="74">
        <f t="shared" si="0"/>
        <v>18398.45</v>
      </c>
      <c r="BA19" s="75">
        <f t="shared" si="1"/>
        <v>7269.55</v>
      </c>
      <c r="BB19" s="75">
        <f t="shared" si="5"/>
        <v>3634.78</v>
      </c>
      <c r="BC19" s="75">
        <f t="shared" si="6"/>
        <v>3634.77</v>
      </c>
      <c r="BD19" s="34"/>
      <c r="BI19" s="34">
        <v>0</v>
      </c>
    </row>
    <row r="20" spans="1:61" ht="14.25" customHeight="1" x14ac:dyDescent="0.35">
      <c r="A20" s="68">
        <f t="shared" si="2"/>
        <v>13</v>
      </c>
      <c r="B20" s="70" t="s">
        <v>437</v>
      </c>
      <c r="C20" s="70" t="s">
        <v>438</v>
      </c>
      <c r="D20" s="70" t="s">
        <v>234</v>
      </c>
      <c r="E20" s="70" t="s">
        <v>60</v>
      </c>
      <c r="F20" s="70" t="s">
        <v>44</v>
      </c>
      <c r="G20" s="70" t="s">
        <v>496</v>
      </c>
      <c r="H20" s="78">
        <v>45376</v>
      </c>
      <c r="I20" s="78">
        <v>45376</v>
      </c>
      <c r="J20" s="70">
        <v>11</v>
      </c>
      <c r="K20" s="70">
        <v>1</v>
      </c>
      <c r="L20" s="161">
        <f>IFERROR(VLOOKUP(J20, DATA!$A$4:$I$36, MATCH(K20, DATA!$B$3:$I$3, 0)+1, FALSE), "")</f>
        <v>31705</v>
      </c>
      <c r="M20" s="155">
        <v>2000</v>
      </c>
      <c r="N20" s="156">
        <f t="shared" si="3"/>
        <v>33705</v>
      </c>
      <c r="O20" s="73">
        <f t="shared" si="4"/>
        <v>2853.45</v>
      </c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3">
        <v>1468.9</v>
      </c>
      <c r="AB20" s="73">
        <f>ROUND(IF(L20&gt;79999.99,900,IF(L20&lt;10000.01,137.5,IF(10000&lt;L20&gt;80000,L20*2.5%))),2)-0.01</f>
        <v>792.62</v>
      </c>
      <c r="AC20" s="79"/>
      <c r="AD20" s="79"/>
      <c r="AE20" s="73">
        <v>200</v>
      </c>
      <c r="AF20" s="79"/>
      <c r="AG20" s="79">
        <v>100</v>
      </c>
      <c r="AH20" s="79"/>
      <c r="AI20" s="79"/>
      <c r="AJ20" s="79"/>
      <c r="AK20" s="73"/>
      <c r="AL20" s="79"/>
      <c r="AM20" s="79"/>
      <c r="AN20" s="79"/>
      <c r="AO20" s="73"/>
      <c r="AP20" s="73"/>
      <c r="AQ20" s="73"/>
      <c r="AR20" s="73"/>
      <c r="AS20" s="79"/>
      <c r="AT20" s="79"/>
      <c r="AU20" s="79"/>
      <c r="AV20" s="79"/>
      <c r="AW20" s="79"/>
      <c r="AX20" s="79"/>
      <c r="AY20" s="80"/>
      <c r="AZ20" s="74">
        <f t="shared" si="0"/>
        <v>5414.97</v>
      </c>
      <c r="BA20" s="75">
        <f t="shared" si="1"/>
        <v>28290.03</v>
      </c>
      <c r="BB20" s="75">
        <f t="shared" si="5"/>
        <v>14145.02</v>
      </c>
      <c r="BC20" s="75">
        <f t="shared" si="6"/>
        <v>14145.009999999998</v>
      </c>
      <c r="BD20" s="34"/>
    </row>
    <row r="21" spans="1:61" ht="14.25" customHeight="1" x14ac:dyDescent="0.35">
      <c r="A21" s="68">
        <f t="shared" si="2"/>
        <v>14</v>
      </c>
      <c r="B21" s="70" t="s">
        <v>282</v>
      </c>
      <c r="C21" s="70" t="s">
        <v>281</v>
      </c>
      <c r="D21" s="70" t="s">
        <v>221</v>
      </c>
      <c r="E21" s="70" t="s">
        <v>72</v>
      </c>
      <c r="F21" s="70" t="s">
        <v>19</v>
      </c>
      <c r="G21" s="70" t="s">
        <v>497</v>
      </c>
      <c r="H21" s="78">
        <v>34121</v>
      </c>
      <c r="I21" s="78">
        <v>34121</v>
      </c>
      <c r="J21" s="70">
        <v>3</v>
      </c>
      <c r="K21" s="70">
        <v>8</v>
      </c>
      <c r="L21" s="161">
        <f>IFERROR(VLOOKUP(J21, DATA!$A$4:$I$36, MATCH(K21, DATA!$B$3:$I$3, 0)+1, FALSE), "")</f>
        <v>17360</v>
      </c>
      <c r="M21" s="157">
        <v>2000</v>
      </c>
      <c r="N21" s="156">
        <f t="shared" si="3"/>
        <v>19360</v>
      </c>
      <c r="O21" s="73">
        <f t="shared" si="4"/>
        <v>1562.4</v>
      </c>
      <c r="P21" s="79"/>
      <c r="Q21" s="79">
        <v>655.56</v>
      </c>
      <c r="R21" s="79"/>
      <c r="S21" s="79">
        <v>2100.56</v>
      </c>
      <c r="T21" s="80">
        <v>0</v>
      </c>
      <c r="U21" s="79">
        <v>0</v>
      </c>
      <c r="V21" s="79"/>
      <c r="W21" s="79"/>
      <c r="X21" s="79"/>
      <c r="Y21" s="79">
        <v>2837.17</v>
      </c>
      <c r="Z21" s="79"/>
      <c r="AA21" s="73">
        <v>0</v>
      </c>
      <c r="AB21" s="79">
        <f>ROUND(IF(L21&gt;79999.99,900,IF(L21&lt;10000.01,137.5,IF(10000&lt;L21&gt;80000,L21*2.5%))),2)</f>
        <v>434</v>
      </c>
      <c r="AC21" s="79"/>
      <c r="AD21" s="79"/>
      <c r="AE21" s="79">
        <v>500</v>
      </c>
      <c r="AF21" s="79">
        <v>1200</v>
      </c>
      <c r="AG21" s="79">
        <v>100</v>
      </c>
      <c r="AH21" s="79"/>
      <c r="AI21" s="79"/>
      <c r="AJ21" s="79"/>
      <c r="AK21" s="73"/>
      <c r="AL21" s="79"/>
      <c r="AM21" s="79"/>
      <c r="AN21" s="79"/>
      <c r="AO21" s="73"/>
      <c r="AP21" s="73"/>
      <c r="AQ21" s="73"/>
      <c r="AR21" s="73"/>
      <c r="AS21" s="79">
        <v>1000</v>
      </c>
      <c r="AT21" s="79"/>
      <c r="AU21" s="79"/>
      <c r="AV21" s="79"/>
      <c r="AW21" s="79">
        <v>0</v>
      </c>
      <c r="AX21" s="79"/>
      <c r="AY21" s="79">
        <v>1820.83</v>
      </c>
      <c r="AZ21" s="74">
        <f t="shared" si="0"/>
        <v>12210.52</v>
      </c>
      <c r="BA21" s="75">
        <f t="shared" si="1"/>
        <v>7149.48</v>
      </c>
      <c r="BB21" s="75">
        <f t="shared" si="5"/>
        <v>3574.74</v>
      </c>
      <c r="BC21" s="75">
        <f t="shared" si="6"/>
        <v>3574.74</v>
      </c>
      <c r="BD21" s="34"/>
      <c r="BI21" s="34">
        <v>325.4375</v>
      </c>
    </row>
    <row r="22" spans="1:61" ht="14.25" customHeight="1" x14ac:dyDescent="0.35">
      <c r="A22" s="68">
        <f t="shared" si="2"/>
        <v>15</v>
      </c>
      <c r="B22" s="70" t="s">
        <v>449</v>
      </c>
      <c r="C22" s="70" t="s">
        <v>244</v>
      </c>
      <c r="D22" s="70" t="s">
        <v>234</v>
      </c>
      <c r="E22" s="70" t="s">
        <v>64</v>
      </c>
      <c r="F22" s="70" t="s">
        <v>44</v>
      </c>
      <c r="G22" s="70" t="s">
        <v>498</v>
      </c>
      <c r="H22" s="78">
        <v>42451</v>
      </c>
      <c r="I22" s="78">
        <v>45397</v>
      </c>
      <c r="J22" s="70">
        <v>18</v>
      </c>
      <c r="K22" s="70">
        <v>1</v>
      </c>
      <c r="L22" s="161">
        <f>IFERROR(VLOOKUP(J22, DATA!$A$4:$I$36, MATCH(K22, DATA!$B$3:$I$3, 0)+1, FALSE), "")</f>
        <v>53818</v>
      </c>
      <c r="M22" s="157">
        <v>2000</v>
      </c>
      <c r="N22" s="156">
        <f t="shared" si="3"/>
        <v>55818</v>
      </c>
      <c r="O22" s="73">
        <f t="shared" si="4"/>
        <v>4843.62</v>
      </c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3">
        <v>6395.7</v>
      </c>
      <c r="AB22" s="73">
        <f>ROUND(IF(L22&gt;79999.99,900,IF(L22&lt;10000.01,137.5,IF(10000&lt;L22&gt;80000,L22*2.5%))),2)</f>
        <v>1345.45</v>
      </c>
      <c r="AC22" s="79"/>
      <c r="AD22" s="79"/>
      <c r="AE22" s="73">
        <v>200</v>
      </c>
      <c r="AF22" s="79">
        <v>0</v>
      </c>
      <c r="AG22" s="79">
        <v>100</v>
      </c>
      <c r="AH22" s="79"/>
      <c r="AI22" s="79"/>
      <c r="AJ22" s="79"/>
      <c r="AK22" s="73"/>
      <c r="AL22" s="79"/>
      <c r="AM22" s="79"/>
      <c r="AN22" s="79"/>
      <c r="AO22" s="73"/>
      <c r="AP22" s="73"/>
      <c r="AQ22" s="73"/>
      <c r="AR22" s="73"/>
      <c r="AS22" s="79">
        <v>1135.55</v>
      </c>
      <c r="AT22" s="79"/>
      <c r="AU22" s="79"/>
      <c r="AV22" s="79"/>
      <c r="AW22" s="79"/>
      <c r="AX22" s="79">
        <v>891.15</v>
      </c>
      <c r="AY22" s="79">
        <v>3034.72</v>
      </c>
      <c r="AZ22" s="74">
        <f t="shared" si="0"/>
        <v>17946.189999999999</v>
      </c>
      <c r="BA22" s="75">
        <f t="shared" si="1"/>
        <v>37871.81</v>
      </c>
      <c r="BB22" s="75">
        <f>ROUND(BA22/2,2)</f>
        <v>18935.91</v>
      </c>
      <c r="BC22" s="75">
        <f>BA22-BB22</f>
        <v>18935.899999999998</v>
      </c>
      <c r="BD22" s="34"/>
      <c r="BI22" s="34">
        <v>555.55555555555554</v>
      </c>
    </row>
    <row r="23" spans="1:61" ht="14.25" customHeight="1" x14ac:dyDescent="0.35">
      <c r="A23" s="68">
        <f t="shared" si="2"/>
        <v>16</v>
      </c>
      <c r="B23" s="70" t="s">
        <v>247</v>
      </c>
      <c r="C23" s="70" t="s">
        <v>246</v>
      </c>
      <c r="D23" s="70" t="s">
        <v>239</v>
      </c>
      <c r="E23" s="70" t="s">
        <v>32</v>
      </c>
      <c r="F23" s="70" t="s">
        <v>16</v>
      </c>
      <c r="G23" s="70" t="s">
        <v>499</v>
      </c>
      <c r="H23" s="78">
        <v>34073</v>
      </c>
      <c r="I23" s="78">
        <v>34073</v>
      </c>
      <c r="J23" s="70">
        <v>8</v>
      </c>
      <c r="K23" s="70">
        <v>8</v>
      </c>
      <c r="L23" s="161">
        <f>IFERROR(VLOOKUP(J23, DATA!$A$4:$I$36, MATCH(K23, DATA!$B$3:$I$3, 0)+1, FALSE), "")</f>
        <v>23883</v>
      </c>
      <c r="M23" s="157">
        <v>2000</v>
      </c>
      <c r="N23" s="156">
        <f t="shared" si="3"/>
        <v>25883</v>
      </c>
      <c r="O23" s="73">
        <f t="shared" si="4"/>
        <v>2149.4699999999998</v>
      </c>
      <c r="P23" s="79">
        <v>320</v>
      </c>
      <c r="Q23" s="80"/>
      <c r="R23" s="80"/>
      <c r="S23" s="80">
        <v>0</v>
      </c>
      <c r="T23" s="79"/>
      <c r="U23" s="79"/>
      <c r="V23" s="79">
        <v>3558.84</v>
      </c>
      <c r="W23" s="79"/>
      <c r="X23" s="79"/>
      <c r="Y23" s="79">
        <v>5648.41</v>
      </c>
      <c r="Z23" s="79"/>
      <c r="AA23" s="73">
        <v>73.05</v>
      </c>
      <c r="AB23" s="73">
        <f>ROUND(IF(L23&gt;79999.99,900,IF(L23&lt;10000.01,137.5,IF(10000&lt;L23&gt;80000,L23*2.5%))),2)-0.01</f>
        <v>597.07000000000005</v>
      </c>
      <c r="AC23" s="79">
        <v>1195.45</v>
      </c>
      <c r="AD23" s="79"/>
      <c r="AE23" s="73">
        <v>200</v>
      </c>
      <c r="AF23" s="79">
        <v>0</v>
      </c>
      <c r="AG23" s="79">
        <v>100</v>
      </c>
      <c r="AH23" s="79"/>
      <c r="AI23" s="79"/>
      <c r="AJ23" s="79"/>
      <c r="AK23" s="73"/>
      <c r="AL23" s="79">
        <v>100</v>
      </c>
      <c r="AM23" s="79">
        <v>3750</v>
      </c>
      <c r="AN23" s="79"/>
      <c r="AO23" s="73">
        <v>922.78</v>
      </c>
      <c r="AP23" s="73">
        <v>1408.7</v>
      </c>
      <c r="AQ23" s="73"/>
      <c r="AR23" s="73"/>
      <c r="AS23" s="79">
        <v>0</v>
      </c>
      <c r="AT23" s="79"/>
      <c r="AU23" s="79"/>
      <c r="AV23" s="79"/>
      <c r="AW23" s="79">
        <v>0</v>
      </c>
      <c r="AX23" s="79"/>
      <c r="AY23" s="79"/>
      <c r="AZ23" s="74">
        <f t="shared" si="0"/>
        <v>20023.77</v>
      </c>
      <c r="BA23" s="75">
        <f t="shared" si="1"/>
        <v>5859.23</v>
      </c>
      <c r="BB23" s="75">
        <f t="shared" si="5"/>
        <v>2929.62</v>
      </c>
      <c r="BC23" s="75">
        <f t="shared" si="6"/>
        <v>2929.6099999999997</v>
      </c>
      <c r="BD23" s="34"/>
      <c r="BI23" s="34">
        <v>978.125</v>
      </c>
    </row>
    <row r="24" spans="1:61" ht="14.25" customHeight="1" x14ac:dyDescent="0.35">
      <c r="A24" s="68">
        <f t="shared" si="2"/>
        <v>17</v>
      </c>
      <c r="B24" s="70" t="s">
        <v>298</v>
      </c>
      <c r="C24" s="70" t="s">
        <v>297</v>
      </c>
      <c r="D24" s="70" t="s">
        <v>266</v>
      </c>
      <c r="E24" s="70" t="s">
        <v>153</v>
      </c>
      <c r="F24" s="70" t="s">
        <v>19</v>
      </c>
      <c r="G24" s="70" t="s">
        <v>500</v>
      </c>
      <c r="H24" s="78">
        <v>37712</v>
      </c>
      <c r="I24" s="78">
        <v>37712</v>
      </c>
      <c r="J24" s="70">
        <v>5</v>
      </c>
      <c r="K24" s="70">
        <v>8</v>
      </c>
      <c r="L24" s="161">
        <f>IFERROR(VLOOKUP(J24, DATA!$A$4:$I$36, MATCH(K24, DATA!$B$3:$I$3, 0)+1, FALSE), "")</f>
        <v>19565</v>
      </c>
      <c r="M24" s="157">
        <v>2000</v>
      </c>
      <c r="N24" s="156">
        <f t="shared" si="3"/>
        <v>21565</v>
      </c>
      <c r="O24" s="73">
        <f t="shared" si="4"/>
        <v>1760.85</v>
      </c>
      <c r="P24" s="79">
        <v>300</v>
      </c>
      <c r="Q24" s="79">
        <v>655.56</v>
      </c>
      <c r="R24" s="79"/>
      <c r="S24" s="79"/>
      <c r="T24" s="79"/>
      <c r="U24" s="79"/>
      <c r="V24" s="79">
        <v>2698.53</v>
      </c>
      <c r="W24" s="79">
        <v>1166.67</v>
      </c>
      <c r="X24" s="79"/>
      <c r="Y24" s="79">
        <v>3372.06</v>
      </c>
      <c r="Z24" s="79"/>
      <c r="AA24" s="73">
        <v>0</v>
      </c>
      <c r="AB24" s="73">
        <f>ROUND(IF(L24&gt;79999.99,900,IF(L24&lt;10000.01,137.5,IF(10000&lt;L24&gt;80000,L24*2.5%))),2)-0.01</f>
        <v>489.12</v>
      </c>
      <c r="AC24" s="79">
        <v>279.7</v>
      </c>
      <c r="AD24" s="79">
        <v>0</v>
      </c>
      <c r="AE24" s="73">
        <v>200</v>
      </c>
      <c r="AF24" s="79">
        <v>0</v>
      </c>
      <c r="AG24" s="79">
        <v>100</v>
      </c>
      <c r="AH24" s="79">
        <v>1336</v>
      </c>
      <c r="AI24" s="79"/>
      <c r="AJ24" s="79"/>
      <c r="AK24" s="73"/>
      <c r="AL24" s="79"/>
      <c r="AM24" s="79"/>
      <c r="AN24" s="79"/>
      <c r="AO24" s="73"/>
      <c r="AP24" s="73"/>
      <c r="AQ24" s="73"/>
      <c r="AR24" s="73"/>
      <c r="AS24" s="79">
        <v>500</v>
      </c>
      <c r="AT24" s="79"/>
      <c r="AU24" s="79"/>
      <c r="AV24" s="79"/>
      <c r="AW24" s="79">
        <v>0</v>
      </c>
      <c r="AX24" s="79"/>
      <c r="AY24" s="79">
        <v>2994.22</v>
      </c>
      <c r="AZ24" s="74">
        <f t="shared" si="0"/>
        <v>15852.71</v>
      </c>
      <c r="BA24" s="75">
        <f t="shared" si="1"/>
        <v>5712.29</v>
      </c>
      <c r="BB24" s="75">
        <f t="shared" si="5"/>
        <v>2856.15</v>
      </c>
      <c r="BC24" s="75">
        <f t="shared" si="6"/>
        <v>2856.14</v>
      </c>
      <c r="BD24" s="34"/>
      <c r="BI24" s="34">
        <v>590.9375</v>
      </c>
    </row>
    <row r="25" spans="1:61" ht="14.25" customHeight="1" x14ac:dyDescent="0.35">
      <c r="A25" s="68">
        <f t="shared" si="2"/>
        <v>18</v>
      </c>
      <c r="B25" s="70" t="s">
        <v>373</v>
      </c>
      <c r="C25" s="70" t="s">
        <v>374</v>
      </c>
      <c r="D25" s="70" t="s">
        <v>212</v>
      </c>
      <c r="E25" s="70" t="s">
        <v>27</v>
      </c>
      <c r="F25" s="70" t="s">
        <v>44</v>
      </c>
      <c r="G25" s="70" t="s">
        <v>501</v>
      </c>
      <c r="H25" s="78">
        <v>44291</v>
      </c>
      <c r="I25" s="78">
        <v>45719</v>
      </c>
      <c r="J25" s="70">
        <v>15</v>
      </c>
      <c r="K25" s="70">
        <v>1</v>
      </c>
      <c r="L25" s="161">
        <f>IFERROR(VLOOKUP(J25, DATA!$A$4:$I$36, MATCH(K25, DATA!$B$3:$I$3, 0)+1, FALSE), "")</f>
        <v>42178</v>
      </c>
      <c r="M25" s="157">
        <v>2000</v>
      </c>
      <c r="N25" s="156">
        <f t="shared" si="3"/>
        <v>44178</v>
      </c>
      <c r="O25" s="73">
        <f t="shared" si="4"/>
        <v>3796.02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3">
        <v>3335.99</v>
      </c>
      <c r="AB25" s="79">
        <f>ROUND(IF(L25&gt;79999.99,900,IF(L25&lt;10000.01,137.5,IF(10000&lt;L25&gt;80000,L25*2.5%))),2)</f>
        <v>1054.45</v>
      </c>
      <c r="AC25" s="79"/>
      <c r="AD25" s="79"/>
      <c r="AE25" s="73">
        <v>200</v>
      </c>
      <c r="AF25" s="79">
        <v>0</v>
      </c>
      <c r="AG25" s="79">
        <v>100</v>
      </c>
      <c r="AH25" s="79"/>
      <c r="AI25" s="79"/>
      <c r="AJ25" s="79"/>
      <c r="AK25" s="73"/>
      <c r="AL25" s="79"/>
      <c r="AM25" s="79"/>
      <c r="AN25" s="79"/>
      <c r="AO25" s="73"/>
      <c r="AP25" s="73"/>
      <c r="AQ25" s="73"/>
      <c r="AR25" s="73"/>
      <c r="AS25" s="79">
        <v>0</v>
      </c>
      <c r="AT25" s="79">
        <v>6313.51</v>
      </c>
      <c r="AU25" s="79"/>
      <c r="AV25" s="79"/>
      <c r="AW25" s="79"/>
      <c r="AX25" s="79"/>
      <c r="AY25" s="79"/>
      <c r="AZ25" s="74">
        <f t="shared" si="0"/>
        <v>14799.97</v>
      </c>
      <c r="BA25" s="75">
        <f t="shared" si="1"/>
        <v>29378.03</v>
      </c>
      <c r="BB25" s="75">
        <f t="shared" si="5"/>
        <v>14689.02</v>
      </c>
      <c r="BC25" s="75">
        <f t="shared" si="6"/>
        <v>14689.009999999998</v>
      </c>
      <c r="BD25" s="34"/>
      <c r="BI25" s="33"/>
    </row>
    <row r="26" spans="1:61" ht="14.25" customHeight="1" x14ac:dyDescent="0.35">
      <c r="A26" s="68">
        <f t="shared" si="2"/>
        <v>19</v>
      </c>
      <c r="B26" s="70" t="s">
        <v>260</v>
      </c>
      <c r="C26" s="70" t="s">
        <v>310</v>
      </c>
      <c r="D26" s="70" t="s">
        <v>212</v>
      </c>
      <c r="E26" s="70" t="s">
        <v>370</v>
      </c>
      <c r="F26" s="70" t="s">
        <v>16</v>
      </c>
      <c r="G26" s="70" t="s">
        <v>502</v>
      </c>
      <c r="H26" s="78">
        <v>42451</v>
      </c>
      <c r="I26" s="78">
        <v>44271</v>
      </c>
      <c r="J26" s="70">
        <v>17</v>
      </c>
      <c r="K26" s="70">
        <v>2</v>
      </c>
      <c r="L26" s="161">
        <f>IFERROR(VLOOKUP(J26, DATA!$A$4:$I$36, MATCH(K26, DATA!$B$3:$I$3, 0)+1, FALSE), "")</f>
        <v>50066</v>
      </c>
      <c r="M26" s="157">
        <v>2000</v>
      </c>
      <c r="N26" s="156">
        <f t="shared" si="3"/>
        <v>52066</v>
      </c>
      <c r="O26" s="73">
        <f t="shared" si="4"/>
        <v>4505.9399999999996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3">
        <v>5537.02</v>
      </c>
      <c r="AB26" s="79">
        <f>ROUND(IF(L26&gt;79999.99,900,IF(L26&lt;10000.01,137.5,IF(10000&lt;L26&gt;80000,L26*2.5%))),2)</f>
        <v>1251.6500000000001</v>
      </c>
      <c r="AC26" s="79"/>
      <c r="AD26" s="79">
        <v>1000</v>
      </c>
      <c r="AE26" s="73">
        <v>200</v>
      </c>
      <c r="AF26" s="79">
        <v>0</v>
      </c>
      <c r="AG26" s="79">
        <v>100</v>
      </c>
      <c r="AH26" s="79"/>
      <c r="AI26" s="79"/>
      <c r="AJ26" s="79"/>
      <c r="AK26" s="73"/>
      <c r="AL26" s="79"/>
      <c r="AM26" s="79"/>
      <c r="AN26" s="79"/>
      <c r="AO26" s="73"/>
      <c r="AP26" s="73"/>
      <c r="AQ26" s="73"/>
      <c r="AR26" s="73"/>
      <c r="AS26" s="79">
        <v>0</v>
      </c>
      <c r="AT26" s="79"/>
      <c r="AU26" s="79"/>
      <c r="AV26" s="79"/>
      <c r="AW26" s="79">
        <v>0</v>
      </c>
      <c r="AX26" s="79"/>
      <c r="AY26" s="79"/>
      <c r="AZ26" s="74">
        <f t="shared" si="0"/>
        <v>12594.61</v>
      </c>
      <c r="BA26" s="75">
        <f t="shared" si="1"/>
        <v>39471.39</v>
      </c>
      <c r="BB26" s="75">
        <f t="shared" si="5"/>
        <v>19735.7</v>
      </c>
      <c r="BC26" s="75">
        <f t="shared" si="6"/>
        <v>19735.689999999999</v>
      </c>
      <c r="BD26" s="34"/>
    </row>
    <row r="27" spans="1:61" ht="14.25" customHeight="1" x14ac:dyDescent="0.35">
      <c r="A27" s="68">
        <f t="shared" si="2"/>
        <v>20</v>
      </c>
      <c r="B27" s="70" t="s">
        <v>277</v>
      </c>
      <c r="C27" s="70" t="s">
        <v>276</v>
      </c>
      <c r="D27" s="70" t="s">
        <v>234</v>
      </c>
      <c r="E27" s="70" t="s">
        <v>64</v>
      </c>
      <c r="F27" s="70" t="s">
        <v>44</v>
      </c>
      <c r="G27" s="70" t="s">
        <v>503</v>
      </c>
      <c r="H27" s="78">
        <v>42383</v>
      </c>
      <c r="I27" s="78">
        <v>45027</v>
      </c>
      <c r="J27" s="70">
        <v>18</v>
      </c>
      <c r="K27" s="70">
        <v>1</v>
      </c>
      <c r="L27" s="161">
        <f>IFERROR(VLOOKUP(J27, DATA!$A$4:$I$36, MATCH(K27, DATA!$B$3:$I$3, 0)+1, FALSE), "")</f>
        <v>53818</v>
      </c>
      <c r="M27" s="157">
        <v>2000</v>
      </c>
      <c r="N27" s="156">
        <f t="shared" si="3"/>
        <v>55818</v>
      </c>
      <c r="O27" s="73">
        <f t="shared" si="4"/>
        <v>4843.62</v>
      </c>
      <c r="P27" s="79"/>
      <c r="Q27" s="79">
        <v>655.56</v>
      </c>
      <c r="R27" s="79"/>
      <c r="S27" s="79"/>
      <c r="T27" s="79"/>
      <c r="U27" s="79"/>
      <c r="V27" s="79">
        <v>6918.77</v>
      </c>
      <c r="W27" s="79"/>
      <c r="X27" s="79">
        <v>1966.67</v>
      </c>
      <c r="Y27" s="79"/>
      <c r="Z27" s="79"/>
      <c r="AA27" s="73">
        <v>6395.7</v>
      </c>
      <c r="AB27" s="73">
        <f>ROUND(IF(L27&gt;79999.99,900,IF(L27&lt;10000.01,137.5,IF(10000&lt;L27&gt;80000,L27*2.5%))),2)</f>
        <v>1345.45</v>
      </c>
      <c r="AC27" s="79"/>
      <c r="AD27" s="79">
        <v>0</v>
      </c>
      <c r="AE27" s="79">
        <v>1500</v>
      </c>
      <c r="AF27" s="79">
        <v>0</v>
      </c>
      <c r="AG27" s="79">
        <v>100</v>
      </c>
      <c r="AH27" s="79"/>
      <c r="AI27" s="79"/>
      <c r="AJ27" s="79"/>
      <c r="AK27" s="73"/>
      <c r="AL27" s="79">
        <v>500</v>
      </c>
      <c r="AM27" s="79"/>
      <c r="AN27" s="79"/>
      <c r="AO27" s="73"/>
      <c r="AP27" s="73"/>
      <c r="AQ27" s="73"/>
      <c r="AR27" s="73"/>
      <c r="AS27" s="79">
        <v>707.29</v>
      </c>
      <c r="AT27" s="79"/>
      <c r="AU27" s="79"/>
      <c r="AV27" s="79"/>
      <c r="AW27" s="79"/>
      <c r="AX27" s="79"/>
      <c r="AY27" s="79">
        <v>6165.86</v>
      </c>
      <c r="AZ27" s="74">
        <f t="shared" si="0"/>
        <v>31098.92</v>
      </c>
      <c r="BA27" s="75">
        <f t="shared" si="1"/>
        <v>24719.08</v>
      </c>
      <c r="BB27" s="75">
        <f t="shared" si="5"/>
        <v>12359.54</v>
      </c>
      <c r="BC27" s="75">
        <f t="shared" si="6"/>
        <v>12359.54</v>
      </c>
      <c r="BD27" s="34"/>
      <c r="BI27" s="34">
        <v>763.34722222222217</v>
      </c>
    </row>
    <row r="28" spans="1:61" ht="14.25" customHeight="1" x14ac:dyDescent="0.35">
      <c r="A28" s="68">
        <f t="shared" si="2"/>
        <v>21</v>
      </c>
      <c r="B28" s="70" t="s">
        <v>226</v>
      </c>
      <c r="C28" s="70" t="s">
        <v>225</v>
      </c>
      <c r="D28" s="70" t="s">
        <v>224</v>
      </c>
      <c r="E28" s="70" t="s">
        <v>34</v>
      </c>
      <c r="F28" s="70" t="s">
        <v>35</v>
      </c>
      <c r="G28" s="70" t="s">
        <v>504</v>
      </c>
      <c r="H28" s="78">
        <v>42278</v>
      </c>
      <c r="I28" s="78">
        <v>42278</v>
      </c>
      <c r="J28" s="70">
        <v>11</v>
      </c>
      <c r="K28" s="70">
        <v>4</v>
      </c>
      <c r="L28" s="161">
        <f>IFERROR(VLOOKUP(J28, DATA!$A$4:$I$36, MATCH(K28, DATA!$B$3:$I$3, 0)+1, FALSE), "")</f>
        <v>32401</v>
      </c>
      <c r="M28" s="157">
        <v>2000</v>
      </c>
      <c r="N28" s="156">
        <f t="shared" si="3"/>
        <v>34401</v>
      </c>
      <c r="O28" s="73">
        <f t="shared" si="4"/>
        <v>2916.09</v>
      </c>
      <c r="P28" s="79"/>
      <c r="Q28" s="79">
        <v>1152.4100000000001</v>
      </c>
      <c r="R28" s="79"/>
      <c r="S28" s="79"/>
      <c r="T28" s="79"/>
      <c r="U28" s="79"/>
      <c r="V28" s="79">
        <v>4165.63</v>
      </c>
      <c r="W28" s="79">
        <v>1166.67</v>
      </c>
      <c r="X28" s="79"/>
      <c r="Y28" s="79"/>
      <c r="Z28" s="79"/>
      <c r="AA28" s="73">
        <v>1587.48</v>
      </c>
      <c r="AB28" s="73">
        <f>ROUND(IF(L28&gt;79999.99,900,IF(L28&lt;10000.01,137.5,IF(10000&lt;L28&gt;80000,L28*2.5%))),2)-0.01</f>
        <v>810.02</v>
      </c>
      <c r="AC28" s="79"/>
      <c r="AD28" s="79">
        <v>0</v>
      </c>
      <c r="AE28" s="73">
        <v>200</v>
      </c>
      <c r="AF28" s="79">
        <v>0</v>
      </c>
      <c r="AG28" s="79">
        <v>100</v>
      </c>
      <c r="AH28" s="79"/>
      <c r="AI28" s="79"/>
      <c r="AJ28" s="79"/>
      <c r="AK28" s="73"/>
      <c r="AL28" s="79">
        <v>100</v>
      </c>
      <c r="AM28" s="79"/>
      <c r="AN28" s="79"/>
      <c r="AO28" s="73"/>
      <c r="AP28" s="73"/>
      <c r="AQ28" s="73"/>
      <c r="AR28" s="73"/>
      <c r="AS28" s="79">
        <v>0</v>
      </c>
      <c r="AT28" s="79"/>
      <c r="AU28" s="79"/>
      <c r="AV28" s="79"/>
      <c r="AW28" s="79">
        <v>0</v>
      </c>
      <c r="AX28" s="79"/>
      <c r="AY28" s="79"/>
      <c r="AZ28" s="74">
        <f t="shared" si="0"/>
        <v>12198.3</v>
      </c>
      <c r="BA28" s="75">
        <f t="shared" si="1"/>
        <v>22202.7</v>
      </c>
      <c r="BB28" s="75">
        <f t="shared" si="5"/>
        <v>11101.35</v>
      </c>
      <c r="BC28" s="75">
        <f t="shared" si="6"/>
        <v>11101.35</v>
      </c>
      <c r="BD28" s="34"/>
      <c r="BI28" s="34">
        <v>0</v>
      </c>
    </row>
    <row r="29" spans="1:61" ht="14.25" customHeight="1" x14ac:dyDescent="0.35">
      <c r="A29" s="68">
        <f t="shared" si="2"/>
        <v>22</v>
      </c>
      <c r="B29" s="70" t="s">
        <v>265</v>
      </c>
      <c r="C29" s="70" t="s">
        <v>264</v>
      </c>
      <c r="D29" s="70" t="s">
        <v>239</v>
      </c>
      <c r="E29" s="70" t="s">
        <v>452</v>
      </c>
      <c r="F29" s="70" t="s">
        <v>22</v>
      </c>
      <c r="G29" s="70" t="s">
        <v>505</v>
      </c>
      <c r="H29" s="78">
        <v>42278</v>
      </c>
      <c r="I29" s="78">
        <v>45607</v>
      </c>
      <c r="J29" s="70">
        <v>22</v>
      </c>
      <c r="K29" s="70">
        <v>1</v>
      </c>
      <c r="L29" s="161">
        <f>IFERROR(VLOOKUP(J29, DATA!$A$4:$I$36, MATCH(K29, DATA!$B$3:$I$3, 0)+1, FALSE), "")</f>
        <v>81796</v>
      </c>
      <c r="M29" s="157">
        <v>2000</v>
      </c>
      <c r="N29" s="156">
        <f t="shared" si="3"/>
        <v>83796</v>
      </c>
      <c r="O29" s="73">
        <f t="shared" si="4"/>
        <v>7361.64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3">
        <v>13765.43</v>
      </c>
      <c r="AB29" s="175">
        <f>L29*2.5%</f>
        <v>2044.9</v>
      </c>
      <c r="AC29" s="79"/>
      <c r="AD29" s="79">
        <v>0</v>
      </c>
      <c r="AE29" s="79">
        <v>500</v>
      </c>
      <c r="AF29" s="73"/>
      <c r="AG29" s="79">
        <v>100</v>
      </c>
      <c r="AH29" s="79"/>
      <c r="AI29" s="79"/>
      <c r="AJ29" s="79"/>
      <c r="AK29" s="73"/>
      <c r="AL29" s="79">
        <v>500</v>
      </c>
      <c r="AM29" s="79"/>
      <c r="AN29" s="79"/>
      <c r="AO29" s="73"/>
      <c r="AP29" s="73"/>
      <c r="AQ29" s="73"/>
      <c r="AR29" s="73"/>
      <c r="AS29" s="79">
        <v>388.51</v>
      </c>
      <c r="AT29" s="79"/>
      <c r="AU29" s="79"/>
      <c r="AV29" s="79"/>
      <c r="AW29" s="79">
        <v>0</v>
      </c>
      <c r="AX29" s="79">
        <v>1201.31</v>
      </c>
      <c r="AY29" s="79">
        <v>3034.72</v>
      </c>
      <c r="AZ29" s="74">
        <f t="shared" si="0"/>
        <v>28896.51</v>
      </c>
      <c r="BA29" s="75">
        <f t="shared" si="1"/>
        <v>54899.49</v>
      </c>
      <c r="BB29" s="75">
        <f t="shared" si="5"/>
        <v>27449.75</v>
      </c>
      <c r="BC29" s="75">
        <f t="shared" si="6"/>
        <v>27449.739999999998</v>
      </c>
      <c r="BD29" s="34"/>
      <c r="BI29" s="34">
        <v>339.58333333333331</v>
      </c>
    </row>
    <row r="30" spans="1:61" ht="14.25" customHeight="1" x14ac:dyDescent="0.35">
      <c r="A30" s="68">
        <f t="shared" si="2"/>
        <v>23</v>
      </c>
      <c r="B30" s="70" t="s">
        <v>228</v>
      </c>
      <c r="C30" s="70" t="s">
        <v>227</v>
      </c>
      <c r="D30" s="70" t="s">
        <v>212</v>
      </c>
      <c r="E30" s="70" t="s">
        <v>86</v>
      </c>
      <c r="F30" s="70" t="s">
        <v>16</v>
      </c>
      <c r="G30" s="70" t="s">
        <v>506</v>
      </c>
      <c r="H30" s="78">
        <v>43481</v>
      </c>
      <c r="I30" s="78">
        <v>45027</v>
      </c>
      <c r="J30" s="70">
        <v>15</v>
      </c>
      <c r="K30" s="70">
        <v>1</v>
      </c>
      <c r="L30" s="161">
        <f>IFERROR(VLOOKUP(J30, DATA!$A$4:$I$36, MATCH(K30, DATA!$B$3:$I$3, 0)+1, FALSE), "")</f>
        <v>42178</v>
      </c>
      <c r="M30" s="157">
        <v>2000</v>
      </c>
      <c r="N30" s="156">
        <f t="shared" si="3"/>
        <v>44178</v>
      </c>
      <c r="O30" s="73">
        <f t="shared" si="4"/>
        <v>3796.02</v>
      </c>
      <c r="P30" s="79"/>
      <c r="Q30" s="79">
        <v>1311.12</v>
      </c>
      <c r="R30" s="79"/>
      <c r="S30" s="79"/>
      <c r="T30" s="79"/>
      <c r="U30" s="79"/>
      <c r="V30" s="79">
        <v>5422.38</v>
      </c>
      <c r="W30" s="79">
        <v>1400</v>
      </c>
      <c r="X30" s="79">
        <v>1966.67</v>
      </c>
      <c r="Y30" s="79"/>
      <c r="Z30" s="79"/>
      <c r="AA30" s="73">
        <v>3695.42</v>
      </c>
      <c r="AB30" s="73">
        <f>ROUND(IF(L30&gt;79999.99,900,IF(L30&lt;10000.01,137.5,IF(10000&lt;L30&gt;80000,L30*2.5%))),2)</f>
        <v>1054.45</v>
      </c>
      <c r="AC30" s="79">
        <v>984.58</v>
      </c>
      <c r="AD30" s="79">
        <v>1000</v>
      </c>
      <c r="AE30" s="73">
        <v>200</v>
      </c>
      <c r="AF30" s="79">
        <v>0</v>
      </c>
      <c r="AG30" s="79">
        <v>100</v>
      </c>
      <c r="AH30" s="79"/>
      <c r="AI30" s="79"/>
      <c r="AJ30" s="79"/>
      <c r="AK30" s="73"/>
      <c r="AL30" s="79"/>
      <c r="AM30" s="79"/>
      <c r="AN30" s="79">
        <v>2000</v>
      </c>
      <c r="AO30" s="73">
        <v>527.29999999999995</v>
      </c>
      <c r="AP30" s="73">
        <v>272.20999999999998</v>
      </c>
      <c r="AQ30" s="73"/>
      <c r="AR30" s="73"/>
      <c r="AS30" s="79">
        <v>0</v>
      </c>
      <c r="AT30" s="79"/>
      <c r="AU30" s="79"/>
      <c r="AV30" s="79"/>
      <c r="AW30" s="79">
        <v>0</v>
      </c>
      <c r="AX30" s="79"/>
      <c r="AY30" s="79">
        <v>3034.72</v>
      </c>
      <c r="AZ30" s="74">
        <f t="shared" si="0"/>
        <v>26764.87</v>
      </c>
      <c r="BA30" s="75">
        <f t="shared" si="1"/>
        <v>17413.13</v>
      </c>
      <c r="BB30" s="75">
        <f t="shared" si="5"/>
        <v>8706.57</v>
      </c>
      <c r="BC30" s="75">
        <f t="shared" si="6"/>
        <v>8706.5600000000013</v>
      </c>
      <c r="BD30" s="34"/>
      <c r="BI30" s="34">
        <v>0</v>
      </c>
    </row>
    <row r="31" spans="1:61" ht="14.25" customHeight="1" x14ac:dyDescent="0.35">
      <c r="A31" s="68">
        <f t="shared" si="2"/>
        <v>24</v>
      </c>
      <c r="B31" s="70" t="s">
        <v>305</v>
      </c>
      <c r="C31" s="70" t="s">
        <v>352</v>
      </c>
      <c r="D31" s="70" t="s">
        <v>251</v>
      </c>
      <c r="E31" s="70" t="s">
        <v>64</v>
      </c>
      <c r="F31" s="70" t="s">
        <v>44</v>
      </c>
      <c r="G31" s="70" t="s">
        <v>507</v>
      </c>
      <c r="H31" s="78">
        <v>37494</v>
      </c>
      <c r="I31" s="78">
        <v>42278</v>
      </c>
      <c r="J31" s="70">
        <v>18</v>
      </c>
      <c r="K31" s="70">
        <v>4</v>
      </c>
      <c r="L31" s="161">
        <f>IFERROR(VLOOKUP(J31, DATA!$A$4:$I$36, MATCH(K31, DATA!$B$3:$I$3, 0)+1, FALSE), "")</f>
        <v>55499</v>
      </c>
      <c r="M31" s="157">
        <v>2000</v>
      </c>
      <c r="N31" s="156">
        <f t="shared" si="3"/>
        <v>57499</v>
      </c>
      <c r="O31" s="73">
        <f t="shared" si="4"/>
        <v>4994.91</v>
      </c>
      <c r="P31" s="79">
        <v>300</v>
      </c>
      <c r="Q31" s="79">
        <v>1311.12</v>
      </c>
      <c r="R31" s="79">
        <v>2040.79</v>
      </c>
      <c r="S31" s="79"/>
      <c r="T31" s="79">
        <v>263.20999999999998</v>
      </c>
      <c r="U31" s="79">
        <v>500</v>
      </c>
      <c r="V31" s="79">
        <v>8242.67</v>
      </c>
      <c r="W31" s="79">
        <v>2333.33</v>
      </c>
      <c r="X31" s="79">
        <v>1966.67</v>
      </c>
      <c r="Y31" s="79"/>
      <c r="Z31" s="79"/>
      <c r="AA31" s="73">
        <v>6798.6</v>
      </c>
      <c r="AB31" s="79">
        <f>ROUND(IF(L31&gt;79999.99,900,IF(L31&lt;10000.01,137.5,IF(10000&lt;L31&gt;80000,L31*2.5%))),2)-0.01</f>
        <v>1387.47</v>
      </c>
      <c r="AC31" s="79">
        <v>2509.62</v>
      </c>
      <c r="AD31" s="79"/>
      <c r="AE31" s="73">
        <v>200</v>
      </c>
      <c r="AF31" s="79"/>
      <c r="AG31" s="79">
        <v>100</v>
      </c>
      <c r="AH31" s="79"/>
      <c r="AI31" s="79"/>
      <c r="AJ31" s="79"/>
      <c r="AK31" s="73"/>
      <c r="AL31" s="79">
        <v>100</v>
      </c>
      <c r="AM31" s="79">
        <v>1000</v>
      </c>
      <c r="AN31" s="79"/>
      <c r="AO31" s="73"/>
      <c r="AP31" s="73"/>
      <c r="AQ31" s="73"/>
      <c r="AR31" s="73"/>
      <c r="AS31" s="79">
        <v>0</v>
      </c>
      <c r="AT31" s="79"/>
      <c r="AU31" s="79"/>
      <c r="AV31" s="79"/>
      <c r="AW31" s="79">
        <v>0</v>
      </c>
      <c r="AX31" s="79">
        <v>2024.84</v>
      </c>
      <c r="AY31" s="79">
        <v>5608.24</v>
      </c>
      <c r="AZ31" s="74">
        <f t="shared" si="0"/>
        <v>41681.47</v>
      </c>
      <c r="BA31" s="75">
        <f t="shared" si="1"/>
        <v>15817.53</v>
      </c>
      <c r="BB31" s="75">
        <f t="shared" si="5"/>
        <v>7908.77</v>
      </c>
      <c r="BC31" s="75">
        <f t="shared" si="6"/>
        <v>7908.76</v>
      </c>
      <c r="BD31" s="34"/>
      <c r="BI31" s="34">
        <v>555.55555555555554</v>
      </c>
    </row>
    <row r="32" spans="1:61" ht="14.25" customHeight="1" x14ac:dyDescent="0.35">
      <c r="A32" s="68">
        <f t="shared" si="2"/>
        <v>25</v>
      </c>
      <c r="B32" s="70" t="s">
        <v>422</v>
      </c>
      <c r="C32" s="70" t="s">
        <v>424</v>
      </c>
      <c r="D32" s="70" t="s">
        <v>251</v>
      </c>
      <c r="E32" s="70" t="s">
        <v>425</v>
      </c>
      <c r="F32" s="70" t="s">
        <v>16</v>
      </c>
      <c r="G32" s="70" t="s">
        <v>508</v>
      </c>
      <c r="H32" s="78">
        <v>44418</v>
      </c>
      <c r="I32" s="78">
        <v>45062</v>
      </c>
      <c r="J32" s="70">
        <v>15</v>
      </c>
      <c r="K32" s="70">
        <v>1</v>
      </c>
      <c r="L32" s="161">
        <f>IFERROR(VLOOKUP(J32, DATA!$A$4:$I$36, MATCH(K32, DATA!$B$3:$I$3, 0)+1, FALSE), "")</f>
        <v>42178</v>
      </c>
      <c r="M32" s="157">
        <v>2000</v>
      </c>
      <c r="N32" s="156">
        <f t="shared" si="3"/>
        <v>44178</v>
      </c>
      <c r="O32" s="73">
        <f t="shared" si="4"/>
        <v>3796.02</v>
      </c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3">
        <v>3695.42</v>
      </c>
      <c r="AB32" s="73">
        <f>ROUND(IF(L32&gt;79999.99,900,IF(L32&lt;10000.01,137.5,IF(10000&lt;L32&gt;80000,L32*2.5%))),2)</f>
        <v>1054.45</v>
      </c>
      <c r="AC32" s="79"/>
      <c r="AD32" s="79"/>
      <c r="AE32" s="73">
        <v>200</v>
      </c>
      <c r="AF32" s="79">
        <v>0</v>
      </c>
      <c r="AG32" s="79">
        <v>100</v>
      </c>
      <c r="AH32" s="79"/>
      <c r="AI32" s="79"/>
      <c r="AJ32" s="79"/>
      <c r="AK32" s="73"/>
      <c r="AL32" s="79"/>
      <c r="AM32" s="79"/>
      <c r="AN32" s="79"/>
      <c r="AO32" s="73"/>
      <c r="AP32" s="73"/>
      <c r="AQ32" s="73"/>
      <c r="AR32" s="73"/>
      <c r="AS32" s="79"/>
      <c r="AT32" s="79"/>
      <c r="AU32" s="79"/>
      <c r="AV32" s="79"/>
      <c r="AW32" s="79"/>
      <c r="AX32" s="79"/>
      <c r="AY32" s="79">
        <v>3034.72</v>
      </c>
      <c r="AZ32" s="74">
        <f t="shared" si="0"/>
        <v>11880.61</v>
      </c>
      <c r="BA32" s="75">
        <f t="shared" si="1"/>
        <v>32297.39</v>
      </c>
      <c r="BB32" s="75">
        <f>ROUND(BA32/2,2)</f>
        <v>16148.7</v>
      </c>
      <c r="BC32" s="75">
        <f>BA32-BB32</f>
        <v>16148.689999999999</v>
      </c>
      <c r="BD32" s="34"/>
      <c r="BI32" s="33"/>
    </row>
    <row r="33" spans="1:794 1050:1818 2074:2842 3098:3866 4122:4890 5146:5914 6170:6938 7194:7962 8218:8986 9242:10010 10266:11034 11290:12058 12314:13082 13338:14106 14362:15130 15386:16154" ht="14.25" customHeight="1" x14ac:dyDescent="0.35">
      <c r="A33" s="68">
        <f t="shared" si="2"/>
        <v>26</v>
      </c>
      <c r="B33" s="70" t="s">
        <v>426</v>
      </c>
      <c r="C33" s="70" t="s">
        <v>263</v>
      </c>
      <c r="D33" s="70" t="s">
        <v>287</v>
      </c>
      <c r="E33" s="70" t="s">
        <v>27</v>
      </c>
      <c r="F33" s="70" t="s">
        <v>44</v>
      </c>
      <c r="G33" s="70" t="s">
        <v>509</v>
      </c>
      <c r="H33" s="78">
        <v>42348</v>
      </c>
      <c r="I33" s="78">
        <v>43466</v>
      </c>
      <c r="J33" s="70">
        <v>15</v>
      </c>
      <c r="K33" s="70">
        <v>3</v>
      </c>
      <c r="L33" s="161">
        <f>IFERROR(VLOOKUP(J33, DATA!$A$4:$I$36, MATCH(K33, DATA!$B$3:$I$3, 0)+1, FALSE), "")</f>
        <v>43015</v>
      </c>
      <c r="M33" s="157">
        <v>2000</v>
      </c>
      <c r="N33" s="156">
        <f t="shared" si="3"/>
        <v>45015</v>
      </c>
      <c r="O33" s="73">
        <f t="shared" si="4"/>
        <v>3871.35</v>
      </c>
      <c r="P33" s="79"/>
      <c r="Q33" s="79"/>
      <c r="R33" s="79"/>
      <c r="S33" s="79"/>
      <c r="T33" s="79"/>
      <c r="U33" s="79"/>
      <c r="V33" s="79"/>
      <c r="W33" s="79"/>
      <c r="X33" s="79"/>
      <c r="Y33" s="80">
        <v>9634.44</v>
      </c>
      <c r="Z33" s="80"/>
      <c r="AA33" s="73">
        <v>3889.58</v>
      </c>
      <c r="AB33" s="73">
        <f>ROUND(IF(L33&gt;79999.99,900,IF(L33&lt;10000.01,137.5,IF(10000&lt;L33&gt;80000,L33*2.5%))),2)-0.01</f>
        <v>1075.3700000000001</v>
      </c>
      <c r="AC33" s="79"/>
      <c r="AD33" s="79"/>
      <c r="AE33" s="73">
        <v>200</v>
      </c>
      <c r="AF33" s="79">
        <v>0</v>
      </c>
      <c r="AG33" s="79">
        <v>100</v>
      </c>
      <c r="AH33" s="79"/>
      <c r="AI33" s="79"/>
      <c r="AJ33" s="79"/>
      <c r="AK33" s="73"/>
      <c r="AL33" s="79"/>
      <c r="AM33" s="79"/>
      <c r="AN33" s="79"/>
      <c r="AO33" s="73"/>
      <c r="AP33" s="73"/>
      <c r="AQ33" s="73"/>
      <c r="AR33" s="73"/>
      <c r="AS33" s="79">
        <v>0</v>
      </c>
      <c r="AT33" s="79"/>
      <c r="AU33" s="79"/>
      <c r="AV33" s="79"/>
      <c r="AW33" s="79"/>
      <c r="AX33" s="79">
        <v>930.05</v>
      </c>
      <c r="AY33" s="79"/>
      <c r="AZ33" s="74">
        <f t="shared" si="0"/>
        <v>19700.79</v>
      </c>
      <c r="BA33" s="75">
        <f t="shared" si="1"/>
        <v>25314.21</v>
      </c>
      <c r="BB33" s="75">
        <f>ROUND(BA33/2,2)</f>
        <v>12657.11</v>
      </c>
      <c r="BC33" s="75">
        <f>BA33-BB33</f>
        <v>12657.099999999999</v>
      </c>
      <c r="BD33" s="34"/>
      <c r="BI33" s="34">
        <v>555.55555555555554</v>
      </c>
    </row>
    <row r="34" spans="1:794 1050:1818 2074:2842 3098:3866 4122:4890 5146:5914 6170:6938 7194:7962 8218:8986 9242:10010 10266:11034 11290:12058 12314:13082 13338:14106 14362:15130 15386:16154" ht="14.25" customHeight="1" x14ac:dyDescent="0.35">
      <c r="A34" s="68">
        <f t="shared" si="2"/>
        <v>27</v>
      </c>
      <c r="B34" s="70" t="s">
        <v>348</v>
      </c>
      <c r="C34" s="70" t="s">
        <v>317</v>
      </c>
      <c r="D34" s="70" t="s">
        <v>224</v>
      </c>
      <c r="E34" s="89" t="s">
        <v>582</v>
      </c>
      <c r="F34" s="70" t="s">
        <v>35</v>
      </c>
      <c r="G34" s="89" t="s">
        <v>583</v>
      </c>
      <c r="H34" s="78">
        <v>42348</v>
      </c>
      <c r="I34" s="78">
        <v>46027</v>
      </c>
      <c r="J34" s="70">
        <v>18</v>
      </c>
      <c r="K34" s="70">
        <v>1</v>
      </c>
      <c r="L34" s="161">
        <f>IFERROR(VLOOKUP(J34, DATA!$A$4:$I$36, MATCH(K34, DATA!$B$3:$I$3, 0)+1, FALSE), "")</f>
        <v>53818</v>
      </c>
      <c r="M34" s="157">
        <v>2000</v>
      </c>
      <c r="N34" s="156">
        <f t="shared" si="3"/>
        <v>55818</v>
      </c>
      <c r="O34" s="73">
        <f t="shared" si="4"/>
        <v>4843.62</v>
      </c>
      <c r="P34" s="79"/>
      <c r="Q34" s="79"/>
      <c r="R34" s="79"/>
      <c r="S34" s="79"/>
      <c r="T34" s="79"/>
      <c r="U34" s="79"/>
      <c r="V34" s="79">
        <v>1101.28</v>
      </c>
      <c r="W34" s="79">
        <v>1400</v>
      </c>
      <c r="X34" s="79"/>
      <c r="Y34" s="79">
        <v>9634.44</v>
      </c>
      <c r="Z34" s="79"/>
      <c r="AA34" s="73">
        <v>6974.58</v>
      </c>
      <c r="AB34" s="73">
        <f>ROUND(IF(L34&gt;79999.99,900,IF(L34&lt;10000.01,137.5,IF(10000&lt;L34&gt;80000,L34*2.5%))),2)</f>
        <v>1345.45</v>
      </c>
      <c r="AC34" s="79"/>
      <c r="AD34" s="79">
        <v>0</v>
      </c>
      <c r="AE34" s="79">
        <v>500</v>
      </c>
      <c r="AF34" s="79">
        <v>0</v>
      </c>
      <c r="AG34" s="79">
        <v>100</v>
      </c>
      <c r="AH34" s="79">
        <v>1336</v>
      </c>
      <c r="AI34" s="79"/>
      <c r="AJ34" s="79"/>
      <c r="AK34" s="73"/>
      <c r="AL34" s="79"/>
      <c r="AM34" s="79"/>
      <c r="AN34" s="79"/>
      <c r="AO34" s="73"/>
      <c r="AP34" s="73"/>
      <c r="AQ34" s="73"/>
      <c r="AR34" s="73"/>
      <c r="AS34" s="79">
        <v>910.34</v>
      </c>
      <c r="AT34" s="79"/>
      <c r="AU34" s="79"/>
      <c r="AV34" s="79"/>
      <c r="AW34" s="79">
        <v>0</v>
      </c>
      <c r="AX34" s="79"/>
      <c r="AY34" s="79">
        <v>2124.3000000000002</v>
      </c>
      <c r="AZ34" s="74">
        <f t="shared" si="0"/>
        <v>30270.01</v>
      </c>
      <c r="BA34" s="75">
        <f t="shared" si="1"/>
        <v>25547.99</v>
      </c>
      <c r="BB34" s="75">
        <f t="shared" si="5"/>
        <v>12774</v>
      </c>
      <c r="BC34" s="75">
        <f t="shared" si="6"/>
        <v>12773.990000000002</v>
      </c>
      <c r="BD34" s="34"/>
      <c r="BI34" s="34">
        <v>465.88020833333331</v>
      </c>
    </row>
    <row r="35" spans="1:794 1050:1818 2074:2842 3098:3866 4122:4890 5146:5914 6170:6938 7194:7962 8218:8986 9242:10010 10266:11034 11290:12058 12314:13082 13338:14106 14362:15130 15386:16154" ht="14.25" customHeight="1" x14ac:dyDescent="0.35">
      <c r="A35" s="68">
        <f t="shared" si="2"/>
        <v>28</v>
      </c>
      <c r="B35" s="70" t="s">
        <v>319</v>
      </c>
      <c r="C35" s="70" t="s">
        <v>313</v>
      </c>
      <c r="D35" s="70" t="s">
        <v>234</v>
      </c>
      <c r="E35" s="70" t="s">
        <v>83</v>
      </c>
      <c r="F35" s="70" t="s">
        <v>22</v>
      </c>
      <c r="G35" s="76" t="s">
        <v>510</v>
      </c>
      <c r="H35" s="77">
        <v>42998</v>
      </c>
      <c r="I35" s="77">
        <v>42998</v>
      </c>
      <c r="J35" s="76">
        <v>11</v>
      </c>
      <c r="K35" s="76">
        <v>3</v>
      </c>
      <c r="L35" s="161">
        <f>IFERROR(VLOOKUP(J35, DATA!$A$4:$I$36, MATCH(K35, DATA!$B$3:$I$3, 0)+1, FALSE), "")</f>
        <v>32109</v>
      </c>
      <c r="M35" s="157">
        <v>2000</v>
      </c>
      <c r="N35" s="156">
        <f t="shared" si="3"/>
        <v>34109</v>
      </c>
      <c r="O35" s="73">
        <f t="shared" si="4"/>
        <v>2889.81</v>
      </c>
      <c r="P35" s="79"/>
      <c r="Q35" s="79"/>
      <c r="R35" s="79"/>
      <c r="S35" s="79"/>
      <c r="T35" s="79"/>
      <c r="U35" s="79"/>
      <c r="V35" s="79">
        <v>4126.25</v>
      </c>
      <c r="W35" s="79"/>
      <c r="X35" s="79"/>
      <c r="Y35" s="79">
        <v>9634.44</v>
      </c>
      <c r="Z35" s="79"/>
      <c r="AA35" s="73">
        <v>1537.23</v>
      </c>
      <c r="AB35" s="73">
        <f>ROUND(IF(L35&gt;79999.99,900,IF(L35&lt;10000.01,137.5,IF(10000&lt;L35&gt;80000,L35*2.5%))),2)-0.01</f>
        <v>802.72</v>
      </c>
      <c r="AC35" s="79"/>
      <c r="AD35" s="79"/>
      <c r="AE35" s="73">
        <v>200</v>
      </c>
      <c r="AF35" s="79">
        <v>0</v>
      </c>
      <c r="AG35" s="79">
        <v>100</v>
      </c>
      <c r="AH35" s="79"/>
      <c r="AI35" s="79"/>
      <c r="AJ35" s="79"/>
      <c r="AK35" s="73"/>
      <c r="AL35" s="79"/>
      <c r="AM35" s="79"/>
      <c r="AN35" s="79"/>
      <c r="AO35" s="73"/>
      <c r="AP35" s="73"/>
      <c r="AQ35" s="73"/>
      <c r="AR35" s="73"/>
      <c r="AS35" s="79">
        <v>0</v>
      </c>
      <c r="AT35" s="79"/>
      <c r="AU35" s="79"/>
      <c r="AV35" s="79"/>
      <c r="AW35" s="79">
        <v>0</v>
      </c>
      <c r="AX35" s="79"/>
      <c r="AY35" s="79"/>
      <c r="AZ35" s="74">
        <f t="shared" si="0"/>
        <v>19290.45</v>
      </c>
      <c r="BA35" s="75">
        <f t="shared" si="1"/>
        <v>14818.55</v>
      </c>
      <c r="BB35" s="75">
        <f t="shared" si="5"/>
        <v>7409.28</v>
      </c>
      <c r="BC35" s="75">
        <f t="shared" si="6"/>
        <v>7409.2699999999995</v>
      </c>
      <c r="BD35" s="34"/>
      <c r="BI35" s="34">
        <v>0</v>
      </c>
    </row>
    <row r="36" spans="1:794 1050:1818 2074:2842 3098:3866 4122:4890 5146:5914 6170:6938 7194:7962 8218:8986 9242:10010 10266:11034 11290:12058 12314:13082 13338:14106 14362:15130 15386:16154" ht="14.25" customHeight="1" x14ac:dyDescent="0.35">
      <c r="A36" s="68">
        <f t="shared" si="2"/>
        <v>29</v>
      </c>
      <c r="B36" s="70" t="s">
        <v>320</v>
      </c>
      <c r="C36" s="70" t="s">
        <v>269</v>
      </c>
      <c r="D36" s="70" t="s">
        <v>213</v>
      </c>
      <c r="E36" s="70" t="s">
        <v>21</v>
      </c>
      <c r="F36" s="70" t="s">
        <v>22</v>
      </c>
      <c r="G36" s="70" t="s">
        <v>511</v>
      </c>
      <c r="H36" s="78">
        <v>42278</v>
      </c>
      <c r="I36" s="78">
        <v>42278</v>
      </c>
      <c r="J36" s="70">
        <v>15</v>
      </c>
      <c r="K36" s="70">
        <v>4</v>
      </c>
      <c r="L36" s="161">
        <f>IFERROR(VLOOKUP(J36, DATA!$A$4:$I$36, MATCH(K36, DATA!$B$3:$I$3, 0)+1, FALSE), "")</f>
        <v>43442</v>
      </c>
      <c r="M36" s="157">
        <v>2000</v>
      </c>
      <c r="N36" s="156">
        <f t="shared" si="3"/>
        <v>45442</v>
      </c>
      <c r="O36" s="73">
        <f t="shared" si="4"/>
        <v>3909.78</v>
      </c>
      <c r="P36" s="79">
        <v>500</v>
      </c>
      <c r="Q36" s="79">
        <v>655.56</v>
      </c>
      <c r="R36" s="79"/>
      <c r="S36" s="79"/>
      <c r="T36" s="79"/>
      <c r="U36" s="79"/>
      <c r="V36" s="79">
        <v>5041</v>
      </c>
      <c r="W36" s="79"/>
      <c r="X36" s="79">
        <v>1966.67</v>
      </c>
      <c r="Y36" s="79"/>
      <c r="Z36" s="79"/>
      <c r="AA36" s="73">
        <v>3998.79</v>
      </c>
      <c r="AB36" s="79">
        <f>ROUND(IF(L36&gt;79999.99,900,IF(L36&lt;10000.01,137.5,IF(10000&lt;L36&gt;80000,L36*2.5%))),2)</f>
        <v>1086.05</v>
      </c>
      <c r="AC36" s="79">
        <v>667.35</v>
      </c>
      <c r="AD36" s="79">
        <v>1000</v>
      </c>
      <c r="AE36" s="73">
        <v>200</v>
      </c>
      <c r="AF36" s="79">
        <v>0</v>
      </c>
      <c r="AG36" s="79">
        <v>100</v>
      </c>
      <c r="AH36" s="79">
        <v>1336</v>
      </c>
      <c r="AI36" s="79"/>
      <c r="AJ36" s="79"/>
      <c r="AK36" s="73"/>
      <c r="AL36" s="79"/>
      <c r="AM36" s="79"/>
      <c r="AN36" s="79"/>
      <c r="AO36" s="73"/>
      <c r="AP36" s="73"/>
      <c r="AQ36" s="73"/>
      <c r="AR36" s="73"/>
      <c r="AS36" s="79">
        <v>1000</v>
      </c>
      <c r="AT36" s="79">
        <v>4735.13</v>
      </c>
      <c r="AU36" s="79"/>
      <c r="AV36" s="79"/>
      <c r="AW36" s="79">
        <v>0</v>
      </c>
      <c r="AX36" s="79"/>
      <c r="AY36" s="79">
        <v>3034.72</v>
      </c>
      <c r="AZ36" s="74">
        <f t="shared" si="0"/>
        <v>29231.05</v>
      </c>
      <c r="BA36" s="75">
        <f t="shared" si="1"/>
        <v>16210.95</v>
      </c>
      <c r="BB36" s="75">
        <f t="shared" si="5"/>
        <v>8105.48</v>
      </c>
      <c r="BC36" s="75">
        <f t="shared" si="6"/>
        <v>8105.4700000000012</v>
      </c>
      <c r="BD36" s="34"/>
      <c r="BI36" s="34">
        <v>462.33333333333331</v>
      </c>
    </row>
    <row r="37" spans="1:794 1050:1818 2074:2842 3098:3866 4122:4890 5146:5914 6170:6938 7194:7962 8218:8986 9242:10010 10266:11034 11290:12058 12314:13082 13338:14106 14362:15130 15386:16154" ht="14.25" customHeight="1" x14ac:dyDescent="0.35">
      <c r="A37" s="68">
        <f t="shared" si="2"/>
        <v>30</v>
      </c>
      <c r="B37" s="70" t="s">
        <v>321</v>
      </c>
      <c r="C37" s="70" t="s">
        <v>270</v>
      </c>
      <c r="D37" s="70" t="s">
        <v>271</v>
      </c>
      <c r="E37" s="70" t="s">
        <v>461</v>
      </c>
      <c r="F37" s="70" t="s">
        <v>16</v>
      </c>
      <c r="G37" s="70" t="s">
        <v>512</v>
      </c>
      <c r="H37" s="78">
        <v>43468</v>
      </c>
      <c r="I37" s="78">
        <v>45670</v>
      </c>
      <c r="J37" s="70">
        <v>15</v>
      </c>
      <c r="K37" s="70">
        <v>1</v>
      </c>
      <c r="L37" s="161">
        <f>IFERROR(VLOOKUP(J37, DATA!$A$4:$I$36, MATCH(K37, DATA!$B$3:$I$3, 0)+1, FALSE), "")</f>
        <v>42178</v>
      </c>
      <c r="M37" s="157">
        <v>2000</v>
      </c>
      <c r="N37" s="156">
        <f t="shared" si="3"/>
        <v>44178</v>
      </c>
      <c r="O37" s="73">
        <f t="shared" si="4"/>
        <v>3796.02</v>
      </c>
      <c r="P37" s="79">
        <v>500</v>
      </c>
      <c r="Q37" s="79">
        <v>1311.12</v>
      </c>
      <c r="R37" s="79"/>
      <c r="S37" s="79"/>
      <c r="T37" s="79"/>
      <c r="U37" s="79"/>
      <c r="V37" s="79">
        <v>5422.38</v>
      </c>
      <c r="W37" s="79">
        <v>1400</v>
      </c>
      <c r="X37" s="79">
        <v>1966.67</v>
      </c>
      <c r="Y37" s="79"/>
      <c r="Z37" s="79"/>
      <c r="AA37" s="73">
        <v>3695.42</v>
      </c>
      <c r="AB37" s="79">
        <f>ROUND(IF(L37&gt;79999.99,900,IF(L37&lt;10000.01,137.5,IF(10000&lt;L37&gt;80000,L37*2.5%))),2)</f>
        <v>1054.45</v>
      </c>
      <c r="AC37" s="79"/>
      <c r="AD37" s="79"/>
      <c r="AE37" s="73">
        <v>200</v>
      </c>
      <c r="AF37" s="79">
        <v>0</v>
      </c>
      <c r="AG37" s="79">
        <v>100</v>
      </c>
      <c r="AH37" s="79"/>
      <c r="AI37" s="79"/>
      <c r="AJ37" s="79"/>
      <c r="AK37" s="73"/>
      <c r="AL37" s="79"/>
      <c r="AM37" s="79"/>
      <c r="AN37" s="79"/>
      <c r="AO37" s="73"/>
      <c r="AP37" s="73"/>
      <c r="AQ37" s="73"/>
      <c r="AR37" s="73"/>
      <c r="AS37" s="79">
        <v>0</v>
      </c>
      <c r="AT37" s="79">
        <v>7180.79</v>
      </c>
      <c r="AU37" s="79"/>
      <c r="AV37" s="79"/>
      <c r="AW37" s="79">
        <v>0</v>
      </c>
      <c r="AX37" s="79"/>
      <c r="AY37" s="79">
        <v>4552.08</v>
      </c>
      <c r="AZ37" s="74">
        <f t="shared" si="0"/>
        <v>31178.93</v>
      </c>
      <c r="BA37" s="75">
        <f t="shared" si="1"/>
        <v>12999.07</v>
      </c>
      <c r="BB37" s="75">
        <f t="shared" si="5"/>
        <v>6499.54</v>
      </c>
      <c r="BC37" s="75">
        <f t="shared" si="6"/>
        <v>6499.53</v>
      </c>
      <c r="BD37" s="34"/>
      <c r="BI37" s="34">
        <v>0</v>
      </c>
    </row>
    <row r="38" spans="1:794 1050:1818 2074:2842 3098:3866 4122:4890 5146:5914 6170:6938 7194:7962 8218:8986 9242:10010 10266:11034 11290:12058 12314:13082 13338:14106 14362:15130 15386:16154" ht="14.25" customHeight="1" x14ac:dyDescent="0.35">
      <c r="A38" s="68">
        <f t="shared" si="2"/>
        <v>31</v>
      </c>
      <c r="B38" s="70" t="s">
        <v>300</v>
      </c>
      <c r="C38" s="70" t="s">
        <v>299</v>
      </c>
      <c r="D38" s="70" t="s">
        <v>215</v>
      </c>
      <c r="E38" s="70" t="s">
        <v>72</v>
      </c>
      <c r="F38" s="70" t="s">
        <v>19</v>
      </c>
      <c r="G38" s="70" t="s">
        <v>513</v>
      </c>
      <c r="H38" s="78">
        <v>37712</v>
      </c>
      <c r="I38" s="78">
        <v>37712</v>
      </c>
      <c r="J38" s="70">
        <v>3</v>
      </c>
      <c r="K38" s="70">
        <v>8</v>
      </c>
      <c r="L38" s="161">
        <f>IFERROR(VLOOKUP(J38, DATA!$A$4:$I$36, MATCH(K38, DATA!$B$3:$I$3, 0)+1, FALSE), "")</f>
        <v>17360</v>
      </c>
      <c r="M38" s="157">
        <v>2000</v>
      </c>
      <c r="N38" s="156">
        <f t="shared" si="3"/>
        <v>19360</v>
      </c>
      <c r="O38" s="73">
        <f t="shared" si="4"/>
        <v>1562.4</v>
      </c>
      <c r="P38" s="79">
        <v>200</v>
      </c>
      <c r="Q38" s="79"/>
      <c r="R38" s="79"/>
      <c r="S38" s="79"/>
      <c r="T38" s="79"/>
      <c r="U38" s="79"/>
      <c r="V38" s="79">
        <v>2600.69</v>
      </c>
      <c r="W38" s="79"/>
      <c r="X38" s="79"/>
      <c r="Y38" s="79"/>
      <c r="Z38" s="79"/>
      <c r="AA38" s="73">
        <v>0</v>
      </c>
      <c r="AB38" s="73">
        <f>ROUND(IF(L38&gt;79999.99,900,IF(L38&lt;10000.01,137.5,IF(10000&lt;L38&gt;80000,L38*2.5%))),2)</f>
        <v>434</v>
      </c>
      <c r="AC38" s="79">
        <v>3737.95</v>
      </c>
      <c r="AD38" s="79">
        <v>500</v>
      </c>
      <c r="AE38" s="73">
        <v>200</v>
      </c>
      <c r="AF38" s="79">
        <v>0</v>
      </c>
      <c r="AG38" s="79">
        <v>100</v>
      </c>
      <c r="AH38" s="79"/>
      <c r="AI38" s="79"/>
      <c r="AJ38" s="79"/>
      <c r="AK38" s="73"/>
      <c r="AL38" s="79">
        <v>100</v>
      </c>
      <c r="AM38" s="79">
        <v>500</v>
      </c>
      <c r="AN38" s="79"/>
      <c r="AO38" s="73"/>
      <c r="AP38" s="73"/>
      <c r="AQ38" s="73"/>
      <c r="AR38" s="73"/>
      <c r="AS38" s="79">
        <v>400</v>
      </c>
      <c r="AT38" s="79"/>
      <c r="AU38" s="79"/>
      <c r="AV38" s="79"/>
      <c r="AW38" s="79">
        <v>0</v>
      </c>
      <c r="AX38" s="79"/>
      <c r="AY38" s="79">
        <v>3034.72</v>
      </c>
      <c r="AZ38" s="74">
        <f t="shared" si="0"/>
        <v>13369.76</v>
      </c>
      <c r="BA38" s="75">
        <f t="shared" si="1"/>
        <v>5990.24</v>
      </c>
      <c r="BB38" s="75">
        <f t="shared" si="5"/>
        <v>2995.12</v>
      </c>
      <c r="BC38" s="75">
        <f t="shared" si="6"/>
        <v>2995.12</v>
      </c>
      <c r="BD38" s="34"/>
      <c r="BI38" s="33">
        <v>452.04166666666669</v>
      </c>
      <c r="JV38" s="82"/>
      <c r="TR38" s="82"/>
      <c r="ADN38" s="82"/>
      <c r="ANJ38" s="82"/>
      <c r="AXF38" s="82"/>
      <c r="BHB38" s="82"/>
      <c r="BQX38" s="82"/>
      <c r="CAT38" s="82"/>
      <c r="CKP38" s="82"/>
      <c r="CUL38" s="82"/>
      <c r="DEH38" s="82"/>
      <c r="DOD38" s="82"/>
      <c r="DXZ38" s="82"/>
      <c r="EHV38" s="82"/>
      <c r="ERR38" s="82"/>
      <c r="FBN38" s="82"/>
      <c r="FLJ38" s="82"/>
      <c r="FVF38" s="82"/>
      <c r="GFB38" s="82"/>
      <c r="GOX38" s="82"/>
      <c r="GYT38" s="82"/>
      <c r="HIP38" s="82"/>
      <c r="HSL38" s="82"/>
      <c r="ICH38" s="82"/>
      <c r="IMD38" s="82"/>
      <c r="IVZ38" s="82"/>
      <c r="JFV38" s="82"/>
      <c r="JPR38" s="82"/>
      <c r="JZN38" s="82"/>
      <c r="KJJ38" s="82"/>
      <c r="KTF38" s="82"/>
      <c r="LDB38" s="82"/>
      <c r="LMX38" s="82"/>
      <c r="LWT38" s="82"/>
      <c r="MGP38" s="82"/>
      <c r="MQL38" s="82"/>
      <c r="NAH38" s="82"/>
      <c r="NKD38" s="82"/>
      <c r="NTZ38" s="82"/>
      <c r="ODV38" s="82"/>
      <c r="ONR38" s="82"/>
      <c r="OXN38" s="82"/>
      <c r="PHJ38" s="82"/>
      <c r="PRF38" s="82"/>
      <c r="QBB38" s="82"/>
      <c r="QKX38" s="82"/>
      <c r="QUT38" s="82"/>
      <c r="REP38" s="82"/>
      <c r="ROL38" s="82"/>
      <c r="RYH38" s="82"/>
      <c r="SID38" s="82"/>
      <c r="SRZ38" s="82"/>
      <c r="TBV38" s="82"/>
      <c r="TLR38" s="82"/>
      <c r="TVN38" s="82"/>
      <c r="UFJ38" s="82"/>
      <c r="UPF38" s="82"/>
      <c r="UZB38" s="82"/>
      <c r="VIX38" s="82"/>
      <c r="VST38" s="82"/>
      <c r="WCP38" s="82"/>
      <c r="WML38" s="82"/>
      <c r="WWH38" s="82"/>
    </row>
    <row r="39" spans="1:794 1050:1818 2074:2842 3098:3866 4122:4890 5146:5914 6170:6938 7194:7962 8218:8986 9242:10010 10266:11034 11290:12058 12314:13082 13338:14106 14362:15130 15386:16154" ht="14.25" customHeight="1" x14ac:dyDescent="0.35">
      <c r="A39" s="68">
        <f t="shared" si="2"/>
        <v>32</v>
      </c>
      <c r="B39" s="70" t="s">
        <v>347</v>
      </c>
      <c r="C39" s="70" t="s">
        <v>268</v>
      </c>
      <c r="D39" s="70" t="s">
        <v>234</v>
      </c>
      <c r="E39" s="70" t="s">
        <v>43</v>
      </c>
      <c r="F39" s="70" t="s">
        <v>19</v>
      </c>
      <c r="G39" s="70" t="s">
        <v>514</v>
      </c>
      <c r="H39" s="78">
        <v>35786</v>
      </c>
      <c r="I39" s="191">
        <v>45737</v>
      </c>
      <c r="J39" s="70">
        <v>10</v>
      </c>
      <c r="K39" s="70">
        <v>1</v>
      </c>
      <c r="L39" s="161">
        <f>IFERROR(VLOOKUP(J39, DATA!$A$4:$I$36, MATCH(K39, DATA!$B$3:$I$3, 0)+1, FALSE), "")</f>
        <v>26917</v>
      </c>
      <c r="M39" s="157">
        <v>2000</v>
      </c>
      <c r="N39" s="156">
        <f t="shared" si="3"/>
        <v>28917</v>
      </c>
      <c r="O39" s="73">
        <f t="shared" si="4"/>
        <v>2422.5300000000002</v>
      </c>
      <c r="P39" s="79">
        <v>400</v>
      </c>
      <c r="Q39" s="79">
        <v>1191.8800000000001</v>
      </c>
      <c r="R39" s="79"/>
      <c r="S39" s="79"/>
      <c r="T39" s="79"/>
      <c r="U39" s="79"/>
      <c r="V39" s="79">
        <v>3986.18</v>
      </c>
      <c r="W39" s="79"/>
      <c r="X39" s="79">
        <v>1966.67</v>
      </c>
      <c r="Y39" s="79">
        <v>2505.4</v>
      </c>
      <c r="Z39" s="79"/>
      <c r="AA39" s="73">
        <v>447.46</v>
      </c>
      <c r="AB39" s="73">
        <f>ROUND(IF(L39&gt;79999.99,900,IF(L39&lt;10000.01,137.5,IF(10000&lt;L39&gt;80000,L39*2.5%))),2)-0.01</f>
        <v>672.92</v>
      </c>
      <c r="AC39" s="79"/>
      <c r="AD39" s="79">
        <v>0</v>
      </c>
      <c r="AE39" s="79">
        <v>300</v>
      </c>
      <c r="AF39" s="79">
        <v>0</v>
      </c>
      <c r="AG39" s="79">
        <v>100</v>
      </c>
      <c r="AH39" s="79"/>
      <c r="AI39" s="79"/>
      <c r="AJ39" s="79"/>
      <c r="AK39" s="73"/>
      <c r="AL39" s="79">
        <v>100</v>
      </c>
      <c r="AM39" s="79"/>
      <c r="AN39" s="79"/>
      <c r="AO39" s="73"/>
      <c r="AP39" s="73"/>
      <c r="AQ39" s="73"/>
      <c r="AR39" s="73"/>
      <c r="AS39" s="79">
        <v>0</v>
      </c>
      <c r="AT39" s="79">
        <v>3156.75</v>
      </c>
      <c r="AU39" s="79"/>
      <c r="AV39" s="79"/>
      <c r="AW39" s="79">
        <v>0</v>
      </c>
      <c r="AX39" s="79"/>
      <c r="AY39" s="79">
        <v>3034.72</v>
      </c>
      <c r="AZ39" s="74">
        <f t="shared" si="0"/>
        <v>20284.509999999998</v>
      </c>
      <c r="BA39" s="75">
        <f t="shared" si="1"/>
        <v>8632.49</v>
      </c>
      <c r="BB39" s="75">
        <f t="shared" si="5"/>
        <v>4316.25</v>
      </c>
      <c r="BC39" s="75">
        <f t="shared" si="6"/>
        <v>4316.24</v>
      </c>
      <c r="BD39" s="34"/>
      <c r="BI39" s="34">
        <v>635.66666666666663</v>
      </c>
    </row>
    <row r="40" spans="1:794 1050:1818 2074:2842 3098:3866 4122:4890 5146:5914 6170:6938 7194:7962 8218:8986 9242:10010 10266:11034 11290:12058 12314:13082 13338:14106 14362:15130 15386:16154" ht="14.25" customHeight="1" x14ac:dyDescent="0.35">
      <c r="A40" s="68">
        <f t="shared" si="2"/>
        <v>33</v>
      </c>
      <c r="B40" s="70" t="s">
        <v>256</v>
      </c>
      <c r="C40" s="70" t="s">
        <v>255</v>
      </c>
      <c r="D40" s="70" t="s">
        <v>224</v>
      </c>
      <c r="E40" s="70" t="s">
        <v>21</v>
      </c>
      <c r="F40" s="70" t="s">
        <v>16</v>
      </c>
      <c r="G40" s="70" t="s">
        <v>515</v>
      </c>
      <c r="H40" s="78">
        <v>42451</v>
      </c>
      <c r="I40" s="78">
        <v>42998</v>
      </c>
      <c r="J40" s="70">
        <v>15</v>
      </c>
      <c r="K40" s="70">
        <v>3</v>
      </c>
      <c r="L40" s="161">
        <f>IFERROR(VLOOKUP(J40, DATA!$A$4:$I$36, MATCH(K40, DATA!$B$3:$I$3, 0)+1, FALSE), "")</f>
        <v>43015</v>
      </c>
      <c r="M40" s="157">
        <v>2000</v>
      </c>
      <c r="N40" s="156">
        <f t="shared" si="3"/>
        <v>45015</v>
      </c>
      <c r="O40" s="73">
        <f t="shared" si="4"/>
        <v>3871.35</v>
      </c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3">
        <v>3889.58</v>
      </c>
      <c r="AB40" s="79">
        <f>ROUND(IF(L40&gt;79999.99,900,IF(L40&lt;10000.01,137.5,IF(10000&lt;L40&gt;80000,L40*2.5%))),2)-0.01</f>
        <v>1075.3700000000001</v>
      </c>
      <c r="AC40" s="79"/>
      <c r="AD40" s="79">
        <v>1000</v>
      </c>
      <c r="AE40" s="73">
        <v>200</v>
      </c>
      <c r="AF40" s="79">
        <v>0</v>
      </c>
      <c r="AG40" s="79">
        <v>100</v>
      </c>
      <c r="AH40" s="79"/>
      <c r="AI40" s="79"/>
      <c r="AJ40" s="79"/>
      <c r="AK40" s="73"/>
      <c r="AL40" s="79">
        <v>100</v>
      </c>
      <c r="AM40" s="79">
        <v>7500</v>
      </c>
      <c r="AN40" s="79">
        <v>2000</v>
      </c>
      <c r="AO40" s="73">
        <v>527.29999999999995</v>
      </c>
      <c r="AP40" s="73">
        <v>272.20999999999998</v>
      </c>
      <c r="AQ40" s="73"/>
      <c r="AR40" s="73"/>
      <c r="AS40" s="79">
        <v>0</v>
      </c>
      <c r="AT40" s="79"/>
      <c r="AU40" s="79">
        <v>14749.76</v>
      </c>
      <c r="AV40" s="79"/>
      <c r="AW40" s="79"/>
      <c r="AX40" s="79"/>
      <c r="AY40" s="79">
        <v>3034.72</v>
      </c>
      <c r="AZ40" s="74">
        <f t="shared" ref="AZ40:AZ71" si="12">ROUND(SUM(O40:AY40),2)</f>
        <v>38320.29</v>
      </c>
      <c r="BA40" s="75">
        <f t="shared" ref="BA40:BA71" si="13">ROUND(N40-AZ40,2)</f>
        <v>6694.71</v>
      </c>
      <c r="BB40" s="75">
        <f t="shared" si="5"/>
        <v>3347.36</v>
      </c>
      <c r="BC40" s="75">
        <f t="shared" si="6"/>
        <v>3347.35</v>
      </c>
      <c r="BD40" s="34"/>
      <c r="BI40" s="33">
        <v>489.58333333333331</v>
      </c>
    </row>
    <row r="41" spans="1:794 1050:1818 2074:2842 3098:3866 4122:4890 5146:5914 6170:6938 7194:7962 8218:8986 9242:10010 10266:11034 11290:12058 12314:13082 13338:14106 14362:15130 15386:16154" ht="14.25" customHeight="1" x14ac:dyDescent="0.35">
      <c r="A41" s="68">
        <f t="shared" si="2"/>
        <v>34</v>
      </c>
      <c r="B41" s="70" t="s">
        <v>304</v>
      </c>
      <c r="C41" s="70" t="s">
        <v>303</v>
      </c>
      <c r="D41" s="70" t="s">
        <v>239</v>
      </c>
      <c r="E41" s="70" t="s">
        <v>127</v>
      </c>
      <c r="F41" s="70" t="s">
        <v>22</v>
      </c>
      <c r="G41" s="70" t="s">
        <v>516</v>
      </c>
      <c r="H41" s="78">
        <v>42278</v>
      </c>
      <c r="I41" s="78">
        <v>44929</v>
      </c>
      <c r="J41" s="70">
        <v>18</v>
      </c>
      <c r="K41" s="70">
        <v>2</v>
      </c>
      <c r="L41" s="161">
        <f>IFERROR(VLOOKUP(J41, DATA!$A$4:$I$36, MATCH(K41, DATA!$B$3:$I$3, 0)+1, FALSE), "")</f>
        <v>54371</v>
      </c>
      <c r="M41" s="157">
        <v>2000</v>
      </c>
      <c r="N41" s="156">
        <f t="shared" si="3"/>
        <v>56371</v>
      </c>
      <c r="O41" s="73">
        <f t="shared" si="4"/>
        <v>4893.3900000000003</v>
      </c>
      <c r="P41" s="79"/>
      <c r="Q41" s="79"/>
      <c r="R41" s="79"/>
      <c r="S41" s="79"/>
      <c r="T41" s="79"/>
      <c r="U41" s="79"/>
      <c r="V41" s="79"/>
      <c r="W41" s="79"/>
      <c r="X41" s="79"/>
      <c r="Y41" s="79">
        <v>8646.86</v>
      </c>
      <c r="Z41" s="79"/>
      <c r="AA41" s="73">
        <v>6395.7</v>
      </c>
      <c r="AB41" s="73">
        <f>ROUND(IF(L41&gt;79999.99,900,IF(L41&lt;10000.01,137.5,IF(10000&lt;L41&gt;80000,L41*2.5%))),2)</f>
        <v>1359.28</v>
      </c>
      <c r="AC41" s="79"/>
      <c r="AD41" s="79"/>
      <c r="AE41" s="79">
        <v>500</v>
      </c>
      <c r="AF41" s="79">
        <v>0</v>
      </c>
      <c r="AG41" s="79">
        <v>100</v>
      </c>
      <c r="AH41" s="79"/>
      <c r="AI41" s="79"/>
      <c r="AJ41" s="79"/>
      <c r="AK41" s="73">
        <v>1000</v>
      </c>
      <c r="AL41" s="79"/>
      <c r="AM41" s="79"/>
      <c r="AN41" s="79">
        <v>2000</v>
      </c>
      <c r="AO41" s="73">
        <v>461.39</v>
      </c>
      <c r="AP41" s="73">
        <v>704.35</v>
      </c>
      <c r="AQ41" s="73"/>
      <c r="AR41" s="73"/>
      <c r="AS41" s="79">
        <v>0</v>
      </c>
      <c r="AT41" s="79"/>
      <c r="AU41" s="79"/>
      <c r="AV41" s="79"/>
      <c r="AW41" s="79">
        <v>0</v>
      </c>
      <c r="AX41" s="79"/>
      <c r="AY41" s="79">
        <v>5826.67</v>
      </c>
      <c r="AZ41" s="74">
        <f t="shared" si="12"/>
        <v>31887.64</v>
      </c>
      <c r="BA41" s="75">
        <f t="shared" si="13"/>
        <v>24483.360000000001</v>
      </c>
      <c r="BB41" s="75">
        <f t="shared" si="5"/>
        <v>12241.68</v>
      </c>
      <c r="BC41" s="75">
        <f t="shared" si="6"/>
        <v>12241.68</v>
      </c>
      <c r="BD41" s="34"/>
      <c r="BI41" s="34">
        <v>1630.3888888888891</v>
      </c>
    </row>
    <row r="42" spans="1:794 1050:1818 2074:2842 3098:3866 4122:4890 5146:5914 6170:6938 7194:7962 8218:8986 9242:10010 10266:11034 11290:12058 12314:13082 13338:14106 14362:15130 15386:16154" ht="14.25" customHeight="1" x14ac:dyDescent="0.35">
      <c r="A42" s="68">
        <f t="shared" si="2"/>
        <v>35</v>
      </c>
      <c r="B42" s="70" t="s">
        <v>262</v>
      </c>
      <c r="C42" s="70" t="s">
        <v>261</v>
      </c>
      <c r="D42" s="70" t="s">
        <v>219</v>
      </c>
      <c r="E42" s="70" t="s">
        <v>27</v>
      </c>
      <c r="F42" s="70" t="s">
        <v>44</v>
      </c>
      <c r="G42" s="70" t="s">
        <v>517</v>
      </c>
      <c r="H42" s="78">
        <v>42293</v>
      </c>
      <c r="I42" s="78">
        <v>42293</v>
      </c>
      <c r="J42" s="70">
        <v>15</v>
      </c>
      <c r="K42" s="70">
        <v>4</v>
      </c>
      <c r="L42" s="161">
        <f>IFERROR(VLOOKUP(J42, DATA!$A$4:$I$36, MATCH(K42, DATA!$B$3:$I$3, 0)+1, FALSE), "")</f>
        <v>43442</v>
      </c>
      <c r="M42" s="157">
        <v>2000</v>
      </c>
      <c r="N42" s="156">
        <f t="shared" si="3"/>
        <v>45442</v>
      </c>
      <c r="O42" s="73">
        <f t="shared" si="4"/>
        <v>3909.78</v>
      </c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3">
        <v>3998.79</v>
      </c>
      <c r="AB42" s="79">
        <f>ROUND(IF(L42&gt;79999.99,900,IF(L42&lt;10000.01,137.5,IF(10000&lt;L42&gt;80000,L42*2.5%))),2)</f>
        <v>1086.05</v>
      </c>
      <c r="AC42" s="79"/>
      <c r="AD42" s="79">
        <v>0</v>
      </c>
      <c r="AE42" s="73">
        <v>200</v>
      </c>
      <c r="AF42" s="79">
        <v>0</v>
      </c>
      <c r="AG42" s="79">
        <v>100</v>
      </c>
      <c r="AH42" s="79"/>
      <c r="AI42" s="79"/>
      <c r="AJ42" s="79"/>
      <c r="AK42" s="73"/>
      <c r="AL42" s="79"/>
      <c r="AM42" s="79"/>
      <c r="AN42" s="79"/>
      <c r="AO42" s="73"/>
      <c r="AP42" s="73"/>
      <c r="AQ42" s="73"/>
      <c r="AR42" s="73"/>
      <c r="AS42" s="79">
        <v>1420.64</v>
      </c>
      <c r="AT42" s="79"/>
      <c r="AU42" s="79"/>
      <c r="AV42" s="79"/>
      <c r="AW42" s="79">
        <v>0</v>
      </c>
      <c r="AX42" s="79">
        <v>1476.39</v>
      </c>
      <c r="AY42" s="79"/>
      <c r="AZ42" s="74">
        <f t="shared" si="12"/>
        <v>12191.65</v>
      </c>
      <c r="BA42" s="75">
        <f t="shared" si="13"/>
        <v>33250.35</v>
      </c>
      <c r="BB42" s="75">
        <f t="shared" si="5"/>
        <v>16625.18</v>
      </c>
      <c r="BC42" s="75">
        <f t="shared" si="6"/>
        <v>16625.169999999998</v>
      </c>
      <c r="BD42" s="34"/>
      <c r="BI42" s="34">
        <v>620.20680555555623</v>
      </c>
    </row>
    <row r="43" spans="1:794 1050:1818 2074:2842 3098:3866 4122:4890 5146:5914 6170:6938 7194:7962 8218:8986 9242:10010 10266:11034 11290:12058 12314:13082 13338:14106 14362:15130 15386:16154" ht="14.25" customHeight="1" x14ac:dyDescent="0.35">
      <c r="A43" s="68">
        <f t="shared" si="2"/>
        <v>36</v>
      </c>
      <c r="B43" s="70" t="s">
        <v>363</v>
      </c>
      <c r="C43" s="70" t="s">
        <v>364</v>
      </c>
      <c r="D43" s="70" t="s">
        <v>234</v>
      </c>
      <c r="E43" s="70" t="s">
        <v>76</v>
      </c>
      <c r="F43" s="70" t="s">
        <v>35</v>
      </c>
      <c r="G43" s="70" t="s">
        <v>518</v>
      </c>
      <c r="H43" s="78">
        <v>44228</v>
      </c>
      <c r="I43" s="78">
        <v>44228</v>
      </c>
      <c r="J43" s="70">
        <v>11</v>
      </c>
      <c r="K43" s="70">
        <v>2</v>
      </c>
      <c r="L43" s="161">
        <f>IFERROR(VLOOKUP(J43, DATA!$A$4:$I$36, MATCH(K43, DATA!$B$3:$I$3, 0)+1, FALSE), "")</f>
        <v>31820</v>
      </c>
      <c r="M43" s="157">
        <v>2000</v>
      </c>
      <c r="N43" s="156">
        <f t="shared" si="3"/>
        <v>33820</v>
      </c>
      <c r="O43" s="73">
        <f t="shared" si="4"/>
        <v>2863.8</v>
      </c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3">
        <v>1481.83</v>
      </c>
      <c r="AB43" s="79">
        <f>ROUND(IF(L43&gt;79999.99,900,IF(L43&lt;10000.01,137.5,IF(10000&lt;L43&gt;80000,L43*2.5%))),2)</f>
        <v>795.5</v>
      </c>
      <c r="AC43" s="79"/>
      <c r="AD43" s="79"/>
      <c r="AE43" s="73">
        <v>200</v>
      </c>
      <c r="AF43" s="79">
        <v>0</v>
      </c>
      <c r="AG43" s="79">
        <v>100</v>
      </c>
      <c r="AH43" s="79"/>
      <c r="AI43" s="79"/>
      <c r="AJ43" s="79"/>
      <c r="AK43" s="73"/>
      <c r="AL43" s="79"/>
      <c r="AM43" s="79"/>
      <c r="AN43" s="79"/>
      <c r="AO43" s="73"/>
      <c r="AP43" s="73"/>
      <c r="AQ43" s="73"/>
      <c r="AR43" s="73"/>
      <c r="AS43" s="79">
        <v>0</v>
      </c>
      <c r="AT43" s="79"/>
      <c r="AU43" s="79"/>
      <c r="AV43" s="79"/>
      <c r="AW43" s="79"/>
      <c r="AX43" s="79"/>
      <c r="AY43" s="79"/>
      <c r="AZ43" s="74">
        <f t="shared" si="12"/>
        <v>5441.13</v>
      </c>
      <c r="BA43" s="75">
        <f t="shared" si="13"/>
        <v>28378.87</v>
      </c>
      <c r="BB43" s="75">
        <f>ROUND(BA43/2,2)</f>
        <v>14189.44</v>
      </c>
      <c r="BC43" s="75">
        <f t="shared" si="6"/>
        <v>14189.429999999998</v>
      </c>
      <c r="BD43" s="34"/>
    </row>
    <row r="44" spans="1:794 1050:1818 2074:2842 3098:3866 4122:4890 5146:5914 6170:6938 7194:7962 8218:8986 9242:10010 10266:11034 11290:12058 12314:13082 13338:14106 14362:15130 15386:16154" ht="14.25" customHeight="1" x14ac:dyDescent="0.35">
      <c r="A44" s="68">
        <f t="shared" si="2"/>
        <v>37</v>
      </c>
      <c r="B44" s="70" t="s">
        <v>249</v>
      </c>
      <c r="C44" s="70" t="s">
        <v>248</v>
      </c>
      <c r="D44" s="70" t="s">
        <v>236</v>
      </c>
      <c r="E44" s="70" t="s">
        <v>38</v>
      </c>
      <c r="F44" s="70" t="s">
        <v>19</v>
      </c>
      <c r="G44" s="70" t="s">
        <v>519</v>
      </c>
      <c r="H44" s="78">
        <v>34704</v>
      </c>
      <c r="I44" s="78">
        <v>34704</v>
      </c>
      <c r="J44" s="70">
        <v>4</v>
      </c>
      <c r="K44" s="70">
        <v>8</v>
      </c>
      <c r="L44" s="161">
        <f>IFERROR(VLOOKUP(J44, DATA!$A$4:$I$36, MATCH(K44, DATA!$B$3:$I$3, 0)+1, FALSE), "")</f>
        <v>18433</v>
      </c>
      <c r="M44" s="157">
        <v>2000</v>
      </c>
      <c r="N44" s="156">
        <f t="shared" si="3"/>
        <v>20433</v>
      </c>
      <c r="O44" s="73">
        <f t="shared" si="4"/>
        <v>1658.97</v>
      </c>
      <c r="P44" s="79">
        <v>200</v>
      </c>
      <c r="Q44" s="79">
        <v>655.56</v>
      </c>
      <c r="R44" s="79"/>
      <c r="S44" s="80"/>
      <c r="T44" s="79"/>
      <c r="U44" s="79"/>
      <c r="V44" s="79">
        <v>2561.7399999999998</v>
      </c>
      <c r="W44" s="79"/>
      <c r="X44" s="79"/>
      <c r="Y44" s="79">
        <v>3797.05</v>
      </c>
      <c r="Z44" s="79"/>
      <c r="AA44" s="73">
        <v>0</v>
      </c>
      <c r="AB44" s="73">
        <f>ROUND(IF(L44&gt;79999.99,900,IF(L44&lt;10000.01,137.5,IF(10000&lt;L44&gt;80000,L44*2.5%))),2)-0.01</f>
        <v>460.82</v>
      </c>
      <c r="AC44" s="79">
        <v>1295.6300000000001</v>
      </c>
      <c r="AD44" s="79">
        <v>0</v>
      </c>
      <c r="AE44" s="73">
        <v>200</v>
      </c>
      <c r="AF44" s="79">
        <v>0</v>
      </c>
      <c r="AG44" s="79">
        <v>100</v>
      </c>
      <c r="AH44" s="79">
        <v>1336</v>
      </c>
      <c r="AI44" s="79"/>
      <c r="AJ44" s="79"/>
      <c r="AK44" s="73"/>
      <c r="AL44" s="79"/>
      <c r="AM44" s="79"/>
      <c r="AN44" s="79"/>
      <c r="AO44" s="73"/>
      <c r="AP44" s="73"/>
      <c r="AQ44" s="73"/>
      <c r="AR44" s="73"/>
      <c r="AS44" s="79">
        <v>0</v>
      </c>
      <c r="AT44" s="79"/>
      <c r="AU44" s="79"/>
      <c r="AV44" s="79"/>
      <c r="AW44" s="79">
        <v>0</v>
      </c>
      <c r="AX44" s="79"/>
      <c r="AY44" s="79">
        <v>2124.3000000000002</v>
      </c>
      <c r="AZ44" s="74">
        <f t="shared" si="12"/>
        <v>14390.07</v>
      </c>
      <c r="BA44" s="75">
        <f t="shared" si="13"/>
        <v>6042.93</v>
      </c>
      <c r="BB44" s="75">
        <f t="shared" si="5"/>
        <v>3021.47</v>
      </c>
      <c r="BC44" s="75">
        <f t="shared" si="6"/>
        <v>3021.4600000000005</v>
      </c>
      <c r="BD44" s="34"/>
      <c r="BI44" s="34">
        <v>580.16666666666663</v>
      </c>
    </row>
    <row r="45" spans="1:794 1050:1818 2074:2842 3098:3866 4122:4890 5146:5914 6170:6938 7194:7962 8218:8986 9242:10010 10266:11034 11290:12058 12314:13082 13338:14106 14362:15130 15386:16154" ht="14.25" customHeight="1" x14ac:dyDescent="0.35">
      <c r="A45" s="68">
        <f t="shared" si="2"/>
        <v>38</v>
      </c>
      <c r="B45" s="70" t="s">
        <v>460</v>
      </c>
      <c r="C45" s="70" t="s">
        <v>316</v>
      </c>
      <c r="D45" s="70" t="s">
        <v>275</v>
      </c>
      <c r="E45" s="70" t="s">
        <v>109</v>
      </c>
      <c r="F45" s="70" t="s">
        <v>19</v>
      </c>
      <c r="G45" s="76" t="s">
        <v>520</v>
      </c>
      <c r="H45" s="77">
        <v>42451</v>
      </c>
      <c r="I45" s="77">
        <v>45607</v>
      </c>
      <c r="J45" s="76">
        <v>14</v>
      </c>
      <c r="K45" s="76">
        <v>1</v>
      </c>
      <c r="L45" s="161">
        <f>IFERROR(VLOOKUP(J45, DATA!$A$4:$I$36, MATCH(K45, DATA!$B$3:$I$3, 0)+1, FALSE), "")</f>
        <v>38764</v>
      </c>
      <c r="M45" s="157">
        <v>2000</v>
      </c>
      <c r="N45" s="156">
        <f t="shared" si="3"/>
        <v>40764</v>
      </c>
      <c r="O45" s="73">
        <f t="shared" si="4"/>
        <v>3488.76</v>
      </c>
      <c r="P45" s="79"/>
      <c r="Q45" s="79">
        <v>655.56</v>
      </c>
      <c r="R45" s="79"/>
      <c r="S45" s="79"/>
      <c r="T45" s="79"/>
      <c r="U45" s="79"/>
      <c r="V45" s="79"/>
      <c r="W45" s="79"/>
      <c r="X45" s="79"/>
      <c r="Y45" s="79"/>
      <c r="Z45" s="79"/>
      <c r="AA45" s="73">
        <v>2899.62</v>
      </c>
      <c r="AB45" s="73">
        <f>ROUND(IF(L45&gt;79999.99,900,IF(L45&lt;10000.01,137.5,IF(10000&lt;L45&gt;80000,L45*2.5%))),2)</f>
        <v>969.1</v>
      </c>
      <c r="AC45" s="79"/>
      <c r="AD45" s="79">
        <v>0</v>
      </c>
      <c r="AE45" s="73">
        <v>200</v>
      </c>
      <c r="AF45" s="79">
        <v>0</v>
      </c>
      <c r="AG45" s="79">
        <v>100</v>
      </c>
      <c r="AH45" s="79"/>
      <c r="AI45" s="79"/>
      <c r="AJ45" s="79"/>
      <c r="AK45" s="73"/>
      <c r="AL45" s="79"/>
      <c r="AM45" s="79"/>
      <c r="AN45" s="79"/>
      <c r="AO45" s="73"/>
      <c r="AP45" s="73"/>
      <c r="AQ45" s="73"/>
      <c r="AR45" s="73"/>
      <c r="AS45" s="79">
        <v>500</v>
      </c>
      <c r="AT45" s="79"/>
      <c r="AU45" s="79"/>
      <c r="AV45" s="79"/>
      <c r="AW45" s="79"/>
      <c r="AX45" s="79"/>
      <c r="AY45" s="79"/>
      <c r="AZ45" s="74">
        <f t="shared" si="12"/>
        <v>8813.0400000000009</v>
      </c>
      <c r="BA45" s="75">
        <f t="shared" si="13"/>
        <v>31950.959999999999</v>
      </c>
      <c r="BB45" s="75">
        <f>ROUND(BA45/2,2)</f>
        <v>15975.48</v>
      </c>
      <c r="BC45" s="75">
        <f>BA45-BB45</f>
        <v>15975.48</v>
      </c>
      <c r="BD45" s="34"/>
      <c r="BI45" s="34">
        <v>998.13194444444446</v>
      </c>
    </row>
    <row r="46" spans="1:794 1050:1818 2074:2842 3098:3866 4122:4890 5146:5914 6170:6938 7194:7962 8218:8986 9242:10010 10266:11034 11290:12058 12314:13082 13338:14106 14362:15130 15386:16154" ht="14.25" customHeight="1" x14ac:dyDescent="0.35">
      <c r="A46" s="68">
        <f t="shared" si="2"/>
        <v>39</v>
      </c>
      <c r="B46" s="70" t="s">
        <v>420</v>
      </c>
      <c r="C46" s="70" t="s">
        <v>421</v>
      </c>
      <c r="D46" s="70" t="s">
        <v>251</v>
      </c>
      <c r="E46" s="70" t="s">
        <v>360</v>
      </c>
      <c r="F46" s="70" t="s">
        <v>16</v>
      </c>
      <c r="G46" s="70" t="s">
        <v>521</v>
      </c>
      <c r="H46" s="78">
        <v>44950</v>
      </c>
      <c r="I46" s="78">
        <v>44950</v>
      </c>
      <c r="J46" s="70">
        <v>11</v>
      </c>
      <c r="K46" s="70">
        <v>1</v>
      </c>
      <c r="L46" s="161">
        <f>IFERROR(VLOOKUP(J46, DATA!$A$4:$I$36, MATCH(K46, DATA!$B$3:$I$3, 0)+1, FALSE), "")</f>
        <v>31705</v>
      </c>
      <c r="M46" s="157">
        <v>2000</v>
      </c>
      <c r="N46" s="156">
        <f t="shared" si="3"/>
        <v>33705</v>
      </c>
      <c r="O46" s="73">
        <f t="shared" si="4"/>
        <v>2853.45</v>
      </c>
      <c r="P46" s="79"/>
      <c r="Q46" s="79">
        <v>1174.33</v>
      </c>
      <c r="R46" s="79"/>
      <c r="S46" s="79"/>
      <c r="T46" s="79"/>
      <c r="U46" s="79"/>
      <c r="V46" s="79">
        <v>1810.82</v>
      </c>
      <c r="W46" s="79">
        <v>1227.78</v>
      </c>
      <c r="X46" s="79"/>
      <c r="Y46" s="79"/>
      <c r="Z46" s="79"/>
      <c r="AA46" s="73">
        <v>1468.9</v>
      </c>
      <c r="AB46" s="79">
        <f>ROUND(IF(L46&gt;79999.99,900,IF(L46&lt;10000.01,137.5,IF(10000&lt;L46&gt;80000,L46*2.5%))),2)-0.01</f>
        <v>792.62</v>
      </c>
      <c r="AC46" s="79"/>
      <c r="AD46" s="79">
        <v>1000</v>
      </c>
      <c r="AE46" s="73">
        <v>200</v>
      </c>
      <c r="AF46" s="79">
        <v>0</v>
      </c>
      <c r="AG46" s="79">
        <v>100</v>
      </c>
      <c r="AH46" s="79"/>
      <c r="AI46" s="79"/>
      <c r="AJ46" s="79"/>
      <c r="AK46" s="73"/>
      <c r="AL46" s="79"/>
      <c r="AM46" s="79"/>
      <c r="AN46" s="79"/>
      <c r="AO46" s="73"/>
      <c r="AP46" s="73"/>
      <c r="AQ46" s="73"/>
      <c r="AR46" s="73"/>
      <c r="AS46" s="79"/>
      <c r="AT46" s="79">
        <v>8523.24</v>
      </c>
      <c r="AU46" s="79"/>
      <c r="AV46" s="79"/>
      <c r="AW46" s="79"/>
      <c r="AX46" s="79"/>
      <c r="AY46" s="79">
        <v>3034.72</v>
      </c>
      <c r="AZ46" s="74">
        <f t="shared" si="12"/>
        <v>22185.86</v>
      </c>
      <c r="BA46" s="75">
        <f t="shared" si="13"/>
        <v>11519.14</v>
      </c>
      <c r="BB46" s="75">
        <f>ROUND(BA46/2,2)</f>
        <v>5759.57</v>
      </c>
      <c r="BC46" s="75">
        <f>BA46-BB46</f>
        <v>5759.57</v>
      </c>
      <c r="BD46" s="34"/>
    </row>
    <row r="47" spans="1:794 1050:1818 2074:2842 3098:3866 4122:4890 5146:5914 6170:6938 7194:7962 8218:8986 9242:10010 10266:11034 11290:12058 12314:13082 13338:14106 14362:15130 15386:16154" ht="14.25" customHeight="1" x14ac:dyDescent="0.35">
      <c r="A47" s="68">
        <f t="shared" si="2"/>
        <v>40</v>
      </c>
      <c r="B47" s="70" t="s">
        <v>242</v>
      </c>
      <c r="C47" s="70" t="s">
        <v>241</v>
      </c>
      <c r="D47" s="70" t="s">
        <v>217</v>
      </c>
      <c r="E47" s="70" t="s">
        <v>51</v>
      </c>
      <c r="F47" s="70" t="s">
        <v>16</v>
      </c>
      <c r="G47" s="70" t="s">
        <v>522</v>
      </c>
      <c r="H47" s="78">
        <v>32295</v>
      </c>
      <c r="I47" s="78">
        <v>36312</v>
      </c>
      <c r="J47" s="70">
        <v>9</v>
      </c>
      <c r="K47" s="70">
        <v>8</v>
      </c>
      <c r="L47" s="161">
        <f>IFERROR(VLOOKUP(J47, DATA!$A$4:$I$36, MATCH(K47, DATA!$B$3:$I$3, 0)+1, FALSE), "")</f>
        <v>25725</v>
      </c>
      <c r="M47" s="157">
        <v>2000</v>
      </c>
      <c r="N47" s="156">
        <f t="shared" si="3"/>
        <v>27725</v>
      </c>
      <c r="O47" s="73">
        <f t="shared" si="4"/>
        <v>2315.25</v>
      </c>
      <c r="P47" s="79">
        <v>600</v>
      </c>
      <c r="Q47" s="79">
        <v>1209.28</v>
      </c>
      <c r="R47" s="79"/>
      <c r="S47" s="79"/>
      <c r="T47" s="79"/>
      <c r="U47" s="79"/>
      <c r="V47" s="79">
        <v>3826.03</v>
      </c>
      <c r="W47" s="79"/>
      <c r="X47" s="79">
        <v>1966.67</v>
      </c>
      <c r="Y47" s="79">
        <v>5476.25</v>
      </c>
      <c r="Z47" s="79"/>
      <c r="AA47" s="73">
        <v>418.94</v>
      </c>
      <c r="AB47" s="73">
        <f>ROUND(IF(L47&gt;79999.99,900,IF(L47&lt;10000.01,137.5,IF(10000&lt;L47&gt;80000,L47*2.5%))),2)-0.01</f>
        <v>643.12</v>
      </c>
      <c r="AC47" s="79">
        <v>3029.89</v>
      </c>
      <c r="AD47" s="79">
        <v>700</v>
      </c>
      <c r="AE47" s="79">
        <v>200</v>
      </c>
      <c r="AF47" s="79">
        <v>0</v>
      </c>
      <c r="AG47" s="79">
        <v>100</v>
      </c>
      <c r="AH47" s="79"/>
      <c r="AI47" s="79"/>
      <c r="AJ47" s="79"/>
      <c r="AK47" s="73"/>
      <c r="AL47" s="79">
        <v>100</v>
      </c>
      <c r="AM47" s="81"/>
      <c r="AN47" s="79"/>
      <c r="AO47" s="83"/>
      <c r="AP47" s="83"/>
      <c r="AQ47" s="73"/>
      <c r="AR47" s="73"/>
      <c r="AS47" s="81"/>
      <c r="AT47" s="79"/>
      <c r="AU47" s="79"/>
      <c r="AV47" s="79"/>
      <c r="AW47" s="79"/>
      <c r="AX47" s="79"/>
      <c r="AY47" s="79">
        <v>910.41</v>
      </c>
      <c r="AZ47" s="74">
        <f t="shared" si="12"/>
        <v>21495.84</v>
      </c>
      <c r="BA47" s="84">
        <f t="shared" si="13"/>
        <v>6229.16</v>
      </c>
      <c r="BB47" s="75">
        <f t="shared" si="5"/>
        <v>3114.58</v>
      </c>
      <c r="BC47" s="75">
        <f t="shared" si="6"/>
        <v>3114.58</v>
      </c>
      <c r="BD47" s="34"/>
      <c r="BI47" s="34">
        <v>1139.9791666666667</v>
      </c>
    </row>
    <row r="48" spans="1:794 1050:1818 2074:2842 3098:3866 4122:4890 5146:5914 6170:6938 7194:7962 8218:8986 9242:10010 10266:11034 11290:12058 12314:13082 13338:14106 14362:15130 15386:16154" ht="15" customHeight="1" x14ac:dyDescent="0.35">
      <c r="A48" s="68">
        <f t="shared" si="2"/>
        <v>41</v>
      </c>
      <c r="B48" s="70" t="s">
        <v>478</v>
      </c>
      <c r="C48" s="70" t="s">
        <v>479</v>
      </c>
      <c r="D48" s="70" t="s">
        <v>234</v>
      </c>
      <c r="E48" s="70" t="s">
        <v>34</v>
      </c>
      <c r="F48" s="70" t="s">
        <v>35</v>
      </c>
      <c r="G48" s="70" t="s">
        <v>523</v>
      </c>
      <c r="H48" s="78">
        <v>45916</v>
      </c>
      <c r="I48" s="78">
        <v>45916</v>
      </c>
      <c r="J48" s="70">
        <v>11</v>
      </c>
      <c r="K48" s="70">
        <v>1</v>
      </c>
      <c r="L48" s="161">
        <f>IFERROR(VLOOKUP(J48, DATA!$A$4:$I$36, MATCH(K48, DATA!$B$3:$I$3, 0)+1, FALSE), "")</f>
        <v>31705</v>
      </c>
      <c r="M48" s="157">
        <v>2000</v>
      </c>
      <c r="N48" s="156">
        <f t="shared" si="3"/>
        <v>33705</v>
      </c>
      <c r="O48" s="73">
        <f t="shared" si="4"/>
        <v>2853.45</v>
      </c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3">
        <v>1360.33</v>
      </c>
      <c r="AB48" s="73">
        <f>ROUND(IF(L48&gt;79999.99,900,IF(L48&lt;10000.01,137.5,IF(10000&lt;L48&gt;80000,L48*2.5%))),2)-0.01</f>
        <v>792.62</v>
      </c>
      <c r="AC48" s="79"/>
      <c r="AD48" s="79"/>
      <c r="AE48" s="79">
        <v>200</v>
      </c>
      <c r="AF48" s="79">
        <v>0</v>
      </c>
      <c r="AG48" s="79">
        <v>100</v>
      </c>
      <c r="AH48" s="79"/>
      <c r="AI48" s="79"/>
      <c r="AJ48" s="79">
        <v>200</v>
      </c>
      <c r="AK48" s="73"/>
      <c r="AL48" s="79"/>
      <c r="AM48" s="79"/>
      <c r="AN48" s="79"/>
      <c r="AO48" s="73"/>
      <c r="AP48" s="73"/>
      <c r="AQ48" s="73"/>
      <c r="AR48" s="73"/>
      <c r="AS48" s="79"/>
      <c r="AT48" s="79"/>
      <c r="AU48" s="79"/>
      <c r="AV48" s="79"/>
      <c r="AW48" s="79"/>
      <c r="AX48" s="79"/>
      <c r="AY48" s="85"/>
      <c r="AZ48" s="74">
        <f t="shared" si="12"/>
        <v>5506.4</v>
      </c>
      <c r="BA48" s="84">
        <f t="shared" si="13"/>
        <v>28198.6</v>
      </c>
      <c r="BB48" s="75">
        <f t="shared" si="5"/>
        <v>14099.3</v>
      </c>
      <c r="BC48" s="75">
        <f t="shared" si="6"/>
        <v>14099.3</v>
      </c>
      <c r="BD48" s="34"/>
    </row>
    <row r="49" spans="1:61" ht="14.25" customHeight="1" x14ac:dyDescent="0.35">
      <c r="A49" s="68">
        <f t="shared" si="2"/>
        <v>42</v>
      </c>
      <c r="B49" s="70" t="s">
        <v>284</v>
      </c>
      <c r="C49" s="70" t="s">
        <v>283</v>
      </c>
      <c r="D49" s="70" t="s">
        <v>275</v>
      </c>
      <c r="E49" s="70" t="s">
        <v>30</v>
      </c>
      <c r="F49" s="70" t="s">
        <v>19</v>
      </c>
      <c r="G49" s="70" t="s">
        <v>524</v>
      </c>
      <c r="H49" s="78">
        <v>34780</v>
      </c>
      <c r="I49" s="78">
        <v>42293</v>
      </c>
      <c r="J49" s="70">
        <v>18</v>
      </c>
      <c r="K49" s="70">
        <v>4</v>
      </c>
      <c r="L49" s="161">
        <f>IFERROR(VLOOKUP(J49, DATA!$A$4:$I$36, MATCH(K49, DATA!$B$3:$I$3, 0)+1, FALSE), "")</f>
        <v>55499</v>
      </c>
      <c r="M49" s="157">
        <v>2000</v>
      </c>
      <c r="N49" s="156">
        <f t="shared" si="3"/>
        <v>57499</v>
      </c>
      <c r="O49" s="73">
        <f t="shared" si="4"/>
        <v>4994.91</v>
      </c>
      <c r="P49" s="79">
        <v>200</v>
      </c>
      <c r="Q49" s="79">
        <v>1174.33</v>
      </c>
      <c r="R49" s="79"/>
      <c r="S49" s="79"/>
      <c r="T49" s="79"/>
      <c r="U49" s="79"/>
      <c r="V49" s="79">
        <v>7885.9</v>
      </c>
      <c r="W49" s="79">
        <v>2333.33</v>
      </c>
      <c r="X49" s="79">
        <v>1966.67</v>
      </c>
      <c r="Y49" s="79"/>
      <c r="Z49" s="79"/>
      <c r="AA49" s="73">
        <v>6798.6</v>
      </c>
      <c r="AB49" s="79">
        <f>ROUND(IF(L49&gt;79999.99,900,IF(L49&lt;10000.01,137.5,IF(10000&lt;L49&gt;80000,L49*2.5%))),2)-0.01</f>
        <v>1387.47</v>
      </c>
      <c r="AC49" s="79"/>
      <c r="AD49" s="79"/>
      <c r="AE49" s="79">
        <v>200</v>
      </c>
      <c r="AF49" s="81"/>
      <c r="AG49" s="79">
        <v>100</v>
      </c>
      <c r="AH49" s="79"/>
      <c r="AI49" s="79"/>
      <c r="AJ49" s="79"/>
      <c r="AK49" s="73"/>
      <c r="AL49" s="79"/>
      <c r="AM49" s="79"/>
      <c r="AN49" s="79"/>
      <c r="AO49" s="73"/>
      <c r="AP49" s="73"/>
      <c r="AQ49" s="73"/>
      <c r="AR49" s="73"/>
      <c r="AS49" s="79">
        <v>0</v>
      </c>
      <c r="AT49" s="81"/>
      <c r="AU49" s="79">
        <v>23789.93</v>
      </c>
      <c r="AV49" s="79"/>
      <c r="AW49" s="79">
        <v>0</v>
      </c>
      <c r="AX49" s="79"/>
      <c r="AY49" s="81"/>
      <c r="AZ49" s="74">
        <f t="shared" si="12"/>
        <v>50831.14</v>
      </c>
      <c r="BA49" s="75">
        <f t="shared" si="13"/>
        <v>6667.86</v>
      </c>
      <c r="BB49" s="75">
        <f t="shared" si="5"/>
        <v>3333.93</v>
      </c>
      <c r="BC49" s="75">
        <f t="shared" si="6"/>
        <v>3333.93</v>
      </c>
      <c r="BD49" s="34"/>
      <c r="BI49" s="34">
        <v>0</v>
      </c>
    </row>
    <row r="50" spans="1:61" ht="14.25" customHeight="1" x14ac:dyDescent="0.35">
      <c r="A50" s="68">
        <f t="shared" si="2"/>
        <v>43</v>
      </c>
      <c r="B50" s="70" t="s">
        <v>466</v>
      </c>
      <c r="C50" s="70" t="s">
        <v>467</v>
      </c>
      <c r="D50" s="70" t="s">
        <v>219</v>
      </c>
      <c r="E50" s="70" t="s">
        <v>111</v>
      </c>
      <c r="F50" s="70" t="s">
        <v>16</v>
      </c>
      <c r="G50" s="70" t="s">
        <v>525</v>
      </c>
      <c r="H50" s="78">
        <v>45695</v>
      </c>
      <c r="I50" s="78">
        <v>45695</v>
      </c>
      <c r="J50" s="70">
        <v>15</v>
      </c>
      <c r="K50" s="70">
        <v>1</v>
      </c>
      <c r="L50" s="161">
        <f>IFERROR(VLOOKUP(J50, DATA!$A$4:$I$36, MATCH(K50, DATA!$B$3:$I$3, 0)+1, FALSE), "")</f>
        <v>42178</v>
      </c>
      <c r="M50" s="157">
        <v>2000</v>
      </c>
      <c r="N50" s="156">
        <f t="shared" ref="N50" si="14">L50+M50</f>
        <v>44178</v>
      </c>
      <c r="O50" s="73">
        <f t="shared" si="4"/>
        <v>3796.02</v>
      </c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3">
        <v>3255.24</v>
      </c>
      <c r="AB50" s="79">
        <f>ROUND(IF(L50&gt;79999.99,900,IF(L50&lt;10000.01,137.5,IF(10000&lt;L50&gt;80000,L50*2.5%))),2)</f>
        <v>1054.45</v>
      </c>
      <c r="AC50" s="79"/>
      <c r="AD50" s="79"/>
      <c r="AE50" s="79">
        <v>200</v>
      </c>
      <c r="AF50" s="79"/>
      <c r="AG50" s="79">
        <v>100</v>
      </c>
      <c r="AH50" s="79">
        <v>1336</v>
      </c>
      <c r="AI50" s="79"/>
      <c r="AJ50" s="79"/>
      <c r="AK50" s="73"/>
      <c r="AL50" s="79"/>
      <c r="AM50" s="79"/>
      <c r="AN50" s="79"/>
      <c r="AO50" s="73"/>
      <c r="AP50" s="73"/>
      <c r="AQ50" s="73"/>
      <c r="AR50" s="73"/>
      <c r="AS50" s="79"/>
      <c r="AT50" s="79"/>
      <c r="AU50" s="79"/>
      <c r="AV50" s="79"/>
      <c r="AW50" s="79"/>
      <c r="AX50" s="79"/>
      <c r="AY50" s="79"/>
      <c r="AZ50" s="74">
        <f t="shared" si="12"/>
        <v>9741.7099999999991</v>
      </c>
      <c r="BA50" s="75">
        <f t="shared" si="13"/>
        <v>34436.29</v>
      </c>
      <c r="BB50" s="75">
        <f t="shared" ref="BB50" si="15">ROUND(BA50/2,2)</f>
        <v>17218.150000000001</v>
      </c>
      <c r="BC50" s="75">
        <f t="shared" ref="BC50" si="16">BA50-BB50</f>
        <v>17218.14</v>
      </c>
      <c r="BD50" s="34"/>
      <c r="BI50" s="34">
        <v>0</v>
      </c>
    </row>
    <row r="51" spans="1:61" ht="14.25" customHeight="1" x14ac:dyDescent="0.35">
      <c r="A51" s="68">
        <f t="shared" si="2"/>
        <v>44</v>
      </c>
      <c r="B51" s="70" t="s">
        <v>295</v>
      </c>
      <c r="C51" s="70" t="s">
        <v>294</v>
      </c>
      <c r="D51" s="70" t="s">
        <v>224</v>
      </c>
      <c r="E51" s="70" t="s">
        <v>32</v>
      </c>
      <c r="F51" s="70" t="s">
        <v>16</v>
      </c>
      <c r="G51" s="70" t="s">
        <v>526</v>
      </c>
      <c r="H51" s="78">
        <v>35278</v>
      </c>
      <c r="I51" s="78">
        <v>35278</v>
      </c>
      <c r="J51" s="70">
        <v>8</v>
      </c>
      <c r="K51" s="70">
        <v>8</v>
      </c>
      <c r="L51" s="161">
        <f>IFERROR(VLOOKUP(J51, DATA!$A$4:$I$36, MATCH(K51, DATA!$B$3:$I$3, 0)+1, FALSE), "")</f>
        <v>23883</v>
      </c>
      <c r="M51" s="157">
        <v>2000</v>
      </c>
      <c r="N51" s="156">
        <f t="shared" si="3"/>
        <v>25883</v>
      </c>
      <c r="O51" s="73">
        <f t="shared" si="4"/>
        <v>2149.4699999999998</v>
      </c>
      <c r="P51" s="79">
        <v>100</v>
      </c>
      <c r="Q51" s="79">
        <v>1311.12</v>
      </c>
      <c r="R51" s="79"/>
      <c r="S51" s="79"/>
      <c r="T51" s="79"/>
      <c r="U51" s="79"/>
      <c r="V51" s="79">
        <v>4409.3900000000003</v>
      </c>
      <c r="W51" s="79"/>
      <c r="X51" s="79"/>
      <c r="Y51" s="79"/>
      <c r="Z51" s="79"/>
      <c r="AA51" s="73">
        <v>73.05</v>
      </c>
      <c r="AB51" s="73">
        <f>ROUND(IF(L51&gt;79999.99,900,IF(L51&lt;10000.01,137.5,IF(10000&lt;L51&gt;80000,L51*2.5%))),2)-0.01</f>
        <v>597.07000000000005</v>
      </c>
      <c r="AC51" s="79"/>
      <c r="AD51" s="79"/>
      <c r="AE51" s="73">
        <v>200</v>
      </c>
      <c r="AF51" s="79">
        <v>0</v>
      </c>
      <c r="AG51" s="79">
        <v>100</v>
      </c>
      <c r="AH51" s="79"/>
      <c r="AI51" s="79"/>
      <c r="AJ51" s="79"/>
      <c r="AK51" s="73"/>
      <c r="AL51" s="80">
        <v>100</v>
      </c>
      <c r="AM51" s="79"/>
      <c r="AN51" s="79"/>
      <c r="AO51" s="73"/>
      <c r="AP51" s="73"/>
      <c r="AQ51" s="73"/>
      <c r="AR51" s="73"/>
      <c r="AS51" s="79">
        <v>0</v>
      </c>
      <c r="AT51" s="79"/>
      <c r="AU51" s="79"/>
      <c r="AV51" s="79"/>
      <c r="AW51" s="79">
        <v>0</v>
      </c>
      <c r="AX51" s="79"/>
      <c r="AY51" s="79">
        <v>4703.82</v>
      </c>
      <c r="AZ51" s="74">
        <f t="shared" si="12"/>
        <v>13743.92</v>
      </c>
      <c r="BA51" s="75">
        <f t="shared" si="13"/>
        <v>12139.08</v>
      </c>
      <c r="BB51" s="75">
        <f t="shared" si="5"/>
        <v>6069.54</v>
      </c>
      <c r="BC51" s="75">
        <f t="shared" si="6"/>
        <v>6069.54</v>
      </c>
      <c r="BD51" s="34"/>
      <c r="BI51" s="34">
        <v>0</v>
      </c>
    </row>
    <row r="52" spans="1:61" ht="14.25" customHeight="1" x14ac:dyDescent="0.35">
      <c r="A52" s="68">
        <f t="shared" si="2"/>
        <v>45</v>
      </c>
      <c r="B52" s="70" t="s">
        <v>344</v>
      </c>
      <c r="C52" s="70" t="s">
        <v>343</v>
      </c>
      <c r="D52" s="70" t="s">
        <v>218</v>
      </c>
      <c r="E52" s="70" t="s">
        <v>83</v>
      </c>
      <c r="F52" s="70" t="s">
        <v>16</v>
      </c>
      <c r="G52" s="70" t="s">
        <v>527</v>
      </c>
      <c r="H52" s="78">
        <v>43549</v>
      </c>
      <c r="I52" s="78">
        <v>43549</v>
      </c>
      <c r="J52" s="70">
        <v>11</v>
      </c>
      <c r="K52" s="70">
        <v>3</v>
      </c>
      <c r="L52" s="161">
        <f>IFERROR(VLOOKUP(J52, DATA!$A$4:$I$36, MATCH(K52, DATA!$B$3:$I$3, 0)+1, FALSE), "")</f>
        <v>32109</v>
      </c>
      <c r="M52" s="157">
        <v>2000</v>
      </c>
      <c r="N52" s="156">
        <f t="shared" si="3"/>
        <v>34109</v>
      </c>
      <c r="O52" s="73">
        <f t="shared" si="4"/>
        <v>2889.81</v>
      </c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3">
        <v>1353.23</v>
      </c>
      <c r="AB52" s="79">
        <f>ROUND(IF(L52&gt;79999.99,900,IF(L52&lt;10000.01,137.5,IF(10000&lt;L52&gt;80000,L52*2.5%))),2)-0.01</f>
        <v>802.72</v>
      </c>
      <c r="AC52" s="79"/>
      <c r="AD52" s="79"/>
      <c r="AE52" s="73">
        <v>200</v>
      </c>
      <c r="AF52" s="79">
        <v>0</v>
      </c>
      <c r="AG52" s="79">
        <v>100</v>
      </c>
      <c r="AH52" s="79"/>
      <c r="AI52" s="79"/>
      <c r="AJ52" s="79"/>
      <c r="AK52" s="73"/>
      <c r="AL52" s="79"/>
      <c r="AM52" s="79"/>
      <c r="AN52" s="79"/>
      <c r="AO52" s="73"/>
      <c r="AP52" s="73"/>
      <c r="AQ52" s="73"/>
      <c r="AR52" s="73"/>
      <c r="AS52" s="79">
        <v>0</v>
      </c>
      <c r="AT52" s="79"/>
      <c r="AU52" s="79"/>
      <c r="AV52" s="79"/>
      <c r="AW52" s="79"/>
      <c r="AX52" s="79"/>
      <c r="AY52" s="79"/>
      <c r="AZ52" s="74">
        <f t="shared" si="12"/>
        <v>5345.76</v>
      </c>
      <c r="BA52" s="75">
        <f t="shared" si="13"/>
        <v>28763.24</v>
      </c>
      <c r="BB52" s="75">
        <f t="shared" si="5"/>
        <v>14381.62</v>
      </c>
      <c r="BC52" s="75">
        <f t="shared" si="6"/>
        <v>14381.62</v>
      </c>
      <c r="BD52" s="34"/>
      <c r="BI52" s="33"/>
    </row>
    <row r="53" spans="1:61" ht="14.25" customHeight="1" x14ac:dyDescent="0.35">
      <c r="A53" s="68">
        <f t="shared" si="2"/>
        <v>46</v>
      </c>
      <c r="B53" s="70" t="s">
        <v>469</v>
      </c>
      <c r="C53" s="70" t="s">
        <v>472</v>
      </c>
      <c r="D53" s="70" t="s">
        <v>470</v>
      </c>
      <c r="E53" s="70" t="s">
        <v>21</v>
      </c>
      <c r="F53" s="70" t="s">
        <v>22</v>
      </c>
      <c r="G53" s="70" t="s">
        <v>528</v>
      </c>
      <c r="H53" s="78">
        <v>45670</v>
      </c>
      <c r="I53" s="78">
        <v>45670</v>
      </c>
      <c r="J53" s="70">
        <v>15</v>
      </c>
      <c r="K53" s="70">
        <v>1</v>
      </c>
      <c r="L53" s="161">
        <f>IFERROR(VLOOKUP(J53, DATA!$A$4:$I$36, MATCH(K53, DATA!$B$3:$I$3, 0)+1, FALSE), "")</f>
        <v>42178</v>
      </c>
      <c r="M53" s="157">
        <v>2000</v>
      </c>
      <c r="N53" s="156">
        <f t="shared" si="3"/>
        <v>44178</v>
      </c>
      <c r="O53" s="73">
        <f t="shared" si="4"/>
        <v>3796.02</v>
      </c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3">
        <v>3263.12</v>
      </c>
      <c r="AB53" s="79">
        <f>ROUND(IF(L53&gt;79999.99,900,IF(L53&lt;10000.01,137.5,IF(10000&lt;L53&gt;80000,L53*2.5%))),2)</f>
        <v>1054.45</v>
      </c>
      <c r="AC53" s="79"/>
      <c r="AD53" s="79">
        <v>500</v>
      </c>
      <c r="AE53" s="73">
        <v>200</v>
      </c>
      <c r="AF53" s="79"/>
      <c r="AG53" s="79">
        <v>100</v>
      </c>
      <c r="AH53" s="79">
        <v>1336</v>
      </c>
      <c r="AI53" s="79"/>
      <c r="AJ53" s="79"/>
      <c r="AK53" s="73"/>
      <c r="AL53" s="79"/>
      <c r="AM53" s="79"/>
      <c r="AN53" s="79"/>
      <c r="AO53" s="73"/>
      <c r="AP53" s="73"/>
      <c r="AQ53" s="73"/>
      <c r="AR53" s="73"/>
      <c r="AS53" s="79"/>
      <c r="AT53" s="79"/>
      <c r="AU53" s="79">
        <v>23789.93</v>
      </c>
      <c r="AV53" s="79"/>
      <c r="AW53" s="79"/>
      <c r="AX53" s="79"/>
      <c r="AY53" s="79"/>
      <c r="AZ53" s="74">
        <f t="shared" si="12"/>
        <v>34039.519999999997</v>
      </c>
      <c r="BA53" s="75">
        <f t="shared" si="13"/>
        <v>10138.48</v>
      </c>
      <c r="BB53" s="75">
        <f t="shared" si="5"/>
        <v>5069.24</v>
      </c>
      <c r="BC53" s="75">
        <f t="shared" si="6"/>
        <v>5069.24</v>
      </c>
      <c r="BD53" s="34"/>
      <c r="BI53" s="33"/>
    </row>
    <row r="54" spans="1:61" ht="14.25" customHeight="1" x14ac:dyDescent="0.35">
      <c r="A54" s="68">
        <f t="shared" si="2"/>
        <v>47</v>
      </c>
      <c r="B54" s="70" t="s">
        <v>267</v>
      </c>
      <c r="C54" s="70" t="s">
        <v>278</v>
      </c>
      <c r="D54" s="70" t="s">
        <v>224</v>
      </c>
      <c r="E54" s="70" t="s">
        <v>442</v>
      </c>
      <c r="F54" s="70" t="s">
        <v>16</v>
      </c>
      <c r="G54" s="76" t="s">
        <v>529</v>
      </c>
      <c r="H54" s="77">
        <v>42348</v>
      </c>
      <c r="I54" s="77">
        <v>45384</v>
      </c>
      <c r="J54" s="76">
        <v>14</v>
      </c>
      <c r="K54" s="76">
        <v>1</v>
      </c>
      <c r="L54" s="161">
        <f>IFERROR(VLOOKUP(J54, DATA!$A$4:$I$36, MATCH(K54, DATA!$B$3:$I$3, 0)+1, FALSE), "")</f>
        <v>38764</v>
      </c>
      <c r="M54" s="157">
        <v>2000</v>
      </c>
      <c r="N54" s="156">
        <f t="shared" si="3"/>
        <v>40764</v>
      </c>
      <c r="O54" s="73">
        <f t="shared" si="4"/>
        <v>3488.76</v>
      </c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3">
        <v>2899.62</v>
      </c>
      <c r="AB54" s="73">
        <f>ROUND(IF(L54&gt;79999.99,900,IF(L54&lt;10000.01,137.5,IF(10000&lt;L54&gt;80000,L54*2.5%))),2)</f>
        <v>969.1</v>
      </c>
      <c r="AC54" s="79"/>
      <c r="AD54" s="79">
        <v>0</v>
      </c>
      <c r="AE54" s="73">
        <v>200</v>
      </c>
      <c r="AF54" s="79">
        <v>0</v>
      </c>
      <c r="AG54" s="79">
        <v>100</v>
      </c>
      <c r="AH54" s="79"/>
      <c r="AI54" s="79"/>
      <c r="AJ54" s="79"/>
      <c r="AK54" s="73"/>
      <c r="AL54" s="79"/>
      <c r="AM54" s="79"/>
      <c r="AN54" s="79"/>
      <c r="AO54" s="73"/>
      <c r="AP54" s="73"/>
      <c r="AQ54" s="73"/>
      <c r="AR54" s="73"/>
      <c r="AS54" s="79">
        <v>0</v>
      </c>
      <c r="AT54" s="79"/>
      <c r="AU54" s="79"/>
      <c r="AV54" s="79"/>
      <c r="AW54" s="79">
        <v>0</v>
      </c>
      <c r="AX54" s="79"/>
      <c r="AY54" s="79"/>
      <c r="AZ54" s="74">
        <f t="shared" si="12"/>
        <v>7657.48</v>
      </c>
      <c r="BA54" s="75">
        <f t="shared" si="13"/>
        <v>33106.519999999997</v>
      </c>
      <c r="BB54" s="75">
        <f t="shared" ref="BB54:BB92" si="17">ROUND(BA54/2,2)</f>
        <v>16553.259999999998</v>
      </c>
      <c r="BC54" s="75">
        <f t="shared" ref="BC54:BC92" si="18">BA54-BB54</f>
        <v>16553.259999999998</v>
      </c>
      <c r="BD54" s="34"/>
      <c r="BI54" s="34">
        <v>0</v>
      </c>
    </row>
    <row r="55" spans="1:61" ht="14.25" customHeight="1" x14ac:dyDescent="0.35">
      <c r="A55" s="68">
        <f t="shared" si="2"/>
        <v>48</v>
      </c>
      <c r="B55" s="70" t="s">
        <v>417</v>
      </c>
      <c r="C55" s="70" t="s">
        <v>418</v>
      </c>
      <c r="D55" s="70" t="s">
        <v>234</v>
      </c>
      <c r="E55" s="70" t="s">
        <v>60</v>
      </c>
      <c r="F55" s="70" t="s">
        <v>44</v>
      </c>
      <c r="G55" s="76" t="s">
        <v>530</v>
      </c>
      <c r="H55" s="77">
        <v>45040</v>
      </c>
      <c r="I55" s="77">
        <v>45040</v>
      </c>
      <c r="J55" s="76">
        <v>11</v>
      </c>
      <c r="K55" s="76">
        <v>1</v>
      </c>
      <c r="L55" s="161">
        <f>IFERROR(VLOOKUP(J55, DATA!$A$4:$I$36, MATCH(K55, DATA!$B$3:$I$3, 0)+1, FALSE), "")</f>
        <v>31705</v>
      </c>
      <c r="M55" s="157">
        <v>2000</v>
      </c>
      <c r="N55" s="156">
        <f t="shared" si="3"/>
        <v>33705</v>
      </c>
      <c r="O55" s="73">
        <f t="shared" si="4"/>
        <v>2853.45</v>
      </c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3">
        <v>1468.9</v>
      </c>
      <c r="AB55" s="79">
        <f>ROUND(IF(L55&gt;79999.99,900,IF(L55&lt;10000.01,137.5,IF(10000&lt;L55&gt;80000,L55*2.5%))),2)-0.01</f>
        <v>792.62</v>
      </c>
      <c r="AC55" s="79"/>
      <c r="AD55" s="79"/>
      <c r="AE55" s="73">
        <v>200</v>
      </c>
      <c r="AF55" s="79">
        <v>0</v>
      </c>
      <c r="AG55" s="79">
        <v>100</v>
      </c>
      <c r="AH55" s="79"/>
      <c r="AI55" s="79"/>
      <c r="AJ55" s="79"/>
      <c r="AK55" s="73"/>
      <c r="AL55" s="79"/>
      <c r="AM55" s="79"/>
      <c r="AN55" s="79"/>
      <c r="AO55" s="73"/>
      <c r="AP55" s="73"/>
      <c r="AQ55" s="73"/>
      <c r="AR55" s="73"/>
      <c r="AS55" s="79"/>
      <c r="AT55" s="79"/>
      <c r="AU55" s="79"/>
      <c r="AV55" s="79"/>
      <c r="AW55" s="79"/>
      <c r="AX55" s="79"/>
      <c r="AY55" s="79"/>
      <c r="AZ55" s="74">
        <f t="shared" si="12"/>
        <v>5414.97</v>
      </c>
      <c r="BA55" s="75">
        <f t="shared" si="13"/>
        <v>28290.03</v>
      </c>
      <c r="BB55" s="75">
        <f t="shared" si="17"/>
        <v>14145.02</v>
      </c>
      <c r="BC55" s="75">
        <f t="shared" si="18"/>
        <v>14145.009999999998</v>
      </c>
      <c r="BD55" s="34"/>
    </row>
    <row r="56" spans="1:61" ht="14.25" customHeight="1" x14ac:dyDescent="0.35">
      <c r="A56" s="68">
        <f t="shared" si="2"/>
        <v>49</v>
      </c>
      <c r="B56" s="70" t="s">
        <v>365</v>
      </c>
      <c r="C56" s="70" t="s">
        <v>366</v>
      </c>
      <c r="D56" s="70" t="s">
        <v>224</v>
      </c>
      <c r="E56" s="70" t="s">
        <v>41</v>
      </c>
      <c r="F56" s="70" t="s">
        <v>35</v>
      </c>
      <c r="G56" s="70" t="s">
        <v>531</v>
      </c>
      <c r="H56" s="78">
        <v>44228</v>
      </c>
      <c r="I56" s="78">
        <v>45607</v>
      </c>
      <c r="J56" s="70">
        <v>15</v>
      </c>
      <c r="K56" s="70">
        <v>1</v>
      </c>
      <c r="L56" s="161">
        <f>IFERROR(VLOOKUP(J56, DATA!$A$4:$I$36, MATCH(K56, DATA!$B$3:$I$3, 0)+1, FALSE), "")</f>
        <v>42178</v>
      </c>
      <c r="M56" s="157">
        <v>2000</v>
      </c>
      <c r="N56" s="156">
        <f t="shared" si="3"/>
        <v>44178</v>
      </c>
      <c r="O56" s="73">
        <f t="shared" si="4"/>
        <v>3796.02</v>
      </c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3">
        <v>3695.42</v>
      </c>
      <c r="AB56" s="79">
        <f>ROUND(IF(L56&gt;79999.99,900,IF(L56&lt;10000.01,137.5,IF(10000&lt;L56&gt;80000,L56*2.5%))),2)</f>
        <v>1054.45</v>
      </c>
      <c r="AC56" s="79"/>
      <c r="AD56" s="79"/>
      <c r="AE56" s="73">
        <v>200</v>
      </c>
      <c r="AF56" s="79">
        <v>0</v>
      </c>
      <c r="AG56" s="79">
        <v>100</v>
      </c>
      <c r="AH56" s="79"/>
      <c r="AI56" s="79"/>
      <c r="AJ56" s="79"/>
      <c r="AK56" s="73"/>
      <c r="AL56" s="79"/>
      <c r="AM56" s="79"/>
      <c r="AN56" s="79"/>
      <c r="AO56" s="73"/>
      <c r="AP56" s="73"/>
      <c r="AQ56" s="73"/>
      <c r="AR56" s="73"/>
      <c r="AS56" s="79">
        <v>0</v>
      </c>
      <c r="AT56" s="79"/>
      <c r="AU56" s="79"/>
      <c r="AV56" s="79"/>
      <c r="AW56" s="79"/>
      <c r="AX56" s="79"/>
      <c r="AY56" s="79"/>
      <c r="AZ56" s="74">
        <f t="shared" si="12"/>
        <v>8845.89</v>
      </c>
      <c r="BA56" s="75">
        <f t="shared" si="13"/>
        <v>35332.11</v>
      </c>
      <c r="BB56" s="75">
        <f t="shared" si="17"/>
        <v>17666.060000000001</v>
      </c>
      <c r="BC56" s="75">
        <f t="shared" si="18"/>
        <v>17666.05</v>
      </c>
      <c r="BD56" s="34"/>
    </row>
    <row r="57" spans="1:61" ht="14.25" customHeight="1" x14ac:dyDescent="0.35">
      <c r="A57" s="68">
        <f t="shared" si="2"/>
        <v>50</v>
      </c>
      <c r="B57" s="70" t="s">
        <v>375</v>
      </c>
      <c r="C57" s="70" t="s">
        <v>376</v>
      </c>
      <c r="D57" s="70" t="s">
        <v>217</v>
      </c>
      <c r="E57" s="70" t="s">
        <v>411</v>
      </c>
      <c r="F57" s="70" t="s">
        <v>22</v>
      </c>
      <c r="G57" s="70" t="s">
        <v>532</v>
      </c>
      <c r="H57" s="78">
        <v>44302</v>
      </c>
      <c r="I57" s="78">
        <v>44986</v>
      </c>
      <c r="J57" s="70">
        <v>15</v>
      </c>
      <c r="K57" s="70">
        <v>1</v>
      </c>
      <c r="L57" s="161">
        <f>IFERROR(VLOOKUP(J57, DATA!$A$4:$I$36, MATCH(K57, DATA!$B$3:$I$3, 0)+1, FALSE), "")</f>
        <v>42178</v>
      </c>
      <c r="M57" s="157">
        <v>2000</v>
      </c>
      <c r="N57" s="156">
        <f t="shared" si="3"/>
        <v>44178</v>
      </c>
      <c r="O57" s="73">
        <f t="shared" si="4"/>
        <v>3796.02</v>
      </c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3">
        <v>3695.42</v>
      </c>
      <c r="AB57" s="73">
        <f>ROUND(IF(L57&gt;79999.99,900,IF(L57&lt;10000.01,137.5,IF(10000&lt;L57&gt;80000,L57*2.5%))),2)</f>
        <v>1054.45</v>
      </c>
      <c r="AC57" s="79"/>
      <c r="AD57" s="79">
        <v>1000</v>
      </c>
      <c r="AE57" s="73">
        <v>200</v>
      </c>
      <c r="AF57" s="79">
        <v>0</v>
      </c>
      <c r="AG57" s="80">
        <v>100</v>
      </c>
      <c r="AH57" s="80"/>
      <c r="AI57" s="80"/>
      <c r="AJ57" s="80"/>
      <c r="AK57" s="73"/>
      <c r="AL57" s="79">
        <v>500</v>
      </c>
      <c r="AM57" s="79"/>
      <c r="AN57" s="79"/>
      <c r="AO57" s="73"/>
      <c r="AP57" s="73"/>
      <c r="AQ57" s="73"/>
      <c r="AR57" s="73"/>
      <c r="AS57" s="79">
        <v>0</v>
      </c>
      <c r="AT57" s="79"/>
      <c r="AU57" s="79">
        <v>11894.97</v>
      </c>
      <c r="AV57" s="79"/>
      <c r="AW57" s="79">
        <v>0</v>
      </c>
      <c r="AX57" s="79"/>
      <c r="AY57" s="79">
        <v>3907.63</v>
      </c>
      <c r="AZ57" s="74">
        <f t="shared" si="12"/>
        <v>26148.49</v>
      </c>
      <c r="BA57" s="75">
        <f t="shared" si="13"/>
        <v>18029.509999999998</v>
      </c>
      <c r="BB57" s="75">
        <f>ROUND(BA57/2,2)</f>
        <v>9014.76</v>
      </c>
      <c r="BC57" s="75">
        <f>BA57-BB57</f>
        <v>9014.7499999999982</v>
      </c>
      <c r="BD57" s="34"/>
      <c r="BI57" s="33"/>
    </row>
    <row r="58" spans="1:61" ht="14.25" customHeight="1" x14ac:dyDescent="0.35">
      <c r="A58" s="68">
        <f t="shared" si="2"/>
        <v>51</v>
      </c>
      <c r="B58" s="70" t="s">
        <v>394</v>
      </c>
      <c r="C58" s="70" t="s">
        <v>395</v>
      </c>
      <c r="D58" s="70" t="s">
        <v>325</v>
      </c>
      <c r="E58" s="70" t="s">
        <v>80</v>
      </c>
      <c r="F58" s="70" t="s">
        <v>35</v>
      </c>
      <c r="G58" s="70" t="s">
        <v>533</v>
      </c>
      <c r="H58" s="78">
        <v>44929</v>
      </c>
      <c r="I58" s="78">
        <v>44929</v>
      </c>
      <c r="J58" s="70">
        <v>11</v>
      </c>
      <c r="K58" s="70">
        <v>2</v>
      </c>
      <c r="L58" s="161">
        <f>IFERROR(VLOOKUP(J58, DATA!$A$4:$I$36, MATCH(K58, DATA!$B$3:$I$3, 0)+1, FALSE), "")</f>
        <v>31820</v>
      </c>
      <c r="M58" s="157">
        <v>2000</v>
      </c>
      <c r="N58" s="156">
        <f t="shared" si="3"/>
        <v>33820</v>
      </c>
      <c r="O58" s="73">
        <f t="shared" si="4"/>
        <v>2863.8</v>
      </c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3">
        <v>1468.9</v>
      </c>
      <c r="AB58" s="79">
        <f>ROUND(IF(L58&gt;79999.99,900,IF(L58&lt;10000.01,137.5,IF(10000&lt;L58&gt;80000,L58*2.5%))),2)-0.01</f>
        <v>795.49</v>
      </c>
      <c r="AC58" s="79"/>
      <c r="AD58" s="79">
        <v>500</v>
      </c>
      <c r="AE58" s="73">
        <v>200</v>
      </c>
      <c r="AF58" s="79">
        <v>0</v>
      </c>
      <c r="AG58" s="80">
        <v>100</v>
      </c>
      <c r="AH58" s="80"/>
      <c r="AI58" s="80"/>
      <c r="AJ58" s="79"/>
      <c r="AK58" s="73"/>
      <c r="AL58" s="79"/>
      <c r="AM58" s="79"/>
      <c r="AN58" s="79"/>
      <c r="AO58" s="73"/>
      <c r="AP58" s="73"/>
      <c r="AQ58" s="73"/>
      <c r="AR58" s="73"/>
      <c r="AS58" s="79">
        <v>0</v>
      </c>
      <c r="AT58" s="79"/>
      <c r="AU58" s="79"/>
      <c r="AV58" s="79"/>
      <c r="AW58" s="79"/>
      <c r="AX58" s="79"/>
      <c r="AY58" s="79"/>
      <c r="AZ58" s="74">
        <f t="shared" si="12"/>
        <v>5928.19</v>
      </c>
      <c r="BA58" s="75">
        <f t="shared" si="13"/>
        <v>27891.81</v>
      </c>
      <c r="BB58" s="75">
        <f>ROUND(BA58/2,2)</f>
        <v>13945.91</v>
      </c>
      <c r="BC58" s="75">
        <f>BA58-BB58</f>
        <v>13945.900000000001</v>
      </c>
      <c r="BD58" s="34"/>
      <c r="BI58" s="33"/>
    </row>
    <row r="59" spans="1:61" ht="14.25" customHeight="1" x14ac:dyDescent="0.35">
      <c r="A59" s="68">
        <f t="shared" si="2"/>
        <v>52</v>
      </c>
      <c r="B59" s="70" t="s">
        <v>252</v>
      </c>
      <c r="C59" s="70" t="s">
        <v>250</v>
      </c>
      <c r="D59" s="70" t="s">
        <v>251</v>
      </c>
      <c r="E59" s="70" t="s">
        <v>109</v>
      </c>
      <c r="F59" s="70" t="s">
        <v>19</v>
      </c>
      <c r="G59" s="70" t="s">
        <v>534</v>
      </c>
      <c r="H59" s="78">
        <v>43468</v>
      </c>
      <c r="I59" s="78">
        <v>45607</v>
      </c>
      <c r="J59" s="70">
        <v>14</v>
      </c>
      <c r="K59" s="70">
        <v>1</v>
      </c>
      <c r="L59" s="161">
        <f>IFERROR(VLOOKUP(J59, DATA!$A$4:$I$36, MATCH(K59, DATA!$B$3:$I$3, 0)+1, FALSE), "")</f>
        <v>38764</v>
      </c>
      <c r="M59" s="157">
        <v>2000</v>
      </c>
      <c r="N59" s="156">
        <f t="shared" si="3"/>
        <v>40764</v>
      </c>
      <c r="O59" s="73">
        <f t="shared" si="4"/>
        <v>3488.76</v>
      </c>
      <c r="P59" s="79"/>
      <c r="Q59" s="79"/>
      <c r="R59" s="79"/>
      <c r="S59" s="86"/>
      <c r="T59" s="79"/>
      <c r="U59" s="79"/>
      <c r="V59" s="79"/>
      <c r="W59" s="79"/>
      <c r="X59" s="79"/>
      <c r="Y59" s="79"/>
      <c r="Z59" s="79"/>
      <c r="AA59" s="73">
        <v>2899.62</v>
      </c>
      <c r="AB59" s="79">
        <f>ROUND(IF(L59&gt;79999.99,900,IF(L59&lt;10000.01,137.5,IF(10000&lt;L59&gt;80000,L59*2.5%))),2)</f>
        <v>969.1</v>
      </c>
      <c r="AC59" s="79"/>
      <c r="AD59" s="79">
        <v>2000</v>
      </c>
      <c r="AE59" s="73">
        <v>200</v>
      </c>
      <c r="AF59" s="79">
        <v>0</v>
      </c>
      <c r="AG59" s="79">
        <v>100</v>
      </c>
      <c r="AH59" s="79"/>
      <c r="AI59" s="79"/>
      <c r="AJ59" s="79"/>
      <c r="AK59" s="73"/>
      <c r="AL59" s="79"/>
      <c r="AM59" s="79"/>
      <c r="AN59" s="79"/>
      <c r="AO59" s="73"/>
      <c r="AP59" s="73"/>
      <c r="AQ59" s="73"/>
      <c r="AR59" s="73"/>
      <c r="AS59" s="79">
        <v>0</v>
      </c>
      <c r="AT59" s="79"/>
      <c r="AU59" s="79"/>
      <c r="AV59" s="79"/>
      <c r="AW59" s="79">
        <v>0</v>
      </c>
      <c r="AX59" s="79"/>
      <c r="AY59" s="79">
        <v>5518.69</v>
      </c>
      <c r="AZ59" s="74">
        <f t="shared" si="12"/>
        <v>15176.17</v>
      </c>
      <c r="BA59" s="75">
        <f t="shared" si="13"/>
        <v>25587.83</v>
      </c>
      <c r="BB59" s="75">
        <f t="shared" si="17"/>
        <v>12793.92</v>
      </c>
      <c r="BC59" s="75">
        <f t="shared" si="18"/>
        <v>12793.910000000002</v>
      </c>
      <c r="BD59" s="34"/>
      <c r="BI59" s="34">
        <v>0</v>
      </c>
    </row>
    <row r="60" spans="1:61" ht="14.25" customHeight="1" x14ac:dyDescent="0.35">
      <c r="A60" s="68">
        <f t="shared" si="2"/>
        <v>53</v>
      </c>
      <c r="B60" s="70" t="s">
        <v>302</v>
      </c>
      <c r="C60" s="70" t="s">
        <v>323</v>
      </c>
      <c r="D60" s="70" t="s">
        <v>212</v>
      </c>
      <c r="E60" s="70" t="s">
        <v>163</v>
      </c>
      <c r="F60" s="70" t="s">
        <v>35</v>
      </c>
      <c r="G60" s="70" t="s">
        <v>535</v>
      </c>
      <c r="H60" s="78">
        <v>42242</v>
      </c>
      <c r="I60" s="78">
        <v>45033</v>
      </c>
      <c r="J60" s="70">
        <v>22</v>
      </c>
      <c r="K60" s="70">
        <v>1</v>
      </c>
      <c r="L60" s="161">
        <f>IFERROR(VLOOKUP(J60, DATA!$A$4:$I$36, MATCH(K60, DATA!$B$3:$I$3, 0)+1, FALSE), "")</f>
        <v>81796</v>
      </c>
      <c r="M60" s="157">
        <v>2000</v>
      </c>
      <c r="N60" s="156">
        <f t="shared" si="3"/>
        <v>83796</v>
      </c>
      <c r="O60" s="73">
        <f t="shared" si="4"/>
        <v>7361.64</v>
      </c>
      <c r="P60" s="79"/>
      <c r="Q60" s="86"/>
      <c r="R60" s="79"/>
      <c r="S60" s="79"/>
      <c r="T60" s="79"/>
      <c r="U60" s="79"/>
      <c r="V60" s="79">
        <v>10776.86</v>
      </c>
      <c r="W60" s="79"/>
      <c r="X60" s="79"/>
      <c r="Y60" s="79">
        <v>9634.44</v>
      </c>
      <c r="Z60" s="79"/>
      <c r="AA60" s="73">
        <v>13765.43</v>
      </c>
      <c r="AB60" s="73">
        <f>L60*2.5%</f>
        <v>2044.9</v>
      </c>
      <c r="AC60" s="79"/>
      <c r="AD60" s="79"/>
      <c r="AE60" s="79">
        <v>500</v>
      </c>
      <c r="AF60" s="79"/>
      <c r="AG60" s="79">
        <v>100</v>
      </c>
      <c r="AH60" s="79"/>
      <c r="AI60" s="79"/>
      <c r="AJ60" s="79"/>
      <c r="AK60" s="73"/>
      <c r="AL60" s="79"/>
      <c r="AM60" s="79"/>
      <c r="AN60" s="79"/>
      <c r="AO60" s="73"/>
      <c r="AP60" s="73"/>
      <c r="AQ60" s="73"/>
      <c r="AR60" s="73"/>
      <c r="AS60" s="79">
        <v>444.21</v>
      </c>
      <c r="AT60" s="79">
        <v>8638.9599999999991</v>
      </c>
      <c r="AU60" s="79"/>
      <c r="AV60" s="79"/>
      <c r="AW60" s="79">
        <v>0</v>
      </c>
      <c r="AX60" s="79"/>
      <c r="AY60" s="79">
        <v>5204.88</v>
      </c>
      <c r="AZ60" s="74">
        <f t="shared" si="12"/>
        <v>58471.32</v>
      </c>
      <c r="BA60" s="75">
        <f t="shared" si="13"/>
        <v>25324.68</v>
      </c>
      <c r="BB60" s="75">
        <f t="shared" si="17"/>
        <v>12662.34</v>
      </c>
      <c r="BC60" s="75">
        <f t="shared" si="18"/>
        <v>12662.34</v>
      </c>
      <c r="BD60" s="34"/>
      <c r="BI60" s="34">
        <v>1847.2222222222222</v>
      </c>
    </row>
    <row r="61" spans="1:61" ht="14.25" customHeight="1" x14ac:dyDescent="0.35">
      <c r="A61" s="68">
        <f t="shared" si="2"/>
        <v>54</v>
      </c>
      <c r="B61" s="70" t="s">
        <v>427</v>
      </c>
      <c r="C61" s="70" t="s">
        <v>315</v>
      </c>
      <c r="D61" s="70" t="s">
        <v>271</v>
      </c>
      <c r="E61" s="70" t="s">
        <v>83</v>
      </c>
      <c r="F61" s="70" t="s">
        <v>22</v>
      </c>
      <c r="G61" s="70" t="s">
        <v>536</v>
      </c>
      <c r="H61" s="78">
        <v>43468</v>
      </c>
      <c r="I61" s="78">
        <v>43468</v>
      </c>
      <c r="J61" s="70">
        <v>11</v>
      </c>
      <c r="K61" s="70">
        <v>3</v>
      </c>
      <c r="L61" s="161">
        <f>IFERROR(VLOOKUP(J61, DATA!$A$4:$I$36, MATCH(K61, DATA!$B$3:$I$3, 0)+1, FALSE), "")</f>
        <v>32109</v>
      </c>
      <c r="M61" s="157">
        <v>2000</v>
      </c>
      <c r="N61" s="156">
        <f t="shared" si="3"/>
        <v>34109</v>
      </c>
      <c r="O61" s="73">
        <f t="shared" si="4"/>
        <v>2889.81</v>
      </c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3">
        <v>1537.23</v>
      </c>
      <c r="AB61" s="79">
        <f>ROUND(IF(L61&gt;79999.99,900,IF(L61&lt;10000.01,137.5,IF(10000&lt;L61&gt;80000,L61*2.5%))),2)-0.01</f>
        <v>802.72</v>
      </c>
      <c r="AC61" s="79"/>
      <c r="AD61" s="79">
        <v>1500</v>
      </c>
      <c r="AE61" s="73">
        <v>200</v>
      </c>
      <c r="AF61" s="79">
        <v>0</v>
      </c>
      <c r="AG61" s="79">
        <v>100</v>
      </c>
      <c r="AH61" s="79"/>
      <c r="AI61" s="79"/>
      <c r="AJ61" s="79"/>
      <c r="AK61" s="73"/>
      <c r="AL61" s="79">
        <v>300</v>
      </c>
      <c r="AM61" s="79"/>
      <c r="AN61" s="79">
        <v>2000</v>
      </c>
      <c r="AO61" s="73">
        <v>527.29999999999995</v>
      </c>
      <c r="AP61" s="73">
        <v>496.79</v>
      </c>
      <c r="AQ61" s="87"/>
      <c r="AR61" s="87"/>
      <c r="AS61" s="79">
        <v>0</v>
      </c>
      <c r="AT61" s="79"/>
      <c r="AU61" s="79"/>
      <c r="AV61" s="79"/>
      <c r="AW61" s="79"/>
      <c r="AX61" s="79"/>
      <c r="AY61" s="79">
        <v>5656.36</v>
      </c>
      <c r="AZ61" s="74">
        <f t="shared" si="12"/>
        <v>16010.21</v>
      </c>
      <c r="BA61" s="75">
        <f t="shared" si="13"/>
        <v>18098.79</v>
      </c>
      <c r="BB61" s="75">
        <f>ROUND(BA61/2,2)</f>
        <v>9049.4</v>
      </c>
      <c r="BC61" s="75">
        <f>BA61-BB61</f>
        <v>9049.3900000000012</v>
      </c>
      <c r="BD61" s="34"/>
      <c r="BI61" s="33">
        <v>0</v>
      </c>
    </row>
    <row r="62" spans="1:61" ht="14.25" customHeight="1" x14ac:dyDescent="0.35">
      <c r="A62" s="68">
        <f t="shared" si="2"/>
        <v>55</v>
      </c>
      <c r="B62" s="70" t="s">
        <v>307</v>
      </c>
      <c r="C62" s="70" t="s">
        <v>306</v>
      </c>
      <c r="D62" s="70" t="s">
        <v>212</v>
      </c>
      <c r="E62" s="70" t="s">
        <v>38</v>
      </c>
      <c r="F62" s="70" t="s">
        <v>19</v>
      </c>
      <c r="G62" s="70" t="s">
        <v>537</v>
      </c>
      <c r="H62" s="78">
        <v>38243</v>
      </c>
      <c r="I62" s="78">
        <v>38243</v>
      </c>
      <c r="J62" s="70">
        <v>4</v>
      </c>
      <c r="K62" s="70">
        <v>8</v>
      </c>
      <c r="L62" s="161">
        <f>IFERROR(VLOOKUP(J62, DATA!$A$4:$I$36, MATCH(K62, DATA!$B$3:$I$3, 0)+1, FALSE), "")</f>
        <v>18433</v>
      </c>
      <c r="M62" s="157">
        <v>2000</v>
      </c>
      <c r="N62" s="156">
        <f t="shared" si="3"/>
        <v>20433</v>
      </c>
      <c r="O62" s="73">
        <f t="shared" si="4"/>
        <v>1658.97</v>
      </c>
      <c r="P62" s="79">
        <v>448</v>
      </c>
      <c r="Q62" s="79">
        <v>655.56</v>
      </c>
      <c r="R62" s="79"/>
      <c r="S62" s="79"/>
      <c r="T62" s="79"/>
      <c r="U62" s="79"/>
      <c r="V62" s="79">
        <v>2938.61</v>
      </c>
      <c r="W62" s="79"/>
      <c r="X62" s="79"/>
      <c r="Y62" s="79">
        <v>3853.78</v>
      </c>
      <c r="Z62" s="79"/>
      <c r="AA62" s="73">
        <v>0</v>
      </c>
      <c r="AB62" s="79">
        <f>ROUND(IF(L62&gt;79999.99,900,IF(L62&lt;10000.01,137.5,IF(10000&lt;L62&gt;80000,L62*2.5%))),2)-0.01</f>
        <v>460.82</v>
      </c>
      <c r="AC62" s="79"/>
      <c r="AD62" s="81"/>
      <c r="AE62" s="79">
        <v>600</v>
      </c>
      <c r="AF62" s="79">
        <v>0</v>
      </c>
      <c r="AG62" s="79">
        <v>100</v>
      </c>
      <c r="AH62" s="79"/>
      <c r="AI62" s="79"/>
      <c r="AJ62" s="79"/>
      <c r="AK62" s="73"/>
      <c r="AL62" s="80"/>
      <c r="AM62" s="79"/>
      <c r="AN62" s="79"/>
      <c r="AO62" s="73"/>
      <c r="AP62" s="73"/>
      <c r="AQ62" s="73"/>
      <c r="AR62" s="73"/>
      <c r="AS62" s="79">
        <v>0</v>
      </c>
      <c r="AT62" s="79"/>
      <c r="AU62" s="79"/>
      <c r="AV62" s="79"/>
      <c r="AW62" s="79">
        <v>200</v>
      </c>
      <c r="AX62" s="79"/>
      <c r="AY62" s="79">
        <v>1000</v>
      </c>
      <c r="AZ62" s="74">
        <f t="shared" si="12"/>
        <v>11915.74</v>
      </c>
      <c r="BA62" s="75">
        <f t="shared" si="13"/>
        <v>8517.26</v>
      </c>
      <c r="BB62" s="75">
        <f>ROUND(BA62/2,2)</f>
        <v>4258.63</v>
      </c>
      <c r="BC62" s="75">
        <f t="shared" si="18"/>
        <v>4258.63</v>
      </c>
      <c r="BD62" s="34"/>
      <c r="BI62" s="34">
        <v>0</v>
      </c>
    </row>
    <row r="63" spans="1:61" ht="14.25" customHeight="1" x14ac:dyDescent="0.35">
      <c r="A63" s="68">
        <f t="shared" si="2"/>
        <v>56</v>
      </c>
      <c r="B63" s="70" t="s">
        <v>345</v>
      </c>
      <c r="C63" s="70" t="s">
        <v>351</v>
      </c>
      <c r="D63" s="70" t="s">
        <v>215</v>
      </c>
      <c r="E63" s="70" t="s">
        <v>27</v>
      </c>
      <c r="F63" s="70" t="s">
        <v>44</v>
      </c>
      <c r="G63" s="70" t="s">
        <v>538</v>
      </c>
      <c r="H63" s="78">
        <v>42348</v>
      </c>
      <c r="I63" s="78">
        <v>42348</v>
      </c>
      <c r="J63" s="70">
        <v>15</v>
      </c>
      <c r="K63" s="70">
        <v>4</v>
      </c>
      <c r="L63" s="161">
        <f>IFERROR(VLOOKUP(J63, DATA!$A$4:$I$36, MATCH(K63, DATA!$B$3:$I$3, 0)+1, FALSE), "")</f>
        <v>43442</v>
      </c>
      <c r="M63" s="157">
        <v>2000</v>
      </c>
      <c r="N63" s="156">
        <f t="shared" si="3"/>
        <v>45442</v>
      </c>
      <c r="O63" s="73">
        <f t="shared" si="4"/>
        <v>3909.78</v>
      </c>
      <c r="P63" s="79"/>
      <c r="Q63" s="79"/>
      <c r="R63" s="79"/>
      <c r="S63" s="86"/>
      <c r="T63" s="79"/>
      <c r="U63" s="79"/>
      <c r="V63" s="79"/>
      <c r="W63" s="79"/>
      <c r="X63" s="79"/>
      <c r="Y63" s="79"/>
      <c r="Z63" s="79"/>
      <c r="AA63" s="73">
        <v>3998.79</v>
      </c>
      <c r="AB63" s="79">
        <f>ROUND(IF(L63&gt;79999.99,900,IF(L63&lt;10000.01,137.5,IF(10000&lt;L63&gt;80000,L63*2.5%))),2)</f>
        <v>1086.05</v>
      </c>
      <c r="AC63" s="79"/>
      <c r="AD63" s="81">
        <v>2000</v>
      </c>
      <c r="AE63" s="79">
        <v>500</v>
      </c>
      <c r="AF63" s="79">
        <v>0</v>
      </c>
      <c r="AG63" s="79">
        <v>100</v>
      </c>
      <c r="AH63" s="79"/>
      <c r="AI63" s="79"/>
      <c r="AJ63" s="79"/>
      <c r="AK63" s="73"/>
      <c r="AL63" s="79"/>
      <c r="AM63" s="79"/>
      <c r="AN63" s="79"/>
      <c r="AO63" s="73"/>
      <c r="AP63" s="73"/>
      <c r="AQ63" s="73"/>
      <c r="AR63" s="73"/>
      <c r="AS63" s="79">
        <v>1390.43</v>
      </c>
      <c r="AT63" s="79"/>
      <c r="AU63" s="79"/>
      <c r="AV63" s="79"/>
      <c r="AW63" s="79">
        <v>0</v>
      </c>
      <c r="AX63" s="79"/>
      <c r="AY63" s="79">
        <v>8347.2199999999993</v>
      </c>
      <c r="AZ63" s="74">
        <f t="shared" si="12"/>
        <v>21332.27</v>
      </c>
      <c r="BA63" s="75">
        <f t="shared" si="13"/>
        <v>24109.73</v>
      </c>
      <c r="BB63" s="75">
        <f t="shared" si="17"/>
        <v>12054.87</v>
      </c>
      <c r="BC63" s="75">
        <f t="shared" si="18"/>
        <v>12054.859999999999</v>
      </c>
      <c r="BD63" s="34"/>
      <c r="BI63" s="34">
        <v>1008.5788888888887</v>
      </c>
    </row>
    <row r="64" spans="1:61" ht="14.25" customHeight="1" x14ac:dyDescent="0.35">
      <c r="A64" s="68">
        <f t="shared" si="2"/>
        <v>57</v>
      </c>
      <c r="B64" s="70" t="s">
        <v>293</v>
      </c>
      <c r="C64" s="70" t="s">
        <v>355</v>
      </c>
      <c r="D64" s="70" t="s">
        <v>219</v>
      </c>
      <c r="E64" s="70" t="s">
        <v>131</v>
      </c>
      <c r="F64" s="70" t="s">
        <v>16</v>
      </c>
      <c r="G64" s="70" t="s">
        <v>539</v>
      </c>
      <c r="H64" s="78">
        <v>35800</v>
      </c>
      <c r="I64" s="78">
        <v>42201</v>
      </c>
      <c r="J64" s="70">
        <v>22</v>
      </c>
      <c r="K64" s="70">
        <v>4</v>
      </c>
      <c r="L64" s="161">
        <f>IFERROR(VLOOKUP(J64, DATA!$A$4:$I$36, MATCH(K64, DATA!$B$3:$I$3, 0)+1, FALSE), "")</f>
        <v>85356</v>
      </c>
      <c r="M64" s="157">
        <v>2000</v>
      </c>
      <c r="N64" s="156">
        <f t="shared" si="3"/>
        <v>87356</v>
      </c>
      <c r="O64" s="73">
        <f t="shared" si="4"/>
        <v>7682.04</v>
      </c>
      <c r="P64" s="79"/>
      <c r="Q64" s="79"/>
      <c r="R64" s="79"/>
      <c r="S64" s="79"/>
      <c r="T64" s="79"/>
      <c r="U64" s="79"/>
      <c r="V64" s="79">
        <v>17250.45</v>
      </c>
      <c r="W64" s="79"/>
      <c r="X64" s="79"/>
      <c r="Y64" s="79"/>
      <c r="Z64" s="79"/>
      <c r="AA64" s="73">
        <v>14797.18</v>
      </c>
      <c r="AB64" s="79">
        <f>L64*2.5%</f>
        <v>2133.9</v>
      </c>
      <c r="AC64" s="79"/>
      <c r="AD64" s="79">
        <v>1000</v>
      </c>
      <c r="AE64" s="79">
        <v>600</v>
      </c>
      <c r="AF64" s="79">
        <v>200</v>
      </c>
      <c r="AG64" s="80">
        <v>100</v>
      </c>
      <c r="AH64" s="79"/>
      <c r="AI64" s="79"/>
      <c r="AJ64" s="79"/>
      <c r="AK64" s="73"/>
      <c r="AL64" s="79">
        <v>100</v>
      </c>
      <c r="AM64" s="79"/>
      <c r="AN64" s="79"/>
      <c r="AO64" s="73"/>
      <c r="AP64" s="73"/>
      <c r="AQ64" s="73"/>
      <c r="AR64" s="73"/>
      <c r="AS64" s="79">
        <v>1000</v>
      </c>
      <c r="AT64" s="79"/>
      <c r="AU64" s="79"/>
      <c r="AV64" s="79"/>
      <c r="AW64" s="79">
        <v>0</v>
      </c>
      <c r="AX64" s="79"/>
      <c r="AY64" s="79"/>
      <c r="AZ64" s="74">
        <f t="shared" si="12"/>
        <v>44863.57</v>
      </c>
      <c r="BA64" s="75">
        <f t="shared" si="13"/>
        <v>42492.43</v>
      </c>
      <c r="BB64" s="75">
        <f t="shared" si="17"/>
        <v>21246.22</v>
      </c>
      <c r="BC64" s="75">
        <f t="shared" si="18"/>
        <v>21246.21</v>
      </c>
      <c r="BD64" s="34"/>
      <c r="BI64" s="34">
        <v>1000</v>
      </c>
    </row>
    <row r="65" spans="1:61" ht="14.25" customHeight="1" x14ac:dyDescent="0.35">
      <c r="A65" s="68">
        <f t="shared" si="2"/>
        <v>58</v>
      </c>
      <c r="B65" s="70" t="s">
        <v>385</v>
      </c>
      <c r="C65" s="70" t="s">
        <v>386</v>
      </c>
      <c r="D65" s="70" t="s">
        <v>221</v>
      </c>
      <c r="E65" s="70" t="s">
        <v>27</v>
      </c>
      <c r="F65" s="70" t="s">
        <v>22</v>
      </c>
      <c r="G65" s="70" t="s">
        <v>540</v>
      </c>
      <c r="H65" s="78">
        <v>44516</v>
      </c>
      <c r="I65" s="78">
        <v>44516</v>
      </c>
      <c r="J65" s="70">
        <v>15</v>
      </c>
      <c r="K65" s="70">
        <v>2</v>
      </c>
      <c r="L65" s="161">
        <f>IFERROR(VLOOKUP(J65, DATA!$A$4:$I$36, MATCH(K65, DATA!$B$3:$I$3, 0)+1, FALSE), "")</f>
        <v>42594</v>
      </c>
      <c r="M65" s="157">
        <v>2000</v>
      </c>
      <c r="N65" s="156">
        <f t="shared" si="3"/>
        <v>44594</v>
      </c>
      <c r="O65" s="73">
        <f t="shared" si="4"/>
        <v>3833.46</v>
      </c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3">
        <v>3791.96</v>
      </c>
      <c r="AB65" s="73">
        <f>ROUND(IF(L65&gt;79999.99,900,IF(L65&lt;10000.01,137.5,IF(10000&lt;L65&gt;80000,L65*2.5%))),2)</f>
        <v>1064.8499999999999</v>
      </c>
      <c r="AC65" s="79"/>
      <c r="AD65" s="79"/>
      <c r="AE65" s="73">
        <v>200</v>
      </c>
      <c r="AF65" s="79">
        <v>0</v>
      </c>
      <c r="AG65" s="80">
        <v>100</v>
      </c>
      <c r="AH65" s="79"/>
      <c r="AI65" s="79"/>
      <c r="AJ65" s="79"/>
      <c r="AK65" s="73"/>
      <c r="AL65" s="79"/>
      <c r="AM65" s="79"/>
      <c r="AN65" s="79">
        <v>2000</v>
      </c>
      <c r="AO65" s="73">
        <v>922.78</v>
      </c>
      <c r="AP65" s="73">
        <v>1408.7</v>
      </c>
      <c r="AQ65" s="79"/>
      <c r="AR65" s="79"/>
      <c r="AS65" s="79">
        <v>0</v>
      </c>
      <c r="AT65" s="79"/>
      <c r="AU65" s="79"/>
      <c r="AV65" s="79"/>
      <c r="AW65" s="79"/>
      <c r="AX65" s="73"/>
      <c r="AY65" s="73"/>
      <c r="AZ65" s="74">
        <f t="shared" si="12"/>
        <v>13321.75</v>
      </c>
      <c r="BA65" s="75">
        <f t="shared" si="13"/>
        <v>31272.25</v>
      </c>
      <c r="BB65" s="75">
        <f t="shared" si="17"/>
        <v>15636.13</v>
      </c>
      <c r="BC65" s="75">
        <f t="shared" si="18"/>
        <v>15636.12</v>
      </c>
      <c r="BD65" s="34"/>
      <c r="BI65" s="33"/>
    </row>
    <row r="66" spans="1:61" ht="14.25" customHeight="1" x14ac:dyDescent="0.35">
      <c r="A66" s="68">
        <f t="shared" si="2"/>
        <v>59</v>
      </c>
      <c r="B66" s="70" t="s">
        <v>259</v>
      </c>
      <c r="C66" s="70" t="s">
        <v>377</v>
      </c>
      <c r="D66" s="70" t="s">
        <v>213</v>
      </c>
      <c r="E66" s="70" t="s">
        <v>60</v>
      </c>
      <c r="F66" s="70" t="s">
        <v>44</v>
      </c>
      <c r="G66" s="70" t="s">
        <v>541</v>
      </c>
      <c r="H66" s="78">
        <v>44291</v>
      </c>
      <c r="I66" s="78">
        <v>44291</v>
      </c>
      <c r="J66" s="70">
        <v>11</v>
      </c>
      <c r="K66" s="70">
        <v>2</v>
      </c>
      <c r="L66" s="161">
        <f>IFERROR(VLOOKUP(J66, DATA!$A$4:$I$36, MATCH(K66, DATA!$B$3:$I$3, 0)+1, FALSE), "")</f>
        <v>31820</v>
      </c>
      <c r="M66" s="157">
        <v>2000</v>
      </c>
      <c r="N66" s="156">
        <f t="shared" si="3"/>
        <v>33820</v>
      </c>
      <c r="O66" s="73">
        <f t="shared" si="4"/>
        <v>2863.8</v>
      </c>
      <c r="P66" s="79"/>
      <c r="Q66" s="79">
        <v>655.56</v>
      </c>
      <c r="R66" s="79"/>
      <c r="S66" s="79"/>
      <c r="T66" s="79"/>
      <c r="U66" s="79"/>
      <c r="V66" s="79">
        <v>3993.44</v>
      </c>
      <c r="W66" s="79"/>
      <c r="X66" s="79">
        <v>1966.67</v>
      </c>
      <c r="Y66" s="79"/>
      <c r="Z66" s="79"/>
      <c r="AA66" s="73">
        <v>1481.83</v>
      </c>
      <c r="AB66" s="79">
        <f>ROUND(IF(L66&gt;79999.99,900,IF(L66&lt;10000.01,137.5,IF(10000&lt;L66&gt;80000,L66*2.5%))),2)</f>
        <v>795.5</v>
      </c>
      <c r="AC66" s="79"/>
      <c r="AD66" s="79">
        <v>1000</v>
      </c>
      <c r="AE66" s="73">
        <v>200</v>
      </c>
      <c r="AF66" s="79">
        <v>0</v>
      </c>
      <c r="AG66" s="79">
        <v>100</v>
      </c>
      <c r="AH66" s="79"/>
      <c r="AI66" s="79"/>
      <c r="AJ66" s="79"/>
      <c r="AK66" s="73"/>
      <c r="AL66" s="79"/>
      <c r="AM66" s="79"/>
      <c r="AN66" s="79"/>
      <c r="AO66" s="73"/>
      <c r="AP66" s="73"/>
      <c r="AQ66" s="73"/>
      <c r="AR66" s="73"/>
      <c r="AS66" s="79">
        <v>0</v>
      </c>
      <c r="AT66" s="79"/>
      <c r="AU66" s="79"/>
      <c r="AV66" s="79"/>
      <c r="AW66" s="79">
        <v>0</v>
      </c>
      <c r="AX66" s="79"/>
      <c r="AY66" s="79">
        <v>5248.26</v>
      </c>
      <c r="AZ66" s="74">
        <f t="shared" si="12"/>
        <v>18305.060000000001</v>
      </c>
      <c r="BA66" s="75">
        <f t="shared" si="13"/>
        <v>15514.94</v>
      </c>
      <c r="BB66" s="75">
        <f t="shared" si="17"/>
        <v>7757.47</v>
      </c>
      <c r="BC66" s="75">
        <f t="shared" si="18"/>
        <v>7757.47</v>
      </c>
      <c r="BD66" s="34"/>
      <c r="BI66" s="33"/>
    </row>
    <row r="67" spans="1:61" ht="14.25" customHeight="1" x14ac:dyDescent="0.35">
      <c r="A67" s="68">
        <f t="shared" si="2"/>
        <v>60</v>
      </c>
      <c r="B67" s="70" t="s">
        <v>259</v>
      </c>
      <c r="C67" s="70" t="s">
        <v>257</v>
      </c>
      <c r="D67" s="70" t="s">
        <v>258</v>
      </c>
      <c r="E67" s="70" t="s">
        <v>125</v>
      </c>
      <c r="F67" s="70" t="s">
        <v>19</v>
      </c>
      <c r="G67" s="70" t="s">
        <v>542</v>
      </c>
      <c r="H67" s="78">
        <v>32470</v>
      </c>
      <c r="I67" s="78">
        <v>32470</v>
      </c>
      <c r="J67" s="70">
        <v>6</v>
      </c>
      <c r="K67" s="70">
        <v>8</v>
      </c>
      <c r="L67" s="161">
        <f>IFERROR(VLOOKUP(J67, DATA!$A$4:$I$36, MATCH(K67, DATA!$B$3:$I$3, 0)+1, FALSE), "")</f>
        <v>20761</v>
      </c>
      <c r="M67" s="157">
        <v>2000</v>
      </c>
      <c r="N67" s="156">
        <f t="shared" si="3"/>
        <v>22761</v>
      </c>
      <c r="O67" s="73">
        <f t="shared" si="4"/>
        <v>1868.49</v>
      </c>
      <c r="P67" s="79"/>
      <c r="Q67" s="79"/>
      <c r="R67" s="79"/>
      <c r="S67" s="79"/>
      <c r="T67" s="79"/>
      <c r="U67" s="79"/>
      <c r="V67" s="79">
        <v>3110.15</v>
      </c>
      <c r="W67" s="79">
        <v>1400</v>
      </c>
      <c r="X67" s="79"/>
      <c r="Y67" s="79">
        <v>5780.67</v>
      </c>
      <c r="Z67" s="79"/>
      <c r="AA67" s="73">
        <v>0</v>
      </c>
      <c r="AB67" s="79">
        <f>ROUND(IF(L67&gt;79999.99,900,IF(L67&lt;10000.01,137.5,IF(10000&lt;L67&gt;80000,L67*2.5%))),2)-0.01</f>
        <v>519.02</v>
      </c>
      <c r="AC67" s="79"/>
      <c r="AD67" s="37"/>
      <c r="AE67" s="73">
        <v>200</v>
      </c>
      <c r="AF67" s="79">
        <v>0</v>
      </c>
      <c r="AG67" s="79">
        <v>100</v>
      </c>
      <c r="AH67" s="79"/>
      <c r="AI67" s="79"/>
      <c r="AJ67" s="79"/>
      <c r="AK67" s="73"/>
      <c r="AL67" s="79"/>
      <c r="AM67" s="81"/>
      <c r="AN67" s="79"/>
      <c r="AO67" s="73"/>
      <c r="AP67" s="73"/>
      <c r="AQ67" s="73"/>
      <c r="AR67" s="73"/>
      <c r="AS67" s="79">
        <v>0</v>
      </c>
      <c r="AT67" s="79">
        <v>3314.59</v>
      </c>
      <c r="AU67" s="79"/>
      <c r="AV67" s="79"/>
      <c r="AW67" s="79">
        <v>0</v>
      </c>
      <c r="AX67" s="79"/>
      <c r="AY67" s="81"/>
      <c r="AZ67" s="74">
        <f t="shared" si="12"/>
        <v>16292.92</v>
      </c>
      <c r="BA67" s="75">
        <f t="shared" si="13"/>
        <v>6468.08</v>
      </c>
      <c r="BB67" s="75">
        <f t="shared" ref="BB67" si="19">ROUND(BA67/2,2)</f>
        <v>3234.04</v>
      </c>
      <c r="BC67" s="75">
        <f t="shared" ref="BC67" si="20">BA67-BB67</f>
        <v>3234.04</v>
      </c>
      <c r="BD67" s="34"/>
      <c r="BI67" s="34">
        <v>668.4375</v>
      </c>
    </row>
    <row r="68" spans="1:61" ht="14.25" customHeight="1" x14ac:dyDescent="0.35">
      <c r="A68" s="68">
        <f t="shared" si="2"/>
        <v>61</v>
      </c>
      <c r="B68" s="70" t="s">
        <v>367</v>
      </c>
      <c r="C68" s="70" t="s">
        <v>368</v>
      </c>
      <c r="D68" s="70" t="s">
        <v>251</v>
      </c>
      <c r="E68" s="70" t="s">
        <v>80</v>
      </c>
      <c r="F68" s="70" t="s">
        <v>35</v>
      </c>
      <c r="G68" s="70" t="s">
        <v>543</v>
      </c>
      <c r="H68" s="78">
        <v>44243</v>
      </c>
      <c r="I68" s="78">
        <v>44243</v>
      </c>
      <c r="J68" s="70">
        <v>11</v>
      </c>
      <c r="K68" s="70">
        <v>2</v>
      </c>
      <c r="L68" s="161">
        <f>IFERROR(VLOOKUP(J68, DATA!$A$4:$I$36, MATCH(K68, DATA!$B$3:$I$3, 0)+1, FALSE), "")</f>
        <v>31820</v>
      </c>
      <c r="M68" s="157">
        <v>2000</v>
      </c>
      <c r="N68" s="156">
        <f t="shared" si="3"/>
        <v>33820</v>
      </c>
      <c r="O68" s="73">
        <f t="shared" si="4"/>
        <v>2863.8</v>
      </c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3">
        <v>1481.83</v>
      </c>
      <c r="AB68" s="79">
        <f>ROUND(IF(L68&gt;79999.99,900,IF(L68&lt;10000.01,137.5,IF(10000&lt;L68&gt;80000,L68*2.5%))),2)</f>
        <v>795.5</v>
      </c>
      <c r="AC68" s="79"/>
      <c r="AD68" s="79"/>
      <c r="AE68" s="73">
        <v>200</v>
      </c>
      <c r="AF68" s="79">
        <v>0</v>
      </c>
      <c r="AG68" s="79">
        <v>100</v>
      </c>
      <c r="AH68" s="79">
        <v>1336</v>
      </c>
      <c r="AI68" s="79"/>
      <c r="AJ68" s="79"/>
      <c r="AK68" s="73"/>
      <c r="AL68" s="79"/>
      <c r="AM68" s="79"/>
      <c r="AN68" s="79"/>
      <c r="AO68" s="73"/>
      <c r="AP68" s="73"/>
      <c r="AQ68" s="73"/>
      <c r="AR68" s="73"/>
      <c r="AS68" s="79">
        <v>0</v>
      </c>
      <c r="AT68" s="79"/>
      <c r="AU68" s="79"/>
      <c r="AV68" s="79"/>
      <c r="AW68" s="79">
        <v>1125</v>
      </c>
      <c r="AX68" s="79"/>
      <c r="AY68" s="79"/>
      <c r="AZ68" s="74">
        <f t="shared" si="12"/>
        <v>7902.13</v>
      </c>
      <c r="BA68" s="75">
        <f t="shared" si="13"/>
        <v>25917.87</v>
      </c>
      <c r="BB68" s="75">
        <f t="shared" si="17"/>
        <v>12958.94</v>
      </c>
      <c r="BC68" s="75">
        <f t="shared" si="18"/>
        <v>12958.929999999998</v>
      </c>
      <c r="BD68" s="34"/>
    </row>
    <row r="69" spans="1:61" ht="14.25" customHeight="1" x14ac:dyDescent="0.35">
      <c r="A69" s="68">
        <f t="shared" si="2"/>
        <v>62</v>
      </c>
      <c r="B69" s="70" t="s">
        <v>223</v>
      </c>
      <c r="C69" s="70" t="s">
        <v>362</v>
      </c>
      <c r="D69" s="70" t="s">
        <v>213</v>
      </c>
      <c r="E69" s="70" t="s">
        <v>30</v>
      </c>
      <c r="F69" s="70" t="s">
        <v>19</v>
      </c>
      <c r="G69" s="70" t="s">
        <v>544</v>
      </c>
      <c r="H69" s="78">
        <v>31793</v>
      </c>
      <c r="I69" s="78">
        <v>33550</v>
      </c>
      <c r="J69" s="70">
        <v>18</v>
      </c>
      <c r="K69" s="70">
        <v>8</v>
      </c>
      <c r="L69" s="161">
        <f>IFERROR(VLOOKUP(J69, DATA!$A$4:$I$36, MATCH(K69, DATA!$B$3:$I$3, 0)+1, FALSE), "")</f>
        <v>57842</v>
      </c>
      <c r="M69" s="157">
        <v>2000</v>
      </c>
      <c r="N69" s="156">
        <f t="shared" ref="N69:N97" si="21">L69+M69</f>
        <v>59842</v>
      </c>
      <c r="O69" s="73">
        <f t="shared" si="4"/>
        <v>5205.78</v>
      </c>
      <c r="P69" s="79"/>
      <c r="Q69" s="79"/>
      <c r="R69" s="79"/>
      <c r="S69" s="79"/>
      <c r="T69" s="79"/>
      <c r="U69" s="79"/>
      <c r="V69" s="79">
        <v>8590.56</v>
      </c>
      <c r="W69" s="79"/>
      <c r="X69" s="79"/>
      <c r="Y69" s="79"/>
      <c r="Z69" s="79"/>
      <c r="AA69" s="73">
        <v>7329.2</v>
      </c>
      <c r="AB69" s="79">
        <f>ROUND(IF(L69&gt;79999.99,900,IF(L69&lt;10000.01,137.5,IF(10000&lt;L69&gt;80000,L69*2.5%))),2)</f>
        <v>1446.05</v>
      </c>
      <c r="AC69" s="79">
        <v>10339.700000000001</v>
      </c>
      <c r="AD69" s="79">
        <v>1500</v>
      </c>
      <c r="AE69" s="79">
        <v>1000</v>
      </c>
      <c r="AF69" s="79"/>
      <c r="AG69" s="79">
        <v>100</v>
      </c>
      <c r="AH69" s="79"/>
      <c r="AI69" s="79"/>
      <c r="AJ69" s="79"/>
      <c r="AK69" s="73"/>
      <c r="AL69" s="79"/>
      <c r="AM69" s="79"/>
      <c r="AN69" s="79"/>
      <c r="AO69" s="73"/>
      <c r="AP69" s="73"/>
      <c r="AQ69" s="73"/>
      <c r="AR69" s="73"/>
      <c r="AS69" s="79">
        <v>1000</v>
      </c>
      <c r="AT69" s="79"/>
      <c r="AU69" s="79"/>
      <c r="AV69" s="79"/>
      <c r="AW69" s="79">
        <v>0</v>
      </c>
      <c r="AX69" s="79"/>
      <c r="AY69" s="79"/>
      <c r="AZ69" s="74">
        <f t="shared" si="12"/>
        <v>36511.29</v>
      </c>
      <c r="BA69" s="75">
        <f t="shared" si="13"/>
        <v>23330.71</v>
      </c>
      <c r="BB69" s="75">
        <f t="shared" si="17"/>
        <v>11665.36</v>
      </c>
      <c r="BC69" s="75">
        <f t="shared" si="18"/>
        <v>11665.349999999999</v>
      </c>
      <c r="BD69" s="34"/>
      <c r="BI69" s="34">
        <v>0</v>
      </c>
    </row>
    <row r="70" spans="1:61" ht="14.25" customHeight="1" x14ac:dyDescent="0.35">
      <c r="A70" s="68">
        <f t="shared" si="2"/>
        <v>63</v>
      </c>
      <c r="B70" s="70" t="s">
        <v>223</v>
      </c>
      <c r="C70" s="70" t="s">
        <v>245</v>
      </c>
      <c r="D70" s="70" t="s">
        <v>237</v>
      </c>
      <c r="E70" s="70" t="s">
        <v>57</v>
      </c>
      <c r="F70" s="70" t="s">
        <v>16</v>
      </c>
      <c r="G70" s="70" t="s">
        <v>545</v>
      </c>
      <c r="H70" s="78">
        <v>35467</v>
      </c>
      <c r="I70" s="78">
        <v>37657</v>
      </c>
      <c r="J70" s="70">
        <v>7</v>
      </c>
      <c r="K70" s="70">
        <v>8</v>
      </c>
      <c r="L70" s="161">
        <f>IFERROR(VLOOKUP(J70, DATA!$A$4:$I$36, MATCH(K70, DATA!$B$3:$I$3, 0)+1, FALSE), "")</f>
        <v>22022</v>
      </c>
      <c r="M70" s="157">
        <v>2000</v>
      </c>
      <c r="N70" s="156">
        <f t="shared" si="21"/>
        <v>24022</v>
      </c>
      <c r="O70" s="73">
        <f t="shared" si="4"/>
        <v>1981.98</v>
      </c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3">
        <v>0</v>
      </c>
      <c r="AB70" s="79">
        <f>ROUND(IF(L70&gt;79999.99,900,IF(L70&lt;10000.01,137.5,IF(10000&lt;L70&gt;80000,L70*2.5%))),2)</f>
        <v>550.54999999999995</v>
      </c>
      <c r="AC70" s="79"/>
      <c r="AD70" s="79">
        <v>1000</v>
      </c>
      <c r="AE70" s="73">
        <v>200</v>
      </c>
      <c r="AF70" s="79">
        <v>0</v>
      </c>
      <c r="AG70" s="79">
        <v>100</v>
      </c>
      <c r="AH70" s="79"/>
      <c r="AI70" s="79"/>
      <c r="AJ70" s="79"/>
      <c r="AK70" s="73"/>
      <c r="AL70" s="79"/>
      <c r="AM70" s="79"/>
      <c r="AN70" s="79"/>
      <c r="AO70" s="73"/>
      <c r="AP70" s="73"/>
      <c r="AQ70" s="73"/>
      <c r="AR70" s="73"/>
      <c r="AS70" s="79">
        <v>0</v>
      </c>
      <c r="AT70" s="79"/>
      <c r="AU70" s="79"/>
      <c r="AV70" s="79"/>
      <c r="AW70" s="79">
        <v>0</v>
      </c>
      <c r="AX70" s="79"/>
      <c r="AY70" s="79"/>
      <c r="AZ70" s="74">
        <f t="shared" si="12"/>
        <v>3832.53</v>
      </c>
      <c r="BA70" s="75">
        <f t="shared" si="13"/>
        <v>20189.47</v>
      </c>
      <c r="BB70" s="75">
        <f t="shared" si="17"/>
        <v>10094.74</v>
      </c>
      <c r="BC70" s="75">
        <f t="shared" si="18"/>
        <v>10094.730000000001</v>
      </c>
      <c r="BD70" s="34"/>
      <c r="BI70" s="34">
        <v>0</v>
      </c>
    </row>
    <row r="71" spans="1:61" ht="14.25" customHeight="1" x14ac:dyDescent="0.35">
      <c r="A71" s="68">
        <f t="shared" si="2"/>
        <v>64</v>
      </c>
      <c r="B71" s="70" t="s">
        <v>231</v>
      </c>
      <c r="C71" s="70" t="s">
        <v>229</v>
      </c>
      <c r="D71" s="70" t="s">
        <v>230</v>
      </c>
      <c r="E71" s="70" t="s">
        <v>38</v>
      </c>
      <c r="F71" s="70" t="s">
        <v>19</v>
      </c>
      <c r="G71" s="70" t="s">
        <v>546</v>
      </c>
      <c r="H71" s="78">
        <v>42242</v>
      </c>
      <c r="I71" s="78">
        <v>42242</v>
      </c>
      <c r="J71" s="70">
        <v>4</v>
      </c>
      <c r="K71" s="70">
        <v>4</v>
      </c>
      <c r="L71" s="161">
        <f>IFERROR(VLOOKUP(J71, DATA!$A$4:$I$36, MATCH(K71, DATA!$B$3:$I$3, 0)+1, FALSE), "")</f>
        <v>17898</v>
      </c>
      <c r="M71" s="157">
        <v>2000</v>
      </c>
      <c r="N71" s="156">
        <f t="shared" si="21"/>
        <v>19898</v>
      </c>
      <c r="O71" s="73">
        <f t="shared" si="4"/>
        <v>1610.82</v>
      </c>
      <c r="P71" s="79"/>
      <c r="Q71" s="79">
        <v>655.56</v>
      </c>
      <c r="R71" s="79"/>
      <c r="S71" s="79"/>
      <c r="T71" s="79"/>
      <c r="U71" s="79"/>
      <c r="V71" s="79"/>
      <c r="W71" s="79"/>
      <c r="X71" s="79"/>
      <c r="Y71" s="79"/>
      <c r="Z71" s="79"/>
      <c r="AA71" s="73">
        <v>0</v>
      </c>
      <c r="AB71" s="73">
        <f>ROUND(IF(L71&gt;79999.99,900,IF(L71&lt;10000.01,137.5,IF(10000&lt;L71&gt;80000,L71*2.5%))),2)</f>
        <v>447.45</v>
      </c>
      <c r="AC71" s="79"/>
      <c r="AD71" s="79"/>
      <c r="AE71" s="79">
        <v>700</v>
      </c>
      <c r="AF71" s="79">
        <v>0</v>
      </c>
      <c r="AG71" s="79">
        <v>100</v>
      </c>
      <c r="AH71" s="79"/>
      <c r="AI71" s="79"/>
      <c r="AJ71" s="79"/>
      <c r="AK71" s="73"/>
      <c r="AL71" s="79">
        <v>200</v>
      </c>
      <c r="AM71" s="81">
        <v>1000</v>
      </c>
      <c r="AN71" s="79"/>
      <c r="AO71" s="73"/>
      <c r="AP71" s="73"/>
      <c r="AQ71" s="73"/>
      <c r="AR71" s="73"/>
      <c r="AS71" s="79">
        <v>0</v>
      </c>
      <c r="AT71" s="79"/>
      <c r="AU71" s="79"/>
      <c r="AV71" s="79"/>
      <c r="AW71" s="79">
        <v>200</v>
      </c>
      <c r="AX71" s="79"/>
      <c r="AY71" s="79">
        <v>4000</v>
      </c>
      <c r="AZ71" s="74">
        <f t="shared" si="12"/>
        <v>8913.83</v>
      </c>
      <c r="BA71" s="75">
        <f t="shared" si="13"/>
        <v>10984.17</v>
      </c>
      <c r="BB71" s="75">
        <f t="shared" si="17"/>
        <v>5492.09</v>
      </c>
      <c r="BC71" s="75">
        <f t="shared" si="18"/>
        <v>5492.08</v>
      </c>
      <c r="BD71" s="34"/>
      <c r="BI71" s="33">
        <v>0</v>
      </c>
    </row>
    <row r="72" spans="1:61" ht="14.25" customHeight="1" x14ac:dyDescent="0.35">
      <c r="A72" s="68">
        <f t="shared" si="2"/>
        <v>65</v>
      </c>
      <c r="B72" s="70" t="s">
        <v>292</v>
      </c>
      <c r="C72" s="70" t="s">
        <v>291</v>
      </c>
      <c r="D72" s="70" t="s">
        <v>212</v>
      </c>
      <c r="E72" s="70" t="s">
        <v>127</v>
      </c>
      <c r="F72" s="70" t="s">
        <v>22</v>
      </c>
      <c r="G72" s="70" t="s">
        <v>547</v>
      </c>
      <c r="H72" s="78">
        <v>35571</v>
      </c>
      <c r="I72" s="78">
        <v>42242</v>
      </c>
      <c r="J72" s="70">
        <v>18</v>
      </c>
      <c r="K72" s="70">
        <v>4</v>
      </c>
      <c r="L72" s="161">
        <f>IFERROR(VLOOKUP(J72, DATA!$A$4:$I$36, MATCH(K72, DATA!$B$3:$I$3, 0)+1, FALSE), "")</f>
        <v>55499</v>
      </c>
      <c r="M72" s="157">
        <v>2000</v>
      </c>
      <c r="N72" s="156">
        <f t="shared" si="21"/>
        <v>57499</v>
      </c>
      <c r="O72" s="73">
        <f t="shared" ref="O72:O97" si="22">ROUND(L72*9%,2)</f>
        <v>4994.91</v>
      </c>
      <c r="P72" s="79"/>
      <c r="Q72" s="79">
        <v>1246.8800000000001</v>
      </c>
      <c r="R72" s="79"/>
      <c r="S72" s="79">
        <v>5802.48</v>
      </c>
      <c r="T72" s="79"/>
      <c r="U72" s="79"/>
      <c r="V72" s="79"/>
      <c r="W72" s="79"/>
      <c r="X72" s="79"/>
      <c r="Y72" s="79"/>
      <c r="Z72" s="79"/>
      <c r="AA72" s="73">
        <v>6798.6</v>
      </c>
      <c r="AB72" s="79">
        <f>ROUND(IF(L72&gt;79999.99,900,IF(L72&lt;10000.01,137.5,IF(10000&lt;L72&gt;80000,L72*2.5%))),2)-0.01</f>
        <v>1387.47</v>
      </c>
      <c r="AC72" s="79">
        <v>2205.1999999999998</v>
      </c>
      <c r="AD72" s="79">
        <v>2000</v>
      </c>
      <c r="AE72" s="79">
        <v>500</v>
      </c>
      <c r="AF72" s="79"/>
      <c r="AG72" s="79">
        <v>100</v>
      </c>
      <c r="AH72" s="79"/>
      <c r="AI72" s="79"/>
      <c r="AJ72" s="79"/>
      <c r="AK72" s="73"/>
      <c r="AL72" s="79"/>
      <c r="AM72" s="79"/>
      <c r="AN72" s="79">
        <v>2000</v>
      </c>
      <c r="AO72" s="73">
        <v>461.39</v>
      </c>
      <c r="AP72" s="73">
        <v>704.35</v>
      </c>
      <c r="AQ72" s="87"/>
      <c r="AR72" s="87"/>
      <c r="AS72" s="79">
        <v>1000</v>
      </c>
      <c r="AT72" s="79"/>
      <c r="AU72" s="79"/>
      <c r="AV72" s="79"/>
      <c r="AW72" s="79">
        <v>0</v>
      </c>
      <c r="AX72" s="79"/>
      <c r="AY72" s="79">
        <v>3034.72</v>
      </c>
      <c r="AZ72" s="74">
        <f t="shared" ref="AZ72:AZ97" si="23">ROUND(SUM(O72:AY72),2)</f>
        <v>32236</v>
      </c>
      <c r="BA72" s="75">
        <f t="shared" ref="BA72:BA97" si="24">ROUND(N72-AZ72,2)</f>
        <v>25263</v>
      </c>
      <c r="BB72" s="75">
        <f t="shared" si="17"/>
        <v>12631.5</v>
      </c>
      <c r="BC72" s="75">
        <f t="shared" si="18"/>
        <v>12631.5</v>
      </c>
      <c r="BD72" s="34"/>
      <c r="BI72" s="34">
        <v>2000</v>
      </c>
    </row>
    <row r="73" spans="1:61" ht="14.25" customHeight="1" x14ac:dyDescent="0.35">
      <c r="A73" s="68">
        <f t="shared" ref="A73:A97" si="25">A72+1</f>
        <v>66</v>
      </c>
      <c r="B73" s="70" t="s">
        <v>380</v>
      </c>
      <c r="C73" s="70" t="s">
        <v>381</v>
      </c>
      <c r="D73" s="70" t="s">
        <v>239</v>
      </c>
      <c r="E73" s="70" t="s">
        <v>48</v>
      </c>
      <c r="F73" s="70" t="s">
        <v>35</v>
      </c>
      <c r="G73" s="70" t="s">
        <v>548</v>
      </c>
      <c r="H73" s="78">
        <v>44348</v>
      </c>
      <c r="I73" s="78">
        <v>45376</v>
      </c>
      <c r="J73" s="70">
        <v>15</v>
      </c>
      <c r="K73" s="70">
        <v>1</v>
      </c>
      <c r="L73" s="161">
        <f>IFERROR(VLOOKUP(J73, DATA!$A$4:$I$36, MATCH(K73, DATA!$B$3:$I$3, 0)+1, FALSE), "")</f>
        <v>42178</v>
      </c>
      <c r="M73" s="157">
        <v>2000</v>
      </c>
      <c r="N73" s="156">
        <f t="shared" si="21"/>
        <v>44178</v>
      </c>
      <c r="O73" s="73">
        <f t="shared" si="22"/>
        <v>3796.02</v>
      </c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3">
        <v>3695.42</v>
      </c>
      <c r="AB73" s="79">
        <f>ROUND(IF(L73&gt;79999.99,900,IF(L73&lt;10000.01,137.5,IF(10000&lt;L73&gt;80000,L73*2.5%))),2)</f>
        <v>1054.45</v>
      </c>
      <c r="AC73" s="79"/>
      <c r="AD73" s="79"/>
      <c r="AE73" s="73">
        <v>200</v>
      </c>
      <c r="AF73" s="79">
        <v>0</v>
      </c>
      <c r="AG73" s="79">
        <v>100</v>
      </c>
      <c r="AH73" s="79"/>
      <c r="AI73" s="79"/>
      <c r="AJ73" s="79"/>
      <c r="AK73" s="73"/>
      <c r="AL73" s="79"/>
      <c r="AM73" s="79"/>
      <c r="AN73" s="79"/>
      <c r="AO73" s="73"/>
      <c r="AP73" s="73"/>
      <c r="AQ73" s="73"/>
      <c r="AR73" s="73"/>
      <c r="AS73" s="79">
        <v>0</v>
      </c>
      <c r="AT73" s="79"/>
      <c r="AU73" s="79"/>
      <c r="AV73" s="79"/>
      <c r="AW73" s="79"/>
      <c r="AX73" s="79"/>
      <c r="AY73" s="79"/>
      <c r="AZ73" s="74">
        <f t="shared" si="23"/>
        <v>8845.89</v>
      </c>
      <c r="BA73" s="75">
        <f t="shared" si="24"/>
        <v>35332.11</v>
      </c>
      <c r="BB73" s="75">
        <f t="shared" si="17"/>
        <v>17666.060000000001</v>
      </c>
      <c r="BC73" s="75">
        <f t="shared" si="18"/>
        <v>17666.05</v>
      </c>
      <c r="BD73" s="34"/>
      <c r="BI73" s="33"/>
    </row>
    <row r="74" spans="1:61" ht="14.25" customHeight="1" x14ac:dyDescent="0.35">
      <c r="A74" s="68">
        <f t="shared" si="25"/>
        <v>67</v>
      </c>
      <c r="B74" s="70" t="s">
        <v>468</v>
      </c>
      <c r="C74" s="70" t="s">
        <v>471</v>
      </c>
      <c r="D74" s="70" t="s">
        <v>217</v>
      </c>
      <c r="E74" s="70" t="s">
        <v>46</v>
      </c>
      <c r="F74" s="70" t="s">
        <v>19</v>
      </c>
      <c r="G74" s="70" t="s">
        <v>549</v>
      </c>
      <c r="H74" s="78">
        <v>45737</v>
      </c>
      <c r="I74" s="78">
        <v>45737</v>
      </c>
      <c r="J74" s="70">
        <v>11</v>
      </c>
      <c r="K74" s="70">
        <v>1</v>
      </c>
      <c r="L74" s="161">
        <f>IFERROR(VLOOKUP(J74, DATA!$A$4:$I$36, MATCH(K74, DATA!$B$3:$I$3, 0)+1, FALSE), "")</f>
        <v>31705</v>
      </c>
      <c r="M74" s="157">
        <v>2000</v>
      </c>
      <c r="N74" s="156">
        <f t="shared" si="21"/>
        <v>33705</v>
      </c>
      <c r="O74" s="73">
        <f t="shared" si="22"/>
        <v>2853.45</v>
      </c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3">
        <v>1192.23</v>
      </c>
      <c r="AB74" s="79">
        <f>ROUND(IF(L74&gt;79999.99,900,IF(L74&lt;10000.01,137.5,IF(10000&lt;L74&gt;80000,L74*2.5%))),2)-0.01</f>
        <v>792.62</v>
      </c>
      <c r="AC74" s="79"/>
      <c r="AD74" s="79"/>
      <c r="AE74" s="73">
        <v>200</v>
      </c>
      <c r="AF74" s="79"/>
      <c r="AG74" s="79">
        <v>100</v>
      </c>
      <c r="AH74" s="79"/>
      <c r="AI74" s="79"/>
      <c r="AJ74" s="79"/>
      <c r="AK74" s="73"/>
      <c r="AL74" s="79"/>
      <c r="AM74" s="79"/>
      <c r="AN74" s="79"/>
      <c r="AO74" s="73"/>
      <c r="AP74" s="73"/>
      <c r="AQ74" s="73"/>
      <c r="AR74" s="73"/>
      <c r="AS74" s="79"/>
      <c r="AT74" s="79"/>
      <c r="AU74" s="79"/>
      <c r="AV74" s="79"/>
      <c r="AW74" s="79"/>
      <c r="AX74" s="79"/>
      <c r="AY74" s="79"/>
      <c r="AZ74" s="74">
        <f t="shared" si="23"/>
        <v>5138.3</v>
      </c>
      <c r="BA74" s="75">
        <f t="shared" si="24"/>
        <v>28566.7</v>
      </c>
      <c r="BB74" s="75">
        <f t="shared" ref="BB74" si="26">ROUND(BA74/2,2)</f>
        <v>14283.35</v>
      </c>
      <c r="BC74" s="75">
        <f t="shared" ref="BC74" si="27">BA74-BB74</f>
        <v>14283.35</v>
      </c>
      <c r="BD74" s="34"/>
      <c r="BI74" s="33"/>
    </row>
    <row r="75" spans="1:61" ht="14.25" customHeight="1" x14ac:dyDescent="0.35">
      <c r="A75" s="68">
        <f t="shared" si="25"/>
        <v>68</v>
      </c>
      <c r="B75" s="70" t="s">
        <v>308</v>
      </c>
      <c r="C75" s="70" t="s">
        <v>318</v>
      </c>
      <c r="D75" s="70" t="s">
        <v>217</v>
      </c>
      <c r="E75" s="70" t="s">
        <v>167</v>
      </c>
      <c r="F75" s="70" t="s">
        <v>16</v>
      </c>
      <c r="G75" s="70" t="s">
        <v>550</v>
      </c>
      <c r="H75" s="78">
        <v>42278</v>
      </c>
      <c r="I75" s="78">
        <v>42278</v>
      </c>
      <c r="J75" s="70">
        <v>18</v>
      </c>
      <c r="K75" s="70">
        <v>4</v>
      </c>
      <c r="L75" s="161">
        <f>IFERROR(VLOOKUP(J75, DATA!$A$4:$I$36, MATCH(K75, DATA!$B$3:$I$3, 0)+1, FALSE), "")</f>
        <v>55499</v>
      </c>
      <c r="M75" s="157">
        <v>2000</v>
      </c>
      <c r="N75" s="156">
        <f t="shared" si="21"/>
        <v>57499</v>
      </c>
      <c r="O75" s="73">
        <f t="shared" si="22"/>
        <v>4994.91</v>
      </c>
      <c r="P75" s="79"/>
      <c r="Q75" s="79"/>
      <c r="R75" s="79"/>
      <c r="S75" s="79"/>
      <c r="T75" s="79"/>
      <c r="U75" s="79"/>
      <c r="V75" s="79">
        <v>5235.18</v>
      </c>
      <c r="W75" s="79"/>
      <c r="X75" s="79"/>
      <c r="Y75" s="79"/>
      <c r="Z75" s="79"/>
      <c r="AA75" s="73">
        <v>6797.16</v>
      </c>
      <c r="AB75" s="79">
        <f>ROUND(IF(L75&gt;79999.99,900,IF(L75&lt;10000.01,137.5,IF(10000&lt;L75&gt;80000,L75*2.5%))),2)-0.01</f>
        <v>1387.47</v>
      </c>
      <c r="AC75" s="79"/>
      <c r="AD75" s="79">
        <v>3500</v>
      </c>
      <c r="AE75" s="79">
        <v>1000</v>
      </c>
      <c r="AF75" s="79">
        <v>1400</v>
      </c>
      <c r="AG75" s="79">
        <v>100</v>
      </c>
      <c r="AH75" s="79"/>
      <c r="AI75" s="79"/>
      <c r="AJ75" s="79"/>
      <c r="AK75" s="73"/>
      <c r="AL75" s="79">
        <v>500</v>
      </c>
      <c r="AM75" s="79">
        <v>3750</v>
      </c>
      <c r="AN75" s="79"/>
      <c r="AO75" s="73"/>
      <c r="AP75" s="73"/>
      <c r="AQ75" s="73"/>
      <c r="AR75" s="73"/>
      <c r="AS75" s="79">
        <v>497.95</v>
      </c>
      <c r="AT75" s="79"/>
      <c r="AU75" s="79"/>
      <c r="AV75" s="79"/>
      <c r="AW75" s="79">
        <v>0</v>
      </c>
      <c r="AX75" s="79"/>
      <c r="AY75" s="79"/>
      <c r="AZ75" s="74">
        <f t="shared" si="23"/>
        <v>29162.67</v>
      </c>
      <c r="BA75" s="75">
        <f t="shared" si="24"/>
        <v>28336.33</v>
      </c>
      <c r="BB75" s="75">
        <f t="shared" si="17"/>
        <v>14168.17</v>
      </c>
      <c r="BC75" s="75">
        <f t="shared" si="18"/>
        <v>14168.160000000002</v>
      </c>
      <c r="BD75" s="34"/>
      <c r="BI75" s="34">
        <v>961.5</v>
      </c>
    </row>
    <row r="76" spans="1:61" ht="14.25" customHeight="1" x14ac:dyDescent="0.35">
      <c r="A76" s="68">
        <f t="shared" si="25"/>
        <v>69</v>
      </c>
      <c r="B76" s="70" t="s">
        <v>216</v>
      </c>
      <c r="C76" s="70" t="s">
        <v>214</v>
      </c>
      <c r="D76" s="70" t="s">
        <v>215</v>
      </c>
      <c r="E76" s="70" t="s">
        <v>27</v>
      </c>
      <c r="F76" s="70" t="s">
        <v>22</v>
      </c>
      <c r="G76" s="70" t="s">
        <v>551</v>
      </c>
      <c r="H76" s="78">
        <v>42278</v>
      </c>
      <c r="I76" s="78">
        <v>42278</v>
      </c>
      <c r="J76" s="70">
        <v>15</v>
      </c>
      <c r="K76" s="70">
        <v>4</v>
      </c>
      <c r="L76" s="161">
        <f>IFERROR(VLOOKUP(J76, DATA!$A$4:$I$36, MATCH(K76, DATA!$B$3:$I$3, 0)+1, FALSE), "")</f>
        <v>43442</v>
      </c>
      <c r="M76" s="157">
        <v>2000</v>
      </c>
      <c r="N76" s="156">
        <f t="shared" si="21"/>
        <v>45442</v>
      </c>
      <c r="O76" s="73">
        <f t="shared" si="22"/>
        <v>3909.78</v>
      </c>
      <c r="P76" s="79">
        <v>500</v>
      </c>
      <c r="Q76" s="79">
        <v>1311.12</v>
      </c>
      <c r="R76" s="79"/>
      <c r="S76" s="79"/>
      <c r="T76" s="79"/>
      <c r="U76" s="79"/>
      <c r="V76" s="79">
        <v>4608.54</v>
      </c>
      <c r="W76" s="79">
        <v>933.33</v>
      </c>
      <c r="X76" s="79">
        <v>1966.67</v>
      </c>
      <c r="Y76" s="80">
        <v>9634.44</v>
      </c>
      <c r="Z76" s="80"/>
      <c r="AA76" s="73">
        <v>3998.79</v>
      </c>
      <c r="AB76" s="79">
        <f>ROUND(IF(L76&gt;79999.99,900,IF(L76&lt;10000.01,137.5,IF(10000&lt;L76&gt;80000,L76*2.5%))),2)</f>
        <v>1086.05</v>
      </c>
      <c r="AC76" s="79">
        <v>1976.23</v>
      </c>
      <c r="AD76" s="79">
        <v>0</v>
      </c>
      <c r="AE76" s="79">
        <v>300</v>
      </c>
      <c r="AF76" s="79">
        <v>0</v>
      </c>
      <c r="AG76" s="79">
        <v>100</v>
      </c>
      <c r="AH76" s="79"/>
      <c r="AI76" s="79"/>
      <c r="AJ76" s="79"/>
      <c r="AK76" s="73"/>
      <c r="AL76" s="79"/>
      <c r="AM76" s="79"/>
      <c r="AN76" s="79"/>
      <c r="AO76" s="73"/>
      <c r="AP76" s="73"/>
      <c r="AQ76" s="73"/>
      <c r="AR76" s="73"/>
      <c r="AS76" s="79">
        <v>0</v>
      </c>
      <c r="AT76" s="79">
        <v>6360.12</v>
      </c>
      <c r="AU76" s="79"/>
      <c r="AV76" s="79"/>
      <c r="AW76" s="79">
        <v>0</v>
      </c>
      <c r="AX76" s="79"/>
      <c r="AY76" s="81">
        <v>3000</v>
      </c>
      <c r="AZ76" s="74">
        <f t="shared" si="23"/>
        <v>39685.07</v>
      </c>
      <c r="BA76" s="75">
        <f t="shared" si="24"/>
        <v>5756.93</v>
      </c>
      <c r="BB76" s="75">
        <f t="shared" si="17"/>
        <v>2878.47</v>
      </c>
      <c r="BC76" s="75">
        <f t="shared" si="18"/>
        <v>2878.4600000000005</v>
      </c>
      <c r="BD76" s="34"/>
      <c r="BI76" s="34">
        <v>1630.3888888888891</v>
      </c>
    </row>
    <row r="77" spans="1:61" ht="14.25" customHeight="1" x14ac:dyDescent="0.35">
      <c r="A77" s="68">
        <f t="shared" si="25"/>
        <v>70</v>
      </c>
      <c r="B77" s="70" t="s">
        <v>423</v>
      </c>
      <c r="C77" s="70" t="s">
        <v>446</v>
      </c>
      <c r="D77" s="70" t="s">
        <v>243</v>
      </c>
      <c r="E77" s="70" t="s">
        <v>360</v>
      </c>
      <c r="F77" s="70" t="s">
        <v>16</v>
      </c>
      <c r="G77" s="70" t="s">
        <v>552</v>
      </c>
      <c r="H77" s="78">
        <v>45062</v>
      </c>
      <c r="I77" s="78">
        <v>45062</v>
      </c>
      <c r="J77" s="70">
        <v>11</v>
      </c>
      <c r="K77" s="70">
        <v>1</v>
      </c>
      <c r="L77" s="161">
        <f>IFERROR(VLOOKUP(J77, DATA!$A$4:$I$36, MATCH(K77, DATA!$B$3:$I$3, 0)+1, FALSE), "")</f>
        <v>31705</v>
      </c>
      <c r="M77" s="157">
        <v>2000</v>
      </c>
      <c r="N77" s="156">
        <f t="shared" si="21"/>
        <v>33705</v>
      </c>
      <c r="O77" s="73">
        <f t="shared" si="22"/>
        <v>2853.45</v>
      </c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80"/>
      <c r="AA77" s="73">
        <v>1468.9</v>
      </c>
      <c r="AB77" s="79">
        <f>ROUND(IF(L77&gt;79999.99,900,IF(L77&lt;10000.01,137.5,IF(10000&lt;L77&gt;80000,L77*2.5%))),2)-0.01</f>
        <v>792.62</v>
      </c>
      <c r="AC77" s="79"/>
      <c r="AD77" s="79"/>
      <c r="AE77" s="73">
        <v>200</v>
      </c>
      <c r="AF77" s="79"/>
      <c r="AG77" s="79">
        <v>100</v>
      </c>
      <c r="AH77" s="79"/>
      <c r="AI77" s="79"/>
      <c r="AJ77" s="79"/>
      <c r="AK77" s="73"/>
      <c r="AL77" s="79"/>
      <c r="AM77" s="79"/>
      <c r="AN77" s="79"/>
      <c r="AO77" s="73"/>
      <c r="AP77" s="73"/>
      <c r="AQ77" s="73"/>
      <c r="AR77" s="73"/>
      <c r="AS77" s="79"/>
      <c r="AT77" s="79"/>
      <c r="AU77" s="79"/>
      <c r="AV77" s="79"/>
      <c r="AW77" s="79"/>
      <c r="AX77" s="79"/>
      <c r="AY77" s="79"/>
      <c r="AZ77" s="74">
        <f t="shared" si="23"/>
        <v>5414.97</v>
      </c>
      <c r="BA77" s="75">
        <f t="shared" si="24"/>
        <v>28290.03</v>
      </c>
      <c r="BB77" s="75">
        <f>ROUND(BA77/2,2)</f>
        <v>14145.02</v>
      </c>
      <c r="BC77" s="75">
        <f>BA77-BB77</f>
        <v>14145.009999999998</v>
      </c>
      <c r="BD77" s="34"/>
      <c r="BI77" s="33"/>
    </row>
    <row r="78" spans="1:61" ht="14.25" customHeight="1" x14ac:dyDescent="0.35">
      <c r="A78" s="68">
        <f t="shared" si="25"/>
        <v>71</v>
      </c>
      <c r="B78" s="70" t="s">
        <v>346</v>
      </c>
      <c r="C78" s="70" t="s">
        <v>447</v>
      </c>
      <c r="D78" s="70" t="s">
        <v>301</v>
      </c>
      <c r="E78" s="70" t="s">
        <v>64</v>
      </c>
      <c r="F78" s="70" t="s">
        <v>22</v>
      </c>
      <c r="G78" s="70" t="s">
        <v>553</v>
      </c>
      <c r="H78" s="78">
        <v>43739</v>
      </c>
      <c r="I78" s="78">
        <v>45607</v>
      </c>
      <c r="J78" s="70">
        <v>18</v>
      </c>
      <c r="K78" s="70">
        <v>1</v>
      </c>
      <c r="L78" s="161">
        <f>IFERROR(VLOOKUP(J78, DATA!$A$4:$I$36, MATCH(K78, DATA!$B$3:$I$3, 0)+1, FALSE), "")</f>
        <v>53818</v>
      </c>
      <c r="M78" s="157">
        <v>2000</v>
      </c>
      <c r="N78" s="156">
        <f t="shared" si="21"/>
        <v>55818</v>
      </c>
      <c r="O78" s="73">
        <f t="shared" si="22"/>
        <v>4843.62</v>
      </c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3">
        <v>6395.7</v>
      </c>
      <c r="AB78" s="73">
        <f>ROUND(IF(L78&gt;79999.99,900,IF(L78&lt;10000.01,137.5,IF(10000&lt;L78&gt;80000,L78*2.5%))),2)</f>
        <v>1345.45</v>
      </c>
      <c r="AC78" s="79"/>
      <c r="AD78" s="79"/>
      <c r="AE78" s="79">
        <v>500</v>
      </c>
      <c r="AF78" s="79">
        <v>0</v>
      </c>
      <c r="AG78" s="79">
        <v>100</v>
      </c>
      <c r="AH78" s="79"/>
      <c r="AI78" s="79"/>
      <c r="AJ78" s="79"/>
      <c r="AK78" s="73"/>
      <c r="AL78" s="79"/>
      <c r="AM78" s="79"/>
      <c r="AN78" s="79"/>
      <c r="AO78" s="73"/>
      <c r="AP78" s="73"/>
      <c r="AQ78" s="73"/>
      <c r="AR78" s="73"/>
      <c r="AS78" s="79">
        <v>555.29999999999995</v>
      </c>
      <c r="AT78" s="79"/>
      <c r="AU78" s="79"/>
      <c r="AV78" s="79"/>
      <c r="AW78" s="79">
        <v>0</v>
      </c>
      <c r="AX78" s="79"/>
      <c r="AY78" s="79"/>
      <c r="AZ78" s="74">
        <f t="shared" si="23"/>
        <v>13740.07</v>
      </c>
      <c r="BA78" s="75">
        <f t="shared" si="24"/>
        <v>42077.93</v>
      </c>
      <c r="BB78" s="75">
        <f>ROUND(BA78/2,2)</f>
        <v>21038.97</v>
      </c>
      <c r="BC78" s="75">
        <f>BA78-BB78</f>
        <v>21038.959999999999</v>
      </c>
      <c r="BD78" s="34"/>
      <c r="BI78" s="34">
        <v>827.99305555555554</v>
      </c>
    </row>
    <row r="79" spans="1:61" ht="14.25" customHeight="1" x14ac:dyDescent="0.35">
      <c r="A79" s="68">
        <f t="shared" si="25"/>
        <v>72</v>
      </c>
      <c r="B79" s="70" t="s">
        <v>480</v>
      </c>
      <c r="C79" s="70" t="s">
        <v>481</v>
      </c>
      <c r="D79" s="70" t="s">
        <v>482</v>
      </c>
      <c r="E79" s="70" t="s">
        <v>46</v>
      </c>
      <c r="F79" s="70" t="s">
        <v>19</v>
      </c>
      <c r="G79" s="70" t="s">
        <v>554</v>
      </c>
      <c r="H79" s="78">
        <v>45931</v>
      </c>
      <c r="I79" s="78">
        <v>45931</v>
      </c>
      <c r="J79" s="70">
        <v>11</v>
      </c>
      <c r="K79" s="70">
        <v>1</v>
      </c>
      <c r="L79" s="161">
        <f>IFERROR(VLOOKUP(J79, DATA!$A$4:$I$36, MATCH(K79, DATA!$B$3:$I$3, 0)+1, FALSE), "")</f>
        <v>31705</v>
      </c>
      <c r="M79" s="157">
        <v>2000</v>
      </c>
      <c r="N79" s="156">
        <f t="shared" si="21"/>
        <v>33705</v>
      </c>
      <c r="O79" s="73">
        <f>ROUND(L79*9%,2)</f>
        <v>2853.45</v>
      </c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3">
        <v>1388.35</v>
      </c>
      <c r="AB79" s="73">
        <f>ROUND(IF(L79&gt;79999.99,900,IF(L79&lt;10000.01,137.5,IF(10000&lt;L79&gt;80000,L79*2.5%))),2)-0.01</f>
        <v>792.62</v>
      </c>
      <c r="AC79" s="79"/>
      <c r="AD79" s="79"/>
      <c r="AE79" s="73">
        <v>200</v>
      </c>
      <c r="AF79" s="79"/>
      <c r="AG79" s="79">
        <v>100</v>
      </c>
      <c r="AH79" s="79"/>
      <c r="AI79" s="79"/>
      <c r="AJ79" s="79">
        <v>200</v>
      </c>
      <c r="AK79" s="73"/>
      <c r="AL79" s="79"/>
      <c r="AM79" s="79"/>
      <c r="AN79" s="79"/>
      <c r="AO79" s="73"/>
      <c r="AP79" s="73"/>
      <c r="AQ79" s="73"/>
      <c r="AR79" s="73"/>
      <c r="AS79" s="79"/>
      <c r="AT79" s="79"/>
      <c r="AU79" s="79"/>
      <c r="AV79" s="79"/>
      <c r="AW79" s="79"/>
      <c r="AX79" s="79"/>
      <c r="AY79" s="79"/>
      <c r="AZ79" s="74">
        <f t="shared" si="23"/>
        <v>5534.42</v>
      </c>
      <c r="BA79" s="75">
        <f t="shared" si="24"/>
        <v>28170.58</v>
      </c>
      <c r="BB79" s="75">
        <f>ROUND(BA79/2,2)</f>
        <v>14085.29</v>
      </c>
      <c r="BC79" s="75">
        <f>BA79-BB79</f>
        <v>14085.29</v>
      </c>
      <c r="BD79" s="34"/>
    </row>
    <row r="80" spans="1:61" ht="13.5" customHeight="1" x14ac:dyDescent="0.35">
      <c r="A80" s="68">
        <f t="shared" si="25"/>
        <v>73</v>
      </c>
      <c r="B80" s="70" t="s">
        <v>288</v>
      </c>
      <c r="C80" s="70" t="s">
        <v>286</v>
      </c>
      <c r="D80" s="70" t="s">
        <v>287</v>
      </c>
      <c r="E80" s="70" t="s">
        <v>75</v>
      </c>
      <c r="F80" s="70" t="s">
        <v>19</v>
      </c>
      <c r="G80" s="70" t="s">
        <v>555</v>
      </c>
      <c r="H80" s="78">
        <v>32752</v>
      </c>
      <c r="I80" s="78">
        <v>42348</v>
      </c>
      <c r="J80" s="70">
        <v>15</v>
      </c>
      <c r="K80" s="70">
        <v>4</v>
      </c>
      <c r="L80" s="161">
        <f>IFERROR(VLOOKUP(J80, DATA!$A$4:$I$36, MATCH(K80, DATA!$B$3:$I$3, 0)+1, FALSE), "")</f>
        <v>43442</v>
      </c>
      <c r="M80" s="157">
        <v>2000</v>
      </c>
      <c r="N80" s="156">
        <f t="shared" si="21"/>
        <v>45442</v>
      </c>
      <c r="O80" s="73">
        <f t="shared" si="22"/>
        <v>3909.78</v>
      </c>
      <c r="P80" s="80">
        <v>500</v>
      </c>
      <c r="Q80" s="79">
        <v>655.56</v>
      </c>
      <c r="R80" s="79"/>
      <c r="S80" s="79">
        <v>5920.72</v>
      </c>
      <c r="T80" s="79"/>
      <c r="U80" s="79"/>
      <c r="V80" s="79"/>
      <c r="W80" s="79"/>
      <c r="X80" s="79">
        <v>1966.67</v>
      </c>
      <c r="Y80" s="79"/>
      <c r="Z80" s="79"/>
      <c r="AA80" s="73">
        <v>3997.66</v>
      </c>
      <c r="AB80" s="79">
        <f>ROUND(IF(L80&gt;79999.99,900,IF(L80&lt;10000.01,137.5,IF(10000&lt;L80&gt;80000,L80*2.5%))),2)</f>
        <v>1086.05</v>
      </c>
      <c r="AC80" s="79">
        <v>6485.61</v>
      </c>
      <c r="AD80" s="79"/>
      <c r="AE80" s="79">
        <v>600</v>
      </c>
      <c r="AF80" s="79"/>
      <c r="AG80" s="79">
        <v>100</v>
      </c>
      <c r="AH80" s="79"/>
      <c r="AI80" s="79"/>
      <c r="AJ80" s="79"/>
      <c r="AK80" s="73"/>
      <c r="AL80" s="79">
        <v>100</v>
      </c>
      <c r="AM80" s="79"/>
      <c r="AN80" s="79">
        <v>3000</v>
      </c>
      <c r="AO80" s="73"/>
      <c r="AP80" s="73"/>
      <c r="AQ80" s="73"/>
      <c r="AR80" s="73"/>
      <c r="AS80" s="79">
        <v>0</v>
      </c>
      <c r="AT80" s="79"/>
      <c r="AU80" s="79"/>
      <c r="AV80" s="79"/>
      <c r="AW80" s="79">
        <v>0</v>
      </c>
      <c r="AX80" s="79"/>
      <c r="AY80" s="79">
        <v>6767.43</v>
      </c>
      <c r="AZ80" s="74">
        <f t="shared" si="23"/>
        <v>35089.480000000003</v>
      </c>
      <c r="BA80" s="75">
        <f t="shared" si="24"/>
        <v>10352.52</v>
      </c>
      <c r="BB80" s="75">
        <f t="shared" si="17"/>
        <v>5176.26</v>
      </c>
      <c r="BC80" s="75">
        <f t="shared" si="18"/>
        <v>5176.26</v>
      </c>
      <c r="BD80" s="34"/>
      <c r="BI80" s="34">
        <v>1156.7777777777778</v>
      </c>
    </row>
    <row r="81" spans="1:61" ht="14.25" customHeight="1" x14ac:dyDescent="0.35">
      <c r="A81" s="68">
        <f t="shared" si="25"/>
        <v>74</v>
      </c>
      <c r="B81" s="70" t="s">
        <v>419</v>
      </c>
      <c r="C81" s="70" t="s">
        <v>445</v>
      </c>
      <c r="D81" s="70" t="s">
        <v>215</v>
      </c>
      <c r="E81" s="70" t="s">
        <v>43</v>
      </c>
      <c r="F81" s="70" t="s">
        <v>19</v>
      </c>
      <c r="G81" s="70" t="s">
        <v>556</v>
      </c>
      <c r="H81" s="78">
        <v>45040</v>
      </c>
      <c r="I81" s="78">
        <v>45040</v>
      </c>
      <c r="J81" s="70">
        <v>10</v>
      </c>
      <c r="K81" s="70">
        <v>1</v>
      </c>
      <c r="L81" s="161">
        <f>IFERROR(VLOOKUP(J81, DATA!$A$4:$I$36, MATCH(K81, DATA!$B$3:$I$3, 0)+1, FALSE), "")</f>
        <v>26917</v>
      </c>
      <c r="M81" s="157">
        <v>2000</v>
      </c>
      <c r="N81" s="156">
        <f t="shared" si="21"/>
        <v>28917</v>
      </c>
      <c r="O81" s="73">
        <f t="shared" si="22"/>
        <v>2422.5300000000002</v>
      </c>
      <c r="P81" s="79"/>
      <c r="Q81" s="79"/>
      <c r="R81" s="79"/>
      <c r="S81" s="79"/>
      <c r="T81" s="79"/>
      <c r="U81" s="79"/>
      <c r="V81" s="79"/>
      <c r="W81" s="79"/>
      <c r="X81" s="79"/>
      <c r="Y81" s="80"/>
      <c r="Z81" s="80"/>
      <c r="AA81" s="73">
        <v>630.72</v>
      </c>
      <c r="AB81" s="79">
        <f>ROUND(IF(L81&gt;79999.99,900,IF(L81&lt;10000.01,137.5,IF(10000&lt;L81&gt;80000,L81*2.5%))),2)-0.01</f>
        <v>672.92</v>
      </c>
      <c r="AC81" s="79"/>
      <c r="AD81" s="79">
        <v>1000</v>
      </c>
      <c r="AE81" s="73">
        <v>200</v>
      </c>
      <c r="AF81" s="79">
        <v>0</v>
      </c>
      <c r="AG81" s="79">
        <v>100</v>
      </c>
      <c r="AH81" s="79"/>
      <c r="AI81" s="79"/>
      <c r="AJ81" s="79"/>
      <c r="AK81" s="73"/>
      <c r="AL81" s="79"/>
      <c r="AM81" s="79"/>
      <c r="AN81" s="79">
        <v>2000</v>
      </c>
      <c r="AO81" s="73">
        <v>461.39</v>
      </c>
      <c r="AP81" s="73">
        <v>704.35</v>
      </c>
      <c r="AQ81" s="73"/>
      <c r="AR81" s="73"/>
      <c r="AS81" s="79"/>
      <c r="AT81" s="79"/>
      <c r="AU81" s="79"/>
      <c r="AV81" s="79"/>
      <c r="AW81" s="79"/>
      <c r="AX81" s="79"/>
      <c r="AY81" s="79"/>
      <c r="AZ81" s="74">
        <f t="shared" si="23"/>
        <v>8191.91</v>
      </c>
      <c r="BA81" s="75">
        <f t="shared" si="24"/>
        <v>20725.09</v>
      </c>
      <c r="BB81" s="75">
        <f>ROUND(BA81/2,2)</f>
        <v>10362.549999999999</v>
      </c>
      <c r="BC81" s="75">
        <f>BA81-BB81</f>
        <v>10362.540000000001</v>
      </c>
      <c r="BD81" s="34"/>
    </row>
    <row r="82" spans="1:61" ht="14.25" customHeight="1" x14ac:dyDescent="0.35">
      <c r="A82" s="68">
        <f t="shared" si="25"/>
        <v>75</v>
      </c>
      <c r="B82" s="70" t="s">
        <v>371</v>
      </c>
      <c r="C82" s="70" t="s">
        <v>372</v>
      </c>
      <c r="D82" s="70" t="s">
        <v>219</v>
      </c>
      <c r="E82" s="70" t="s">
        <v>95</v>
      </c>
      <c r="F82" s="70" t="s">
        <v>19</v>
      </c>
      <c r="G82" s="70" t="s">
        <v>557</v>
      </c>
      <c r="H82" s="78">
        <v>44271</v>
      </c>
      <c r="I82" s="78">
        <v>44271</v>
      </c>
      <c r="J82" s="70">
        <v>9</v>
      </c>
      <c r="K82" s="70">
        <v>2</v>
      </c>
      <c r="L82" s="161">
        <f>IFERROR(VLOOKUP(J82, DATA!$A$4:$I$36, MATCH(K82, DATA!$B$3:$I$3, 0)+1, FALSE), "")</f>
        <v>24523</v>
      </c>
      <c r="M82" s="157">
        <v>2000</v>
      </c>
      <c r="N82" s="156">
        <f t="shared" si="21"/>
        <v>26523</v>
      </c>
      <c r="O82" s="73">
        <f t="shared" si="22"/>
        <v>2207.0700000000002</v>
      </c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3">
        <v>208.1</v>
      </c>
      <c r="AB82" s="73">
        <f>ROUND(IF(L82&gt;79999.99,900,IF(L82&lt;10000.01,137.5,IF(10000&lt;L82&gt;80000,L82*2.5%))),2)-0.01</f>
        <v>613.07000000000005</v>
      </c>
      <c r="AC82" s="79"/>
      <c r="AD82" s="79"/>
      <c r="AE82" s="73">
        <v>200</v>
      </c>
      <c r="AF82" s="79">
        <v>0</v>
      </c>
      <c r="AG82" s="80">
        <v>100</v>
      </c>
      <c r="AH82" s="80"/>
      <c r="AI82" s="80"/>
      <c r="AJ82" s="79"/>
      <c r="AK82" s="73"/>
      <c r="AL82" s="79"/>
      <c r="AM82" s="79"/>
      <c r="AN82" s="79"/>
      <c r="AO82" s="73"/>
      <c r="AP82" s="73"/>
      <c r="AQ82" s="73"/>
      <c r="AR82" s="73"/>
      <c r="AS82" s="79">
        <v>0</v>
      </c>
      <c r="AT82" s="79"/>
      <c r="AU82" s="79"/>
      <c r="AV82" s="79"/>
      <c r="AW82" s="79"/>
      <c r="AX82" s="79"/>
      <c r="AY82" s="79"/>
      <c r="AZ82" s="74">
        <f t="shared" si="23"/>
        <v>3328.24</v>
      </c>
      <c r="BA82" s="75">
        <f t="shared" si="24"/>
        <v>23194.76</v>
      </c>
      <c r="BB82" s="75">
        <f>ROUND(BA82/2,2)</f>
        <v>11597.38</v>
      </c>
      <c r="BC82" s="75">
        <f>BA82-BB82</f>
        <v>11597.38</v>
      </c>
      <c r="BD82" s="34"/>
      <c r="BI82" s="33"/>
    </row>
    <row r="83" spans="1:61" ht="14.25" customHeight="1" x14ac:dyDescent="0.35">
      <c r="A83" s="68">
        <f t="shared" si="25"/>
        <v>76</v>
      </c>
      <c r="B83" s="70" t="s">
        <v>413</v>
      </c>
      <c r="C83" s="70" t="s">
        <v>414</v>
      </c>
      <c r="D83" s="70" t="s">
        <v>224</v>
      </c>
      <c r="E83" s="70" t="s">
        <v>18</v>
      </c>
      <c r="F83" s="70" t="s">
        <v>415</v>
      </c>
      <c r="G83" s="70" t="s">
        <v>558</v>
      </c>
      <c r="H83" s="78">
        <v>32843</v>
      </c>
      <c r="I83" s="78">
        <v>44990</v>
      </c>
      <c r="J83" s="70">
        <v>28</v>
      </c>
      <c r="K83" s="70">
        <v>5</v>
      </c>
      <c r="L83" s="161">
        <f>IFERROR(VLOOKUP(J83, DATA!$A$4:$I$36, MATCH(K83, DATA!$B$3:$I$3, 0)+1, FALSE), "")</f>
        <v>177545</v>
      </c>
      <c r="M83" s="157">
        <v>2000</v>
      </c>
      <c r="N83" s="156">
        <f t="shared" si="21"/>
        <v>179545</v>
      </c>
      <c r="O83" s="73">
        <f t="shared" si="22"/>
        <v>15979.05</v>
      </c>
      <c r="P83" s="79"/>
      <c r="Q83" s="79"/>
      <c r="R83" s="79"/>
      <c r="S83" s="79"/>
      <c r="T83" s="79">
        <v>252</v>
      </c>
      <c r="U83" s="79"/>
      <c r="V83" s="79"/>
      <c r="W83" s="79"/>
      <c r="X83" s="79"/>
      <c r="Y83" s="79"/>
      <c r="Z83" s="79"/>
      <c r="AA83" s="73">
        <v>43056.83</v>
      </c>
      <c r="AB83" s="79">
        <v>2500</v>
      </c>
      <c r="AC83" s="79"/>
      <c r="AD83" s="79"/>
      <c r="AE83" s="73">
        <v>200</v>
      </c>
      <c r="AF83" s="79"/>
      <c r="AG83" s="79">
        <v>0</v>
      </c>
      <c r="AH83" s="79"/>
      <c r="AI83" s="79"/>
      <c r="AJ83" s="79"/>
      <c r="AK83" s="73"/>
      <c r="AL83" s="79"/>
      <c r="AM83" s="79"/>
      <c r="AN83" s="79"/>
      <c r="AO83" s="73"/>
      <c r="AP83" s="73"/>
      <c r="AQ83" s="73"/>
      <c r="AR83" s="73"/>
      <c r="AS83" s="79">
        <v>0</v>
      </c>
      <c r="AT83" s="79"/>
      <c r="AU83" s="79"/>
      <c r="AV83" s="79"/>
      <c r="AW83" s="79"/>
      <c r="AX83" s="79"/>
      <c r="AY83" s="79"/>
      <c r="AZ83" s="74">
        <f t="shared" si="23"/>
        <v>61987.88</v>
      </c>
      <c r="BA83" s="75">
        <f t="shared" si="24"/>
        <v>117557.12</v>
      </c>
      <c r="BB83" s="75">
        <f t="shared" si="17"/>
        <v>58778.559999999998</v>
      </c>
      <c r="BC83" s="75">
        <f t="shared" si="18"/>
        <v>58778.559999999998</v>
      </c>
      <c r="BD83" s="34"/>
    </row>
    <row r="84" spans="1:61" ht="14.25" customHeight="1" x14ac:dyDescent="0.35">
      <c r="A84" s="68">
        <f t="shared" si="25"/>
        <v>77</v>
      </c>
      <c r="B84" s="70" t="s">
        <v>387</v>
      </c>
      <c r="C84" s="70" t="s">
        <v>388</v>
      </c>
      <c r="D84" s="70" t="s">
        <v>239</v>
      </c>
      <c r="E84" s="70" t="s">
        <v>139</v>
      </c>
      <c r="F84" s="70" t="s">
        <v>35</v>
      </c>
      <c r="G84" s="70" t="s">
        <v>559</v>
      </c>
      <c r="H84" s="78">
        <v>44508</v>
      </c>
      <c r="I84" s="78">
        <v>45607</v>
      </c>
      <c r="J84" s="70">
        <v>15</v>
      </c>
      <c r="K84" s="70">
        <v>1</v>
      </c>
      <c r="L84" s="161">
        <f>IFERROR(VLOOKUP(J84, DATA!$A$4:$I$36, MATCH(K84, DATA!$B$3:$I$3, 0)+1, FALSE), "")</f>
        <v>42178</v>
      </c>
      <c r="M84" s="157">
        <v>2000</v>
      </c>
      <c r="N84" s="156">
        <f t="shared" si="21"/>
        <v>44178</v>
      </c>
      <c r="O84" s="73">
        <f t="shared" si="22"/>
        <v>3796.02</v>
      </c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3">
        <v>3695.42</v>
      </c>
      <c r="AB84" s="79">
        <f>ROUND(IF(L84&gt;79999.99,900,IF(L84&lt;10000.01,137.5,IF(10000&lt;L84&gt;80000,L84*2.5%))),2)</f>
        <v>1054.45</v>
      </c>
      <c r="AC84" s="79"/>
      <c r="AD84" s="79"/>
      <c r="AE84" s="73">
        <v>200</v>
      </c>
      <c r="AF84" s="79">
        <v>0</v>
      </c>
      <c r="AG84" s="79">
        <v>100</v>
      </c>
      <c r="AH84" s="79"/>
      <c r="AI84" s="79"/>
      <c r="AJ84" s="79"/>
      <c r="AK84" s="73"/>
      <c r="AL84" s="79"/>
      <c r="AM84" s="79"/>
      <c r="AN84" s="79"/>
      <c r="AO84" s="73"/>
      <c r="AP84" s="73"/>
      <c r="AQ84" s="73"/>
      <c r="AR84" s="73"/>
      <c r="AS84" s="79">
        <v>0</v>
      </c>
      <c r="AT84" s="79"/>
      <c r="AU84" s="79"/>
      <c r="AV84" s="79"/>
      <c r="AW84" s="79"/>
      <c r="AX84" s="79"/>
      <c r="AY84" s="79"/>
      <c r="AZ84" s="74">
        <f t="shared" si="23"/>
        <v>8845.89</v>
      </c>
      <c r="BA84" s="75">
        <f t="shared" si="24"/>
        <v>35332.11</v>
      </c>
      <c r="BB84" s="75">
        <f t="shared" si="17"/>
        <v>17666.060000000001</v>
      </c>
      <c r="BC84" s="75">
        <f t="shared" si="18"/>
        <v>17666.05</v>
      </c>
      <c r="BD84" s="34"/>
      <c r="BI84" s="33"/>
    </row>
    <row r="85" spans="1:61" ht="14.25" customHeight="1" x14ac:dyDescent="0.35">
      <c r="A85" s="68">
        <f t="shared" si="25"/>
        <v>78</v>
      </c>
      <c r="B85" s="70" t="s">
        <v>274</v>
      </c>
      <c r="C85" s="70" t="s">
        <v>311</v>
      </c>
      <c r="D85" s="70" t="s">
        <v>234</v>
      </c>
      <c r="E85" s="70" t="s">
        <v>37</v>
      </c>
      <c r="F85" s="70" t="s">
        <v>16</v>
      </c>
      <c r="G85" s="70" t="s">
        <v>560</v>
      </c>
      <c r="H85" s="78">
        <v>42422</v>
      </c>
      <c r="I85" s="78">
        <v>43549</v>
      </c>
      <c r="J85" s="70">
        <v>18</v>
      </c>
      <c r="K85" s="70">
        <v>3</v>
      </c>
      <c r="L85" s="161">
        <f>IFERROR(VLOOKUP(J85, DATA!$A$4:$I$36, MATCH(K85, DATA!$B$3:$I$3, 0)+1, FALSE), "")</f>
        <v>54933</v>
      </c>
      <c r="M85" s="157">
        <v>2000</v>
      </c>
      <c r="N85" s="156">
        <f t="shared" si="21"/>
        <v>56933</v>
      </c>
      <c r="O85" s="73">
        <f t="shared" si="22"/>
        <v>4943.97</v>
      </c>
      <c r="P85" s="79"/>
      <c r="Q85" s="79"/>
      <c r="R85" s="79"/>
      <c r="S85" s="79"/>
      <c r="T85" s="79"/>
      <c r="U85" s="79"/>
      <c r="V85" s="79"/>
      <c r="W85" s="79"/>
      <c r="X85" s="79"/>
      <c r="Y85" s="79">
        <v>9470.66</v>
      </c>
      <c r="Z85" s="79"/>
      <c r="AA85" s="73">
        <v>6245.67</v>
      </c>
      <c r="AB85" s="79">
        <f>ROUND(IF(L85&gt;79999.99,900,IF(L85&lt;10000.01,137.5,IF(10000&lt;L85&gt;80000,L85*2.5%))),2)-0.01</f>
        <v>1373.32</v>
      </c>
      <c r="AC85" s="79"/>
      <c r="AD85" s="79">
        <v>0</v>
      </c>
      <c r="AE85" s="73">
        <v>200</v>
      </c>
      <c r="AF85" s="79">
        <v>0</v>
      </c>
      <c r="AG85" s="79">
        <v>100</v>
      </c>
      <c r="AH85" s="79"/>
      <c r="AI85" s="79"/>
      <c r="AJ85" s="79"/>
      <c r="AK85" s="73"/>
      <c r="AL85" s="79"/>
      <c r="AM85" s="79"/>
      <c r="AN85" s="79"/>
      <c r="AO85" s="73"/>
      <c r="AP85" s="73"/>
      <c r="AQ85" s="73"/>
      <c r="AR85" s="73"/>
      <c r="AS85" s="79">
        <v>0</v>
      </c>
      <c r="AT85" s="79"/>
      <c r="AU85" s="79"/>
      <c r="AV85" s="79"/>
      <c r="AW85" s="79">
        <v>0</v>
      </c>
      <c r="AX85" s="79"/>
      <c r="AY85" s="79"/>
      <c r="AZ85" s="74">
        <f t="shared" si="23"/>
        <v>22333.62</v>
      </c>
      <c r="BA85" s="75">
        <f t="shared" si="24"/>
        <v>34599.379999999997</v>
      </c>
      <c r="BB85" s="75">
        <f t="shared" si="17"/>
        <v>17299.689999999999</v>
      </c>
      <c r="BC85" s="75">
        <f t="shared" si="18"/>
        <v>17299.689999999999</v>
      </c>
      <c r="BD85" s="34"/>
      <c r="BI85" s="34">
        <v>555.55555555555554</v>
      </c>
    </row>
    <row r="86" spans="1:61" ht="14.25" customHeight="1" x14ac:dyDescent="0.35">
      <c r="A86" s="68">
        <f t="shared" si="25"/>
        <v>79</v>
      </c>
      <c r="B86" s="70" t="s">
        <v>434</v>
      </c>
      <c r="C86" s="70" t="s">
        <v>384</v>
      </c>
      <c r="D86" s="70" t="s">
        <v>296</v>
      </c>
      <c r="E86" s="70" t="s">
        <v>462</v>
      </c>
      <c r="F86" s="70" t="s">
        <v>19</v>
      </c>
      <c r="G86" s="70" t="s">
        <v>561</v>
      </c>
      <c r="H86" s="78">
        <v>44508</v>
      </c>
      <c r="I86" s="78">
        <v>45659</v>
      </c>
      <c r="J86" s="70">
        <v>19</v>
      </c>
      <c r="K86" s="70">
        <v>1</v>
      </c>
      <c r="L86" s="161">
        <f>IFERROR(VLOOKUP(J86, DATA!$A$4:$I$36, MATCH(K86, DATA!$B$3:$I$3, 0)+1, FALSE), "")</f>
        <v>59153</v>
      </c>
      <c r="M86" s="157">
        <v>2000</v>
      </c>
      <c r="N86" s="156">
        <f t="shared" si="21"/>
        <v>61153</v>
      </c>
      <c r="O86" s="73">
        <f t="shared" si="22"/>
        <v>5323.77</v>
      </c>
      <c r="P86" s="79"/>
      <c r="Q86" s="79">
        <v>655.56</v>
      </c>
      <c r="R86" s="79"/>
      <c r="S86" s="79"/>
      <c r="T86" s="79"/>
      <c r="U86" s="79"/>
      <c r="V86" s="79"/>
      <c r="W86" s="79"/>
      <c r="X86" s="79"/>
      <c r="Y86" s="79"/>
      <c r="Z86" s="79"/>
      <c r="AA86" s="73">
        <v>7633.31</v>
      </c>
      <c r="AB86" s="79">
        <f>ROUND(IF(L86&gt;79999.99,900,IF(L86&lt;10000.01,137.5,IF(10000&lt;L86&gt;80000,L86*2.5%))),2)-0.01</f>
        <v>1478.82</v>
      </c>
      <c r="AC86" s="79">
        <v>1277.8800000000001</v>
      </c>
      <c r="AD86" s="79">
        <v>500</v>
      </c>
      <c r="AE86" s="73">
        <v>200</v>
      </c>
      <c r="AF86" s="79">
        <v>0</v>
      </c>
      <c r="AG86" s="80">
        <v>100</v>
      </c>
      <c r="AH86" s="80">
        <v>1336</v>
      </c>
      <c r="AI86" s="80"/>
      <c r="AJ86" s="79"/>
      <c r="AK86" s="73"/>
      <c r="AL86" s="79"/>
      <c r="AM86" s="79"/>
      <c r="AN86" s="79"/>
      <c r="AO86" s="73"/>
      <c r="AP86" s="73"/>
      <c r="AQ86" s="73"/>
      <c r="AR86" s="73"/>
      <c r="AS86" s="79">
        <v>0</v>
      </c>
      <c r="AT86" s="79"/>
      <c r="AU86" s="79"/>
      <c r="AV86" s="79"/>
      <c r="AW86" s="79"/>
      <c r="AX86" s="79"/>
      <c r="AY86" s="79"/>
      <c r="AZ86" s="74">
        <f t="shared" si="23"/>
        <v>18505.34</v>
      </c>
      <c r="BA86" s="75">
        <f t="shared" si="24"/>
        <v>42647.66</v>
      </c>
      <c r="BB86" s="75">
        <f>ROUND(BA86/2,2)</f>
        <v>21323.83</v>
      </c>
      <c r="BC86" s="75">
        <f>BA86-BB86</f>
        <v>21323.83</v>
      </c>
      <c r="BD86" s="34"/>
      <c r="BI86" s="33"/>
    </row>
    <row r="87" spans="1:61" ht="14.25" customHeight="1" x14ac:dyDescent="0.35">
      <c r="A87" s="68">
        <f t="shared" si="25"/>
        <v>80</v>
      </c>
      <c r="B87" s="88" t="s">
        <v>450</v>
      </c>
      <c r="C87" s="89" t="s">
        <v>451</v>
      </c>
      <c r="D87" s="89" t="s">
        <v>237</v>
      </c>
      <c r="E87" s="89" t="s">
        <v>60</v>
      </c>
      <c r="F87" s="89" t="s">
        <v>44</v>
      </c>
      <c r="G87" s="89" t="s">
        <v>562</v>
      </c>
      <c r="H87" s="90">
        <v>45611</v>
      </c>
      <c r="I87" s="90">
        <v>45611</v>
      </c>
      <c r="J87" s="89">
        <v>11</v>
      </c>
      <c r="K87" s="89">
        <v>1</v>
      </c>
      <c r="L87" s="161">
        <f>IFERROR(VLOOKUP(J87, DATA!$A$4:$I$36, MATCH(K87, DATA!$B$3:$I$3, 0)+1, FALSE), "")</f>
        <v>31705</v>
      </c>
      <c r="M87" s="157">
        <v>2000</v>
      </c>
      <c r="N87" s="156">
        <f t="shared" si="21"/>
        <v>33705</v>
      </c>
      <c r="O87" s="73">
        <f t="shared" si="22"/>
        <v>2853.45</v>
      </c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3">
        <v>1468.9</v>
      </c>
      <c r="AB87" s="79">
        <f>ROUND(IF(L87&gt;79999.99,900,IF(L87&lt;10000.01,137.5,IF(10000&lt;L87&gt;80000,L87*2.5%))),2)-0.01</f>
        <v>792.62</v>
      </c>
      <c r="AC87" s="79"/>
      <c r="AD87" s="79"/>
      <c r="AE87" s="73">
        <v>200</v>
      </c>
      <c r="AF87" s="79"/>
      <c r="AG87" s="80">
        <v>100</v>
      </c>
      <c r="AH87" s="80"/>
      <c r="AI87" s="80"/>
      <c r="AJ87" s="79"/>
      <c r="AK87" s="73"/>
      <c r="AL87" s="79"/>
      <c r="AM87" s="79"/>
      <c r="AN87" s="79"/>
      <c r="AO87" s="73"/>
      <c r="AP87" s="73"/>
      <c r="AQ87" s="73"/>
      <c r="AR87" s="73"/>
      <c r="AS87" s="79"/>
      <c r="AT87" s="79"/>
      <c r="AU87" s="79"/>
      <c r="AV87" s="79"/>
      <c r="AW87" s="79"/>
      <c r="AX87" s="79"/>
      <c r="AY87" s="79"/>
      <c r="AZ87" s="74">
        <f t="shared" si="23"/>
        <v>5414.97</v>
      </c>
      <c r="BA87" s="75">
        <f t="shared" si="24"/>
        <v>28290.03</v>
      </c>
      <c r="BB87" s="75">
        <f>ROUND(BA87/2,2)</f>
        <v>14145.02</v>
      </c>
      <c r="BC87" s="75">
        <f>BA87-BB87</f>
        <v>14145.009999999998</v>
      </c>
      <c r="BD87" s="34"/>
      <c r="BI87" s="33"/>
    </row>
    <row r="88" spans="1:61" ht="14.25" customHeight="1" x14ac:dyDescent="0.35">
      <c r="A88" s="68">
        <f t="shared" si="25"/>
        <v>81</v>
      </c>
      <c r="B88" s="70" t="s">
        <v>457</v>
      </c>
      <c r="C88" s="70" t="s">
        <v>458</v>
      </c>
      <c r="D88" s="70" t="s">
        <v>239</v>
      </c>
      <c r="E88" s="70" t="s">
        <v>97</v>
      </c>
      <c r="F88" s="70" t="s">
        <v>16</v>
      </c>
      <c r="G88" s="70" t="s">
        <v>563</v>
      </c>
      <c r="H88" s="78">
        <v>45670</v>
      </c>
      <c r="I88" s="78">
        <v>45670</v>
      </c>
      <c r="J88" s="70">
        <v>11</v>
      </c>
      <c r="K88" s="70">
        <v>1</v>
      </c>
      <c r="L88" s="161">
        <f>IFERROR(VLOOKUP(J88, DATA!$A$4:$I$36, MATCH(K88, DATA!$B$3:$I$3, 0)+1, FALSE), "")</f>
        <v>31705</v>
      </c>
      <c r="M88" s="157">
        <v>2000</v>
      </c>
      <c r="N88" s="156">
        <f>L88+M88</f>
        <v>33705</v>
      </c>
      <c r="O88" s="73">
        <f t="shared" si="22"/>
        <v>2853.45</v>
      </c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3">
        <v>1443.4</v>
      </c>
      <c r="AB88" s="73">
        <f>ROUND(IF(L88&gt;79999.99,900,IF(L88&lt;10000.01,137.5,IF(10000&lt;L88&gt;80000,L88*2.5%))),2)-0.01</f>
        <v>792.62</v>
      </c>
      <c r="AC88" s="79"/>
      <c r="AD88" s="79"/>
      <c r="AE88" s="73">
        <v>200</v>
      </c>
      <c r="AF88" s="79"/>
      <c r="AG88" s="73">
        <v>100</v>
      </c>
      <c r="AH88" s="79"/>
      <c r="AI88" s="79"/>
      <c r="AJ88" s="79"/>
      <c r="AK88" s="73">
        <v>1000</v>
      </c>
      <c r="AL88" s="79"/>
      <c r="AM88" s="79"/>
      <c r="AN88" s="79">
        <v>2000</v>
      </c>
      <c r="AO88" s="73">
        <v>527.29999999999995</v>
      </c>
      <c r="AP88" s="73">
        <v>496.79</v>
      </c>
      <c r="AQ88" s="73"/>
      <c r="AR88" s="73"/>
      <c r="AS88" s="79"/>
      <c r="AT88" s="79"/>
      <c r="AU88" s="79">
        <v>16652.95</v>
      </c>
      <c r="AV88" s="79"/>
      <c r="AW88" s="79"/>
      <c r="AX88" s="79"/>
      <c r="AY88" s="79"/>
      <c r="AZ88" s="74">
        <f t="shared" si="23"/>
        <v>26066.51</v>
      </c>
      <c r="BA88" s="75">
        <f t="shared" si="24"/>
        <v>7638.49</v>
      </c>
      <c r="BB88" s="75">
        <f>ROUND(BA88/2,2)</f>
        <v>3819.25</v>
      </c>
      <c r="BC88" s="75">
        <f>BA88-BB88</f>
        <v>3819.24</v>
      </c>
      <c r="BD88" s="34"/>
    </row>
    <row r="89" spans="1:61" ht="14.25" customHeight="1" x14ac:dyDescent="0.35">
      <c r="A89" s="68">
        <f t="shared" si="25"/>
        <v>82</v>
      </c>
      <c r="B89" s="70" t="s">
        <v>358</v>
      </c>
      <c r="C89" s="70" t="s">
        <v>359</v>
      </c>
      <c r="D89" s="70" t="s">
        <v>275</v>
      </c>
      <c r="E89" s="70" t="s">
        <v>410</v>
      </c>
      <c r="F89" s="70" t="s">
        <v>22</v>
      </c>
      <c r="G89" s="70" t="s">
        <v>564</v>
      </c>
      <c r="H89" s="78">
        <v>44075</v>
      </c>
      <c r="I89" s="78">
        <v>44986</v>
      </c>
      <c r="J89" s="70">
        <v>15</v>
      </c>
      <c r="K89" s="70">
        <v>1</v>
      </c>
      <c r="L89" s="161">
        <f>IFERROR(VLOOKUP(J89, DATA!$A$4:$I$36, MATCH(K89, DATA!$B$3:$I$3, 0)+1, FALSE), "")</f>
        <v>42178</v>
      </c>
      <c r="M89" s="157">
        <v>2000</v>
      </c>
      <c r="N89" s="156">
        <f t="shared" si="21"/>
        <v>44178</v>
      </c>
      <c r="O89" s="73">
        <f t="shared" si="22"/>
        <v>3796.02</v>
      </c>
      <c r="P89" s="79">
        <v>1000</v>
      </c>
      <c r="Q89" s="79">
        <v>1191.8800000000001</v>
      </c>
      <c r="R89" s="79"/>
      <c r="S89" s="79"/>
      <c r="T89" s="79"/>
      <c r="U89" s="79"/>
      <c r="V89" s="79">
        <v>5422.38</v>
      </c>
      <c r="W89" s="79">
        <v>1400</v>
      </c>
      <c r="X89" s="79"/>
      <c r="Y89" s="79"/>
      <c r="Z89" s="79"/>
      <c r="AA89" s="73">
        <v>3695.42</v>
      </c>
      <c r="AB89" s="73">
        <f>ROUND(IF(L89&gt;79999.99,900,IF(L89&lt;10000.01,137.5,IF(10000&lt;L89&gt;80000,L89*2.5%))),2)</f>
        <v>1054.45</v>
      </c>
      <c r="AC89" s="79"/>
      <c r="AD89" s="79"/>
      <c r="AE89" s="73">
        <v>200</v>
      </c>
      <c r="AF89" s="79">
        <v>0</v>
      </c>
      <c r="AG89" s="79">
        <v>100</v>
      </c>
      <c r="AH89" s="79"/>
      <c r="AI89" s="79"/>
      <c r="AJ89" s="79"/>
      <c r="AK89" s="73"/>
      <c r="AL89" s="79"/>
      <c r="AM89" s="79"/>
      <c r="AN89" s="79"/>
      <c r="AO89" s="73"/>
      <c r="AP89" s="73"/>
      <c r="AQ89" s="73"/>
      <c r="AR89" s="73"/>
      <c r="AS89" s="79">
        <v>0</v>
      </c>
      <c r="AT89" s="79"/>
      <c r="AU89" s="79">
        <v>11894.97</v>
      </c>
      <c r="AV89" s="79"/>
      <c r="AW89" s="79"/>
      <c r="AX89" s="79"/>
      <c r="AY89" s="79">
        <v>3034.72</v>
      </c>
      <c r="AZ89" s="74">
        <f t="shared" si="23"/>
        <v>32789.839999999997</v>
      </c>
      <c r="BA89" s="75">
        <f t="shared" si="24"/>
        <v>11388.16</v>
      </c>
      <c r="BB89" s="75">
        <f t="shared" si="17"/>
        <v>5694.08</v>
      </c>
      <c r="BC89" s="75">
        <f>BA89-BB89</f>
        <v>5694.08</v>
      </c>
      <c r="BD89" s="34"/>
    </row>
    <row r="90" spans="1:61" ht="14.25" customHeight="1" x14ac:dyDescent="0.35">
      <c r="A90" s="68">
        <f t="shared" si="25"/>
        <v>83</v>
      </c>
      <c r="B90" s="70" t="s">
        <v>232</v>
      </c>
      <c r="C90" s="70" t="s">
        <v>309</v>
      </c>
      <c r="D90" s="70" t="s">
        <v>224</v>
      </c>
      <c r="E90" s="70" t="s">
        <v>145</v>
      </c>
      <c r="F90" s="70" t="s">
        <v>35</v>
      </c>
      <c r="G90" s="70" t="s">
        <v>565</v>
      </c>
      <c r="H90" s="78">
        <v>42278</v>
      </c>
      <c r="I90" s="78">
        <v>43789</v>
      </c>
      <c r="J90" s="70">
        <v>18</v>
      </c>
      <c r="K90" s="70">
        <v>3</v>
      </c>
      <c r="L90" s="161">
        <f>IFERROR(VLOOKUP(J90, DATA!$A$4:$I$36, MATCH(K90, DATA!$B$3:$I$3, 0)+1, FALSE), "")</f>
        <v>54933</v>
      </c>
      <c r="M90" s="157">
        <v>2000</v>
      </c>
      <c r="N90" s="156">
        <f t="shared" si="21"/>
        <v>56933</v>
      </c>
      <c r="O90" s="73">
        <f t="shared" si="22"/>
        <v>4943.97</v>
      </c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3">
        <v>6595.75</v>
      </c>
      <c r="AB90" s="79">
        <f>ROUND(IF(L90&gt;79999.99,900,IF(L90&lt;10000.01,137.5,IF(10000&lt;L90&gt;80000,L90*2.5%))),2)-0.01</f>
        <v>1373.32</v>
      </c>
      <c r="AC90" s="79"/>
      <c r="AD90" s="79"/>
      <c r="AE90" s="73">
        <v>200</v>
      </c>
      <c r="AF90" s="79">
        <v>0</v>
      </c>
      <c r="AG90" s="79">
        <v>100</v>
      </c>
      <c r="AH90" s="79"/>
      <c r="AI90" s="79"/>
      <c r="AJ90" s="79"/>
      <c r="AK90" s="73"/>
      <c r="AL90" s="79"/>
      <c r="AM90" s="79"/>
      <c r="AN90" s="79"/>
      <c r="AO90" s="73"/>
      <c r="AP90" s="73"/>
      <c r="AQ90" s="73"/>
      <c r="AR90" s="73"/>
      <c r="AS90" s="79">
        <v>0</v>
      </c>
      <c r="AT90" s="79"/>
      <c r="AU90" s="79"/>
      <c r="AV90" s="79"/>
      <c r="AW90" s="79">
        <v>0</v>
      </c>
      <c r="AX90" s="79"/>
      <c r="AY90" s="79"/>
      <c r="AZ90" s="74">
        <f t="shared" si="23"/>
        <v>13213.04</v>
      </c>
      <c r="BA90" s="75">
        <f t="shared" si="24"/>
        <v>43719.96</v>
      </c>
      <c r="BB90" s="75">
        <f t="shared" si="17"/>
        <v>21859.98</v>
      </c>
      <c r="BC90" s="75">
        <f t="shared" si="18"/>
        <v>21859.98</v>
      </c>
      <c r="BD90" s="34"/>
      <c r="BI90" s="34">
        <v>3672.4027777777778</v>
      </c>
    </row>
    <row r="91" spans="1:61" ht="14.25" customHeight="1" x14ac:dyDescent="0.35">
      <c r="A91" s="68">
        <f t="shared" si="25"/>
        <v>84</v>
      </c>
      <c r="B91" s="70" t="s">
        <v>378</v>
      </c>
      <c r="C91" s="70" t="s">
        <v>379</v>
      </c>
      <c r="D91" s="70" t="s">
        <v>215</v>
      </c>
      <c r="E91" s="70" t="s">
        <v>75</v>
      </c>
      <c r="F91" s="70" t="s">
        <v>19</v>
      </c>
      <c r="G91" s="70" t="s">
        <v>566</v>
      </c>
      <c r="H91" s="78">
        <v>34781</v>
      </c>
      <c r="I91" s="78">
        <v>44291</v>
      </c>
      <c r="J91" s="70">
        <v>15</v>
      </c>
      <c r="K91" s="70">
        <v>2</v>
      </c>
      <c r="L91" s="161">
        <f>IFERROR(VLOOKUP(J91, DATA!$A$4:$I$36, MATCH(K91, DATA!$B$3:$I$3, 0)+1, FALSE), "")</f>
        <v>42594</v>
      </c>
      <c r="M91" s="157">
        <v>2000</v>
      </c>
      <c r="N91" s="156">
        <f t="shared" si="21"/>
        <v>44594</v>
      </c>
      <c r="O91" s="73">
        <f t="shared" si="22"/>
        <v>3833.46</v>
      </c>
      <c r="P91" s="79">
        <v>500</v>
      </c>
      <c r="Q91" s="79">
        <v>1311.12</v>
      </c>
      <c r="R91" s="79"/>
      <c r="S91" s="79"/>
      <c r="T91" s="79"/>
      <c r="U91" s="79"/>
      <c r="V91" s="80">
        <v>6325.92</v>
      </c>
      <c r="W91" s="172"/>
      <c r="X91" s="79">
        <v>1966.67</v>
      </c>
      <c r="Y91" s="79"/>
      <c r="Z91" s="79"/>
      <c r="AA91" s="73">
        <v>3791.96</v>
      </c>
      <c r="AB91" s="73">
        <f>ROUND(IF(L91&gt;79999.99,900,IF(L91&lt;10000.01,137.5,IF(10000&lt;L91&gt;80000,L91*2.5%))),2)</f>
        <v>1064.8499999999999</v>
      </c>
      <c r="AC91" s="81"/>
      <c r="AD91" s="79"/>
      <c r="AE91" s="73">
        <v>200</v>
      </c>
      <c r="AF91" s="79">
        <v>0</v>
      </c>
      <c r="AG91" s="79"/>
      <c r="AH91" s="79"/>
      <c r="AI91" s="79"/>
      <c r="AJ91" s="79"/>
      <c r="AK91" s="73"/>
      <c r="AL91" s="79"/>
      <c r="AM91" s="79"/>
      <c r="AN91" s="79"/>
      <c r="AO91" s="73"/>
      <c r="AP91" s="73"/>
      <c r="AQ91" s="73"/>
      <c r="AR91" s="73"/>
      <c r="AS91" s="79">
        <v>0</v>
      </c>
      <c r="AT91" s="79">
        <v>7180.79</v>
      </c>
      <c r="AU91" s="79">
        <v>11894.97</v>
      </c>
      <c r="AV91" s="79"/>
      <c r="AW91" s="79"/>
      <c r="AX91" s="81"/>
      <c r="AY91" s="81"/>
      <c r="AZ91" s="74">
        <f t="shared" si="23"/>
        <v>38069.74</v>
      </c>
      <c r="BA91" s="75">
        <f t="shared" si="24"/>
        <v>6524.26</v>
      </c>
      <c r="BB91" s="75">
        <f t="shared" si="17"/>
        <v>3262.13</v>
      </c>
      <c r="BC91" s="75">
        <f t="shared" si="18"/>
        <v>3262.13</v>
      </c>
      <c r="BD91" s="34"/>
      <c r="BI91" s="33"/>
    </row>
    <row r="92" spans="1:61" ht="14.25" customHeight="1" x14ac:dyDescent="0.35">
      <c r="A92" s="68">
        <f t="shared" si="25"/>
        <v>85</v>
      </c>
      <c r="B92" s="70" t="s">
        <v>430</v>
      </c>
      <c r="C92" s="70" t="s">
        <v>431</v>
      </c>
      <c r="D92" s="70" t="s">
        <v>218</v>
      </c>
      <c r="E92" s="70" t="s">
        <v>95</v>
      </c>
      <c r="F92" s="70" t="s">
        <v>19</v>
      </c>
      <c r="G92" s="70" t="s">
        <v>567</v>
      </c>
      <c r="H92" s="78">
        <v>45236</v>
      </c>
      <c r="I92" s="78">
        <v>45236</v>
      </c>
      <c r="J92" s="70">
        <v>9</v>
      </c>
      <c r="K92" s="70">
        <v>1</v>
      </c>
      <c r="L92" s="161">
        <f>IFERROR(VLOOKUP(J92, DATA!$A$4:$I$36, MATCH(K92, DATA!$B$3:$I$3, 0)+1, FALSE), "")</f>
        <v>24329</v>
      </c>
      <c r="M92" s="157">
        <v>2000</v>
      </c>
      <c r="N92" s="156">
        <f t="shared" si="21"/>
        <v>26329</v>
      </c>
      <c r="O92" s="73">
        <f t="shared" si="22"/>
        <v>2189.61</v>
      </c>
      <c r="P92" s="79"/>
      <c r="Q92" s="79"/>
      <c r="R92" s="79"/>
      <c r="S92" s="79"/>
      <c r="T92" s="79"/>
      <c r="U92" s="79"/>
      <c r="V92" s="80"/>
      <c r="W92" s="80"/>
      <c r="X92" s="80"/>
      <c r="Y92" s="79"/>
      <c r="Z92" s="79"/>
      <c r="AA92" s="73">
        <v>163.11000000000001</v>
      </c>
      <c r="AB92" s="73">
        <f>ROUND(IF(L92&gt;79999.99,900,IF(L92&lt;10000.01,137.5,IF(10000&lt;L92&gt;80000,L92*2.5%))),2)-0.01</f>
        <v>608.22</v>
      </c>
      <c r="AC92" s="79"/>
      <c r="AD92" s="79">
        <v>1000</v>
      </c>
      <c r="AE92" s="79">
        <v>600</v>
      </c>
      <c r="AF92" s="79">
        <v>0</v>
      </c>
      <c r="AG92" s="79">
        <v>100</v>
      </c>
      <c r="AH92" s="79"/>
      <c r="AI92" s="79"/>
      <c r="AJ92" s="79"/>
      <c r="AK92" s="73"/>
      <c r="AL92" s="79">
        <v>100</v>
      </c>
      <c r="AM92" s="79"/>
      <c r="AN92" s="79"/>
      <c r="AO92" s="73"/>
      <c r="AP92" s="73"/>
      <c r="AQ92" s="73"/>
      <c r="AR92" s="73"/>
      <c r="AS92" s="79"/>
      <c r="AT92" s="79"/>
      <c r="AU92" s="79"/>
      <c r="AV92" s="79"/>
      <c r="AW92" s="79"/>
      <c r="AX92" s="79"/>
      <c r="AY92" s="79"/>
      <c r="AZ92" s="74">
        <f t="shared" si="23"/>
        <v>4760.9399999999996</v>
      </c>
      <c r="BA92" s="75">
        <f t="shared" si="24"/>
        <v>21568.06</v>
      </c>
      <c r="BB92" s="75">
        <f t="shared" si="17"/>
        <v>10784.03</v>
      </c>
      <c r="BC92" s="75">
        <f t="shared" si="18"/>
        <v>10784.03</v>
      </c>
      <c r="BD92" s="34"/>
      <c r="BI92" s="33"/>
    </row>
    <row r="93" spans="1:61" ht="14.25" customHeight="1" x14ac:dyDescent="0.35">
      <c r="A93" s="68">
        <f t="shared" si="25"/>
        <v>86</v>
      </c>
      <c r="B93" s="70" t="s">
        <v>443</v>
      </c>
      <c r="C93" s="70" t="s">
        <v>444</v>
      </c>
      <c r="D93" s="70" t="s">
        <v>234</v>
      </c>
      <c r="E93" s="70" t="s">
        <v>60</v>
      </c>
      <c r="F93" s="70" t="s">
        <v>44</v>
      </c>
      <c r="G93" s="70" t="s">
        <v>568</v>
      </c>
      <c r="H93" s="78">
        <v>45376</v>
      </c>
      <c r="I93" s="78">
        <v>45376</v>
      </c>
      <c r="J93" s="70">
        <v>11</v>
      </c>
      <c r="K93" s="70">
        <v>1</v>
      </c>
      <c r="L93" s="161">
        <f>IFERROR(VLOOKUP(J93, DATA!$A$4:$I$36, MATCH(K93, DATA!$B$3:$I$3, 0)+1, FALSE), "")</f>
        <v>31705</v>
      </c>
      <c r="M93" s="155">
        <v>2000</v>
      </c>
      <c r="N93" s="156">
        <f t="shared" si="21"/>
        <v>33705</v>
      </c>
      <c r="O93" s="73">
        <f t="shared" si="22"/>
        <v>2853.45</v>
      </c>
      <c r="P93" s="79"/>
      <c r="Q93" s="79"/>
      <c r="R93" s="79"/>
      <c r="S93" s="79"/>
      <c r="T93" s="79"/>
      <c r="U93" s="79"/>
      <c r="V93" s="80"/>
      <c r="W93" s="80"/>
      <c r="X93" s="80"/>
      <c r="Y93" s="79"/>
      <c r="Z93" s="79"/>
      <c r="AA93" s="73">
        <v>1468.9</v>
      </c>
      <c r="AB93" s="73">
        <f>ROUND(IF(L93&gt;79999.99,900,IF(L93&lt;10000.01,137.5,IF(10000&lt;L93&gt;80000,L93*2.5%))),2)-0.01</f>
        <v>792.62</v>
      </c>
      <c r="AC93" s="79"/>
      <c r="AD93" s="79"/>
      <c r="AE93" s="73">
        <v>200</v>
      </c>
      <c r="AF93" s="79"/>
      <c r="AG93" s="79">
        <v>100</v>
      </c>
      <c r="AH93" s="79"/>
      <c r="AI93" s="79"/>
      <c r="AJ93" s="79"/>
      <c r="AK93" s="73"/>
      <c r="AL93" s="79"/>
      <c r="AM93" s="79"/>
      <c r="AN93" s="79"/>
      <c r="AO93" s="73"/>
      <c r="AP93" s="73"/>
      <c r="AQ93" s="73"/>
      <c r="AR93" s="73"/>
      <c r="AS93" s="79"/>
      <c r="AT93" s="79"/>
      <c r="AU93" s="79">
        <v>3321.43</v>
      </c>
      <c r="AV93" s="79"/>
      <c r="AW93" s="79"/>
      <c r="AX93" s="79"/>
      <c r="AY93" s="79">
        <v>3034.72</v>
      </c>
      <c r="AZ93" s="74">
        <f t="shared" si="23"/>
        <v>11771.12</v>
      </c>
      <c r="BA93" s="75">
        <f t="shared" si="24"/>
        <v>21933.88</v>
      </c>
      <c r="BB93" s="75">
        <f>ROUND(BA93/2,2)</f>
        <v>10966.94</v>
      </c>
      <c r="BC93" s="75">
        <f>BA93-BB93</f>
        <v>10966.94</v>
      </c>
      <c r="BD93" s="34"/>
      <c r="BI93" s="33"/>
    </row>
    <row r="94" spans="1:61" ht="14.25" customHeight="1" x14ac:dyDescent="0.35">
      <c r="A94" s="68">
        <f t="shared" si="25"/>
        <v>87</v>
      </c>
      <c r="B94" s="70" t="s">
        <v>290</v>
      </c>
      <c r="C94" s="70" t="s">
        <v>289</v>
      </c>
      <c r="D94" s="70" t="s">
        <v>239</v>
      </c>
      <c r="E94" s="70" t="s">
        <v>123</v>
      </c>
      <c r="F94" s="70" t="s">
        <v>35</v>
      </c>
      <c r="G94" s="70" t="s">
        <v>569</v>
      </c>
      <c r="H94" s="78">
        <v>31600</v>
      </c>
      <c r="I94" s="78">
        <v>42138</v>
      </c>
      <c r="J94" s="70">
        <v>24</v>
      </c>
      <c r="K94" s="70">
        <v>4</v>
      </c>
      <c r="L94" s="161">
        <f>IFERROR(VLOOKUP(J94, DATA!$A$4:$I$36, MATCH(K94, DATA!$B$3:$I$3, 0)+1, FALSE), "")</f>
        <v>107500</v>
      </c>
      <c r="M94" s="157">
        <v>2000</v>
      </c>
      <c r="N94" s="156">
        <f t="shared" si="21"/>
        <v>109500</v>
      </c>
      <c r="O94" s="73">
        <f t="shared" si="22"/>
        <v>9675</v>
      </c>
      <c r="P94" s="79">
        <v>1000</v>
      </c>
      <c r="Q94" s="79">
        <v>777.44</v>
      </c>
      <c r="R94" s="79"/>
      <c r="S94" s="79">
        <v>0</v>
      </c>
      <c r="T94" s="79"/>
      <c r="U94" s="79"/>
      <c r="V94" s="79">
        <v>16026.83</v>
      </c>
      <c r="W94" s="79"/>
      <c r="X94" s="79"/>
      <c r="Y94" s="79">
        <v>9634.44</v>
      </c>
      <c r="Z94" s="79"/>
      <c r="AA94" s="73">
        <v>21256.81</v>
      </c>
      <c r="AB94" s="79">
        <v>2500</v>
      </c>
      <c r="AC94" s="79">
        <v>10017.81</v>
      </c>
      <c r="AD94" s="79">
        <v>0</v>
      </c>
      <c r="AE94" s="73">
        <v>200</v>
      </c>
      <c r="AF94" s="79"/>
      <c r="AG94" s="79">
        <v>100</v>
      </c>
      <c r="AH94" s="79">
        <v>1336</v>
      </c>
      <c r="AI94" s="79"/>
      <c r="AJ94" s="79"/>
      <c r="AK94" s="73">
        <v>1000</v>
      </c>
      <c r="AL94" s="79">
        <v>100</v>
      </c>
      <c r="AM94" s="79">
        <v>6667</v>
      </c>
      <c r="AN94" s="79"/>
      <c r="AO94" s="73"/>
      <c r="AP94" s="73"/>
      <c r="AQ94" s="73"/>
      <c r="AR94" s="73"/>
      <c r="AS94" s="79"/>
      <c r="AT94" s="79"/>
      <c r="AU94" s="79"/>
      <c r="AV94" s="79"/>
      <c r="AW94" s="79">
        <v>0</v>
      </c>
      <c r="AX94" s="79"/>
      <c r="AY94" s="79">
        <v>5790.11</v>
      </c>
      <c r="AZ94" s="74">
        <f t="shared" si="23"/>
        <v>86081.44</v>
      </c>
      <c r="BA94" s="75">
        <f t="shared" si="24"/>
        <v>23418.560000000001</v>
      </c>
      <c r="BB94" s="75">
        <f>ROUND(BA94/2,2)</f>
        <v>11709.28</v>
      </c>
      <c r="BC94" s="75">
        <f>BA94-BB94</f>
        <v>11709.28</v>
      </c>
      <c r="BD94" s="34"/>
      <c r="BI94" s="34">
        <v>2000</v>
      </c>
    </row>
    <row r="95" spans="1:61" ht="14.25" customHeight="1" x14ac:dyDescent="0.35">
      <c r="A95" s="68">
        <f t="shared" si="25"/>
        <v>88</v>
      </c>
      <c r="B95" s="70" t="s">
        <v>280</v>
      </c>
      <c r="C95" s="70" t="s">
        <v>312</v>
      </c>
      <c r="D95" s="70" t="s">
        <v>279</v>
      </c>
      <c r="E95" s="70" t="s">
        <v>60</v>
      </c>
      <c r="F95" s="70" t="s">
        <v>22</v>
      </c>
      <c r="G95" s="76" t="s">
        <v>570</v>
      </c>
      <c r="H95" s="77">
        <v>42998</v>
      </c>
      <c r="I95" s="77">
        <v>42998</v>
      </c>
      <c r="J95" s="76">
        <v>11</v>
      </c>
      <c r="K95" s="76">
        <v>3</v>
      </c>
      <c r="L95" s="161">
        <f>IFERROR(VLOOKUP(J95, DATA!$A$4:$I$36, MATCH(K95, DATA!$B$3:$I$3, 0)+1, FALSE), "")</f>
        <v>32109</v>
      </c>
      <c r="M95" s="157">
        <v>2000</v>
      </c>
      <c r="N95" s="156">
        <f t="shared" si="21"/>
        <v>34109</v>
      </c>
      <c r="O95" s="73">
        <f t="shared" si="22"/>
        <v>2889.81</v>
      </c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3">
        <v>1537.23</v>
      </c>
      <c r="AB95" s="73">
        <f>ROUND(IF(L95&gt;79999.99,900,IF(L95&lt;10000.01,137.5,IF(10000&lt;L95&gt;80000,L95*2.5%))),2)-0.01</f>
        <v>802.72</v>
      </c>
      <c r="AC95" s="79"/>
      <c r="AD95" s="79"/>
      <c r="AE95" s="79">
        <v>500</v>
      </c>
      <c r="AF95" s="79">
        <v>0</v>
      </c>
      <c r="AG95" s="79">
        <v>100</v>
      </c>
      <c r="AH95" s="79"/>
      <c r="AI95" s="79"/>
      <c r="AJ95" s="79"/>
      <c r="AK95" s="73"/>
      <c r="AL95" s="79"/>
      <c r="AM95" s="79"/>
      <c r="AN95" s="79">
        <v>2000</v>
      </c>
      <c r="AO95" s="73">
        <v>461.39</v>
      </c>
      <c r="AP95" s="73">
        <v>704.35</v>
      </c>
      <c r="AQ95" s="73"/>
      <c r="AR95" s="73"/>
      <c r="AS95" s="79">
        <v>0</v>
      </c>
      <c r="AT95" s="79"/>
      <c r="AU95" s="79"/>
      <c r="AV95" s="79"/>
      <c r="AW95" s="79">
        <v>0</v>
      </c>
      <c r="AX95" s="79"/>
      <c r="AY95" s="79">
        <v>5674.93</v>
      </c>
      <c r="AZ95" s="74">
        <f t="shared" si="23"/>
        <v>14670.43</v>
      </c>
      <c r="BA95" s="75">
        <f t="shared" si="24"/>
        <v>19438.57</v>
      </c>
      <c r="BB95" s="75">
        <f>ROUND(BA95/2,2)</f>
        <v>9719.2900000000009</v>
      </c>
      <c r="BC95" s="75">
        <f>BA95-BB95</f>
        <v>9719.2799999999988</v>
      </c>
      <c r="BD95" s="34"/>
      <c r="BI95" s="34">
        <v>0</v>
      </c>
    </row>
    <row r="96" spans="1:61" ht="14.25" customHeight="1" x14ac:dyDescent="0.35">
      <c r="A96" s="68">
        <f t="shared" si="25"/>
        <v>89</v>
      </c>
      <c r="B96" s="70" t="s">
        <v>254</v>
      </c>
      <c r="C96" s="70" t="s">
        <v>253</v>
      </c>
      <c r="D96" s="70" t="s">
        <v>213</v>
      </c>
      <c r="E96" s="70" t="s">
        <v>407</v>
      </c>
      <c r="F96" s="70" t="s">
        <v>44</v>
      </c>
      <c r="G96" s="70" t="s">
        <v>571</v>
      </c>
      <c r="H96" s="78">
        <v>32692</v>
      </c>
      <c r="I96" s="78">
        <v>42138</v>
      </c>
      <c r="J96" s="70">
        <v>24</v>
      </c>
      <c r="K96" s="70">
        <v>4</v>
      </c>
      <c r="L96" s="161">
        <f>IFERROR(VLOOKUP(J96, DATA!$A$4:$I$36, MATCH(K96, DATA!$B$3:$I$3, 0)+1, FALSE), "")</f>
        <v>107500</v>
      </c>
      <c r="M96" s="157">
        <v>2000</v>
      </c>
      <c r="N96" s="156">
        <f t="shared" si="21"/>
        <v>109500</v>
      </c>
      <c r="O96" s="73">
        <f t="shared" si="22"/>
        <v>9675</v>
      </c>
      <c r="P96" s="79">
        <v>1000</v>
      </c>
      <c r="Q96" s="79">
        <v>1194.51</v>
      </c>
      <c r="R96" s="79"/>
      <c r="S96" s="80">
        <v>13035.54</v>
      </c>
      <c r="T96" s="79"/>
      <c r="U96" s="79"/>
      <c r="V96" s="79"/>
      <c r="W96" s="79">
        <v>2422.2199999999998</v>
      </c>
      <c r="X96" s="79"/>
      <c r="Y96" s="79">
        <v>9634.44</v>
      </c>
      <c r="Z96" s="79"/>
      <c r="AA96" s="73">
        <v>21256.81</v>
      </c>
      <c r="AB96" s="79">
        <v>2500</v>
      </c>
      <c r="AC96" s="81"/>
      <c r="AD96" s="79">
        <v>0</v>
      </c>
      <c r="AE96" s="73">
        <v>200</v>
      </c>
      <c r="AF96" s="79">
        <v>800</v>
      </c>
      <c r="AG96" s="79">
        <v>100</v>
      </c>
      <c r="AH96" s="79"/>
      <c r="AI96" s="79"/>
      <c r="AJ96" s="79"/>
      <c r="AK96" s="73"/>
      <c r="AL96" s="79"/>
      <c r="AM96" s="79"/>
      <c r="AN96" s="79"/>
      <c r="AO96" s="73"/>
      <c r="AP96" s="73"/>
      <c r="AQ96" s="73"/>
      <c r="AR96" s="73"/>
      <c r="AS96" s="79">
        <v>1537.37</v>
      </c>
      <c r="AT96" s="79"/>
      <c r="AU96" s="79"/>
      <c r="AV96" s="79"/>
      <c r="AW96" s="79">
        <v>0</v>
      </c>
      <c r="AX96" s="79">
        <v>2877.71</v>
      </c>
      <c r="AY96" s="79">
        <v>5857.62</v>
      </c>
      <c r="AZ96" s="74">
        <f t="shared" si="23"/>
        <v>72091.22</v>
      </c>
      <c r="BA96" s="75">
        <f t="shared" si="24"/>
        <v>37408.78</v>
      </c>
      <c r="BB96" s="75">
        <f>ROUND(BA96/2,2)</f>
        <v>18704.39</v>
      </c>
      <c r="BC96" s="75">
        <f>BA96-BB96</f>
        <v>18704.39</v>
      </c>
      <c r="BD96" s="34"/>
      <c r="BI96" s="34">
        <v>2977.98</v>
      </c>
    </row>
    <row r="97" spans="1:61" ht="14.25" customHeight="1" x14ac:dyDescent="0.35">
      <c r="A97" s="68">
        <f t="shared" si="25"/>
        <v>90</v>
      </c>
      <c r="B97" s="70" t="s">
        <v>382</v>
      </c>
      <c r="C97" s="70" t="s">
        <v>255</v>
      </c>
      <c r="D97" s="70" t="s">
        <v>213</v>
      </c>
      <c r="E97" s="70" t="s">
        <v>157</v>
      </c>
      <c r="F97" s="70" t="s">
        <v>44</v>
      </c>
      <c r="G97" s="70" t="s">
        <v>572</v>
      </c>
      <c r="H97" s="78">
        <v>42156</v>
      </c>
      <c r="I97" s="78">
        <v>44459</v>
      </c>
      <c r="J97" s="70">
        <v>22</v>
      </c>
      <c r="K97" s="70">
        <v>2</v>
      </c>
      <c r="L97" s="161">
        <f>IFERROR(VLOOKUP(J97, DATA!$A$4:$I$36, MATCH(K97, DATA!$B$3:$I$3, 0)+1, FALSE), "")</f>
        <v>82963</v>
      </c>
      <c r="M97" s="157">
        <v>2000</v>
      </c>
      <c r="N97" s="156">
        <f t="shared" si="21"/>
        <v>84963</v>
      </c>
      <c r="O97" s="73">
        <f t="shared" si="22"/>
        <v>7466.67</v>
      </c>
      <c r="P97" s="79"/>
      <c r="Q97" s="79"/>
      <c r="R97" s="79"/>
      <c r="S97" s="80"/>
      <c r="T97" s="79"/>
      <c r="U97" s="79"/>
      <c r="V97" s="79"/>
      <c r="W97" s="79"/>
      <c r="X97" s="79"/>
      <c r="Y97" s="79">
        <v>9634.44</v>
      </c>
      <c r="Z97" s="79"/>
      <c r="AA97" s="73">
        <v>14126.7</v>
      </c>
      <c r="AB97" s="73">
        <f>L97*2.5%-0.01</f>
        <v>2074.0650000000001</v>
      </c>
      <c r="AC97" s="79"/>
      <c r="AD97" s="79"/>
      <c r="AE97" s="73">
        <v>200</v>
      </c>
      <c r="AF97" s="79">
        <v>0</v>
      </c>
      <c r="AG97" s="79">
        <v>100</v>
      </c>
      <c r="AH97" s="79"/>
      <c r="AI97" s="79"/>
      <c r="AJ97" s="79"/>
      <c r="AK97" s="73"/>
      <c r="AL97" s="79">
        <v>1000</v>
      </c>
      <c r="AM97" s="79"/>
      <c r="AN97" s="79"/>
      <c r="AO97" s="79"/>
      <c r="AP97" s="79"/>
      <c r="AQ97" s="79"/>
      <c r="AR97" s="79"/>
      <c r="AS97" s="79">
        <v>0</v>
      </c>
      <c r="AT97" s="79"/>
      <c r="AU97" s="79"/>
      <c r="AV97" s="79">
        <v>9761.15</v>
      </c>
      <c r="AW97" s="79"/>
      <c r="AX97" s="79"/>
      <c r="AY97" s="79"/>
      <c r="AZ97" s="74">
        <f t="shared" si="23"/>
        <v>44363.03</v>
      </c>
      <c r="BA97" s="75">
        <f t="shared" si="24"/>
        <v>40599.97</v>
      </c>
      <c r="BB97" s="75">
        <f>ROUND(BA97/2,2)</f>
        <v>20299.990000000002</v>
      </c>
      <c r="BC97" s="75">
        <f>BA97-BB97</f>
        <v>20299.98</v>
      </c>
      <c r="BD97" s="34"/>
    </row>
    <row r="98" spans="1:61" s="92" customFormat="1" ht="15.75" customHeight="1" x14ac:dyDescent="0.35">
      <c r="A98" s="91"/>
      <c r="B98" s="197" t="s">
        <v>328</v>
      </c>
      <c r="C98" s="197"/>
      <c r="D98" s="197"/>
      <c r="H98" s="93"/>
      <c r="I98" s="93"/>
      <c r="L98" s="166">
        <f>SUM(L8:L97)</f>
        <v>3921427</v>
      </c>
      <c r="M98" s="94">
        <f t="shared" ref="M98:BC98" si="28">SUM(M8:M97)</f>
        <v>180000</v>
      </c>
      <c r="N98" s="95">
        <f>SUM(N8:N97)</f>
        <v>4101427</v>
      </c>
      <c r="O98" s="95">
        <f t="shared" si="28"/>
        <v>352928.43000000011</v>
      </c>
      <c r="P98" s="94">
        <f t="shared" si="28"/>
        <v>9268</v>
      </c>
      <c r="Q98" s="94">
        <f t="shared" si="28"/>
        <v>26046.380000000005</v>
      </c>
      <c r="R98" s="94">
        <f t="shared" si="28"/>
        <v>2040.79</v>
      </c>
      <c r="S98" s="94">
        <f t="shared" si="28"/>
        <v>30508.48</v>
      </c>
      <c r="T98" s="94">
        <f t="shared" si="28"/>
        <v>515.21</v>
      </c>
      <c r="U98" s="94">
        <f t="shared" si="28"/>
        <v>500</v>
      </c>
      <c r="V98" s="94">
        <f t="shared" si="28"/>
        <v>193550.19</v>
      </c>
      <c r="W98" s="94">
        <f t="shared" si="28"/>
        <v>20916.660000000003</v>
      </c>
      <c r="X98" s="94">
        <f t="shared" si="28"/>
        <v>23600.039999999994</v>
      </c>
      <c r="Y98" s="94">
        <f t="shared" si="28"/>
        <v>138098.27000000002</v>
      </c>
      <c r="Z98" s="94">
        <f t="shared" si="28"/>
        <v>0</v>
      </c>
      <c r="AA98" s="94">
        <f t="shared" si="28"/>
        <v>405631.50999999995</v>
      </c>
      <c r="AB98" s="94">
        <f t="shared" si="28"/>
        <v>94498.335000000021</v>
      </c>
      <c r="AC98" s="94">
        <f t="shared" si="28"/>
        <v>56694.86</v>
      </c>
      <c r="AD98" s="94">
        <f t="shared" si="28"/>
        <v>33700</v>
      </c>
      <c r="AE98" s="94">
        <f t="shared" si="28"/>
        <v>27000</v>
      </c>
      <c r="AF98" s="94">
        <f t="shared" si="28"/>
        <v>6600</v>
      </c>
      <c r="AG98" s="94">
        <f t="shared" si="28"/>
        <v>8700</v>
      </c>
      <c r="AH98" s="94">
        <f t="shared" si="28"/>
        <v>12024</v>
      </c>
      <c r="AI98" s="94">
        <f t="shared" si="28"/>
        <v>0</v>
      </c>
      <c r="AJ98" s="94">
        <f t="shared" si="28"/>
        <v>400</v>
      </c>
      <c r="AK98" s="94">
        <f t="shared" si="28"/>
        <v>4000</v>
      </c>
      <c r="AL98" s="94">
        <f t="shared" si="28"/>
        <v>6000</v>
      </c>
      <c r="AM98" s="94">
        <f t="shared" si="28"/>
        <v>26167</v>
      </c>
      <c r="AN98" s="94">
        <f t="shared" si="28"/>
        <v>27000</v>
      </c>
      <c r="AO98" s="94">
        <f t="shared" si="28"/>
        <v>6657.1900000000005</v>
      </c>
      <c r="AP98" s="94">
        <f t="shared" si="28"/>
        <v>8326.3000000000011</v>
      </c>
      <c r="AQ98" s="94">
        <f t="shared" si="28"/>
        <v>0</v>
      </c>
      <c r="AR98" s="94">
        <f t="shared" si="28"/>
        <v>0</v>
      </c>
      <c r="AS98" s="94">
        <f t="shared" si="28"/>
        <v>15887.59</v>
      </c>
      <c r="AT98" s="94">
        <f t="shared" si="28"/>
        <v>64874.14</v>
      </c>
      <c r="AU98" s="94">
        <f t="shared" si="28"/>
        <v>117988.90999999999</v>
      </c>
      <c r="AV98" s="94">
        <f t="shared" si="28"/>
        <v>9761.15</v>
      </c>
      <c r="AW98" s="94">
        <f t="shared" si="28"/>
        <v>1525</v>
      </c>
      <c r="AX98" s="94">
        <f t="shared" si="28"/>
        <v>9401.4500000000007</v>
      </c>
      <c r="AY98" s="94">
        <f t="shared" si="28"/>
        <v>156072.49</v>
      </c>
      <c r="AZ98" s="94">
        <f>SUM(AZ8:AZ97)</f>
        <v>1896882.38</v>
      </c>
      <c r="BA98" s="94">
        <f t="shared" si="28"/>
        <v>2204544.6199999996</v>
      </c>
      <c r="BB98" s="94">
        <f t="shared" si="28"/>
        <v>1102272.5699999998</v>
      </c>
      <c r="BC98" s="94">
        <f t="shared" si="28"/>
        <v>1102272.0499999996</v>
      </c>
      <c r="BE98" s="96"/>
      <c r="BF98" s="96"/>
      <c r="BI98" s="97">
        <v>125948.2511805556</v>
      </c>
    </row>
    <row r="99" spans="1:61" s="99" customFormat="1" ht="15" customHeight="1" x14ac:dyDescent="0.35">
      <c r="A99" s="98"/>
      <c r="H99" s="100"/>
      <c r="I99" s="100"/>
      <c r="L99" s="167"/>
      <c r="M99" s="158"/>
      <c r="N99" s="159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6"/>
      <c r="AS99" s="182"/>
      <c r="AT99" s="182"/>
      <c r="AU99" s="182"/>
      <c r="AV99" s="182"/>
      <c r="AW99" s="182"/>
      <c r="AX99" s="182"/>
      <c r="AY99" s="182"/>
      <c r="AZ99" s="182"/>
      <c r="BA99" s="182"/>
      <c r="BB99" s="183"/>
      <c r="BC99" s="184"/>
      <c r="BI99" s="102"/>
    </row>
    <row r="100" spans="1:61" s="99" customFormat="1" ht="15" customHeight="1" x14ac:dyDescent="0.5">
      <c r="A100" s="98"/>
      <c r="B100" s="103"/>
      <c r="E100" s="103"/>
      <c r="H100" s="100"/>
      <c r="I100" s="100"/>
      <c r="L100" s="168"/>
      <c r="M100" s="158"/>
      <c r="N100" s="159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Q100" s="101"/>
      <c r="AR100" s="187"/>
      <c r="AS100" s="101"/>
      <c r="AT100" s="101"/>
      <c r="AU100" s="101"/>
      <c r="AV100" s="101"/>
      <c r="AW100" s="101"/>
      <c r="AX100" s="101"/>
      <c r="AY100" s="101"/>
      <c r="AZ100" s="101"/>
      <c r="BA100" s="101"/>
      <c r="BC100" s="104"/>
      <c r="BI100" s="102"/>
    </row>
    <row r="101" spans="1:61" ht="15" customHeight="1" x14ac:dyDescent="0.5">
      <c r="A101" s="105"/>
      <c r="B101" s="106"/>
      <c r="E101" s="106"/>
      <c r="L101" s="169"/>
      <c r="M101" s="160"/>
      <c r="N101" s="159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B101" s="101"/>
      <c r="AE101" s="107"/>
      <c r="AN101" s="107"/>
      <c r="AO101" s="107"/>
      <c r="AP101" s="107"/>
      <c r="AR101" s="108"/>
      <c r="AY101" s="185"/>
      <c r="BC101" s="108"/>
    </row>
    <row r="102" spans="1:61" outlineLevel="1" x14ac:dyDescent="0.35">
      <c r="A102" s="105"/>
      <c r="L102" s="170"/>
      <c r="M102" s="160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B102" s="36"/>
      <c r="AE102" s="107"/>
      <c r="AN102" s="107"/>
      <c r="AO102" s="107"/>
      <c r="AP102" s="107"/>
      <c r="AR102" s="108"/>
      <c r="AZ102" s="36"/>
      <c r="BC102" s="108"/>
    </row>
    <row r="103" spans="1:61" ht="18" customHeight="1" outlineLevel="1" x14ac:dyDescent="0.35">
      <c r="A103" s="109"/>
      <c r="B103" s="110"/>
      <c r="C103" s="110"/>
      <c r="D103" s="110"/>
      <c r="L103" s="170"/>
      <c r="M103" s="160"/>
      <c r="N103" s="101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101"/>
      <c r="AA103" s="99"/>
      <c r="AB103" s="188"/>
      <c r="AC103" s="99"/>
      <c r="AD103" s="99"/>
      <c r="AE103" s="101"/>
      <c r="AF103" s="99"/>
      <c r="AG103" s="99"/>
      <c r="AH103" s="99"/>
      <c r="AL103" s="107"/>
      <c r="AM103" s="111"/>
      <c r="AQ103" s="107"/>
      <c r="AR103" s="189"/>
      <c r="AS103" s="107"/>
      <c r="AT103" s="107"/>
      <c r="AU103" s="107"/>
      <c r="AV103" s="107"/>
      <c r="AW103" s="107"/>
      <c r="AX103" s="107"/>
      <c r="AY103" s="107"/>
      <c r="AZ103" s="107"/>
      <c r="BA103" s="107"/>
      <c r="BC103" s="108"/>
    </row>
    <row r="104" spans="1:61" ht="15.75" customHeight="1" outlineLevel="1" x14ac:dyDescent="0.35">
      <c r="A104" s="109"/>
      <c r="B104" s="110"/>
      <c r="C104" s="110"/>
      <c r="D104" s="110"/>
      <c r="L104" s="170"/>
      <c r="M104" s="160"/>
      <c r="N104" s="101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101"/>
      <c r="AA104" s="99"/>
      <c r="AB104" s="188"/>
      <c r="AC104" s="99"/>
      <c r="AD104" s="99"/>
      <c r="AE104" s="101"/>
      <c r="AF104" s="99"/>
      <c r="AG104" s="99"/>
      <c r="AH104" s="99"/>
      <c r="AL104" s="107"/>
      <c r="AM104" s="111"/>
      <c r="AN104" s="107"/>
      <c r="AQ104" s="107"/>
      <c r="AR104" s="189"/>
      <c r="AS104" s="107"/>
      <c r="AT104" s="107"/>
      <c r="AU104" s="107"/>
      <c r="AV104" s="107"/>
      <c r="AW104" s="107"/>
      <c r="AX104" s="107"/>
      <c r="AY104" s="107"/>
      <c r="AZ104" s="107"/>
      <c r="BA104" s="107"/>
      <c r="BC104" s="108"/>
    </row>
    <row r="105" spans="1:61" ht="16.5" customHeight="1" outlineLevel="1" x14ac:dyDescent="0.4">
      <c r="A105" s="109"/>
      <c r="B105" s="112" t="s">
        <v>392</v>
      </c>
      <c r="C105" s="110"/>
      <c r="D105" s="110"/>
      <c r="L105" s="170"/>
      <c r="M105" s="160"/>
      <c r="N105" s="101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101"/>
      <c r="AA105" s="99"/>
      <c r="AB105" s="188"/>
      <c r="AC105" s="99"/>
      <c r="AD105" s="99"/>
      <c r="AE105" s="99"/>
      <c r="AF105" s="99"/>
      <c r="AG105" s="99"/>
      <c r="AH105" s="99"/>
      <c r="AL105" s="107"/>
      <c r="AM105" s="111"/>
      <c r="AQ105" s="107"/>
      <c r="AR105" s="189"/>
      <c r="AS105" s="107"/>
      <c r="AT105" s="107"/>
      <c r="AU105" s="107"/>
      <c r="AV105" s="107"/>
      <c r="AW105" s="107"/>
      <c r="AX105" s="107"/>
      <c r="AY105" s="107"/>
      <c r="AZ105" s="107"/>
      <c r="BA105" s="107"/>
      <c r="BC105" s="108"/>
    </row>
    <row r="106" spans="1:61" ht="14.25" customHeight="1" outlineLevel="1" x14ac:dyDescent="0.35">
      <c r="A106" s="113"/>
      <c r="B106" s="110" t="s">
        <v>433</v>
      </c>
      <c r="C106" s="110"/>
      <c r="D106" s="110"/>
      <c r="L106" s="170"/>
      <c r="M106" s="160"/>
      <c r="N106" s="111"/>
      <c r="O106" s="107"/>
      <c r="P106" s="107"/>
      <c r="Q106" s="86"/>
      <c r="R106" s="107"/>
      <c r="S106" s="107"/>
      <c r="T106" s="107"/>
      <c r="U106" s="107"/>
      <c r="V106" s="107"/>
      <c r="W106" s="107"/>
      <c r="X106" s="107"/>
      <c r="Y106" s="107"/>
      <c r="Z106" s="107"/>
      <c r="AL106" s="107"/>
      <c r="AM106" s="111"/>
      <c r="AQ106" s="107"/>
      <c r="AR106" s="189"/>
      <c r="AS106" s="107"/>
      <c r="AT106" s="107"/>
      <c r="AU106" s="107"/>
      <c r="AV106" s="107"/>
      <c r="AW106" s="107"/>
      <c r="AX106" s="107"/>
      <c r="AY106" s="107"/>
      <c r="AZ106" s="107"/>
      <c r="BA106" s="107"/>
      <c r="BC106" s="108"/>
    </row>
    <row r="107" spans="1:61" outlineLevel="1" x14ac:dyDescent="0.35">
      <c r="A107" s="105"/>
      <c r="L107" s="170"/>
      <c r="M107" s="160"/>
      <c r="N107" s="111"/>
      <c r="O107" s="107"/>
      <c r="P107" s="107"/>
      <c r="Q107" s="86"/>
      <c r="R107" s="107"/>
      <c r="S107" s="107"/>
      <c r="T107" s="107"/>
      <c r="U107" s="107"/>
      <c r="V107" s="107"/>
      <c r="W107" s="107"/>
      <c r="X107" s="107"/>
      <c r="Y107" s="107"/>
      <c r="Z107" s="107"/>
      <c r="AL107" s="107"/>
      <c r="AM107" s="111"/>
      <c r="AN107" s="107"/>
      <c r="AO107" s="107"/>
      <c r="AP107" s="107"/>
      <c r="AQ107" s="107"/>
      <c r="AR107" s="189"/>
      <c r="AS107" s="107"/>
      <c r="AT107" s="107"/>
      <c r="AU107" s="107"/>
      <c r="AV107" s="107"/>
      <c r="AW107" s="107"/>
      <c r="AX107" s="107"/>
      <c r="AY107" s="107"/>
      <c r="AZ107" s="107"/>
      <c r="BA107" s="107"/>
      <c r="BC107" s="108"/>
    </row>
    <row r="108" spans="1:61" s="115" customFormat="1" ht="14.25" outlineLevel="1" x14ac:dyDescent="0.45">
      <c r="A108" s="114" t="s">
        <v>168</v>
      </c>
      <c r="E108" s="116"/>
      <c r="H108" s="117"/>
      <c r="I108" s="117"/>
      <c r="J108" s="110" t="s">
        <v>580</v>
      </c>
      <c r="K108" s="118"/>
      <c r="L108" s="116"/>
      <c r="M108" s="119"/>
      <c r="N108" s="119"/>
      <c r="O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E108" s="110" t="s">
        <v>389</v>
      </c>
      <c r="AF108" s="118"/>
      <c r="AG108" s="116"/>
      <c r="AH108" s="116"/>
      <c r="AI108" s="116"/>
      <c r="AJ108" s="116"/>
      <c r="AK108" s="116"/>
      <c r="AL108" s="119"/>
      <c r="AR108" s="190"/>
      <c r="AS108" s="110" t="s">
        <v>389</v>
      </c>
      <c r="AU108" s="119"/>
      <c r="AV108" s="119"/>
      <c r="AW108" s="110"/>
      <c r="AX108" s="110"/>
      <c r="AY108" s="110"/>
      <c r="AZ108" s="110"/>
      <c r="BA108" s="110"/>
      <c r="BB108" s="110"/>
      <c r="BC108" s="120"/>
      <c r="BI108" s="121"/>
    </row>
    <row r="109" spans="1:61" s="115" customFormat="1" ht="14.25" outlineLevel="1" x14ac:dyDescent="0.45">
      <c r="A109" s="114"/>
      <c r="E109" s="116"/>
      <c r="H109" s="117"/>
      <c r="I109" s="117"/>
      <c r="J109" s="110"/>
      <c r="K109" s="118"/>
      <c r="L109" s="116"/>
      <c r="M109" s="119"/>
      <c r="N109" s="119"/>
      <c r="O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E109" s="110"/>
      <c r="AF109" s="118"/>
      <c r="AG109" s="116"/>
      <c r="AH109" s="116"/>
      <c r="AI109" s="116"/>
      <c r="AJ109" s="116"/>
      <c r="AK109" s="116"/>
      <c r="AL109" s="119"/>
      <c r="AR109" s="190"/>
      <c r="AU109" s="119"/>
      <c r="AV109" s="119"/>
      <c r="AW109" s="110"/>
      <c r="AX109" s="110"/>
      <c r="AY109" s="110"/>
      <c r="AZ109" s="110"/>
      <c r="BA109" s="110"/>
      <c r="BB109" s="110"/>
      <c r="BC109" s="120"/>
      <c r="BI109" s="121"/>
    </row>
    <row r="110" spans="1:61" s="115" customFormat="1" ht="14.25" outlineLevel="1" x14ac:dyDescent="0.45">
      <c r="A110" s="122"/>
      <c r="H110" s="117"/>
      <c r="I110" s="117"/>
      <c r="K110" s="123"/>
      <c r="N110" s="124"/>
      <c r="AB110" s="124"/>
      <c r="AF110" s="123"/>
      <c r="AR110" s="125"/>
      <c r="BC110" s="125"/>
      <c r="BI110" s="121"/>
    </row>
    <row r="111" spans="1:61" s="115" customFormat="1" ht="14.25" outlineLevel="1" x14ac:dyDescent="0.45">
      <c r="A111" s="122"/>
      <c r="B111" s="112" t="s">
        <v>412</v>
      </c>
      <c r="C111" s="110"/>
      <c r="D111" s="110"/>
      <c r="H111" s="117"/>
      <c r="I111" s="117"/>
      <c r="K111" s="123"/>
      <c r="L111" s="126" t="s">
        <v>390</v>
      </c>
      <c r="M111" s="126"/>
      <c r="N111" s="127"/>
      <c r="O111" s="126"/>
      <c r="S111" s="107"/>
      <c r="T111" s="107"/>
      <c r="U111" s="107"/>
      <c r="V111" s="128"/>
      <c r="W111" s="128"/>
      <c r="X111" s="128"/>
      <c r="Y111" s="128"/>
      <c r="Z111" s="128"/>
      <c r="AB111" s="129"/>
      <c r="AF111" s="123"/>
      <c r="AG111" s="126" t="s">
        <v>390</v>
      </c>
      <c r="AH111" s="126"/>
      <c r="AI111" s="126"/>
      <c r="AJ111" s="126"/>
      <c r="AK111" s="126"/>
      <c r="AL111" s="126"/>
      <c r="AR111" s="108"/>
      <c r="AT111" s="180" t="s">
        <v>390</v>
      </c>
      <c r="AU111" s="31"/>
      <c r="AV111" s="31"/>
      <c r="AW111" s="31"/>
      <c r="AX111" s="31"/>
      <c r="AY111" s="128"/>
      <c r="AZ111" s="128"/>
      <c r="BA111" s="128"/>
      <c r="BB111" s="128"/>
      <c r="BC111" s="130"/>
      <c r="BI111" s="121"/>
    </row>
    <row r="112" spans="1:61" s="115" customFormat="1" ht="14.25" outlineLevel="1" x14ac:dyDescent="0.45">
      <c r="A112" s="122"/>
      <c r="B112" s="110" t="s">
        <v>464</v>
      </c>
      <c r="C112" s="110"/>
      <c r="D112" s="110"/>
      <c r="H112" s="117"/>
      <c r="I112" s="117"/>
      <c r="K112" s="123"/>
      <c r="L112" s="110" t="s">
        <v>18</v>
      </c>
      <c r="M112" s="110"/>
      <c r="N112" s="37"/>
      <c r="O112" s="31"/>
      <c r="S112" s="107"/>
      <c r="T112" s="107"/>
      <c r="U112" s="107"/>
      <c r="V112" s="129"/>
      <c r="W112" s="129"/>
      <c r="X112" s="129"/>
      <c r="Y112" s="129"/>
      <c r="Z112" s="129"/>
      <c r="AB112" s="129"/>
      <c r="AF112" s="123"/>
      <c r="AG112" s="110" t="s">
        <v>18</v>
      </c>
      <c r="AH112" s="110"/>
      <c r="AI112" s="31"/>
      <c r="AJ112" s="31"/>
      <c r="AK112" s="31"/>
      <c r="AL112" s="31"/>
      <c r="AR112" s="108"/>
      <c r="AT112" s="146" t="s">
        <v>18</v>
      </c>
      <c r="AU112" s="181"/>
      <c r="AV112" s="181"/>
      <c r="AW112" s="181"/>
      <c r="AX112" s="31"/>
      <c r="AY112" s="129"/>
      <c r="AZ112" s="129"/>
      <c r="BA112" s="129"/>
      <c r="BB112" s="129"/>
      <c r="BC112" s="131"/>
      <c r="BI112" s="121"/>
    </row>
    <row r="113" spans="1:61" s="115" customFormat="1" ht="14.25" outlineLevel="1" x14ac:dyDescent="0.45">
      <c r="A113" s="132"/>
      <c r="B113" s="133"/>
      <c r="C113" s="133"/>
      <c r="D113" s="133"/>
      <c r="E113" s="134"/>
      <c r="F113" s="134"/>
      <c r="G113" s="134"/>
      <c r="H113" s="135"/>
      <c r="I113" s="135"/>
      <c r="J113" s="134"/>
      <c r="K113" s="136"/>
      <c r="L113" s="134"/>
      <c r="M113" s="134"/>
      <c r="N113" s="134"/>
      <c r="O113" s="110"/>
      <c r="S113" s="110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3"/>
      <c r="AD113" s="133"/>
      <c r="AE113" s="134"/>
      <c r="AF113" s="136"/>
      <c r="AG113" s="134"/>
      <c r="AH113" s="134"/>
      <c r="AI113" s="134"/>
      <c r="AJ113" s="134"/>
      <c r="AK113" s="134"/>
      <c r="AL113" s="110"/>
      <c r="AR113" s="120"/>
      <c r="AU113" s="110"/>
      <c r="AV113" s="134"/>
      <c r="AW113" s="134"/>
      <c r="AX113" s="134"/>
      <c r="AY113" s="134"/>
      <c r="AZ113" s="134"/>
      <c r="BA113" s="134"/>
      <c r="BB113" s="134"/>
      <c r="BC113" s="137"/>
      <c r="BI113" s="121"/>
    </row>
    <row r="114" spans="1:61" s="115" customFormat="1" ht="14.25" outlineLevel="1" x14ac:dyDescent="0.45">
      <c r="A114" s="114" t="s">
        <v>169</v>
      </c>
      <c r="H114" s="117"/>
      <c r="I114" s="117"/>
      <c r="J114" s="110" t="s">
        <v>170</v>
      </c>
      <c r="K114" s="112"/>
      <c r="L114" s="110"/>
      <c r="M114" s="110"/>
      <c r="N114" s="110"/>
      <c r="O114" s="138"/>
      <c r="P114" s="177"/>
      <c r="Q114" s="177"/>
      <c r="R114" s="177"/>
      <c r="S114" s="146"/>
      <c r="T114" s="110"/>
      <c r="U114" s="110"/>
      <c r="V114" s="110"/>
      <c r="W114" s="124"/>
      <c r="Y114" s="139"/>
      <c r="Z114" s="176"/>
      <c r="AA114" s="177"/>
      <c r="AB114" s="177"/>
      <c r="AC114" s="177"/>
      <c r="AD114" s="177"/>
      <c r="AE114" s="146" t="s">
        <v>170</v>
      </c>
      <c r="AF114" s="178"/>
      <c r="AG114" s="146"/>
      <c r="AH114" s="146"/>
      <c r="AI114" s="146"/>
      <c r="AJ114" s="146"/>
      <c r="AK114" s="146"/>
      <c r="AL114" s="146"/>
      <c r="AM114" s="177"/>
      <c r="AN114" s="177"/>
      <c r="AO114" s="177"/>
      <c r="AP114" s="179"/>
      <c r="AQ114" s="177"/>
      <c r="AR114" s="139"/>
      <c r="AS114" s="146" t="s">
        <v>170</v>
      </c>
      <c r="AT114" s="177"/>
      <c r="AU114" s="146"/>
      <c r="AV114" s="110"/>
      <c r="AW114" s="110"/>
      <c r="AX114" s="110"/>
      <c r="AY114" s="110"/>
      <c r="AZ114" s="177"/>
      <c r="BA114" s="179"/>
      <c r="BB114" s="177"/>
      <c r="BC114" s="139"/>
      <c r="BI114" s="121"/>
    </row>
    <row r="115" spans="1:61" s="115" customFormat="1" ht="14.25" outlineLevel="1" x14ac:dyDescent="0.45">
      <c r="A115" s="114" t="s">
        <v>171</v>
      </c>
      <c r="H115" s="117"/>
      <c r="I115" s="117"/>
      <c r="J115" s="110"/>
      <c r="K115" s="112"/>
      <c r="L115" s="110"/>
      <c r="M115" s="110"/>
      <c r="N115" s="110"/>
      <c r="O115" s="110"/>
      <c r="S115" s="110"/>
      <c r="W115" s="140" t="s">
        <v>172</v>
      </c>
      <c r="X115" s="133"/>
      <c r="Y115" s="141"/>
      <c r="Z115" s="122"/>
      <c r="AE115" s="110"/>
      <c r="AF115" s="112"/>
      <c r="AG115" s="110"/>
      <c r="AH115" s="110"/>
      <c r="AI115" s="110"/>
      <c r="AJ115" s="110"/>
      <c r="AK115" s="110"/>
      <c r="AL115" s="110"/>
      <c r="AP115" s="140" t="s">
        <v>172</v>
      </c>
      <c r="AQ115" s="133"/>
      <c r="AR115" s="141"/>
      <c r="AU115" s="110"/>
      <c r="AV115" s="110"/>
      <c r="AW115" s="110"/>
      <c r="AX115" s="110"/>
      <c r="BA115" s="140" t="s">
        <v>172</v>
      </c>
      <c r="BB115" s="133"/>
      <c r="BC115" s="141"/>
      <c r="BI115" s="121"/>
    </row>
    <row r="116" spans="1:61" s="115" customFormat="1" ht="14.25" outlineLevel="1" x14ac:dyDescent="0.45">
      <c r="A116" s="114"/>
      <c r="H116" s="117"/>
      <c r="I116" s="117"/>
      <c r="J116" s="110"/>
      <c r="K116" s="112"/>
      <c r="L116" s="110"/>
      <c r="M116" s="110"/>
      <c r="N116" s="110"/>
      <c r="O116" s="110"/>
      <c r="S116" s="110"/>
      <c r="W116" s="140" t="s">
        <v>173</v>
      </c>
      <c r="X116" s="133"/>
      <c r="Y116" s="141"/>
      <c r="Z116" s="122"/>
      <c r="AE116" s="110"/>
      <c r="AF116" s="112"/>
      <c r="AG116" s="110"/>
      <c r="AH116" s="110"/>
      <c r="AI116" s="110"/>
      <c r="AJ116" s="110"/>
      <c r="AK116" s="110"/>
      <c r="AL116" s="110"/>
      <c r="AP116" s="140" t="s">
        <v>173</v>
      </c>
      <c r="AQ116" s="133"/>
      <c r="AR116" s="141"/>
      <c r="AU116" s="110"/>
      <c r="AV116" s="110"/>
      <c r="AW116" s="110"/>
      <c r="AX116" s="110"/>
      <c r="BA116" s="140" t="s">
        <v>173</v>
      </c>
      <c r="BB116" s="133"/>
      <c r="BC116" s="141"/>
      <c r="BI116" s="121"/>
    </row>
    <row r="117" spans="1:61" s="115" customFormat="1" ht="14.25" outlineLevel="1" x14ac:dyDescent="0.45">
      <c r="A117" s="114"/>
      <c r="E117" s="110"/>
      <c r="F117" s="110"/>
      <c r="G117" s="110"/>
      <c r="H117" s="142"/>
      <c r="I117" s="142"/>
      <c r="J117" s="110"/>
      <c r="K117" s="123"/>
      <c r="L117" s="173" t="s">
        <v>475</v>
      </c>
      <c r="M117" s="174"/>
      <c r="N117" s="174"/>
      <c r="O117" s="174"/>
      <c r="S117" s="110"/>
      <c r="W117" s="143" t="s">
        <v>174</v>
      </c>
      <c r="X117" s="133"/>
      <c r="Y117" s="144"/>
      <c r="Z117" s="122"/>
      <c r="AE117" s="110"/>
      <c r="AF117" s="123"/>
      <c r="AG117" s="173" t="s">
        <v>475</v>
      </c>
      <c r="AH117" s="173"/>
      <c r="AI117" s="173"/>
      <c r="AJ117" s="173"/>
      <c r="AK117" s="173"/>
      <c r="AL117" s="174"/>
      <c r="AP117" s="143" t="s">
        <v>174</v>
      </c>
      <c r="AQ117" s="133"/>
      <c r="AR117" s="144"/>
      <c r="AT117" s="118" t="s">
        <v>475</v>
      </c>
      <c r="AU117" s="116"/>
      <c r="AV117" s="129"/>
      <c r="AW117" s="110"/>
      <c r="AX117" s="110"/>
      <c r="BA117" s="143" t="s">
        <v>174</v>
      </c>
      <c r="BB117" s="133"/>
      <c r="BC117" s="144"/>
      <c r="BI117" s="121"/>
    </row>
    <row r="118" spans="1:61" s="115" customFormat="1" ht="14.25" outlineLevel="1" x14ac:dyDescent="0.45">
      <c r="A118" s="114"/>
      <c r="B118" s="112" t="s">
        <v>453</v>
      </c>
      <c r="C118" s="110"/>
      <c r="D118" s="110"/>
      <c r="E118" s="110"/>
      <c r="F118" s="110"/>
      <c r="G118" s="110"/>
      <c r="H118" s="142"/>
      <c r="I118" s="142"/>
      <c r="J118" s="110"/>
      <c r="K118" s="123"/>
      <c r="L118" s="110" t="s">
        <v>476</v>
      </c>
      <c r="M118" s="116"/>
      <c r="N118" s="145"/>
      <c r="O118" s="116"/>
      <c r="W118" s="143" t="s">
        <v>173</v>
      </c>
      <c r="X118" s="133"/>
      <c r="Y118" s="144"/>
      <c r="Z118" s="122"/>
      <c r="AE118" s="110"/>
      <c r="AF118" s="123"/>
      <c r="AG118" s="110" t="s">
        <v>476</v>
      </c>
      <c r="AH118" s="107"/>
      <c r="AI118" s="107"/>
      <c r="AJ118" s="107"/>
      <c r="AK118" s="107"/>
      <c r="AL118" s="110"/>
      <c r="AP118" s="143" t="s">
        <v>173</v>
      </c>
      <c r="AQ118" s="133"/>
      <c r="AR118" s="144"/>
      <c r="AT118" s="146" t="s">
        <v>476</v>
      </c>
      <c r="AU118" s="146"/>
      <c r="AV118" s="146"/>
      <c r="AW118" s="177"/>
      <c r="BA118" s="143" t="s">
        <v>173</v>
      </c>
      <c r="BB118" s="133"/>
      <c r="BC118" s="144"/>
      <c r="BI118" s="121"/>
    </row>
    <row r="119" spans="1:61" s="115" customFormat="1" ht="14.25" outlineLevel="1" x14ac:dyDescent="0.45">
      <c r="A119" s="147"/>
      <c r="B119" s="134" t="s">
        <v>459</v>
      </c>
      <c r="C119" s="134"/>
      <c r="D119" s="134"/>
      <c r="E119" s="148"/>
      <c r="F119" s="133"/>
      <c r="G119" s="133"/>
      <c r="H119" s="149"/>
      <c r="I119" s="149"/>
      <c r="J119" s="133"/>
      <c r="K119" s="133"/>
      <c r="L119" s="171"/>
      <c r="M119" s="134"/>
      <c r="N119" s="150"/>
      <c r="O119" s="133"/>
      <c r="P119" s="133"/>
      <c r="Q119" s="140"/>
      <c r="R119" s="134"/>
      <c r="S119" s="133"/>
      <c r="T119" s="133"/>
      <c r="U119" s="133"/>
      <c r="V119" s="133"/>
      <c r="W119" s="143"/>
      <c r="X119" s="133"/>
      <c r="Y119" s="144"/>
      <c r="Z119" s="147"/>
      <c r="AA119" s="133"/>
      <c r="AB119" s="133"/>
      <c r="AC119" s="133"/>
      <c r="AD119" s="133"/>
      <c r="AE119" s="133"/>
      <c r="AF119" s="133"/>
      <c r="AG119" s="134"/>
      <c r="AH119" s="134"/>
      <c r="AI119" s="134"/>
      <c r="AJ119" s="134"/>
      <c r="AK119" s="150"/>
      <c r="AL119" s="133"/>
      <c r="AM119" s="133"/>
      <c r="AN119" s="133"/>
      <c r="AO119" s="133"/>
      <c r="AP119" s="143"/>
      <c r="AQ119" s="133"/>
      <c r="AR119" s="144"/>
      <c r="AS119" s="133"/>
      <c r="AT119" s="133"/>
      <c r="AU119" s="133"/>
      <c r="AV119" s="133"/>
      <c r="AW119" s="133"/>
      <c r="AX119" s="133"/>
      <c r="AY119" s="133"/>
      <c r="AZ119" s="133"/>
      <c r="BA119" s="143"/>
      <c r="BB119" s="133"/>
      <c r="BC119" s="144"/>
      <c r="BI119" s="121"/>
    </row>
  </sheetData>
  <sheetProtection sheet="1" selectLockedCells="1"/>
  <protectedRanges>
    <protectedRange algorithmName="SHA-512" hashValue="D37e2m2D4j5TDZiK5c3jLHTjOTz8L9xJxkcZ5ZbWIq01CJEMiV6sK+XYph5ttxzCmuwp/zVECbH8uenfuTtb4A==" saltValue="9i+dxpnaeshbXw7JC7C4sw==" spinCount="100000" sqref="H1:I1048576 J1:K107 J119:K1048576" name="Range1"/>
  </protectedRanges>
  <autoFilter ref="A7:BI106" xr:uid="{00000000-0001-0000-0200-000000000000}"/>
  <sortState xmlns:xlrd2="http://schemas.microsoft.com/office/spreadsheetml/2017/richdata2" ref="A1:WWZ132">
    <sortCondition ref="B10:B123"/>
  </sortState>
  <dataConsolidate function="product"/>
  <mergeCells count="3">
    <mergeCell ref="BI6:BI7"/>
    <mergeCell ref="A6:A7"/>
    <mergeCell ref="B98:D98"/>
  </mergeCells>
  <phoneticPr fontId="25" type="noConversion"/>
  <conditionalFormatting sqref="BA8:BA97">
    <cfRule type="cellIs" dxfId="0" priority="1" operator="lessThan">
      <formula>5000</formula>
    </cfRule>
  </conditionalFormatting>
  <pageMargins left="0.39370078740157483" right="0.39370078740157483" top="0.74803149606299213" bottom="0.74803149606299213" header="0.31496062992125984" footer="0.31496062992125984"/>
  <pageSetup paperSize="8" scale="52" fitToWidth="0" fitToHeight="0" orientation="landscape" r:id="rId1"/>
  <rowBreaks count="1" manualBreakCount="1">
    <brk id="88" max="49" man="1"/>
  </rowBreaks>
  <colBreaks count="2" manualBreakCount="2">
    <brk id="25" max="118" man="1"/>
    <brk id="44" max="118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disallowance</vt:lpstr>
      <vt:lpstr>PER DIVISION</vt:lpstr>
      <vt:lpstr>DATA</vt:lpstr>
      <vt:lpstr>PAYOUT</vt:lpstr>
      <vt:lpstr>PAYOUT!Print_Area</vt:lpstr>
      <vt:lpstr>PAYOUT!Print_Titles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</dc:creator>
  <cp:lastModifiedBy>Jonalyn Tolero</cp:lastModifiedBy>
  <cp:lastPrinted>2026-03-06T08:25:31Z</cp:lastPrinted>
  <dcterms:created xsi:type="dcterms:W3CDTF">2019-04-15T03:50:34Z</dcterms:created>
  <dcterms:modified xsi:type="dcterms:W3CDTF">2026-03-17T12:45:50Z</dcterms:modified>
</cp:coreProperties>
</file>